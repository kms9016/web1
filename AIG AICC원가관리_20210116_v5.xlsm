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7.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0.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현재_통합_문서" defaultThemeVersion="166925"/>
  <mc:AlternateContent xmlns:mc="http://schemas.openxmlformats.org/markup-compatibility/2006">
    <mc:Choice Requires="x15">
      <x15ac:absPath xmlns:x15ac="http://schemas.microsoft.com/office/spreadsheetml/2010/11/ac" url="C:\Users\kms90\Desktop\"/>
    </mc:Choice>
  </mc:AlternateContent>
  <xr:revisionPtr revIDLastSave="0" documentId="8_{49939543-FEAE-4277-B078-3EF4762959AB}" xr6:coauthVersionLast="45" xr6:coauthVersionMax="45" xr10:uidLastSave="{00000000-0000-0000-0000-000000000000}"/>
  <bookViews>
    <workbookView xWindow="-120" yWindow="-120" windowWidth="20730" windowHeight="11160" tabRatio="848" xr2:uid="{00000000-000D-0000-FFFF-FFFF00000000}"/>
  </bookViews>
  <sheets>
    <sheet name="HOME" sheetId="44" r:id="rId1"/>
    <sheet name="A.시뮬레이션" sheetId="47" r:id="rId2"/>
    <sheet name="B.통합시트" sheetId="45" r:id="rId3"/>
    <sheet name="1.인건비_요약" sheetId="33" r:id="rId4"/>
    <sheet name="2.구축비_요약" sheetId="42" r:id="rId5"/>
    <sheet name="3.수행비_요약" sheetId="43" r:id="rId6"/>
    <sheet name="BL_인건비" sheetId="25" state="hidden" r:id="rId7"/>
    <sheet name="CS_인건비" sheetId="38" state="hidden" r:id="rId8"/>
    <sheet name="CS_구축" sheetId="22" state="hidden" r:id="rId9"/>
    <sheet name="CS_수행" sheetId="41" state="hidden" r:id="rId10"/>
    <sheet name="(참조)BL_인건비" sheetId="28" state="hidden" r:id="rId11"/>
    <sheet name="(참조)CS_인건비" sheetId="37" state="hidden" r:id="rId12"/>
    <sheet name="(참조)FTE산정" sheetId="56" state="hidden" r:id="rId13"/>
    <sheet name="(참조)솔루션효과" sheetId="30" state="hidden" r:id="rId14"/>
    <sheet name="D.사업성분석" sheetId="48" state="hidden" r:id="rId15"/>
    <sheet name="D.사업성매출" sheetId="49" state="hidden" r:id="rId16"/>
    <sheet name="D.사업성투자" sheetId="51" state="hidden" r:id="rId17"/>
    <sheet name="D.사업성비용" sheetId="50" state="hidden" r:id="rId18"/>
    <sheet name="D.VDC-C" sheetId="55" state="hidden" r:id="rId19"/>
    <sheet name="Sheet4" sheetId="54" state="hidden" r:id="rId20"/>
    <sheet name="Sheet1" sheetId="46" state="hidden" r:id="rId21"/>
    <sheet name="Sheet3" sheetId="53" state="hidden" r:id="rId22"/>
    <sheet name="Sheet2" sheetId="52" state="hidden" r:id="rId23"/>
  </sheets>
  <externalReferences>
    <externalReference r:id="rId24"/>
  </externalReferences>
  <definedNames>
    <definedName name="_xlnm._FilterDatabase" localSheetId="8" hidden="1">CS_구축!$A$4:$FJ$111</definedName>
    <definedName name="인건비">#REF!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2" i="56" l="1"/>
  <c r="G11" i="56"/>
  <c r="H11" i="56"/>
  <c r="I11" i="56"/>
  <c r="J11" i="56"/>
  <c r="K11" i="56"/>
  <c r="L11" i="56"/>
  <c r="M11" i="56"/>
  <c r="N11" i="56"/>
  <c r="O11" i="56"/>
  <c r="P11" i="56"/>
  <c r="Q11" i="56"/>
  <c r="G12" i="56"/>
  <c r="H12" i="56"/>
  <c r="I12" i="56"/>
  <c r="J12" i="56"/>
  <c r="K12" i="56"/>
  <c r="L12" i="56"/>
  <c r="M12" i="56"/>
  <c r="N12" i="56"/>
  <c r="O12" i="56"/>
  <c r="P12" i="56"/>
  <c r="Q12" i="56"/>
  <c r="G13" i="56"/>
  <c r="H13" i="56"/>
  <c r="I13" i="56"/>
  <c r="J13" i="56"/>
  <c r="K13" i="56"/>
  <c r="L13" i="56"/>
  <c r="M13" i="56"/>
  <c r="N13" i="56"/>
  <c r="O13" i="56"/>
  <c r="P13" i="56"/>
  <c r="Q13" i="56"/>
  <c r="G14" i="56"/>
  <c r="H14" i="56"/>
  <c r="I14" i="56"/>
  <c r="J14" i="56"/>
  <c r="K14" i="56"/>
  <c r="L14" i="56"/>
  <c r="M14" i="56"/>
  <c r="N14" i="56"/>
  <c r="O14" i="56"/>
  <c r="P14" i="56"/>
  <c r="Q14" i="56"/>
  <c r="G15" i="56"/>
  <c r="H15" i="56"/>
  <c r="I15" i="56"/>
  <c r="J15" i="56"/>
  <c r="K15" i="56"/>
  <c r="L15" i="56"/>
  <c r="M15" i="56"/>
  <c r="N15" i="56"/>
  <c r="O15" i="56"/>
  <c r="P15" i="56"/>
  <c r="Q15" i="56"/>
  <c r="G16" i="56"/>
  <c r="H16" i="56"/>
  <c r="I16" i="56"/>
  <c r="J16" i="56"/>
  <c r="K16" i="56"/>
  <c r="L16" i="56"/>
  <c r="M16" i="56"/>
  <c r="N16" i="56"/>
  <c r="O16" i="56"/>
  <c r="P16" i="56"/>
  <c r="Q16" i="56"/>
  <c r="G17" i="56"/>
  <c r="H17" i="56"/>
  <c r="I17" i="56"/>
  <c r="J17" i="56"/>
  <c r="K17" i="56"/>
  <c r="L17" i="56"/>
  <c r="M17" i="56"/>
  <c r="N17" i="56"/>
  <c r="O17" i="56"/>
  <c r="P17" i="56"/>
  <c r="Q17" i="56"/>
  <c r="G18" i="56"/>
  <c r="H18" i="56"/>
  <c r="I18" i="56"/>
  <c r="J18" i="56"/>
  <c r="K18" i="56"/>
  <c r="L18" i="56"/>
  <c r="M18" i="56"/>
  <c r="N18" i="56"/>
  <c r="O18" i="56"/>
  <c r="P18" i="56"/>
  <c r="Q18" i="56"/>
  <c r="G19" i="56"/>
  <c r="H19" i="56"/>
  <c r="I19" i="56"/>
  <c r="J19" i="56"/>
  <c r="K19" i="56"/>
  <c r="L19" i="56"/>
  <c r="M19" i="56"/>
  <c r="N19" i="56"/>
  <c r="O19" i="56"/>
  <c r="P19" i="56"/>
  <c r="Q19" i="56"/>
  <c r="G20" i="56"/>
  <c r="H20" i="56"/>
  <c r="I20" i="56"/>
  <c r="J20" i="56"/>
  <c r="K20" i="56"/>
  <c r="L20" i="56"/>
  <c r="M20" i="56"/>
  <c r="N20" i="56"/>
  <c r="O20" i="56"/>
  <c r="P20" i="56"/>
  <c r="Q20" i="56"/>
  <c r="G21" i="56"/>
  <c r="H21" i="56"/>
  <c r="I21" i="56"/>
  <c r="J21" i="56"/>
  <c r="K21" i="56"/>
  <c r="L21" i="56"/>
  <c r="M21" i="56"/>
  <c r="N21" i="56"/>
  <c r="O21" i="56"/>
  <c r="P21" i="56"/>
  <c r="Q21" i="56"/>
  <c r="G10" i="56"/>
  <c r="H10" i="56"/>
  <c r="I10" i="56"/>
  <c r="J10" i="56"/>
  <c r="K10" i="56"/>
  <c r="L10" i="56"/>
  <c r="M10" i="56"/>
  <c r="N10" i="56"/>
  <c r="O10" i="56"/>
  <c r="P10" i="56"/>
  <c r="Q10" i="56"/>
  <c r="F21" i="56" l="1"/>
  <c r="F20" i="56"/>
  <c r="F19" i="56"/>
  <c r="F18" i="56"/>
  <c r="F11" i="56"/>
  <c r="F10" i="56"/>
  <c r="F17" i="56"/>
  <c r="F16" i="56"/>
  <c r="F15" i="56"/>
  <c r="F14" i="56"/>
  <c r="F13" i="56"/>
  <c r="C12" i="47"/>
  <c r="C8" i="47"/>
  <c r="C6" i="47"/>
  <c r="E17" i="47"/>
  <c r="F17" i="47"/>
  <c r="G17" i="47"/>
  <c r="H17" i="47"/>
  <c r="I17" i="47"/>
  <c r="J17" i="47"/>
  <c r="D17" i="47"/>
  <c r="C17" i="47"/>
  <c r="C24" i="47"/>
  <c r="D24" i="47"/>
  <c r="E24" i="47"/>
  <c r="E23" i="47" s="1"/>
  <c r="F24" i="47"/>
  <c r="G24" i="47"/>
  <c r="H24" i="47"/>
  <c r="I24" i="47"/>
  <c r="J24" i="47"/>
  <c r="J23" i="47" s="1"/>
  <c r="C25" i="47"/>
  <c r="D25" i="47"/>
  <c r="E25" i="47"/>
  <c r="F25" i="47"/>
  <c r="G25" i="47"/>
  <c r="H25" i="47"/>
  <c r="I25" i="47"/>
  <c r="J25" i="47"/>
  <c r="D26" i="47"/>
  <c r="E26" i="47"/>
  <c r="C26" i="47" s="1"/>
  <c r="F26" i="47"/>
  <c r="G26" i="47"/>
  <c r="H26" i="47"/>
  <c r="I26" i="47"/>
  <c r="J26" i="47"/>
  <c r="C27" i="47"/>
  <c r="D27" i="47"/>
  <c r="E27" i="47"/>
  <c r="F27" i="47"/>
  <c r="G27" i="47"/>
  <c r="H27" i="47"/>
  <c r="I27" i="47"/>
  <c r="J27" i="47"/>
  <c r="C28" i="47"/>
  <c r="D28" i="47"/>
  <c r="E28" i="47"/>
  <c r="F28" i="47"/>
  <c r="G28" i="47"/>
  <c r="H28" i="47"/>
  <c r="I28" i="47"/>
  <c r="J28" i="47"/>
  <c r="D23" i="47"/>
  <c r="F23" i="47"/>
  <c r="G23" i="47"/>
  <c r="H23" i="47"/>
  <c r="I23" i="47"/>
  <c r="C36" i="47"/>
  <c r="E21" i="47" l="1"/>
  <c r="F21" i="47"/>
  <c r="G21" i="47"/>
  <c r="H21" i="47"/>
  <c r="I21" i="47"/>
  <c r="J21" i="47"/>
  <c r="D21" i="47"/>
  <c r="E20" i="47"/>
  <c r="F20" i="47"/>
  <c r="G20" i="47"/>
  <c r="H20" i="47"/>
  <c r="I20" i="47"/>
  <c r="J20" i="47"/>
  <c r="D20" i="47"/>
  <c r="E19" i="47"/>
  <c r="F19" i="47"/>
  <c r="G19" i="47"/>
  <c r="H19" i="47"/>
  <c r="I19" i="47"/>
  <c r="J19" i="47"/>
  <c r="D19" i="47"/>
  <c r="E18" i="47"/>
  <c r="F18" i="47"/>
  <c r="G18" i="47"/>
  <c r="H18" i="47"/>
  <c r="I18" i="47"/>
  <c r="J18" i="47"/>
  <c r="D18" i="47"/>
  <c r="E35" i="47"/>
  <c r="F35" i="47"/>
  <c r="G35" i="47"/>
  <c r="H35" i="47"/>
  <c r="I35" i="47"/>
  <c r="J35" i="47"/>
  <c r="D35" i="47"/>
  <c r="E34" i="47"/>
  <c r="F34" i="47"/>
  <c r="G34" i="47"/>
  <c r="H34" i="47"/>
  <c r="I34" i="47"/>
  <c r="J34" i="47"/>
  <c r="D34" i="47"/>
  <c r="E33" i="47"/>
  <c r="F33" i="47"/>
  <c r="G33" i="47"/>
  <c r="H33" i="47"/>
  <c r="I33" i="47"/>
  <c r="J33" i="47"/>
  <c r="D33" i="47"/>
  <c r="E32" i="47"/>
  <c r="F32" i="47"/>
  <c r="G32" i="47"/>
  <c r="H32" i="47"/>
  <c r="I32" i="47"/>
  <c r="J32" i="47"/>
  <c r="D32" i="47"/>
  <c r="E31" i="47"/>
  <c r="F31" i="47"/>
  <c r="G31" i="47"/>
  <c r="H31" i="47"/>
  <c r="I31" i="47"/>
  <c r="J31" i="47"/>
  <c r="D31" i="47"/>
  <c r="E30" i="47"/>
  <c r="F30" i="47"/>
  <c r="G30" i="47"/>
  <c r="H30" i="47"/>
  <c r="I30" i="47"/>
  <c r="J30" i="47"/>
  <c r="D30" i="47"/>
  <c r="E43" i="47"/>
  <c r="F43" i="47"/>
  <c r="F56" i="47" s="1"/>
  <c r="G43" i="47"/>
  <c r="G56" i="47" s="1"/>
  <c r="H43" i="47"/>
  <c r="H56" i="47" s="1"/>
  <c r="I43" i="47"/>
  <c r="I56" i="47" s="1"/>
  <c r="J43" i="47"/>
  <c r="J56" i="47" s="1"/>
  <c r="E44" i="47"/>
  <c r="E57" i="47" s="1"/>
  <c r="F44" i="47"/>
  <c r="F57" i="47" s="1"/>
  <c r="G44" i="47"/>
  <c r="G57" i="47" s="1"/>
  <c r="H44" i="47"/>
  <c r="H57" i="47" s="1"/>
  <c r="I44" i="47"/>
  <c r="I57" i="47" s="1"/>
  <c r="J44" i="47"/>
  <c r="J57" i="47" s="1"/>
  <c r="E45" i="47"/>
  <c r="E58" i="47" s="1"/>
  <c r="F45" i="47"/>
  <c r="F58" i="47" s="1"/>
  <c r="G45" i="47"/>
  <c r="G58" i="47" s="1"/>
  <c r="H45" i="47"/>
  <c r="H58" i="47" s="1"/>
  <c r="I45" i="47"/>
  <c r="I58" i="47" s="1"/>
  <c r="J45" i="47"/>
  <c r="J58" i="47" s="1"/>
  <c r="E46" i="47"/>
  <c r="E59" i="47" s="1"/>
  <c r="F46" i="47"/>
  <c r="F59" i="47" s="1"/>
  <c r="G46" i="47"/>
  <c r="G59" i="47" s="1"/>
  <c r="H46" i="47"/>
  <c r="H59" i="47" s="1"/>
  <c r="I46" i="47"/>
  <c r="I59" i="47" s="1"/>
  <c r="J46" i="47"/>
  <c r="J59" i="47" s="1"/>
  <c r="E47" i="47"/>
  <c r="E60" i="47" s="1"/>
  <c r="F47" i="47"/>
  <c r="F60" i="47" s="1"/>
  <c r="G47" i="47"/>
  <c r="G60" i="47" s="1"/>
  <c r="H47" i="47"/>
  <c r="H60" i="47" s="1"/>
  <c r="I47" i="47"/>
  <c r="I60" i="47" s="1"/>
  <c r="J47" i="47"/>
  <c r="J60" i="47" s="1"/>
  <c r="D44" i="47"/>
  <c r="D57" i="47" s="1"/>
  <c r="D45" i="47"/>
  <c r="D58" i="47" s="1"/>
  <c r="D46" i="47"/>
  <c r="D59" i="47" s="1"/>
  <c r="D47" i="47"/>
  <c r="D60" i="47" s="1"/>
  <c r="D43" i="47"/>
  <c r="H90" i="33"/>
  <c r="I90" i="33"/>
  <c r="J90" i="33"/>
  <c r="K90" i="33"/>
  <c r="L90" i="33"/>
  <c r="M90" i="33"/>
  <c r="N90" i="33"/>
  <c r="O90" i="33"/>
  <c r="P90" i="33"/>
  <c r="Q90" i="33"/>
  <c r="R90" i="33"/>
  <c r="G90" i="33"/>
  <c r="H89" i="33"/>
  <c r="I89" i="33"/>
  <c r="J89" i="33"/>
  <c r="K89" i="33"/>
  <c r="L89" i="33"/>
  <c r="M89" i="33"/>
  <c r="N89" i="33"/>
  <c r="O89" i="33"/>
  <c r="P89" i="33"/>
  <c r="Q89" i="33"/>
  <c r="R89" i="33"/>
  <c r="G89" i="33"/>
  <c r="C21" i="47" l="1"/>
  <c r="C20" i="47"/>
  <c r="C19" i="47"/>
  <c r="C18" i="47"/>
  <c r="C32" i="47"/>
  <c r="C35" i="47"/>
  <c r="C34" i="47"/>
  <c r="C33" i="47"/>
  <c r="C31" i="47"/>
  <c r="C30" i="47"/>
  <c r="E42" i="47"/>
  <c r="E55" i="47" s="1"/>
  <c r="E56" i="47"/>
  <c r="C44" i="47"/>
  <c r="C57" i="47" s="1"/>
  <c r="C43" i="47"/>
  <c r="C56" i="47" s="1"/>
  <c r="D56" i="47"/>
  <c r="J42" i="47"/>
  <c r="J55" i="47" s="1"/>
  <c r="I42" i="47"/>
  <c r="I55" i="47" s="1"/>
  <c r="H42" i="47"/>
  <c r="H55" i="47" s="1"/>
  <c r="G42" i="47"/>
  <c r="G55" i="47" s="1"/>
  <c r="C47" i="47"/>
  <c r="C60" i="47" s="1"/>
  <c r="F42" i="47"/>
  <c r="F55" i="47" s="1"/>
  <c r="C46" i="47"/>
  <c r="C59" i="47" s="1"/>
  <c r="C45" i="47"/>
  <c r="C58" i="47" s="1"/>
  <c r="D42" i="47"/>
  <c r="D55" i="47" s="1"/>
  <c r="R20" i="45"/>
  <c r="S20" i="45"/>
  <c r="T20" i="45"/>
  <c r="U20" i="45"/>
  <c r="V20" i="45"/>
  <c r="W20" i="45"/>
  <c r="X20" i="45"/>
  <c r="Y20" i="45"/>
  <c r="Z20" i="45"/>
  <c r="AA20" i="45"/>
  <c r="Q20" i="45"/>
  <c r="R21" i="45"/>
  <c r="S21" i="45"/>
  <c r="T21" i="45"/>
  <c r="U21" i="45"/>
  <c r="V21" i="45"/>
  <c r="W21" i="45"/>
  <c r="X21" i="45"/>
  <c r="R22" i="45"/>
  <c r="S22" i="45"/>
  <c r="T22" i="45"/>
  <c r="U22" i="45"/>
  <c r="V22" i="45"/>
  <c r="W22" i="45"/>
  <c r="X22" i="45"/>
  <c r="Y22" i="45"/>
  <c r="Z22" i="45"/>
  <c r="AA22" i="45"/>
  <c r="Q22" i="45"/>
  <c r="Y21" i="45"/>
  <c r="Z21" i="45"/>
  <c r="AA21" i="45"/>
  <c r="Q21" i="45"/>
  <c r="R19" i="45"/>
  <c r="S19" i="45"/>
  <c r="T19" i="45"/>
  <c r="U19" i="45"/>
  <c r="V19" i="45"/>
  <c r="W19" i="45"/>
  <c r="X19" i="45"/>
  <c r="Y19" i="45"/>
  <c r="Z19" i="45"/>
  <c r="AA19" i="45"/>
  <c r="Q19" i="45"/>
  <c r="R18" i="45"/>
  <c r="S18" i="45"/>
  <c r="T18" i="45"/>
  <c r="U18" i="45"/>
  <c r="V18" i="45"/>
  <c r="W18" i="45"/>
  <c r="X18" i="45"/>
  <c r="Y18" i="45"/>
  <c r="Z18" i="45"/>
  <c r="AA18" i="45"/>
  <c r="Q18" i="45"/>
  <c r="U13" i="45"/>
  <c r="Z13" i="45"/>
  <c r="P11" i="45"/>
  <c r="K11" i="45" s="1"/>
  <c r="P12" i="45"/>
  <c r="K12" i="45" s="1"/>
  <c r="R10" i="45"/>
  <c r="S10" i="45"/>
  <c r="T10" i="45"/>
  <c r="U10" i="45"/>
  <c r="V10" i="45"/>
  <c r="W10" i="45"/>
  <c r="X10" i="45"/>
  <c r="Y10" i="45"/>
  <c r="Z10" i="45"/>
  <c r="AA10" i="45"/>
  <c r="Q10" i="45"/>
  <c r="P7" i="45"/>
  <c r="K7" i="45" s="1"/>
  <c r="P9" i="45"/>
  <c r="K9" i="45" s="1"/>
  <c r="R8" i="45"/>
  <c r="S8" i="45"/>
  <c r="T8" i="45"/>
  <c r="U8" i="45"/>
  <c r="V8" i="45"/>
  <c r="W8" i="45"/>
  <c r="X8" i="45"/>
  <c r="Y8" i="45"/>
  <c r="Z8" i="45"/>
  <c r="AA8" i="45"/>
  <c r="Q8" i="45"/>
  <c r="X6" i="45"/>
  <c r="Y6" i="45"/>
  <c r="Z6" i="45"/>
  <c r="AA6" i="45"/>
  <c r="AA13" i="45" s="1"/>
  <c r="R6" i="45"/>
  <c r="R13" i="45" s="1"/>
  <c r="S6" i="45"/>
  <c r="T6" i="45"/>
  <c r="T13" i="45" s="1"/>
  <c r="U6" i="45"/>
  <c r="V6" i="45"/>
  <c r="W6" i="45"/>
  <c r="Q6" i="45"/>
  <c r="C42" i="47" l="1"/>
  <c r="C55" i="47" s="1"/>
  <c r="W13" i="45"/>
  <c r="Y13" i="45"/>
  <c r="V13" i="45"/>
  <c r="X13" i="45"/>
  <c r="S13" i="45"/>
  <c r="P6" i="45"/>
  <c r="P10" i="45"/>
  <c r="K10" i="45" s="1"/>
  <c r="Q13" i="45"/>
  <c r="P8" i="45"/>
  <c r="K8" i="45" s="1"/>
  <c r="C23" i="47" l="1"/>
  <c r="P13" i="45"/>
  <c r="K13" i="45" s="1"/>
  <c r="K6" i="45"/>
  <c r="H47" i="33" l="1"/>
  <c r="I47" i="33"/>
  <c r="J47" i="33"/>
  <c r="K47" i="33"/>
  <c r="L47" i="33"/>
  <c r="M47" i="33"/>
  <c r="N47" i="33"/>
  <c r="O47" i="33"/>
  <c r="P47" i="33"/>
  <c r="Q47" i="33"/>
  <c r="R47" i="33"/>
  <c r="H48" i="33"/>
  <c r="I48" i="33"/>
  <c r="J48" i="33"/>
  <c r="K48" i="33"/>
  <c r="L48" i="33"/>
  <c r="M48" i="33"/>
  <c r="N48" i="33"/>
  <c r="O48" i="33"/>
  <c r="P48" i="33"/>
  <c r="Q48" i="33"/>
  <c r="R48" i="33"/>
  <c r="H49" i="33"/>
  <c r="I49" i="33"/>
  <c r="J49" i="33"/>
  <c r="K49" i="33"/>
  <c r="L49" i="33"/>
  <c r="M49" i="33"/>
  <c r="N49" i="33"/>
  <c r="O49" i="33"/>
  <c r="P49" i="33"/>
  <c r="Q49" i="33"/>
  <c r="R49" i="33"/>
  <c r="H50" i="33"/>
  <c r="I50" i="33"/>
  <c r="J50" i="33"/>
  <c r="K50" i="33"/>
  <c r="L50" i="33"/>
  <c r="M50" i="33"/>
  <c r="N50" i="33"/>
  <c r="O50" i="33"/>
  <c r="P50" i="33"/>
  <c r="Q50" i="33"/>
  <c r="R50" i="33"/>
  <c r="I46" i="33"/>
  <c r="J46" i="33"/>
  <c r="K46" i="33"/>
  <c r="L46" i="33"/>
  <c r="M46" i="33"/>
  <c r="N46" i="33"/>
  <c r="O46" i="33"/>
  <c r="P46" i="33"/>
  <c r="Q46" i="33"/>
  <c r="R46" i="33"/>
  <c r="H46" i="33"/>
  <c r="H33" i="33"/>
  <c r="I33" i="33"/>
  <c r="J33" i="33"/>
  <c r="K33" i="33"/>
  <c r="L33" i="33"/>
  <c r="M33" i="33"/>
  <c r="N33" i="33"/>
  <c r="O33" i="33"/>
  <c r="P33" i="33"/>
  <c r="Q33" i="33"/>
  <c r="R33" i="33"/>
  <c r="H34" i="33"/>
  <c r="I34" i="33"/>
  <c r="J34" i="33"/>
  <c r="K34" i="33"/>
  <c r="L34" i="33"/>
  <c r="M34" i="33"/>
  <c r="N34" i="33"/>
  <c r="O34" i="33"/>
  <c r="P34" i="33"/>
  <c r="Q34" i="33"/>
  <c r="R34" i="33"/>
  <c r="I32" i="33"/>
  <c r="J32" i="33"/>
  <c r="K32" i="33"/>
  <c r="L32" i="33"/>
  <c r="M32" i="33"/>
  <c r="N32" i="33"/>
  <c r="O32" i="33"/>
  <c r="P32" i="33"/>
  <c r="Q32" i="33"/>
  <c r="R32" i="33"/>
  <c r="H32" i="33"/>
  <c r="U42" i="33"/>
  <c r="V42" i="33"/>
  <c r="W42" i="33"/>
  <c r="X42" i="33"/>
  <c r="Y42" i="33"/>
  <c r="Z42" i="33"/>
  <c r="AA42" i="33"/>
  <c r="V44" i="33"/>
  <c r="W44" i="33"/>
  <c r="X44" i="33"/>
  <c r="Y44" i="33"/>
  <c r="Z44" i="33"/>
  <c r="AA44" i="33"/>
  <c r="U44" i="33"/>
  <c r="V43" i="33"/>
  <c r="W43" i="33"/>
  <c r="X43" i="33"/>
  <c r="Y43" i="33"/>
  <c r="Z43" i="33"/>
  <c r="AA43" i="33"/>
  <c r="U43" i="33"/>
  <c r="V38" i="33"/>
  <c r="W38" i="33"/>
  <c r="X38" i="33"/>
  <c r="Y38" i="33"/>
  <c r="Z38" i="33"/>
  <c r="AA38" i="33"/>
  <c r="V39" i="33"/>
  <c r="W39" i="33"/>
  <c r="X39" i="33"/>
  <c r="Y39" i="33"/>
  <c r="Z39" i="33"/>
  <c r="AA39" i="33"/>
  <c r="U39" i="33"/>
  <c r="U38" i="33"/>
  <c r="V37" i="33"/>
  <c r="W37" i="33"/>
  <c r="X37" i="33"/>
  <c r="Y37" i="33"/>
  <c r="Z37" i="33"/>
  <c r="AA37" i="33"/>
  <c r="U37" i="33"/>
  <c r="I35" i="33"/>
  <c r="J35" i="33"/>
  <c r="K35" i="33"/>
  <c r="L35" i="33"/>
  <c r="M35" i="33"/>
  <c r="N35" i="33"/>
  <c r="O35" i="33"/>
  <c r="P35" i="33"/>
  <c r="Q35" i="33"/>
  <c r="R35" i="33"/>
  <c r="H35" i="33"/>
  <c r="H87" i="33" l="1"/>
  <c r="I87" i="33"/>
  <c r="J87" i="33"/>
  <c r="K87" i="33"/>
  <c r="L87" i="33"/>
  <c r="M87" i="33"/>
  <c r="N87" i="33"/>
  <c r="O87" i="33"/>
  <c r="P87" i="33"/>
  <c r="Q87" i="33"/>
  <c r="R87" i="33"/>
  <c r="G87" i="33"/>
  <c r="R86" i="33"/>
  <c r="Q86" i="33"/>
  <c r="P86" i="33"/>
  <c r="O86" i="33"/>
  <c r="N86" i="33"/>
  <c r="M86" i="33"/>
  <c r="L86" i="33"/>
  <c r="K86" i="33"/>
  <c r="J86" i="33"/>
  <c r="I86" i="33"/>
  <c r="H86" i="33"/>
  <c r="G86" i="33" s="1"/>
  <c r="R85" i="33"/>
  <c r="Q85" i="33"/>
  <c r="P85" i="33"/>
  <c r="O85" i="33"/>
  <c r="G85" i="33" s="1"/>
  <c r="N85" i="33"/>
  <c r="M85" i="33"/>
  <c r="L85" i="33"/>
  <c r="K85" i="33"/>
  <c r="J85" i="33"/>
  <c r="I85" i="33"/>
  <c r="H85" i="33"/>
  <c r="R84" i="33"/>
  <c r="Q84" i="33"/>
  <c r="P84" i="33"/>
  <c r="O84" i="33"/>
  <c r="N84" i="33"/>
  <c r="M84" i="33"/>
  <c r="L84" i="33"/>
  <c r="K84" i="33"/>
  <c r="J84" i="33"/>
  <c r="I84" i="33"/>
  <c r="H84" i="33"/>
  <c r="G84" i="33" s="1"/>
  <c r="R83" i="33"/>
  <c r="Q83" i="33"/>
  <c r="P83" i="33"/>
  <c r="O83" i="33"/>
  <c r="G83" i="33" s="1"/>
  <c r="N83" i="33"/>
  <c r="M83" i="33"/>
  <c r="L83" i="33"/>
  <c r="K83" i="33"/>
  <c r="J83" i="33"/>
  <c r="I83" i="33"/>
  <c r="H83" i="33"/>
  <c r="R82" i="33"/>
  <c r="Q82" i="33"/>
  <c r="P82" i="33"/>
  <c r="O82" i="33"/>
  <c r="N82" i="33"/>
  <c r="M82" i="33"/>
  <c r="L82" i="33"/>
  <c r="K82" i="33"/>
  <c r="J82" i="33"/>
  <c r="I82" i="33"/>
  <c r="H82" i="33"/>
  <c r="G82" i="33" s="1"/>
  <c r="R81" i="33"/>
  <c r="Q81" i="33"/>
  <c r="P81" i="33"/>
  <c r="O81" i="33"/>
  <c r="G81" i="33" s="1"/>
  <c r="N81" i="33"/>
  <c r="M81" i="33"/>
  <c r="L81" i="33"/>
  <c r="K81" i="33"/>
  <c r="J81" i="33"/>
  <c r="I81" i="33"/>
  <c r="H81" i="33"/>
  <c r="R80" i="33"/>
  <c r="Q80" i="33"/>
  <c r="P80" i="33"/>
  <c r="O80" i="33"/>
  <c r="N80" i="33"/>
  <c r="M80" i="33"/>
  <c r="L80" i="33"/>
  <c r="K80" i="33"/>
  <c r="J80" i="33"/>
  <c r="I80" i="33"/>
  <c r="H80" i="33"/>
  <c r="G80" i="33" s="1"/>
  <c r="R79" i="33"/>
  <c r="Q79" i="33"/>
  <c r="P79" i="33"/>
  <c r="O79" i="33"/>
  <c r="G79" i="33" s="1"/>
  <c r="N79" i="33"/>
  <c r="M79" i="33"/>
  <c r="L79" i="33"/>
  <c r="K79" i="33"/>
  <c r="J79" i="33"/>
  <c r="I79" i="33"/>
  <c r="H79" i="33"/>
  <c r="R78" i="33"/>
  <c r="Q78" i="33"/>
  <c r="P78" i="33"/>
  <c r="O78" i="33"/>
  <c r="N78" i="33"/>
  <c r="M78" i="33"/>
  <c r="L78" i="33"/>
  <c r="K78" i="33"/>
  <c r="J78" i="33"/>
  <c r="I78" i="33"/>
  <c r="H78" i="33"/>
  <c r="G78" i="33" s="1"/>
  <c r="R77" i="33"/>
  <c r="Q77" i="33"/>
  <c r="P77" i="33"/>
  <c r="O77" i="33"/>
  <c r="G77" i="33" s="1"/>
  <c r="N77" i="33"/>
  <c r="M77" i="33"/>
  <c r="L77" i="33"/>
  <c r="K77" i="33"/>
  <c r="J77" i="33"/>
  <c r="I77" i="33"/>
  <c r="H77" i="33"/>
  <c r="R76" i="33"/>
  <c r="Q76" i="33"/>
  <c r="P76" i="33"/>
  <c r="O76" i="33"/>
  <c r="N76" i="33"/>
  <c r="M76" i="33"/>
  <c r="L76" i="33"/>
  <c r="K76" i="33"/>
  <c r="J76" i="33"/>
  <c r="I76" i="33"/>
  <c r="H76" i="33"/>
  <c r="G76" i="33" s="1"/>
  <c r="G63" i="33"/>
  <c r="G64" i="33"/>
  <c r="G65" i="33"/>
  <c r="G66" i="33"/>
  <c r="G67" i="33"/>
  <c r="G68" i="33"/>
  <c r="G69" i="33"/>
  <c r="G70" i="33"/>
  <c r="G71" i="33"/>
  <c r="G72" i="33"/>
  <c r="H70" i="33"/>
  <c r="I70" i="33"/>
  <c r="J70" i="33"/>
  <c r="K70" i="33"/>
  <c r="L70" i="33"/>
  <c r="M70" i="33"/>
  <c r="N70" i="33"/>
  <c r="O70" i="33"/>
  <c r="P70" i="33"/>
  <c r="Q70" i="33"/>
  <c r="R70" i="33"/>
  <c r="H71" i="33"/>
  <c r="I71" i="33"/>
  <c r="J71" i="33"/>
  <c r="K71" i="33"/>
  <c r="L71" i="33"/>
  <c r="M71" i="33"/>
  <c r="N71" i="33"/>
  <c r="O71" i="33"/>
  <c r="P71" i="33"/>
  <c r="Q71" i="33"/>
  <c r="R71" i="33"/>
  <c r="H72" i="33"/>
  <c r="I72" i="33"/>
  <c r="J72" i="33"/>
  <c r="K72" i="33"/>
  <c r="L72" i="33"/>
  <c r="M72" i="33"/>
  <c r="N72" i="33"/>
  <c r="O72" i="33"/>
  <c r="P72" i="33"/>
  <c r="Q72" i="33"/>
  <c r="R72" i="33"/>
  <c r="H63" i="33"/>
  <c r="I63" i="33"/>
  <c r="J63" i="33"/>
  <c r="K63" i="33"/>
  <c r="L63" i="33"/>
  <c r="M63" i="33"/>
  <c r="N63" i="33"/>
  <c r="O63" i="33"/>
  <c r="P63" i="33"/>
  <c r="Q63" i="33"/>
  <c r="R63" i="33"/>
  <c r="H64" i="33"/>
  <c r="I64" i="33"/>
  <c r="J64" i="33"/>
  <c r="K64" i="33"/>
  <c r="L64" i="33"/>
  <c r="M64" i="33"/>
  <c r="N64" i="33"/>
  <c r="O64" i="33"/>
  <c r="P64" i="33"/>
  <c r="Q64" i="33"/>
  <c r="R64" i="33"/>
  <c r="H65" i="33"/>
  <c r="I65" i="33"/>
  <c r="J65" i="33"/>
  <c r="K65" i="33"/>
  <c r="L65" i="33"/>
  <c r="M65" i="33"/>
  <c r="N65" i="33"/>
  <c r="O65" i="33"/>
  <c r="P65" i="33"/>
  <c r="Q65" i="33"/>
  <c r="R65" i="33"/>
  <c r="H66" i="33"/>
  <c r="I66" i="33"/>
  <c r="J66" i="33"/>
  <c r="K66" i="33"/>
  <c r="L66" i="33"/>
  <c r="M66" i="33"/>
  <c r="N66" i="33"/>
  <c r="O66" i="33"/>
  <c r="P66" i="33"/>
  <c r="Q66" i="33"/>
  <c r="R66" i="33"/>
  <c r="H67" i="33"/>
  <c r="I67" i="33"/>
  <c r="J67" i="33"/>
  <c r="K67" i="33"/>
  <c r="L67" i="33"/>
  <c r="M67" i="33"/>
  <c r="N67" i="33"/>
  <c r="O67" i="33"/>
  <c r="P67" i="33"/>
  <c r="Q67" i="33"/>
  <c r="R67" i="33"/>
  <c r="H68" i="33"/>
  <c r="I68" i="33"/>
  <c r="J68" i="33"/>
  <c r="K68" i="33"/>
  <c r="L68" i="33"/>
  <c r="M68" i="33"/>
  <c r="N68" i="33"/>
  <c r="O68" i="33"/>
  <c r="P68" i="33"/>
  <c r="Q68" i="33"/>
  <c r="R68" i="33"/>
  <c r="H69" i="33"/>
  <c r="I69" i="33"/>
  <c r="J69" i="33"/>
  <c r="K69" i="33"/>
  <c r="L69" i="33"/>
  <c r="M69" i="33"/>
  <c r="N69" i="33"/>
  <c r="O69" i="33"/>
  <c r="P69" i="33"/>
  <c r="Q69" i="33"/>
  <c r="R69" i="33"/>
  <c r="I62" i="33"/>
  <c r="J62" i="33"/>
  <c r="K62" i="33"/>
  <c r="L62" i="33"/>
  <c r="M62" i="33"/>
  <c r="N62" i="33"/>
  <c r="O62" i="33"/>
  <c r="P62" i="33"/>
  <c r="Q62" i="33"/>
  <c r="R62" i="33"/>
  <c r="H62" i="33"/>
  <c r="H18" i="33"/>
  <c r="I18" i="33"/>
  <c r="J18" i="33"/>
  <c r="K18" i="33"/>
  <c r="L18" i="33"/>
  <c r="M18" i="33"/>
  <c r="N18" i="33"/>
  <c r="O18" i="33"/>
  <c r="P18" i="33"/>
  <c r="Q18" i="33"/>
  <c r="R18" i="33"/>
  <c r="H19" i="33"/>
  <c r="I19" i="33"/>
  <c r="J19" i="33"/>
  <c r="K19" i="33"/>
  <c r="L19" i="33"/>
  <c r="M19" i="33"/>
  <c r="N19" i="33"/>
  <c r="O19" i="33"/>
  <c r="P19" i="33"/>
  <c r="Q19" i="33"/>
  <c r="R19" i="33"/>
  <c r="H20" i="33"/>
  <c r="I20" i="33"/>
  <c r="J20" i="33"/>
  <c r="K20" i="33"/>
  <c r="L20" i="33"/>
  <c r="M20" i="33"/>
  <c r="N20" i="33"/>
  <c r="O20" i="33"/>
  <c r="P20" i="33"/>
  <c r="Q20" i="33"/>
  <c r="R20" i="33"/>
  <c r="I17" i="33"/>
  <c r="J17" i="33"/>
  <c r="K17" i="33"/>
  <c r="L17" i="33"/>
  <c r="M17" i="33"/>
  <c r="N17" i="33"/>
  <c r="O17" i="33"/>
  <c r="P17" i="33"/>
  <c r="Q17" i="33"/>
  <c r="R17" i="33"/>
  <c r="H17" i="33"/>
  <c r="H5" i="33"/>
  <c r="I5" i="33"/>
  <c r="J5" i="33"/>
  <c r="K5" i="33"/>
  <c r="L5" i="33"/>
  <c r="M5" i="33"/>
  <c r="N5" i="33"/>
  <c r="O5" i="33"/>
  <c r="P5" i="33"/>
  <c r="Q5" i="33"/>
  <c r="R5" i="33"/>
  <c r="H6" i="33"/>
  <c r="I6" i="33"/>
  <c r="J6" i="33"/>
  <c r="K6" i="33"/>
  <c r="L6" i="33"/>
  <c r="M6" i="33"/>
  <c r="N6" i="33"/>
  <c r="O6" i="33"/>
  <c r="P6" i="33"/>
  <c r="Q6" i="33"/>
  <c r="R6" i="33"/>
  <c r="H7" i="33"/>
  <c r="I7" i="33"/>
  <c r="J7" i="33"/>
  <c r="K7" i="33"/>
  <c r="L7" i="33"/>
  <c r="M7" i="33"/>
  <c r="N7" i="33"/>
  <c r="O7" i="33"/>
  <c r="P7" i="33"/>
  <c r="Q7" i="33"/>
  <c r="R7" i="33"/>
  <c r="I4" i="33"/>
  <c r="J4" i="33"/>
  <c r="K4" i="33"/>
  <c r="L4" i="33"/>
  <c r="M4" i="33"/>
  <c r="N4" i="33"/>
  <c r="O4" i="33"/>
  <c r="P4" i="33"/>
  <c r="Q4" i="33"/>
  <c r="R4" i="33"/>
  <c r="H4" i="33"/>
  <c r="D213" i="42"/>
  <c r="D212" i="42"/>
  <c r="D211" i="42"/>
  <c r="D210" i="42"/>
  <c r="D209" i="42"/>
  <c r="D207" i="42"/>
  <c r="D206" i="42"/>
  <c r="D205" i="42"/>
  <c r="D204" i="42"/>
  <c r="D203" i="42"/>
  <c r="D198" i="42"/>
  <c r="D199" i="42"/>
  <c r="D200" i="42"/>
  <c r="D201" i="42"/>
  <c r="D197" i="42"/>
  <c r="T214" i="42"/>
  <c r="S214" i="42"/>
  <c r="R214" i="42"/>
  <c r="R194" i="42" s="1"/>
  <c r="Q214" i="42"/>
  <c r="P214" i="42"/>
  <c r="O214" i="42"/>
  <c r="N214" i="42"/>
  <c r="M214" i="42"/>
  <c r="L214" i="42"/>
  <c r="K214" i="42"/>
  <c r="J214" i="42"/>
  <c r="I214" i="42"/>
  <c r="H214" i="42"/>
  <c r="G214" i="42"/>
  <c r="T208" i="42"/>
  <c r="T194" i="42" s="1"/>
  <c r="S208" i="42"/>
  <c r="R208" i="42"/>
  <c r="Q208" i="42"/>
  <c r="P208" i="42"/>
  <c r="O208" i="42"/>
  <c r="N208" i="42"/>
  <c r="M208" i="42"/>
  <c r="L208" i="42"/>
  <c r="K208" i="42"/>
  <c r="J208" i="42"/>
  <c r="I208" i="42"/>
  <c r="H208" i="42"/>
  <c r="G208" i="42"/>
  <c r="T202" i="42"/>
  <c r="S202" i="42"/>
  <c r="R202" i="42"/>
  <c r="Q202" i="42"/>
  <c r="P202" i="42"/>
  <c r="O202" i="42"/>
  <c r="N202" i="42"/>
  <c r="M202" i="42"/>
  <c r="L202" i="42"/>
  <c r="K202" i="42"/>
  <c r="J202" i="42"/>
  <c r="J194" i="42" s="1"/>
  <c r="I202" i="42"/>
  <c r="I194" i="42" s="1"/>
  <c r="H202" i="42"/>
  <c r="G202" i="42"/>
  <c r="P112" i="22"/>
  <c r="P6" i="22"/>
  <c r="P7" i="22"/>
  <c r="P8" i="22"/>
  <c r="P9"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51" i="22"/>
  <c r="P52" i="22"/>
  <c r="P53" i="22"/>
  <c r="P54" i="22"/>
  <c r="P55" i="22"/>
  <c r="P57" i="22"/>
  <c r="P58" i="22"/>
  <c r="P59" i="22"/>
  <c r="P60" i="22"/>
  <c r="P65" i="22"/>
  <c r="P66" i="22"/>
  <c r="P67" i="22"/>
  <c r="P68" i="22"/>
  <c r="P69" i="22"/>
  <c r="P70" i="22"/>
  <c r="P71" i="22"/>
  <c r="P72"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6" i="22"/>
  <c r="P107" i="22"/>
  <c r="P108" i="22"/>
  <c r="P109" i="22"/>
  <c r="M194" i="42" l="1"/>
  <c r="Q194" i="42"/>
  <c r="L194" i="42"/>
  <c r="H194" i="42"/>
  <c r="P194" i="42"/>
  <c r="G19" i="33"/>
  <c r="G18" i="33"/>
  <c r="G17" i="33"/>
  <c r="H73" i="33"/>
  <c r="G20" i="33"/>
  <c r="G7" i="33"/>
  <c r="G6" i="33"/>
  <c r="G5" i="33"/>
  <c r="G4" i="33"/>
  <c r="G194" i="42"/>
  <c r="O194" i="42"/>
  <c r="K194" i="42"/>
  <c r="S194" i="42"/>
  <c r="N194" i="42"/>
  <c r="AA42" i="45" l="1"/>
  <c r="AA43" i="45"/>
  <c r="AA44" i="45"/>
  <c r="AA45" i="45"/>
  <c r="AA46" i="45"/>
  <c r="AA47" i="45"/>
  <c r="AA48" i="45"/>
  <c r="AA49" i="45"/>
  <c r="AA50" i="45"/>
  <c r="I5" i="43"/>
  <c r="R40" i="45" s="1"/>
  <c r="J5" i="43"/>
  <c r="S40" i="45" s="1"/>
  <c r="K5" i="43"/>
  <c r="T40" i="45" s="1"/>
  <c r="L5" i="43"/>
  <c r="M5" i="43"/>
  <c r="N5" i="43"/>
  <c r="W40" i="45" s="1"/>
  <c r="O5" i="43"/>
  <c r="X40" i="45" s="1"/>
  <c r="P5" i="43"/>
  <c r="Y40" i="45" s="1"/>
  <c r="Q5" i="43"/>
  <c r="Z40" i="45" s="1"/>
  <c r="R5" i="43"/>
  <c r="AA40" i="45" s="1"/>
  <c r="I6" i="43"/>
  <c r="R41" i="45" s="1"/>
  <c r="J6" i="43"/>
  <c r="S41" i="45" s="1"/>
  <c r="K6" i="43"/>
  <c r="T41" i="45" s="1"/>
  <c r="L6" i="43"/>
  <c r="U41" i="45" s="1"/>
  <c r="M6" i="43"/>
  <c r="V41" i="45" s="1"/>
  <c r="N6" i="43"/>
  <c r="W41" i="45" s="1"/>
  <c r="O6" i="43"/>
  <c r="X41" i="45" s="1"/>
  <c r="P6" i="43"/>
  <c r="Y41" i="45" s="1"/>
  <c r="Q6" i="43"/>
  <c r="Z41" i="45" s="1"/>
  <c r="R6" i="43"/>
  <c r="AA41" i="45" s="1"/>
  <c r="I7" i="43"/>
  <c r="R42" i="45" s="1"/>
  <c r="J7" i="43"/>
  <c r="S42" i="45" s="1"/>
  <c r="K7" i="43"/>
  <c r="T42" i="45" s="1"/>
  <c r="L7" i="43"/>
  <c r="U42" i="45" s="1"/>
  <c r="M7" i="43"/>
  <c r="V42" i="45" s="1"/>
  <c r="N7" i="43"/>
  <c r="W42" i="45" s="1"/>
  <c r="O7" i="43"/>
  <c r="X42" i="45" s="1"/>
  <c r="P7" i="43"/>
  <c r="Y42" i="45" s="1"/>
  <c r="Q7" i="43"/>
  <c r="Z42" i="45" s="1"/>
  <c r="R7" i="43"/>
  <c r="I8" i="43"/>
  <c r="R43" i="45" s="1"/>
  <c r="J8" i="43"/>
  <c r="S43" i="45" s="1"/>
  <c r="K8" i="43"/>
  <c r="T43" i="45" s="1"/>
  <c r="L8" i="43"/>
  <c r="U43" i="45" s="1"/>
  <c r="M8" i="43"/>
  <c r="V43" i="45" s="1"/>
  <c r="N8" i="43"/>
  <c r="W43" i="45" s="1"/>
  <c r="O8" i="43"/>
  <c r="X43" i="45" s="1"/>
  <c r="P8" i="43"/>
  <c r="Y43" i="45" s="1"/>
  <c r="Q8" i="43"/>
  <c r="Z43" i="45" s="1"/>
  <c r="R8" i="43"/>
  <c r="I9" i="43"/>
  <c r="R44" i="45" s="1"/>
  <c r="J9" i="43"/>
  <c r="S44" i="45" s="1"/>
  <c r="K9" i="43"/>
  <c r="T44" i="45" s="1"/>
  <c r="L9" i="43"/>
  <c r="U44" i="45" s="1"/>
  <c r="M9" i="43"/>
  <c r="V44" i="45" s="1"/>
  <c r="N9" i="43"/>
  <c r="W44" i="45" s="1"/>
  <c r="O9" i="43"/>
  <c r="X44" i="45" s="1"/>
  <c r="P9" i="43"/>
  <c r="Y44" i="45" s="1"/>
  <c r="Q9" i="43"/>
  <c r="Z44" i="45" s="1"/>
  <c r="R9" i="43"/>
  <c r="I10" i="43"/>
  <c r="R45" i="45" s="1"/>
  <c r="J10" i="43"/>
  <c r="S45" i="45" s="1"/>
  <c r="K10" i="43"/>
  <c r="T45" i="45" s="1"/>
  <c r="L10" i="43"/>
  <c r="U45" i="45" s="1"/>
  <c r="M10" i="43"/>
  <c r="V45" i="45" s="1"/>
  <c r="N10" i="43"/>
  <c r="W45" i="45" s="1"/>
  <c r="O10" i="43"/>
  <c r="X45" i="45" s="1"/>
  <c r="P10" i="43"/>
  <c r="Y45" i="45" s="1"/>
  <c r="Q10" i="43"/>
  <c r="Z45" i="45" s="1"/>
  <c r="R10" i="43"/>
  <c r="I11" i="43"/>
  <c r="R46" i="45" s="1"/>
  <c r="J11" i="43"/>
  <c r="S46" i="45" s="1"/>
  <c r="K11" i="43"/>
  <c r="T46" i="45" s="1"/>
  <c r="L11" i="43"/>
  <c r="U46" i="45" s="1"/>
  <c r="M11" i="43"/>
  <c r="V46" i="45" s="1"/>
  <c r="N11" i="43"/>
  <c r="W46" i="45" s="1"/>
  <c r="O11" i="43"/>
  <c r="X46" i="45" s="1"/>
  <c r="P11" i="43"/>
  <c r="Y46" i="45" s="1"/>
  <c r="Q11" i="43"/>
  <c r="Z46" i="45" s="1"/>
  <c r="R11" i="43"/>
  <c r="I12" i="43"/>
  <c r="R47" i="45" s="1"/>
  <c r="J12" i="43"/>
  <c r="S47" i="45" s="1"/>
  <c r="K12" i="43"/>
  <c r="T47" i="45" s="1"/>
  <c r="L12" i="43"/>
  <c r="U47" i="45" s="1"/>
  <c r="M12" i="43"/>
  <c r="V47" i="45" s="1"/>
  <c r="N12" i="43"/>
  <c r="W47" i="45" s="1"/>
  <c r="O12" i="43"/>
  <c r="X47" i="45" s="1"/>
  <c r="P12" i="43"/>
  <c r="Y47" i="45" s="1"/>
  <c r="Q12" i="43"/>
  <c r="Z47" i="45" s="1"/>
  <c r="R12" i="43"/>
  <c r="I13" i="43"/>
  <c r="R48" i="45" s="1"/>
  <c r="J13" i="43"/>
  <c r="S48" i="45" s="1"/>
  <c r="K13" i="43"/>
  <c r="T48" i="45" s="1"/>
  <c r="L13" i="43"/>
  <c r="U48" i="45" s="1"/>
  <c r="M13" i="43"/>
  <c r="V48" i="45" s="1"/>
  <c r="N13" i="43"/>
  <c r="W48" i="45" s="1"/>
  <c r="O13" i="43"/>
  <c r="X48" i="45" s="1"/>
  <c r="P13" i="43"/>
  <c r="Y48" i="45" s="1"/>
  <c r="Q13" i="43"/>
  <c r="Z48" i="45" s="1"/>
  <c r="R13" i="43"/>
  <c r="I14" i="43"/>
  <c r="R49" i="45" s="1"/>
  <c r="J14" i="43"/>
  <c r="S49" i="45" s="1"/>
  <c r="K14" i="43"/>
  <c r="T49" i="45" s="1"/>
  <c r="L14" i="43"/>
  <c r="U49" i="45" s="1"/>
  <c r="M14" i="43"/>
  <c r="V49" i="45" s="1"/>
  <c r="N14" i="43"/>
  <c r="W49" i="45" s="1"/>
  <c r="O14" i="43"/>
  <c r="X49" i="45" s="1"/>
  <c r="P14" i="43"/>
  <c r="Y49" i="45" s="1"/>
  <c r="Q14" i="43"/>
  <c r="Z49" i="45" s="1"/>
  <c r="R14" i="43"/>
  <c r="I15" i="43"/>
  <c r="R50" i="45" s="1"/>
  <c r="J15" i="43"/>
  <c r="S50" i="45" s="1"/>
  <c r="K15" i="43"/>
  <c r="T50" i="45" s="1"/>
  <c r="L15" i="43"/>
  <c r="U50" i="45" s="1"/>
  <c r="M15" i="43"/>
  <c r="V50" i="45" s="1"/>
  <c r="N15" i="43"/>
  <c r="W50" i="45" s="1"/>
  <c r="O15" i="43"/>
  <c r="X50" i="45" s="1"/>
  <c r="P15" i="43"/>
  <c r="Y50" i="45" s="1"/>
  <c r="Q15" i="43"/>
  <c r="Z50" i="45" s="1"/>
  <c r="R15" i="43"/>
  <c r="H6" i="43"/>
  <c r="H7" i="43"/>
  <c r="G7" i="43" s="1"/>
  <c r="H8" i="43"/>
  <c r="Q43" i="45" s="1"/>
  <c r="H9" i="43"/>
  <c r="Q44" i="45" s="1"/>
  <c r="H10" i="43"/>
  <c r="Q45" i="45" s="1"/>
  <c r="H11" i="43"/>
  <c r="Q46" i="45" s="1"/>
  <c r="H12" i="43"/>
  <c r="Q47" i="45" s="1"/>
  <c r="H13" i="43"/>
  <c r="Q48" i="45" s="1"/>
  <c r="H14" i="43"/>
  <c r="H15" i="43"/>
  <c r="G15" i="43" s="1"/>
  <c r="H5" i="43"/>
  <c r="Q40" i="45" s="1"/>
  <c r="G6" i="43" l="1"/>
  <c r="G14" i="43"/>
  <c r="M2" i="43"/>
  <c r="L2" i="43"/>
  <c r="X51" i="45"/>
  <c r="W51" i="45"/>
  <c r="Y51" i="45"/>
  <c r="T51" i="45"/>
  <c r="AA51" i="45"/>
  <c r="S51" i="45"/>
  <c r="Z51" i="45"/>
  <c r="R51" i="45"/>
  <c r="G13" i="43"/>
  <c r="K2" i="43"/>
  <c r="Q50" i="45"/>
  <c r="P50" i="45" s="1"/>
  <c r="K50" i="45" s="1"/>
  <c r="Q42" i="45"/>
  <c r="P42" i="45" s="1"/>
  <c r="K42" i="45" s="1"/>
  <c r="V40" i="45"/>
  <c r="V51" i="45" s="1"/>
  <c r="G12" i="43"/>
  <c r="R2" i="43"/>
  <c r="J2" i="43"/>
  <c r="Q49" i="45"/>
  <c r="Q41" i="45"/>
  <c r="U40" i="45"/>
  <c r="U51" i="45" s="1"/>
  <c r="G11" i="43"/>
  <c r="Q2" i="43"/>
  <c r="I2" i="43"/>
  <c r="G10" i="43"/>
  <c r="P2" i="43"/>
  <c r="H2" i="43"/>
  <c r="G9" i="43"/>
  <c r="O2" i="43"/>
  <c r="G5" i="43"/>
  <c r="G8" i="43"/>
  <c r="N2" i="43"/>
  <c r="P45" i="45"/>
  <c r="K45" i="45" s="1"/>
  <c r="P44" i="45"/>
  <c r="K44" i="45" s="1"/>
  <c r="P43" i="45"/>
  <c r="K43" i="45" s="1"/>
  <c r="P49" i="45"/>
  <c r="K49" i="45" s="1"/>
  <c r="P47" i="45"/>
  <c r="K47" i="45" s="1"/>
  <c r="P46" i="45"/>
  <c r="K46" i="45" s="1"/>
  <c r="P48" i="45"/>
  <c r="K48" i="45" s="1"/>
  <c r="Q51" i="45" l="1"/>
  <c r="P41" i="45"/>
  <c r="K41" i="45" s="1"/>
  <c r="G2" i="43"/>
  <c r="P40" i="45"/>
  <c r="D189" i="42"/>
  <c r="D188" i="42"/>
  <c r="D187" i="42"/>
  <c r="D186" i="42"/>
  <c r="D185" i="42"/>
  <c r="D183" i="42"/>
  <c r="D182" i="42"/>
  <c r="D181" i="42"/>
  <c r="D180" i="42"/>
  <c r="D179" i="42"/>
  <c r="D174" i="42"/>
  <c r="D175" i="42"/>
  <c r="D176" i="42"/>
  <c r="D177" i="42"/>
  <c r="D173" i="42"/>
  <c r="T190" i="42"/>
  <c r="S190" i="42"/>
  <c r="R190" i="42"/>
  <c r="Q190" i="42"/>
  <c r="P190" i="42"/>
  <c r="O190" i="42"/>
  <c r="N190" i="42"/>
  <c r="M190" i="42"/>
  <c r="L190" i="42"/>
  <c r="K190" i="42"/>
  <c r="J190" i="42"/>
  <c r="I190" i="42"/>
  <c r="H190" i="42"/>
  <c r="G190" i="42"/>
  <c r="T184" i="42"/>
  <c r="T170" i="42" s="1"/>
  <c r="S184" i="42"/>
  <c r="R184" i="42"/>
  <c r="Q184" i="42"/>
  <c r="P184" i="42"/>
  <c r="O184" i="42"/>
  <c r="N184" i="42"/>
  <c r="M184" i="42"/>
  <c r="M170" i="42" s="1"/>
  <c r="L184" i="42"/>
  <c r="K184" i="42"/>
  <c r="J184" i="42"/>
  <c r="I184" i="42"/>
  <c r="H184" i="42"/>
  <c r="H170" i="42" s="1"/>
  <c r="G184" i="42"/>
  <c r="G170" i="42" s="1"/>
  <c r="T178" i="42"/>
  <c r="S178" i="42"/>
  <c r="R178" i="42"/>
  <c r="Q178" i="42"/>
  <c r="P178" i="42"/>
  <c r="O178" i="42"/>
  <c r="N178" i="42"/>
  <c r="M178" i="42"/>
  <c r="L178" i="42"/>
  <c r="K178" i="42"/>
  <c r="J178" i="42"/>
  <c r="J170" i="42" s="1"/>
  <c r="I178" i="42"/>
  <c r="H178" i="42"/>
  <c r="G178" i="42"/>
  <c r="D165" i="42"/>
  <c r="D164" i="42"/>
  <c r="D163" i="42"/>
  <c r="D162" i="42"/>
  <c r="D161" i="42"/>
  <c r="D159" i="42"/>
  <c r="D158" i="42"/>
  <c r="D157" i="42"/>
  <c r="D156" i="42"/>
  <c r="D155" i="42"/>
  <c r="D150" i="42"/>
  <c r="D151" i="42"/>
  <c r="D152" i="42"/>
  <c r="D153" i="42"/>
  <c r="D149" i="42"/>
  <c r="D141" i="42"/>
  <c r="D140" i="42"/>
  <c r="D139" i="42"/>
  <c r="D138" i="42"/>
  <c r="D137" i="42"/>
  <c r="D135" i="42"/>
  <c r="D134" i="42"/>
  <c r="D133" i="42"/>
  <c r="D132" i="42"/>
  <c r="D131" i="42"/>
  <c r="D126" i="42"/>
  <c r="D127" i="42"/>
  <c r="D128" i="42"/>
  <c r="D129" i="42"/>
  <c r="D125" i="42"/>
  <c r="P51" i="45" l="1"/>
  <c r="K40" i="45"/>
  <c r="K51" i="45" s="1"/>
  <c r="I170" i="42"/>
  <c r="Q170" i="42"/>
  <c r="R170" i="42"/>
  <c r="O170" i="42"/>
  <c r="P170" i="42"/>
  <c r="K170" i="42"/>
  <c r="L170" i="42"/>
  <c r="S170" i="42"/>
  <c r="N170" i="42"/>
  <c r="D21" i="42"/>
  <c r="D20" i="42"/>
  <c r="D19" i="42"/>
  <c r="D18" i="42"/>
  <c r="D17" i="42"/>
  <c r="D15" i="42"/>
  <c r="D14" i="42"/>
  <c r="D13" i="42"/>
  <c r="D12" i="42"/>
  <c r="D11" i="42"/>
  <c r="D6" i="42"/>
  <c r="D7" i="42"/>
  <c r="D8" i="42"/>
  <c r="D9" i="42"/>
  <c r="Q108" i="53" l="1"/>
  <c r="P108" i="53"/>
  <c r="Q107" i="53"/>
  <c r="P107" i="53"/>
  <c r="Q106" i="53"/>
  <c r="P106" i="53"/>
  <c r="Q105" i="53"/>
  <c r="P105" i="53"/>
  <c r="Q104" i="53"/>
  <c r="P104" i="53"/>
  <c r="Q103" i="53"/>
  <c r="P103" i="53"/>
  <c r="Q102" i="53"/>
  <c r="P102" i="53"/>
  <c r="Q101" i="53"/>
  <c r="P101" i="53"/>
  <c r="Q100" i="53"/>
  <c r="P100" i="53"/>
  <c r="Q99" i="53"/>
  <c r="P99" i="53"/>
  <c r="Q98" i="53"/>
  <c r="P98" i="53"/>
  <c r="Q97" i="53"/>
  <c r="P97" i="53"/>
  <c r="Q96" i="53"/>
  <c r="P96" i="53"/>
  <c r="P95" i="53"/>
  <c r="P94" i="53"/>
  <c r="P93" i="53"/>
  <c r="P92" i="53"/>
  <c r="P91" i="53"/>
  <c r="P90" i="53"/>
  <c r="P89" i="53"/>
  <c r="P88" i="53"/>
  <c r="P87" i="53"/>
  <c r="P86" i="53"/>
  <c r="P85" i="53"/>
  <c r="P84" i="53"/>
  <c r="P83" i="53"/>
  <c r="P82" i="53"/>
  <c r="P81" i="53"/>
  <c r="P80" i="53"/>
  <c r="P79" i="53"/>
  <c r="P78" i="53"/>
  <c r="P77" i="53"/>
  <c r="P76" i="53"/>
  <c r="P75" i="53"/>
  <c r="P74" i="53"/>
  <c r="P73" i="53"/>
  <c r="P72" i="53"/>
  <c r="P71" i="53"/>
  <c r="P70" i="53"/>
  <c r="P69" i="53"/>
  <c r="P68" i="53"/>
  <c r="P67" i="53"/>
  <c r="P66" i="53"/>
  <c r="P65" i="53"/>
  <c r="P64" i="53"/>
  <c r="P63" i="53"/>
  <c r="P62" i="53"/>
  <c r="P61" i="53"/>
  <c r="P60" i="53"/>
  <c r="P59" i="53"/>
  <c r="P58" i="53"/>
  <c r="P57" i="53"/>
  <c r="P56" i="53"/>
  <c r="P55" i="53"/>
  <c r="P54" i="53"/>
  <c r="P53" i="53"/>
  <c r="P52" i="53"/>
  <c r="P51" i="53"/>
  <c r="P50" i="53"/>
  <c r="P49" i="53"/>
  <c r="P48" i="53"/>
  <c r="P47" i="53"/>
  <c r="P46" i="53"/>
  <c r="P45" i="53"/>
  <c r="P44" i="53"/>
  <c r="P43" i="53"/>
  <c r="P42" i="53"/>
  <c r="P41" i="53"/>
  <c r="P40" i="53"/>
  <c r="P39" i="53"/>
  <c r="P38" i="53"/>
  <c r="P37" i="53"/>
  <c r="P36" i="53"/>
  <c r="P35" i="53"/>
  <c r="P34" i="53"/>
  <c r="P33" i="53"/>
  <c r="P32" i="53"/>
  <c r="P31" i="53"/>
  <c r="P30" i="53"/>
  <c r="P29" i="53"/>
  <c r="P28" i="53"/>
  <c r="P27" i="53"/>
  <c r="P26" i="53"/>
  <c r="P25" i="53"/>
  <c r="P24" i="53"/>
  <c r="P23" i="53"/>
  <c r="P22" i="53"/>
  <c r="P21" i="53"/>
  <c r="P20" i="53"/>
  <c r="P19" i="53"/>
  <c r="P18" i="53"/>
  <c r="P17" i="53"/>
  <c r="P16" i="53"/>
  <c r="P15" i="53"/>
  <c r="P14" i="53"/>
  <c r="P13" i="53"/>
  <c r="P12" i="53"/>
  <c r="P11" i="53"/>
  <c r="P10" i="53"/>
  <c r="P9" i="53"/>
  <c r="P8" i="53"/>
  <c r="P7" i="53"/>
  <c r="P6" i="53"/>
  <c r="P5" i="53"/>
  <c r="P4" i="53"/>
  <c r="P3" i="53"/>
  <c r="P2" i="53"/>
  <c r="Q111" i="22"/>
  <c r="Q110" i="22" l="1"/>
  <c r="Q104" i="22"/>
  <c r="Q105" i="22"/>
  <c r="Q106" i="22"/>
  <c r="Q107" i="22"/>
  <c r="Q108" i="22"/>
  <c r="Q109" i="22"/>
  <c r="Q100" i="22"/>
  <c r="Q101" i="22"/>
  <c r="Q102" i="22"/>
  <c r="Q103" i="22"/>
  <c r="Q99" i="22"/>
  <c r="P5" i="22" l="1"/>
  <c r="F112" i="51" l="1"/>
  <c r="G112" i="51" s="1"/>
  <c r="E112" i="51"/>
  <c r="D112" i="51"/>
  <c r="G111" i="51"/>
  <c r="F111" i="51"/>
  <c r="E111" i="51"/>
  <c r="D111" i="51"/>
  <c r="Q111" i="51" s="1"/>
  <c r="F110" i="51"/>
  <c r="G110" i="51" s="1"/>
  <c r="E110" i="51"/>
  <c r="D110" i="51"/>
  <c r="F109" i="51"/>
  <c r="G109" i="51" s="1"/>
  <c r="E109" i="51"/>
  <c r="D109" i="51"/>
  <c r="F108" i="51"/>
  <c r="G108" i="51" s="1"/>
  <c r="E108" i="51"/>
  <c r="D108" i="51"/>
  <c r="G107" i="51"/>
  <c r="Q107" i="51" s="1"/>
  <c r="F107" i="51"/>
  <c r="E107" i="51"/>
  <c r="D107" i="51"/>
  <c r="F106" i="51"/>
  <c r="G106" i="51" s="1"/>
  <c r="E106" i="51"/>
  <c r="D106" i="51"/>
  <c r="F105" i="51"/>
  <c r="G105" i="51" s="1"/>
  <c r="E105" i="51"/>
  <c r="D105" i="51"/>
  <c r="F104" i="51"/>
  <c r="G104" i="51" s="1"/>
  <c r="E104" i="51"/>
  <c r="D104" i="51"/>
  <c r="F103" i="51"/>
  <c r="G103" i="51" s="1"/>
  <c r="E103" i="51"/>
  <c r="D103" i="51"/>
  <c r="H103" i="51" s="1"/>
  <c r="H113" i="51" s="1"/>
  <c r="F101" i="51"/>
  <c r="G101" i="51" s="1"/>
  <c r="E101" i="51"/>
  <c r="D101" i="51"/>
  <c r="F100" i="51"/>
  <c r="G100" i="51" s="1"/>
  <c r="E100" i="51"/>
  <c r="D100" i="51"/>
  <c r="F99" i="51"/>
  <c r="G99" i="51" s="1"/>
  <c r="E99" i="51"/>
  <c r="D99" i="51"/>
  <c r="G98" i="51"/>
  <c r="S98" i="51" s="1"/>
  <c r="F98" i="51"/>
  <c r="E98" i="51"/>
  <c r="D98" i="51"/>
  <c r="F97" i="51"/>
  <c r="G97" i="51" s="1"/>
  <c r="E97" i="51"/>
  <c r="D97" i="51"/>
  <c r="G96" i="51"/>
  <c r="P96" i="51" s="1"/>
  <c r="F96" i="51"/>
  <c r="E96" i="51"/>
  <c r="D96" i="51"/>
  <c r="F95" i="51"/>
  <c r="G95" i="51" s="1"/>
  <c r="E95" i="51"/>
  <c r="D95" i="51"/>
  <c r="F94" i="51"/>
  <c r="G94" i="51" s="1"/>
  <c r="O94" i="51" s="1"/>
  <c r="E94" i="51"/>
  <c r="D94" i="51"/>
  <c r="F93" i="51"/>
  <c r="G93" i="51" s="1"/>
  <c r="J93" i="51" s="1"/>
  <c r="E93" i="51"/>
  <c r="D93" i="51"/>
  <c r="L92" i="51"/>
  <c r="G92" i="51"/>
  <c r="F92" i="51"/>
  <c r="E92" i="51"/>
  <c r="D92" i="51"/>
  <c r="M92" i="51" s="1"/>
  <c r="F90" i="51"/>
  <c r="G90" i="51" s="1"/>
  <c r="E90" i="51"/>
  <c r="D90" i="51"/>
  <c r="F89" i="51"/>
  <c r="G89" i="51" s="1"/>
  <c r="E89" i="51"/>
  <c r="D89" i="51"/>
  <c r="G88" i="51"/>
  <c r="P88" i="51" s="1"/>
  <c r="F88" i="51"/>
  <c r="E88" i="51"/>
  <c r="D88" i="51"/>
  <c r="F87" i="51"/>
  <c r="G87" i="51" s="1"/>
  <c r="E87" i="51"/>
  <c r="D87" i="51"/>
  <c r="F86" i="51"/>
  <c r="G86" i="51" s="1"/>
  <c r="E86" i="51"/>
  <c r="D86" i="51"/>
  <c r="F85" i="51"/>
  <c r="G85" i="51" s="1"/>
  <c r="Q85" i="51" s="1"/>
  <c r="E85" i="51"/>
  <c r="D85" i="51"/>
  <c r="M85" i="51" s="1"/>
  <c r="F84" i="51"/>
  <c r="G84" i="51" s="1"/>
  <c r="L84" i="51" s="1"/>
  <c r="E84" i="51"/>
  <c r="D84" i="51"/>
  <c r="G83" i="51"/>
  <c r="F83" i="51"/>
  <c r="E83" i="51"/>
  <c r="D83" i="51"/>
  <c r="N83" i="51" s="1"/>
  <c r="F82" i="51"/>
  <c r="G82" i="51" s="1"/>
  <c r="E82" i="51"/>
  <c r="D82" i="51"/>
  <c r="H81" i="51"/>
  <c r="H91" i="51" s="1"/>
  <c r="G81" i="51"/>
  <c r="F81" i="51"/>
  <c r="E81" i="51"/>
  <c r="D81" i="51"/>
  <c r="L81" i="51" s="1"/>
  <c r="T79" i="51"/>
  <c r="G79" i="51"/>
  <c r="V79" i="51" s="1"/>
  <c r="V80" i="51" s="1"/>
  <c r="F79" i="51"/>
  <c r="E79" i="51"/>
  <c r="D79" i="51"/>
  <c r="G78" i="51"/>
  <c r="F78" i="51"/>
  <c r="E78" i="51"/>
  <c r="D78" i="51"/>
  <c r="T78" i="51" s="1"/>
  <c r="F77" i="51"/>
  <c r="G77" i="51" s="1"/>
  <c r="E77" i="51"/>
  <c r="D77" i="51"/>
  <c r="G76" i="51"/>
  <c r="O76" i="51" s="1"/>
  <c r="F76" i="51"/>
  <c r="E76" i="51"/>
  <c r="D76" i="51"/>
  <c r="N76" i="51" s="1"/>
  <c r="F75" i="51"/>
  <c r="G75" i="51" s="1"/>
  <c r="R75" i="51" s="1"/>
  <c r="E75" i="51"/>
  <c r="D75" i="51"/>
  <c r="P75" i="51" s="1"/>
  <c r="G74" i="51"/>
  <c r="F74" i="51"/>
  <c r="E74" i="51"/>
  <c r="D74" i="51"/>
  <c r="F73" i="51"/>
  <c r="G73" i="51" s="1"/>
  <c r="E73" i="51"/>
  <c r="D73" i="51"/>
  <c r="G72" i="51"/>
  <c r="O72" i="51" s="1"/>
  <c r="F72" i="51"/>
  <c r="E72" i="51"/>
  <c r="D72" i="51"/>
  <c r="F71" i="51"/>
  <c r="G71" i="51" s="1"/>
  <c r="E71" i="51"/>
  <c r="D71" i="51"/>
  <c r="L71" i="51" s="1"/>
  <c r="F70" i="51"/>
  <c r="G70" i="51" s="1"/>
  <c r="E70" i="51"/>
  <c r="D70" i="51"/>
  <c r="L70" i="51" s="1"/>
  <c r="F68" i="51"/>
  <c r="G68" i="51" s="1"/>
  <c r="E68" i="51"/>
  <c r="D68" i="51"/>
  <c r="F67" i="51"/>
  <c r="G67" i="51" s="1"/>
  <c r="E67" i="51"/>
  <c r="D67" i="51"/>
  <c r="P67" i="51" s="1"/>
  <c r="F66" i="51"/>
  <c r="G66" i="51" s="1"/>
  <c r="E66" i="51"/>
  <c r="D66" i="51"/>
  <c r="F65" i="51"/>
  <c r="G65" i="51" s="1"/>
  <c r="Q65" i="51" s="1"/>
  <c r="E65" i="51"/>
  <c r="D65" i="51"/>
  <c r="R65" i="51" s="1"/>
  <c r="F64" i="51"/>
  <c r="G64" i="51" s="1"/>
  <c r="E64" i="51"/>
  <c r="D64" i="51"/>
  <c r="G63" i="51"/>
  <c r="L63" i="51" s="1"/>
  <c r="F63" i="51"/>
  <c r="E63" i="51"/>
  <c r="D63" i="51"/>
  <c r="F62" i="51"/>
  <c r="G62" i="51" s="1"/>
  <c r="E62" i="51"/>
  <c r="D62" i="51"/>
  <c r="N62" i="51" s="1"/>
  <c r="F61" i="51"/>
  <c r="G61" i="51" s="1"/>
  <c r="E61" i="51"/>
  <c r="D61" i="51"/>
  <c r="F60" i="51"/>
  <c r="G60" i="51" s="1"/>
  <c r="I60" i="51" s="1"/>
  <c r="O60" i="51" s="1"/>
  <c r="E60" i="51"/>
  <c r="D60" i="51"/>
  <c r="F59" i="51"/>
  <c r="G59" i="51" s="1"/>
  <c r="J59" i="51" s="1"/>
  <c r="E59" i="51"/>
  <c r="D59" i="51"/>
  <c r="F57" i="51"/>
  <c r="G57" i="51" s="1"/>
  <c r="S57" i="51" s="1"/>
  <c r="E57" i="51"/>
  <c r="D57" i="51"/>
  <c r="F56" i="51"/>
  <c r="G56" i="51" s="1"/>
  <c r="E56" i="51"/>
  <c r="D56" i="51"/>
  <c r="F55" i="51"/>
  <c r="G55" i="51" s="1"/>
  <c r="P55" i="51" s="1"/>
  <c r="E55" i="51"/>
  <c r="D55" i="51"/>
  <c r="O55" i="51" s="1"/>
  <c r="U55" i="51" s="1"/>
  <c r="G54" i="51"/>
  <c r="F54" i="51"/>
  <c r="E54" i="51"/>
  <c r="D54" i="51"/>
  <c r="O54" i="51" s="1"/>
  <c r="F53" i="51"/>
  <c r="G53" i="51" s="1"/>
  <c r="R53" i="51" s="1"/>
  <c r="E53" i="51"/>
  <c r="D53" i="51"/>
  <c r="F52" i="51"/>
  <c r="G52" i="51" s="1"/>
  <c r="E52" i="51"/>
  <c r="D52" i="51"/>
  <c r="P52" i="51" s="1"/>
  <c r="G51" i="51"/>
  <c r="F51" i="51"/>
  <c r="E51" i="51"/>
  <c r="D51" i="51"/>
  <c r="N51" i="51" s="1"/>
  <c r="F50" i="51"/>
  <c r="G50" i="51" s="1"/>
  <c r="E50" i="51"/>
  <c r="D50" i="51"/>
  <c r="K49" i="51"/>
  <c r="F49" i="51"/>
  <c r="G49" i="51" s="1"/>
  <c r="E49" i="51"/>
  <c r="D49" i="51"/>
  <c r="N49" i="51" s="1"/>
  <c r="F48" i="51"/>
  <c r="G48" i="51" s="1"/>
  <c r="E48" i="51"/>
  <c r="E14" i="51"/>
  <c r="M13" i="51"/>
  <c r="L13" i="51"/>
  <c r="K13" i="51"/>
  <c r="J13" i="51"/>
  <c r="I13" i="51"/>
  <c r="H13" i="51"/>
  <c r="G13" i="51"/>
  <c r="F13" i="51"/>
  <c r="F14" i="51" s="1"/>
  <c r="E13" i="51"/>
  <c r="D13" i="51"/>
  <c r="M10" i="51"/>
  <c r="M14" i="51" s="1"/>
  <c r="L10" i="51"/>
  <c r="L14" i="51" s="1"/>
  <c r="K10" i="51"/>
  <c r="K14" i="51" s="1"/>
  <c r="J10" i="51"/>
  <c r="J14" i="51" s="1"/>
  <c r="I10" i="51"/>
  <c r="H10" i="51"/>
  <c r="H14" i="51" s="1"/>
  <c r="G10" i="51"/>
  <c r="G14" i="51" s="1"/>
  <c r="F10" i="51"/>
  <c r="E10" i="51"/>
  <c r="D6" i="51"/>
  <c r="D10" i="51" s="1"/>
  <c r="D14" i="51" s="1"/>
  <c r="D4" i="51"/>
  <c r="D3" i="49"/>
  <c r="O110" i="51" l="1"/>
  <c r="R110" i="51"/>
  <c r="U89" i="51"/>
  <c r="Q89" i="51"/>
  <c r="R97" i="51"/>
  <c r="P97" i="51"/>
  <c r="O97" i="51"/>
  <c r="N97" i="51"/>
  <c r="M103" i="51"/>
  <c r="I103" i="51"/>
  <c r="P106" i="51"/>
  <c r="N106" i="51"/>
  <c r="M106" i="51"/>
  <c r="L106" i="51"/>
  <c r="N71" i="51"/>
  <c r="K71" i="51"/>
  <c r="J71" i="51"/>
  <c r="T66" i="51"/>
  <c r="R66" i="51"/>
  <c r="K94" i="51"/>
  <c r="P62" i="51"/>
  <c r="M62" i="51"/>
  <c r="V101" i="51"/>
  <c r="V102" i="51" s="1"/>
  <c r="T101" i="51"/>
  <c r="O51" i="51"/>
  <c r="L62" i="51"/>
  <c r="O66" i="51"/>
  <c r="S79" i="51"/>
  <c r="K84" i="51"/>
  <c r="R88" i="51"/>
  <c r="I93" i="51"/>
  <c r="O98" i="51"/>
  <c r="Q101" i="51"/>
  <c r="N105" i="51"/>
  <c r="M107" i="51"/>
  <c r="T110" i="51"/>
  <c r="T89" i="51"/>
  <c r="L85" i="51"/>
  <c r="J94" i="51"/>
  <c r="N72" i="51"/>
  <c r="N75" i="51"/>
  <c r="S77" i="51"/>
  <c r="Q79" i="51"/>
  <c r="O88" i="51"/>
  <c r="R98" i="51"/>
  <c r="P107" i="51"/>
  <c r="P111" i="51"/>
  <c r="M52" i="51"/>
  <c r="K62" i="51"/>
  <c r="P66" i="51"/>
  <c r="U68" i="51"/>
  <c r="I71" i="51"/>
  <c r="O75" i="51"/>
  <c r="M84" i="51"/>
  <c r="K93" i="51"/>
  <c r="O95" i="51"/>
  <c r="M97" i="51"/>
  <c r="R101" i="51"/>
  <c r="K106" i="51"/>
  <c r="Q109" i="51"/>
  <c r="P110" i="51"/>
  <c r="Q53" i="51"/>
  <c r="P54" i="51"/>
  <c r="Q66" i="51"/>
  <c r="M81" i="51"/>
  <c r="N84" i="51"/>
  <c r="P89" i="51"/>
  <c r="L93" i="51"/>
  <c r="S101" i="51"/>
  <c r="Q110" i="51"/>
  <c r="R76" i="51"/>
  <c r="P85" i="51"/>
  <c r="N94" i="51"/>
  <c r="Q54" i="51"/>
  <c r="I14" i="51"/>
  <c r="O50" i="51"/>
  <c r="T55" i="51"/>
  <c r="Q64" i="51"/>
  <c r="T67" i="51"/>
  <c r="J72" i="51"/>
  <c r="M75" i="51"/>
  <c r="R79" i="51"/>
  <c r="I81" i="51"/>
  <c r="Q88" i="51"/>
  <c r="N98" i="51"/>
  <c r="L103" i="51"/>
  <c r="L107" i="51"/>
  <c r="U111" i="51"/>
  <c r="D48" i="51"/>
  <c r="M48" i="51" s="1"/>
  <c r="S56" i="51"/>
  <c r="R56" i="51"/>
  <c r="Q56" i="51"/>
  <c r="P56" i="51"/>
  <c r="L61" i="51"/>
  <c r="K61" i="51"/>
  <c r="J61" i="51"/>
  <c r="O61" i="51"/>
  <c r="Q87" i="51"/>
  <c r="P87" i="51"/>
  <c r="O87" i="51"/>
  <c r="N87" i="51"/>
  <c r="S87" i="51"/>
  <c r="T57" i="51"/>
  <c r="H59" i="51"/>
  <c r="H69" i="51" s="1"/>
  <c r="O74" i="51"/>
  <c r="N74" i="51"/>
  <c r="Q74" i="51"/>
  <c r="M74" i="51"/>
  <c r="L74" i="51"/>
  <c r="M82" i="51"/>
  <c r="U90" i="51"/>
  <c r="U91" i="51" s="1"/>
  <c r="Q108" i="51"/>
  <c r="P73" i="51"/>
  <c r="N73" i="51"/>
  <c r="M73" i="51"/>
  <c r="L73" i="51"/>
  <c r="S100" i="51"/>
  <c r="R100" i="51"/>
  <c r="U100" i="51"/>
  <c r="Q100" i="51"/>
  <c r="P100" i="51"/>
  <c r="P53" i="51"/>
  <c r="O53" i="51"/>
  <c r="I59" i="51"/>
  <c r="I69" i="51" s="1"/>
  <c r="V68" i="51"/>
  <c r="V69" i="51" s="1"/>
  <c r="T68" i="51"/>
  <c r="T69" i="51" s="1"/>
  <c r="R68" i="51"/>
  <c r="P95" i="51"/>
  <c r="N95" i="51"/>
  <c r="M95" i="51"/>
  <c r="L95" i="51"/>
  <c r="K95" i="51"/>
  <c r="N82" i="51"/>
  <c r="L82" i="51"/>
  <c r="K82" i="51"/>
  <c r="J82" i="51"/>
  <c r="I82" i="51"/>
  <c r="I91" i="51" s="1"/>
  <c r="O96" i="51"/>
  <c r="N96" i="51"/>
  <c r="M96" i="51"/>
  <c r="Q96" i="51"/>
  <c r="L96" i="51"/>
  <c r="M50" i="51"/>
  <c r="J50" i="51"/>
  <c r="P50" i="51" s="1"/>
  <c r="N60" i="51"/>
  <c r="R108" i="51"/>
  <c r="P108" i="51"/>
  <c r="N108" i="51"/>
  <c r="U56" i="51"/>
  <c r="U58" i="51" s="1"/>
  <c r="M61" i="51"/>
  <c r="P64" i="51"/>
  <c r="N64" i="51"/>
  <c r="T77" i="51"/>
  <c r="T80" i="51" s="1"/>
  <c r="R77" i="51"/>
  <c r="Q77" i="51"/>
  <c r="P77" i="51"/>
  <c r="O77" i="51"/>
  <c r="M83" i="51"/>
  <c r="L83" i="51"/>
  <c r="L91" i="51" s="1"/>
  <c r="K83" i="51"/>
  <c r="O83" i="51"/>
  <c r="J83" i="51"/>
  <c r="R87" i="51"/>
  <c r="D91" i="51"/>
  <c r="T100" i="51"/>
  <c r="M104" i="51"/>
  <c r="D69" i="51"/>
  <c r="I49" i="51"/>
  <c r="O49" i="51" s="1"/>
  <c r="L49" i="51"/>
  <c r="M51" i="51"/>
  <c r="L51" i="51"/>
  <c r="K51" i="51"/>
  <c r="Q51" i="51" s="1"/>
  <c r="P51" i="51"/>
  <c r="N52" i="51"/>
  <c r="Q52" i="51"/>
  <c r="R57" i="51"/>
  <c r="N61" i="51"/>
  <c r="P63" i="51"/>
  <c r="R64" i="51"/>
  <c r="K70" i="51"/>
  <c r="J70" i="51"/>
  <c r="J80" i="51" s="1"/>
  <c r="M70" i="51"/>
  <c r="I70" i="51"/>
  <c r="I80" i="51" s="1"/>
  <c r="D80" i="51"/>
  <c r="H70" i="51"/>
  <c r="H80" i="51" s="1"/>
  <c r="P74" i="51"/>
  <c r="S78" i="51"/>
  <c r="R78" i="51"/>
  <c r="U78" i="51"/>
  <c r="Q78" i="51"/>
  <c r="P78" i="51"/>
  <c r="Q86" i="51"/>
  <c r="S99" i="51"/>
  <c r="V112" i="51"/>
  <c r="V113" i="51" s="1"/>
  <c r="Q63" i="51"/>
  <c r="M63" i="51"/>
  <c r="O63" i="51"/>
  <c r="T56" i="51"/>
  <c r="V90" i="51"/>
  <c r="V91" i="51" s="1"/>
  <c r="T90" i="51"/>
  <c r="S90" i="51"/>
  <c r="R90" i="51"/>
  <c r="Q90" i="51"/>
  <c r="I113" i="51"/>
  <c r="D58" i="51"/>
  <c r="H48" i="51"/>
  <c r="H58" i="51" s="1"/>
  <c r="D42" i="51" s="1"/>
  <c r="J49" i="51"/>
  <c r="L52" i="51"/>
  <c r="R52" i="51" s="1"/>
  <c r="M59" i="51"/>
  <c r="P65" i="51"/>
  <c r="S65" i="51"/>
  <c r="O65" i="51"/>
  <c r="N65" i="51"/>
  <c r="U67" i="51"/>
  <c r="U69" i="51" s="1"/>
  <c r="S67" i="51"/>
  <c r="Q67" i="51"/>
  <c r="O73" i="51"/>
  <c r="K92" i="51"/>
  <c r="J92" i="51"/>
  <c r="J102" i="51" s="1"/>
  <c r="I92" i="51"/>
  <c r="I102" i="51" s="1"/>
  <c r="D102" i="51"/>
  <c r="H92" i="51"/>
  <c r="H102" i="51" s="1"/>
  <c r="D43" i="51" s="1"/>
  <c r="N104" i="51"/>
  <c r="L104" i="51"/>
  <c r="L113" i="51" s="1"/>
  <c r="K104" i="51"/>
  <c r="J104" i="51"/>
  <c r="I104" i="51"/>
  <c r="R86" i="51"/>
  <c r="P86" i="51"/>
  <c r="O86" i="51"/>
  <c r="N86" i="51"/>
  <c r="M86" i="51"/>
  <c r="M91" i="51" s="1"/>
  <c r="T99" i="51"/>
  <c r="R99" i="51"/>
  <c r="R102" i="51" s="1"/>
  <c r="Q99" i="51"/>
  <c r="P99" i="51"/>
  <c r="O99" i="51"/>
  <c r="M105" i="51"/>
  <c r="L105" i="51"/>
  <c r="K105" i="51"/>
  <c r="J105" i="51"/>
  <c r="O105" i="51"/>
  <c r="D113" i="51"/>
  <c r="S109" i="51"/>
  <c r="M49" i="51"/>
  <c r="K50" i="51"/>
  <c r="O52" i="51"/>
  <c r="M53" i="51"/>
  <c r="S53" i="51" s="1"/>
  <c r="S54" i="51"/>
  <c r="Q55" i="51"/>
  <c r="V57" i="51"/>
  <c r="V58" i="51" s="1"/>
  <c r="K59" i="51"/>
  <c r="J60" i="51"/>
  <c r="J69" i="51" s="1"/>
  <c r="O62" i="51"/>
  <c r="N63" i="51"/>
  <c r="M64" i="51"/>
  <c r="S66" i="51"/>
  <c r="R67" i="51"/>
  <c r="Q68" i="51"/>
  <c r="M71" i="51"/>
  <c r="L72" i="51"/>
  <c r="L80" i="51" s="1"/>
  <c r="K73" i="51"/>
  <c r="Q75" i="51"/>
  <c r="P76" i="51"/>
  <c r="U79" i="51"/>
  <c r="J81" i="51"/>
  <c r="J91" i="51" s="1"/>
  <c r="O84" i="51"/>
  <c r="N85" i="51"/>
  <c r="S88" i="51"/>
  <c r="R89" i="51"/>
  <c r="M93" i="51"/>
  <c r="L94" i="51"/>
  <c r="L102" i="51" s="1"/>
  <c r="Q97" i="51"/>
  <c r="P98" i="51"/>
  <c r="U101" i="51"/>
  <c r="J103" i="51"/>
  <c r="O106" i="51"/>
  <c r="N107" i="51"/>
  <c r="M108" i="51"/>
  <c r="S110" i="51"/>
  <c r="R111" i="51"/>
  <c r="Q112" i="51"/>
  <c r="K72" i="51"/>
  <c r="L50" i="51"/>
  <c r="N53" i="51"/>
  <c r="R55" i="51"/>
  <c r="L59" i="51"/>
  <c r="K60" i="51"/>
  <c r="M72" i="51"/>
  <c r="Q76" i="51"/>
  <c r="K81" i="51"/>
  <c r="K91" i="51" s="1"/>
  <c r="P84" i="51"/>
  <c r="O85" i="51"/>
  <c r="T88" i="51"/>
  <c r="T91" i="51" s="1"/>
  <c r="S89" i="51"/>
  <c r="N93" i="51"/>
  <c r="N102" i="51" s="1"/>
  <c r="M94" i="51"/>
  <c r="Q98" i="51"/>
  <c r="K103" i="51"/>
  <c r="K113" i="51" s="1"/>
  <c r="O107" i="51"/>
  <c r="S111" i="51"/>
  <c r="R112" i="51"/>
  <c r="R54" i="51"/>
  <c r="U57" i="51"/>
  <c r="S55" i="51"/>
  <c r="L60" i="51"/>
  <c r="O64" i="51"/>
  <c r="S68" i="51"/>
  <c r="O108" i="51"/>
  <c r="N109" i="51"/>
  <c r="T111" i="51"/>
  <c r="S112" i="51"/>
  <c r="N50" i="51"/>
  <c r="N54" i="51"/>
  <c r="T54" i="51" s="1"/>
  <c r="Q57" i="51"/>
  <c r="M60" i="51"/>
  <c r="S76" i="51"/>
  <c r="S80" i="51" s="1"/>
  <c r="O109" i="51"/>
  <c r="T112" i="51"/>
  <c r="R109" i="51"/>
  <c r="P109" i="51"/>
  <c r="P113" i="51" s="1"/>
  <c r="U112" i="51"/>
  <c r="U113" i="51" s="1"/>
  <c r="K48" i="51" l="1"/>
  <c r="J48" i="51"/>
  <c r="L48" i="51"/>
  <c r="L58" i="51" s="1"/>
  <c r="I48" i="51"/>
  <c r="N48" i="51"/>
  <c r="N58" i="51" s="1"/>
  <c r="M102" i="51"/>
  <c r="P69" i="51"/>
  <c r="S91" i="51"/>
  <c r="S102" i="51"/>
  <c r="R80" i="51"/>
  <c r="O102" i="51"/>
  <c r="K43" i="51" s="1"/>
  <c r="Q91" i="51"/>
  <c r="O58" i="51"/>
  <c r="N69" i="51"/>
  <c r="N80" i="51"/>
  <c r="H43" i="51"/>
  <c r="S58" i="51"/>
  <c r="O113" i="51"/>
  <c r="T113" i="51"/>
  <c r="T102" i="51"/>
  <c r="Q113" i="51"/>
  <c r="O80" i="51"/>
  <c r="M69" i="51"/>
  <c r="K58" i="51"/>
  <c r="O69" i="51"/>
  <c r="M113" i="51"/>
  <c r="M58" i="51"/>
  <c r="I43" i="51"/>
  <c r="T58" i="51"/>
  <c r="U80" i="51"/>
  <c r="M80" i="51"/>
  <c r="O91" i="51"/>
  <c r="R113" i="51"/>
  <c r="U102" i="51"/>
  <c r="L69" i="51"/>
  <c r="D44" i="51"/>
  <c r="K80" i="51"/>
  <c r="Q58" i="51"/>
  <c r="P58" i="51"/>
  <c r="P102" i="51"/>
  <c r="L43" i="51" s="1"/>
  <c r="R58" i="51"/>
  <c r="K102" i="51"/>
  <c r="G43" i="51" s="1"/>
  <c r="R69" i="51"/>
  <c r="R91" i="51"/>
  <c r="E43" i="51"/>
  <c r="Q69" i="51"/>
  <c r="S69" i="51"/>
  <c r="I58" i="51"/>
  <c r="E42" i="51" s="1"/>
  <c r="P91" i="51"/>
  <c r="J113" i="51"/>
  <c r="F43" i="51" s="1"/>
  <c r="K69" i="51"/>
  <c r="S113" i="51"/>
  <c r="N113" i="51"/>
  <c r="J43" i="51" s="1"/>
  <c r="J58" i="51"/>
  <c r="F42" i="51" s="1"/>
  <c r="Q102" i="51"/>
  <c r="N91" i="51"/>
  <c r="P80" i="51"/>
  <c r="Q80" i="51"/>
  <c r="G42" i="51" l="1"/>
  <c r="G44" i="51" s="1"/>
  <c r="M43" i="51"/>
  <c r="K42" i="51"/>
  <c r="K44" i="51" s="1"/>
  <c r="L42" i="51"/>
  <c r="I42" i="51"/>
  <c r="I44" i="51" s="1"/>
  <c r="F44" i="51"/>
  <c r="L44" i="51"/>
  <c r="M42" i="51"/>
  <c r="M44" i="51" s="1"/>
  <c r="H42" i="51"/>
  <c r="H44" i="51" s="1"/>
  <c r="J42" i="51"/>
  <c r="J44" i="51" s="1"/>
  <c r="E44" i="51"/>
  <c r="G42" i="33"/>
  <c r="I57" i="33"/>
  <c r="J57" i="33"/>
  <c r="K57" i="33"/>
  <c r="L57" i="33"/>
  <c r="M57" i="33"/>
  <c r="N57" i="33"/>
  <c r="H57" i="33"/>
  <c r="P21" i="45" l="1"/>
  <c r="K21" i="45" s="1"/>
  <c r="W23" i="45"/>
  <c r="T23" i="45"/>
  <c r="R23" i="45"/>
  <c r="AA23" i="45"/>
  <c r="Z23" i="45"/>
  <c r="Y23" i="45"/>
  <c r="V23" i="45"/>
  <c r="S23" i="45"/>
  <c r="X23" i="45"/>
  <c r="U23" i="45"/>
  <c r="Q23" i="45"/>
  <c r="P19" i="45"/>
  <c r="K19" i="45" s="1"/>
  <c r="P22" i="45"/>
  <c r="K22" i="45" s="1"/>
  <c r="P20" i="45"/>
  <c r="K20" i="45" s="1"/>
  <c r="P18" i="45"/>
  <c r="K18" i="45" s="1"/>
  <c r="P23" i="45" l="1"/>
  <c r="K23" i="45"/>
  <c r="Y31" i="38"/>
  <c r="Z31" i="38"/>
  <c r="AA31" i="38"/>
  <c r="AB31" i="38"/>
  <c r="AC31" i="38"/>
  <c r="AD31" i="38"/>
  <c r="AE31" i="38"/>
  <c r="AF31" i="38"/>
  <c r="AG31" i="38"/>
  <c r="AH31" i="38"/>
  <c r="AI31" i="38"/>
  <c r="Y32" i="38"/>
  <c r="Z32" i="38"/>
  <c r="AA32" i="38"/>
  <c r="AB32" i="38"/>
  <c r="AC32" i="38"/>
  <c r="AD32" i="38"/>
  <c r="AE32" i="38"/>
  <c r="AF32" i="38"/>
  <c r="AG32" i="38"/>
  <c r="AH32" i="38"/>
  <c r="AI32" i="38"/>
  <c r="Y33" i="38"/>
  <c r="Z33" i="38"/>
  <c r="AA33" i="38"/>
  <c r="AB33" i="38"/>
  <c r="AC33" i="38"/>
  <c r="AD33" i="38"/>
  <c r="AE33" i="38"/>
  <c r="AF33" i="38"/>
  <c r="AG33" i="38"/>
  <c r="AH33" i="38"/>
  <c r="AI33" i="38"/>
  <c r="Y34" i="38"/>
  <c r="Z34" i="38"/>
  <c r="AA34" i="38"/>
  <c r="AB34" i="38"/>
  <c r="AC34" i="38"/>
  <c r="AD34" i="38"/>
  <c r="AE34" i="38"/>
  <c r="AF34" i="38"/>
  <c r="AG34" i="38"/>
  <c r="AH34" i="38"/>
  <c r="AI34" i="38"/>
  <c r="T31" i="38"/>
  <c r="U31" i="38"/>
  <c r="V31" i="38"/>
  <c r="W31" i="38"/>
  <c r="T32" i="38"/>
  <c r="U32" i="38"/>
  <c r="V32" i="38"/>
  <c r="W32" i="38"/>
  <c r="T33" i="38"/>
  <c r="U33" i="38"/>
  <c r="V33" i="38"/>
  <c r="W33" i="38"/>
  <c r="T34" i="38"/>
  <c r="U34" i="38"/>
  <c r="V34" i="38"/>
  <c r="W34" i="38"/>
  <c r="T6" i="38"/>
  <c r="U6" i="38"/>
  <c r="V6" i="38"/>
  <c r="W6" i="38"/>
  <c r="T7" i="38"/>
  <c r="U7" i="38"/>
  <c r="V7" i="38"/>
  <c r="W7" i="38"/>
  <c r="T8" i="38"/>
  <c r="U8" i="38"/>
  <c r="V8" i="38"/>
  <c r="W8" i="38"/>
  <c r="T9" i="38"/>
  <c r="U9" i="38"/>
  <c r="V9" i="38"/>
  <c r="W9" i="38"/>
  <c r="T10" i="38"/>
  <c r="U10" i="38"/>
  <c r="V10" i="38"/>
  <c r="W10" i="38"/>
  <c r="T11" i="38"/>
  <c r="U11" i="38"/>
  <c r="V11" i="38"/>
  <c r="W11" i="38"/>
  <c r="T12" i="38"/>
  <c r="U12" i="38"/>
  <c r="V12" i="38"/>
  <c r="W12" i="38"/>
  <c r="T13" i="38"/>
  <c r="U13" i="38"/>
  <c r="V13" i="38"/>
  <c r="W13" i="38"/>
  <c r="T14" i="38"/>
  <c r="U14" i="38"/>
  <c r="V14" i="38"/>
  <c r="W14" i="38"/>
  <c r="T15" i="38"/>
  <c r="U15" i="38"/>
  <c r="V15" i="38"/>
  <c r="W15" i="38"/>
  <c r="T16" i="38"/>
  <c r="U16" i="38"/>
  <c r="V16" i="38"/>
  <c r="W16" i="38"/>
  <c r="T17" i="38"/>
  <c r="U17" i="38"/>
  <c r="V17" i="38"/>
  <c r="W17" i="38"/>
  <c r="T18" i="38"/>
  <c r="U18" i="38"/>
  <c r="V18" i="38"/>
  <c r="W18" i="38"/>
  <c r="T19" i="38"/>
  <c r="U19" i="38"/>
  <c r="V19" i="38"/>
  <c r="W19" i="38"/>
  <c r="T20" i="38"/>
  <c r="U20" i="38"/>
  <c r="V20" i="38"/>
  <c r="W20" i="38"/>
  <c r="T21" i="38"/>
  <c r="U21" i="38"/>
  <c r="V21" i="38"/>
  <c r="W21" i="38"/>
  <c r="T22" i="38"/>
  <c r="U22" i="38"/>
  <c r="V22" i="38"/>
  <c r="W22" i="38"/>
  <c r="T23" i="38"/>
  <c r="U23" i="38"/>
  <c r="V23" i="38"/>
  <c r="W23" i="38"/>
  <c r="T24" i="38"/>
  <c r="U24" i="38"/>
  <c r="V24" i="38"/>
  <c r="W24" i="38"/>
  <c r="T25" i="38"/>
  <c r="U25" i="38"/>
  <c r="V25" i="38"/>
  <c r="W25" i="38"/>
  <c r="T26" i="38"/>
  <c r="U26" i="38"/>
  <c r="V26" i="38"/>
  <c r="W26" i="38"/>
  <c r="T27" i="38"/>
  <c r="U27" i="38"/>
  <c r="V27" i="38"/>
  <c r="W27" i="38"/>
  <c r="O28" i="38"/>
  <c r="T28" i="38"/>
  <c r="U28" i="38"/>
  <c r="V28" i="38"/>
  <c r="W28" i="38"/>
  <c r="S29" i="38"/>
  <c r="T29" i="38"/>
  <c r="U29" i="38"/>
  <c r="V29" i="38"/>
  <c r="W29" i="38"/>
  <c r="O30" i="38"/>
  <c r="P30" i="38"/>
  <c r="Q30" i="38"/>
  <c r="T30" i="38"/>
  <c r="U30" i="38"/>
  <c r="V30" i="38"/>
  <c r="W30" i="38"/>
  <c r="X29" i="37"/>
  <c r="M31" i="38" s="1"/>
  <c r="Y29" i="37"/>
  <c r="N31" i="38" s="1"/>
  <c r="Z29" i="37"/>
  <c r="O31" i="38" s="1"/>
  <c r="AA29" i="37"/>
  <c r="P31" i="38" s="1"/>
  <c r="AB29" i="37"/>
  <c r="Q31" i="38" s="1"/>
  <c r="AC29" i="37"/>
  <c r="R31" i="38" s="1"/>
  <c r="AD29" i="37"/>
  <c r="S31" i="38" s="1"/>
  <c r="X30" i="37"/>
  <c r="M32" i="38" s="1"/>
  <c r="Y30" i="37"/>
  <c r="N32" i="38" s="1"/>
  <c r="Z30" i="37"/>
  <c r="O32" i="38" s="1"/>
  <c r="AA30" i="37"/>
  <c r="P32" i="38" s="1"/>
  <c r="AB30" i="37"/>
  <c r="Q32" i="38" s="1"/>
  <c r="AC30" i="37"/>
  <c r="R32" i="38" s="1"/>
  <c r="AD30" i="37"/>
  <c r="S32" i="38" s="1"/>
  <c r="X31" i="37"/>
  <c r="M33" i="38" s="1"/>
  <c r="Y31" i="37"/>
  <c r="N33" i="38" s="1"/>
  <c r="Z31" i="37"/>
  <c r="O33" i="38" s="1"/>
  <c r="AA31" i="37"/>
  <c r="P33" i="38" s="1"/>
  <c r="AB31" i="37"/>
  <c r="Q33" i="38" s="1"/>
  <c r="AC31" i="37"/>
  <c r="R33" i="38" s="1"/>
  <c r="AD31" i="37"/>
  <c r="S33" i="38" s="1"/>
  <c r="X32" i="37"/>
  <c r="M34" i="38" s="1"/>
  <c r="Y32" i="37"/>
  <c r="N34" i="38" s="1"/>
  <c r="Z32" i="37"/>
  <c r="O34" i="38" s="1"/>
  <c r="AA32" i="37"/>
  <c r="P34" i="38" s="1"/>
  <c r="AB32" i="37"/>
  <c r="Q34" i="38" s="1"/>
  <c r="AC32" i="37"/>
  <c r="R34" i="38" s="1"/>
  <c r="AD32" i="37"/>
  <c r="S34" i="38" s="1"/>
  <c r="X4" i="37"/>
  <c r="M6" i="38" s="1"/>
  <c r="Y4" i="37"/>
  <c r="N6" i="38" s="1"/>
  <c r="Z4" i="37"/>
  <c r="O6" i="38" s="1"/>
  <c r="AA4" i="37"/>
  <c r="P6" i="38" s="1"/>
  <c r="AB4" i="37"/>
  <c r="Q6" i="38" s="1"/>
  <c r="AC4" i="37"/>
  <c r="R6" i="38" s="1"/>
  <c r="AD4" i="37"/>
  <c r="S6" i="38" s="1"/>
  <c r="X5" i="37"/>
  <c r="M7" i="38" s="1"/>
  <c r="Y5" i="37"/>
  <c r="N7" i="38" s="1"/>
  <c r="Z5" i="37"/>
  <c r="O7" i="38" s="1"/>
  <c r="AA5" i="37"/>
  <c r="P7" i="38" s="1"/>
  <c r="AB5" i="37"/>
  <c r="Q7" i="38" s="1"/>
  <c r="AC5" i="37"/>
  <c r="R7" i="38" s="1"/>
  <c r="AD5" i="37"/>
  <c r="S7" i="38" s="1"/>
  <c r="X6" i="37"/>
  <c r="M8" i="38" s="1"/>
  <c r="Y6" i="37"/>
  <c r="N8" i="38" s="1"/>
  <c r="Z6" i="37"/>
  <c r="O8" i="38" s="1"/>
  <c r="AA6" i="37"/>
  <c r="P8" i="38" s="1"/>
  <c r="AB6" i="37"/>
  <c r="Q8" i="38" s="1"/>
  <c r="AC6" i="37"/>
  <c r="R8" i="38" s="1"/>
  <c r="AD6" i="37"/>
  <c r="S8" i="38" s="1"/>
  <c r="X7" i="37"/>
  <c r="M9" i="38" s="1"/>
  <c r="Y7" i="37"/>
  <c r="N9" i="38" s="1"/>
  <c r="Z7" i="37"/>
  <c r="O9" i="38" s="1"/>
  <c r="AA7" i="37"/>
  <c r="P9" i="38" s="1"/>
  <c r="AB7" i="37"/>
  <c r="Q9" i="38" s="1"/>
  <c r="AC7" i="37"/>
  <c r="R9" i="38" s="1"/>
  <c r="AD7" i="37"/>
  <c r="S9" i="38" s="1"/>
  <c r="X8" i="37"/>
  <c r="M10" i="38" s="1"/>
  <c r="Y8" i="37"/>
  <c r="N10" i="38" s="1"/>
  <c r="Z8" i="37"/>
  <c r="O10" i="38" s="1"/>
  <c r="AA8" i="37"/>
  <c r="P10" i="38" s="1"/>
  <c r="AB8" i="37"/>
  <c r="Q10" i="38" s="1"/>
  <c r="AC8" i="37"/>
  <c r="R10" i="38" s="1"/>
  <c r="AD8" i="37"/>
  <c r="S10" i="38" s="1"/>
  <c r="X9" i="37"/>
  <c r="M11" i="38" s="1"/>
  <c r="Y9" i="37"/>
  <c r="N11" i="38" s="1"/>
  <c r="Z9" i="37"/>
  <c r="O11" i="38" s="1"/>
  <c r="AA9" i="37"/>
  <c r="P11" i="38" s="1"/>
  <c r="AB9" i="37"/>
  <c r="Q11" i="38" s="1"/>
  <c r="AC9" i="37"/>
  <c r="R11" i="38" s="1"/>
  <c r="AD9" i="37"/>
  <c r="S11" i="38" s="1"/>
  <c r="X10" i="37"/>
  <c r="M12" i="38" s="1"/>
  <c r="Y10" i="37"/>
  <c r="N12" i="38" s="1"/>
  <c r="Z10" i="37"/>
  <c r="O12" i="38" s="1"/>
  <c r="AA10" i="37"/>
  <c r="P12" i="38" s="1"/>
  <c r="AB10" i="37"/>
  <c r="Q12" i="38" s="1"/>
  <c r="AC10" i="37"/>
  <c r="R12" i="38" s="1"/>
  <c r="AD10" i="37"/>
  <c r="S12" i="38" s="1"/>
  <c r="X11" i="37"/>
  <c r="M13" i="38" s="1"/>
  <c r="Y11" i="37"/>
  <c r="N13" i="38" s="1"/>
  <c r="Z11" i="37"/>
  <c r="O13" i="38" s="1"/>
  <c r="AA11" i="37"/>
  <c r="P13" i="38" s="1"/>
  <c r="AB11" i="37"/>
  <c r="Q13" i="38" s="1"/>
  <c r="AC11" i="37"/>
  <c r="R13" i="38" s="1"/>
  <c r="AD11" i="37"/>
  <c r="S13" i="38" s="1"/>
  <c r="X12" i="37"/>
  <c r="M14" i="38" s="1"/>
  <c r="Y12" i="37"/>
  <c r="N14" i="38" s="1"/>
  <c r="Z12" i="37"/>
  <c r="O14" i="38" s="1"/>
  <c r="AA12" i="37"/>
  <c r="P14" i="38" s="1"/>
  <c r="AB12" i="37"/>
  <c r="Q14" i="38" s="1"/>
  <c r="AC12" i="37"/>
  <c r="R14" i="38" s="1"/>
  <c r="AD12" i="37"/>
  <c r="S14" i="38" s="1"/>
  <c r="X13" i="37"/>
  <c r="M15" i="38" s="1"/>
  <c r="Y13" i="37"/>
  <c r="N15" i="38" s="1"/>
  <c r="Z13" i="37"/>
  <c r="O15" i="38" s="1"/>
  <c r="AA13" i="37"/>
  <c r="P15" i="38" s="1"/>
  <c r="AB13" i="37"/>
  <c r="Q15" i="38" s="1"/>
  <c r="AC13" i="37"/>
  <c r="R15" i="38" s="1"/>
  <c r="AD13" i="37"/>
  <c r="S15" i="38" s="1"/>
  <c r="X14" i="37"/>
  <c r="M16" i="38" s="1"/>
  <c r="Y14" i="37"/>
  <c r="N16" i="38" s="1"/>
  <c r="Z14" i="37"/>
  <c r="O16" i="38" s="1"/>
  <c r="AA14" i="37"/>
  <c r="P16" i="38" s="1"/>
  <c r="AB14" i="37"/>
  <c r="Q16" i="38" s="1"/>
  <c r="AC14" i="37"/>
  <c r="R16" i="38" s="1"/>
  <c r="AD14" i="37"/>
  <c r="S16" i="38" s="1"/>
  <c r="X15" i="37"/>
  <c r="M17" i="38" s="1"/>
  <c r="Y15" i="37"/>
  <c r="N17" i="38" s="1"/>
  <c r="Z15" i="37"/>
  <c r="O17" i="38" s="1"/>
  <c r="AA15" i="37"/>
  <c r="P17" i="38" s="1"/>
  <c r="AB15" i="37"/>
  <c r="Q17" i="38" s="1"/>
  <c r="AC15" i="37"/>
  <c r="R17" i="38" s="1"/>
  <c r="AD15" i="37"/>
  <c r="S17" i="38" s="1"/>
  <c r="X16" i="37"/>
  <c r="M18" i="38" s="1"/>
  <c r="Y16" i="37"/>
  <c r="N18" i="38" s="1"/>
  <c r="Z16" i="37"/>
  <c r="O18" i="38" s="1"/>
  <c r="AA16" i="37"/>
  <c r="P18" i="38" s="1"/>
  <c r="AB16" i="37"/>
  <c r="Q18" i="38" s="1"/>
  <c r="AC16" i="37"/>
  <c r="R18" i="38" s="1"/>
  <c r="AD16" i="37"/>
  <c r="S18" i="38" s="1"/>
  <c r="X17" i="37"/>
  <c r="M19" i="38" s="1"/>
  <c r="Y17" i="37"/>
  <c r="N19" i="38" s="1"/>
  <c r="Z17" i="37"/>
  <c r="O19" i="38" s="1"/>
  <c r="AA17" i="37"/>
  <c r="P19" i="38" s="1"/>
  <c r="AB17" i="37"/>
  <c r="Q19" i="38" s="1"/>
  <c r="AC17" i="37"/>
  <c r="R19" i="38" s="1"/>
  <c r="AD17" i="37"/>
  <c r="S19" i="38" s="1"/>
  <c r="X18" i="37"/>
  <c r="M20" i="38" s="1"/>
  <c r="Y18" i="37"/>
  <c r="N20" i="38" s="1"/>
  <c r="Z18" i="37"/>
  <c r="O20" i="38" s="1"/>
  <c r="AA18" i="37"/>
  <c r="P20" i="38" s="1"/>
  <c r="AB18" i="37"/>
  <c r="Q20" i="38" s="1"/>
  <c r="AC18" i="37"/>
  <c r="R20" i="38" s="1"/>
  <c r="AD18" i="37"/>
  <c r="S20" i="38" s="1"/>
  <c r="X19" i="37"/>
  <c r="M21" i="38" s="1"/>
  <c r="Y19" i="37"/>
  <c r="N21" i="38" s="1"/>
  <c r="Z19" i="37"/>
  <c r="O21" i="38" s="1"/>
  <c r="AA19" i="37"/>
  <c r="P21" i="38" s="1"/>
  <c r="AB19" i="37"/>
  <c r="Q21" i="38" s="1"/>
  <c r="AC19" i="37"/>
  <c r="R21" i="38" s="1"/>
  <c r="AD19" i="37"/>
  <c r="S21" i="38" s="1"/>
  <c r="X20" i="37"/>
  <c r="M22" i="38" s="1"/>
  <c r="Y20" i="37"/>
  <c r="N22" i="38" s="1"/>
  <c r="Z20" i="37"/>
  <c r="O22" i="38" s="1"/>
  <c r="AA20" i="37"/>
  <c r="P22" i="38" s="1"/>
  <c r="AB20" i="37"/>
  <c r="Q22" i="38" s="1"/>
  <c r="AC20" i="37"/>
  <c r="R22" i="38" s="1"/>
  <c r="AD20" i="37"/>
  <c r="S22" i="38" s="1"/>
  <c r="X21" i="37"/>
  <c r="M23" i="38" s="1"/>
  <c r="Y21" i="37"/>
  <c r="N23" i="38" s="1"/>
  <c r="Z21" i="37"/>
  <c r="O23" i="38" s="1"/>
  <c r="AA21" i="37"/>
  <c r="P23" i="38" s="1"/>
  <c r="AB21" i="37"/>
  <c r="Q23" i="38" s="1"/>
  <c r="AC21" i="37"/>
  <c r="R23" i="38" s="1"/>
  <c r="AD21" i="37"/>
  <c r="S23" i="38" s="1"/>
  <c r="X22" i="37"/>
  <c r="M24" i="38" s="1"/>
  <c r="Y22" i="37"/>
  <c r="N24" i="38" s="1"/>
  <c r="Z22" i="37"/>
  <c r="O24" i="38" s="1"/>
  <c r="AA22" i="37"/>
  <c r="P24" i="38" s="1"/>
  <c r="AB22" i="37"/>
  <c r="Q24" i="38" s="1"/>
  <c r="AC22" i="37"/>
  <c r="R24" i="38" s="1"/>
  <c r="AD22" i="37"/>
  <c r="S24" i="38" s="1"/>
  <c r="X23" i="37"/>
  <c r="M25" i="38" s="1"/>
  <c r="Y23" i="37"/>
  <c r="N25" i="38" s="1"/>
  <c r="Z23" i="37"/>
  <c r="O25" i="38" s="1"/>
  <c r="AA23" i="37"/>
  <c r="P25" i="38" s="1"/>
  <c r="AB23" i="37"/>
  <c r="Q25" i="38" s="1"/>
  <c r="AC23" i="37"/>
  <c r="R25" i="38" s="1"/>
  <c r="AD23" i="37"/>
  <c r="S25" i="38" s="1"/>
  <c r="X24" i="37"/>
  <c r="M26" i="38" s="1"/>
  <c r="Y24" i="37"/>
  <c r="N26" i="38" s="1"/>
  <c r="Z24" i="37"/>
  <c r="O26" i="38" s="1"/>
  <c r="AA24" i="37"/>
  <c r="P26" i="38" s="1"/>
  <c r="AB24" i="37"/>
  <c r="Q26" i="38" s="1"/>
  <c r="AC24" i="37"/>
  <c r="R26" i="38" s="1"/>
  <c r="AD24" i="37"/>
  <c r="S26" i="38" s="1"/>
  <c r="X25" i="37"/>
  <c r="M27" i="38" s="1"/>
  <c r="Y25" i="37"/>
  <c r="N27" i="38" s="1"/>
  <c r="Z25" i="37"/>
  <c r="O27" i="38" s="1"/>
  <c r="AA25" i="37"/>
  <c r="P27" i="38" s="1"/>
  <c r="AB25" i="37"/>
  <c r="Q27" i="38" s="1"/>
  <c r="AC25" i="37"/>
  <c r="R27" i="38" s="1"/>
  <c r="AD25" i="37"/>
  <c r="S27" i="38" s="1"/>
  <c r="X26" i="37"/>
  <c r="M28" i="38" s="1"/>
  <c r="Y26" i="37"/>
  <c r="N28" i="38" s="1"/>
  <c r="Z26" i="37"/>
  <c r="AA26" i="37"/>
  <c r="P28" i="38" s="1"/>
  <c r="AB26" i="37"/>
  <c r="Q28" i="38" s="1"/>
  <c r="AC26" i="37"/>
  <c r="R28" i="38" s="1"/>
  <c r="AD26" i="37"/>
  <c r="S28" i="38" s="1"/>
  <c r="X27" i="37"/>
  <c r="M29" i="38" s="1"/>
  <c r="Y27" i="37"/>
  <c r="N29" i="38" s="1"/>
  <c r="Z27" i="37"/>
  <c r="O29" i="38" s="1"/>
  <c r="AA27" i="37"/>
  <c r="P29" i="38" s="1"/>
  <c r="AB27" i="37"/>
  <c r="Q29" i="38" s="1"/>
  <c r="AC27" i="37"/>
  <c r="R29" i="38" s="1"/>
  <c r="AD27" i="37"/>
  <c r="X28" i="37"/>
  <c r="M30" i="38" s="1"/>
  <c r="Y28" i="37"/>
  <c r="N30" i="38" s="1"/>
  <c r="Z28" i="37"/>
  <c r="AA28" i="37"/>
  <c r="AB28" i="37"/>
  <c r="AC28" i="37"/>
  <c r="R30" i="38" s="1"/>
  <c r="AD28" i="37"/>
  <c r="S30" i="38" s="1"/>
  <c r="G40" i="33" l="1"/>
  <c r="O57" i="33" l="1"/>
  <c r="P57" i="33"/>
  <c r="Q57" i="33"/>
  <c r="R57" i="33"/>
  <c r="Y3" i="37"/>
  <c r="Y1" i="37" s="1"/>
  <c r="Z3" i="37"/>
  <c r="Z1" i="37" s="1"/>
  <c r="AA3" i="37"/>
  <c r="AA1" i="37" s="1"/>
  <c r="AB3" i="37"/>
  <c r="AB1" i="37" s="1"/>
  <c r="AC3" i="37"/>
  <c r="AC1" i="37" s="1"/>
  <c r="AD3" i="37"/>
  <c r="AD1" i="37" s="1"/>
  <c r="X3" i="37"/>
  <c r="X1" i="37" s="1"/>
  <c r="G41" i="33" l="1"/>
  <c r="G49" i="33" l="1"/>
  <c r="G48" i="33"/>
  <c r="G47" i="33"/>
  <c r="N27" i="33"/>
  <c r="M27" i="33"/>
  <c r="L27" i="33"/>
  <c r="K27" i="33"/>
  <c r="R27" i="33"/>
  <c r="J27" i="33"/>
  <c r="Q27" i="33"/>
  <c r="I27" i="33"/>
  <c r="H27" i="33"/>
  <c r="P27" i="33"/>
  <c r="O27" i="33"/>
  <c r="T68" i="42" l="1"/>
  <c r="AA32" i="45" s="1"/>
  <c r="S68" i="42"/>
  <c r="Z32" i="45" s="1"/>
  <c r="R68" i="42"/>
  <c r="Y32" i="45" s="1"/>
  <c r="Q68" i="42"/>
  <c r="X32" i="45" s="1"/>
  <c r="P68" i="42"/>
  <c r="W32" i="45" s="1"/>
  <c r="O68" i="42"/>
  <c r="V32" i="45" s="1"/>
  <c r="N68" i="42"/>
  <c r="U32" i="45" s="1"/>
  <c r="M68" i="42"/>
  <c r="T32" i="45" s="1"/>
  <c r="L68" i="42"/>
  <c r="S32" i="45" s="1"/>
  <c r="K68" i="42"/>
  <c r="R32" i="45" s="1"/>
  <c r="J68" i="42"/>
  <c r="I68" i="42"/>
  <c r="H68" i="42"/>
  <c r="G68" i="42"/>
  <c r="T62" i="42"/>
  <c r="AA31" i="45" s="1"/>
  <c r="S62" i="42"/>
  <c r="Z31" i="45" s="1"/>
  <c r="R62" i="42"/>
  <c r="Y31" i="45" s="1"/>
  <c r="Q62" i="42"/>
  <c r="X31" i="45" s="1"/>
  <c r="P62" i="42"/>
  <c r="W31" i="45" s="1"/>
  <c r="O62" i="42"/>
  <c r="V31" i="45" s="1"/>
  <c r="N62" i="42"/>
  <c r="U31" i="45" s="1"/>
  <c r="M62" i="42"/>
  <c r="T31" i="45" s="1"/>
  <c r="L62" i="42"/>
  <c r="S31" i="45" s="1"/>
  <c r="K62" i="42"/>
  <c r="R31" i="45" s="1"/>
  <c r="J62" i="42"/>
  <c r="I62" i="42"/>
  <c r="H62" i="42"/>
  <c r="G62" i="42"/>
  <c r="G56" i="42"/>
  <c r="H56" i="42"/>
  <c r="D113" i="42"/>
  <c r="D112" i="42"/>
  <c r="D111" i="42"/>
  <c r="D110" i="42"/>
  <c r="D109" i="42"/>
  <c r="D107" i="42"/>
  <c r="D106" i="42"/>
  <c r="D105" i="42"/>
  <c r="D104" i="42"/>
  <c r="D103" i="42"/>
  <c r="D98" i="42"/>
  <c r="D99" i="42"/>
  <c r="D100" i="42"/>
  <c r="D101" i="42"/>
  <c r="D97" i="42"/>
  <c r="D90" i="42"/>
  <c r="D89" i="42"/>
  <c r="D88" i="42"/>
  <c r="D87" i="42"/>
  <c r="D86" i="42"/>
  <c r="D84" i="42"/>
  <c r="D83" i="42"/>
  <c r="D82" i="42"/>
  <c r="D81" i="42"/>
  <c r="D80" i="42"/>
  <c r="D75" i="42"/>
  <c r="D76" i="42"/>
  <c r="D77" i="42"/>
  <c r="D78" i="42"/>
  <c r="D74" i="42"/>
  <c r="D67" i="42"/>
  <c r="D66" i="42"/>
  <c r="D65" i="42"/>
  <c r="D64" i="42"/>
  <c r="D63" i="42"/>
  <c r="D61" i="42"/>
  <c r="D60" i="42"/>
  <c r="D59" i="42"/>
  <c r="D58" i="42"/>
  <c r="D57" i="42"/>
  <c r="D52" i="42"/>
  <c r="D53" i="42"/>
  <c r="D54" i="42"/>
  <c r="D55" i="42"/>
  <c r="D51" i="42"/>
  <c r="D44" i="42"/>
  <c r="D43" i="42"/>
  <c r="D42" i="42"/>
  <c r="D41" i="42"/>
  <c r="D40" i="42"/>
  <c r="D38" i="42"/>
  <c r="D37" i="42"/>
  <c r="D36" i="42"/>
  <c r="D35" i="42"/>
  <c r="D34" i="42"/>
  <c r="D29" i="42"/>
  <c r="D30" i="42"/>
  <c r="D31" i="42"/>
  <c r="D32" i="42"/>
  <c r="D28" i="42"/>
  <c r="D5" i="42"/>
  <c r="G136" i="42"/>
  <c r="H136" i="42"/>
  <c r="I136" i="42"/>
  <c r="J136" i="42"/>
  <c r="K136" i="42"/>
  <c r="L136" i="42"/>
  <c r="M136" i="42"/>
  <c r="N136" i="42"/>
  <c r="O136" i="42"/>
  <c r="P136" i="42"/>
  <c r="Q136" i="42"/>
  <c r="R136" i="42"/>
  <c r="S136" i="42"/>
  <c r="T136" i="42"/>
  <c r="T114" i="42"/>
  <c r="AA38" i="45" s="1"/>
  <c r="S114" i="42"/>
  <c r="Z38" i="45" s="1"/>
  <c r="R114" i="42"/>
  <c r="Y38" i="45" s="1"/>
  <c r="Q114" i="42"/>
  <c r="X38" i="45" s="1"/>
  <c r="P114" i="42"/>
  <c r="W38" i="45" s="1"/>
  <c r="O114" i="42"/>
  <c r="V38" i="45" s="1"/>
  <c r="N114" i="42"/>
  <c r="U38" i="45" s="1"/>
  <c r="M114" i="42"/>
  <c r="T38" i="45" s="1"/>
  <c r="L114" i="42"/>
  <c r="S38" i="45" s="1"/>
  <c r="K114" i="42"/>
  <c r="R38" i="45" s="1"/>
  <c r="J114" i="42"/>
  <c r="I114" i="42"/>
  <c r="H114" i="42"/>
  <c r="Q38" i="45" s="1"/>
  <c r="G114" i="42"/>
  <c r="T108" i="42"/>
  <c r="AA37" i="45" s="1"/>
  <c r="S108" i="42"/>
  <c r="Z37" i="45" s="1"/>
  <c r="R108" i="42"/>
  <c r="Y37" i="45" s="1"/>
  <c r="Q108" i="42"/>
  <c r="X37" i="45" s="1"/>
  <c r="P108" i="42"/>
  <c r="W37" i="45" s="1"/>
  <c r="O108" i="42"/>
  <c r="V37" i="45" s="1"/>
  <c r="N108" i="42"/>
  <c r="U37" i="45" s="1"/>
  <c r="M108" i="42"/>
  <c r="T37" i="45" s="1"/>
  <c r="L108" i="42"/>
  <c r="S37" i="45" s="1"/>
  <c r="K108" i="42"/>
  <c r="R37" i="45" s="1"/>
  <c r="J108" i="42"/>
  <c r="I108" i="42"/>
  <c r="H108" i="42"/>
  <c r="G108" i="42"/>
  <c r="T102" i="42"/>
  <c r="AA36" i="45" s="1"/>
  <c r="S102" i="42"/>
  <c r="Z36" i="45" s="1"/>
  <c r="R102" i="42"/>
  <c r="Y36" i="45" s="1"/>
  <c r="Q102" i="42"/>
  <c r="X36" i="45" s="1"/>
  <c r="P102" i="42"/>
  <c r="W36" i="45" s="1"/>
  <c r="O102" i="42"/>
  <c r="V36" i="45" s="1"/>
  <c r="N102" i="42"/>
  <c r="U36" i="45" s="1"/>
  <c r="M102" i="42"/>
  <c r="T36" i="45" s="1"/>
  <c r="L102" i="42"/>
  <c r="S36" i="45" s="1"/>
  <c r="K102" i="42"/>
  <c r="R36" i="45" s="1"/>
  <c r="J102" i="42"/>
  <c r="I102" i="42"/>
  <c r="H102" i="42"/>
  <c r="Q36" i="45" s="1"/>
  <c r="G102" i="42"/>
  <c r="T91" i="42"/>
  <c r="AA35" i="45" s="1"/>
  <c r="S91" i="42"/>
  <c r="Z35" i="45" s="1"/>
  <c r="R91" i="42"/>
  <c r="Y35" i="45" s="1"/>
  <c r="Q91" i="42"/>
  <c r="X35" i="45" s="1"/>
  <c r="P91" i="42"/>
  <c r="W35" i="45" s="1"/>
  <c r="O91" i="42"/>
  <c r="V35" i="45" s="1"/>
  <c r="N91" i="42"/>
  <c r="U35" i="45" s="1"/>
  <c r="M91" i="42"/>
  <c r="T35" i="45" s="1"/>
  <c r="L91" i="42"/>
  <c r="S35" i="45" s="1"/>
  <c r="K91" i="42"/>
  <c r="R35" i="45" s="1"/>
  <c r="J91" i="42"/>
  <c r="I91" i="42"/>
  <c r="H91" i="42"/>
  <c r="G91" i="42"/>
  <c r="T85" i="42"/>
  <c r="AA34" i="45" s="1"/>
  <c r="S85" i="42"/>
  <c r="Z34" i="45" s="1"/>
  <c r="R85" i="42"/>
  <c r="Y34" i="45" s="1"/>
  <c r="Q85" i="42"/>
  <c r="X34" i="45" s="1"/>
  <c r="P85" i="42"/>
  <c r="W34" i="45" s="1"/>
  <c r="O85" i="42"/>
  <c r="V34" i="45" s="1"/>
  <c r="N85" i="42"/>
  <c r="U34" i="45" s="1"/>
  <c r="M85" i="42"/>
  <c r="T34" i="45" s="1"/>
  <c r="L85" i="42"/>
  <c r="S34" i="45" s="1"/>
  <c r="K85" i="42"/>
  <c r="R34" i="45" s="1"/>
  <c r="J85" i="42"/>
  <c r="I85" i="42"/>
  <c r="H85" i="42"/>
  <c r="G85" i="42"/>
  <c r="T79" i="42"/>
  <c r="AA33" i="45" s="1"/>
  <c r="S79" i="42"/>
  <c r="Z33" i="45" s="1"/>
  <c r="R79" i="42"/>
  <c r="Y33" i="45" s="1"/>
  <c r="Q79" i="42"/>
  <c r="X33" i="45" s="1"/>
  <c r="P79" i="42"/>
  <c r="W33" i="45" s="1"/>
  <c r="O79" i="42"/>
  <c r="V33" i="45" s="1"/>
  <c r="N79" i="42"/>
  <c r="U33" i="45" s="1"/>
  <c r="M79" i="42"/>
  <c r="T33" i="45" s="1"/>
  <c r="L79" i="42"/>
  <c r="S33" i="45" s="1"/>
  <c r="K79" i="42"/>
  <c r="R33" i="45" s="1"/>
  <c r="J79" i="42"/>
  <c r="I79" i="42"/>
  <c r="H79" i="42"/>
  <c r="Q33" i="45" s="1"/>
  <c r="G79" i="42"/>
  <c r="T56" i="42"/>
  <c r="AA30" i="45" s="1"/>
  <c r="S56" i="42"/>
  <c r="Z30" i="45" s="1"/>
  <c r="R56" i="42"/>
  <c r="Y30" i="45" s="1"/>
  <c r="Q56" i="42"/>
  <c r="X30" i="45" s="1"/>
  <c r="P56" i="42"/>
  <c r="W30" i="45" s="1"/>
  <c r="O56" i="42"/>
  <c r="V30" i="45" s="1"/>
  <c r="N56" i="42"/>
  <c r="U30" i="45" s="1"/>
  <c r="M56" i="42"/>
  <c r="T30" i="45" s="1"/>
  <c r="L56" i="42"/>
  <c r="S30" i="45" s="1"/>
  <c r="K56" i="42"/>
  <c r="R30" i="45" s="1"/>
  <c r="J56" i="42"/>
  <c r="I56" i="42"/>
  <c r="T45" i="42"/>
  <c r="AA29" i="45" s="1"/>
  <c r="S45" i="42"/>
  <c r="Z29" i="45" s="1"/>
  <c r="R45" i="42"/>
  <c r="Y29" i="45" s="1"/>
  <c r="Q45" i="42"/>
  <c r="X29" i="45" s="1"/>
  <c r="P45" i="42"/>
  <c r="W29" i="45" s="1"/>
  <c r="O45" i="42"/>
  <c r="V29" i="45" s="1"/>
  <c r="N45" i="42"/>
  <c r="U29" i="45" s="1"/>
  <c r="M45" i="42"/>
  <c r="T29" i="45" s="1"/>
  <c r="L45" i="42"/>
  <c r="S29" i="45" s="1"/>
  <c r="K45" i="42"/>
  <c r="R29" i="45" s="1"/>
  <c r="J45" i="42"/>
  <c r="I45" i="42"/>
  <c r="H45" i="42"/>
  <c r="Q29" i="45" s="1"/>
  <c r="G45" i="42"/>
  <c r="T39" i="42"/>
  <c r="AA28" i="45" s="1"/>
  <c r="S39" i="42"/>
  <c r="Z28" i="45" s="1"/>
  <c r="R39" i="42"/>
  <c r="Y28" i="45" s="1"/>
  <c r="Q39" i="42"/>
  <c r="X28" i="45" s="1"/>
  <c r="P39" i="42"/>
  <c r="W28" i="45" s="1"/>
  <c r="O39" i="42"/>
  <c r="V28" i="45" s="1"/>
  <c r="N39" i="42"/>
  <c r="U28" i="45" s="1"/>
  <c r="M39" i="42"/>
  <c r="T28" i="45" s="1"/>
  <c r="L39" i="42"/>
  <c r="S28" i="45" s="1"/>
  <c r="K39" i="42"/>
  <c r="R28" i="45" s="1"/>
  <c r="J39" i="42"/>
  <c r="I39" i="42"/>
  <c r="H39" i="42"/>
  <c r="Q28" i="45" s="1"/>
  <c r="G39" i="42"/>
  <c r="T33" i="42"/>
  <c r="AA27" i="45" s="1"/>
  <c r="S33" i="42"/>
  <c r="Z27" i="45" s="1"/>
  <c r="R33" i="42"/>
  <c r="Y27" i="45" s="1"/>
  <c r="Q33" i="42"/>
  <c r="X27" i="45" s="1"/>
  <c r="P33" i="42"/>
  <c r="W27" i="45" s="1"/>
  <c r="O33" i="42"/>
  <c r="V27" i="45" s="1"/>
  <c r="N33" i="42"/>
  <c r="U27" i="45" s="1"/>
  <c r="M33" i="42"/>
  <c r="T27" i="45" s="1"/>
  <c r="L33" i="42"/>
  <c r="S27" i="45" s="1"/>
  <c r="K33" i="42"/>
  <c r="R27" i="45" s="1"/>
  <c r="J33" i="42"/>
  <c r="I33" i="42"/>
  <c r="H33" i="42"/>
  <c r="G33" i="42"/>
  <c r="Q27" i="45" l="1"/>
  <c r="Q32" i="45"/>
  <c r="Q31" i="45"/>
  <c r="P29" i="45"/>
  <c r="K29" i="45" s="1"/>
  <c r="P38" i="45"/>
  <c r="K38" i="45" s="1"/>
  <c r="P28" i="45"/>
  <c r="K28" i="45" s="1"/>
  <c r="P33" i="45"/>
  <c r="K33" i="45" s="1"/>
  <c r="Q34" i="45"/>
  <c r="P34" i="45" s="1"/>
  <c r="K34" i="45" s="1"/>
  <c r="Q37" i="45"/>
  <c r="P37" i="45" s="1"/>
  <c r="K37" i="45" s="1"/>
  <c r="Q35" i="45"/>
  <c r="P35" i="45" s="1"/>
  <c r="K35" i="45" s="1"/>
  <c r="P27" i="45"/>
  <c r="K27" i="45" s="1"/>
  <c r="Q30" i="45"/>
  <c r="P30" i="45" s="1"/>
  <c r="K30" i="45" s="1"/>
  <c r="P32" i="45"/>
  <c r="K32" i="45" s="1"/>
  <c r="P31" i="45"/>
  <c r="K31" i="45" s="1"/>
  <c r="P36" i="45"/>
  <c r="K36" i="45" s="1"/>
  <c r="G48" i="42"/>
  <c r="O48" i="42"/>
  <c r="N71" i="42"/>
  <c r="M94" i="42"/>
  <c r="N25" i="42"/>
  <c r="H71" i="42"/>
  <c r="P71" i="42"/>
  <c r="H94" i="42"/>
  <c r="P94" i="42"/>
  <c r="L94" i="42"/>
  <c r="T25" i="42"/>
  <c r="I25" i="42"/>
  <c r="G94" i="42"/>
  <c r="O94" i="42"/>
  <c r="T71" i="42"/>
  <c r="I94" i="42"/>
  <c r="Q94" i="42"/>
  <c r="K94" i="42"/>
  <c r="S94" i="42"/>
  <c r="T94" i="42"/>
  <c r="G25" i="42"/>
  <c r="O25" i="42"/>
  <c r="G71" i="42"/>
  <c r="J71" i="42"/>
  <c r="R71" i="42"/>
  <c r="L71" i="42"/>
  <c r="K25" i="42"/>
  <c r="S25" i="42"/>
  <c r="I71" i="42"/>
  <c r="Q71" i="42"/>
  <c r="M71" i="42"/>
  <c r="H48" i="42"/>
  <c r="P48" i="42"/>
  <c r="I48" i="42"/>
  <c r="Q48" i="42"/>
  <c r="M48" i="42"/>
  <c r="L25" i="42"/>
  <c r="T48" i="42"/>
  <c r="M25" i="42"/>
  <c r="N94" i="42"/>
  <c r="J94" i="42"/>
  <c r="R94" i="42"/>
  <c r="J25" i="42"/>
  <c r="R25" i="42"/>
  <c r="L48" i="42"/>
  <c r="O71" i="42"/>
  <c r="H25" i="42"/>
  <c r="P25" i="42"/>
  <c r="K71" i="42"/>
  <c r="S71" i="42"/>
  <c r="Q25" i="42"/>
  <c r="N48" i="42"/>
  <c r="J48" i="42"/>
  <c r="R48" i="42"/>
  <c r="K48" i="42"/>
  <c r="S48" i="42"/>
  <c r="T166" i="42"/>
  <c r="S166" i="42"/>
  <c r="R166" i="42"/>
  <c r="Q166" i="42"/>
  <c r="P166" i="42"/>
  <c r="O166" i="42"/>
  <c r="N166" i="42"/>
  <c r="M166" i="42"/>
  <c r="L166" i="42"/>
  <c r="K166" i="42"/>
  <c r="J166" i="42"/>
  <c r="I166" i="42"/>
  <c r="H166" i="42"/>
  <c r="G166" i="42"/>
  <c r="T160" i="42"/>
  <c r="S160" i="42"/>
  <c r="R160" i="42"/>
  <c r="Q160" i="42"/>
  <c r="P160" i="42"/>
  <c r="O160" i="42"/>
  <c r="N160" i="42"/>
  <c r="M160" i="42"/>
  <c r="L160" i="42"/>
  <c r="K160" i="42"/>
  <c r="J160" i="42"/>
  <c r="I160" i="42"/>
  <c r="H160" i="42"/>
  <c r="G160" i="42"/>
  <c r="T154" i="42"/>
  <c r="S154" i="42"/>
  <c r="R154" i="42"/>
  <c r="Q154" i="42"/>
  <c r="P154" i="42"/>
  <c r="O154" i="42"/>
  <c r="N154" i="42"/>
  <c r="M154" i="42"/>
  <c r="L154" i="42"/>
  <c r="K154" i="42"/>
  <c r="J154" i="42"/>
  <c r="I154" i="42"/>
  <c r="H154" i="42"/>
  <c r="G154" i="42"/>
  <c r="T142" i="42"/>
  <c r="S142" i="42"/>
  <c r="R142" i="42"/>
  <c r="Q142" i="42"/>
  <c r="P142" i="42"/>
  <c r="O142" i="42"/>
  <c r="N142" i="42"/>
  <c r="M142" i="42"/>
  <c r="L142" i="42"/>
  <c r="K142" i="42"/>
  <c r="J142" i="42"/>
  <c r="I142" i="42"/>
  <c r="H142" i="42"/>
  <c r="G142" i="42"/>
  <c r="T130" i="42"/>
  <c r="S130" i="42"/>
  <c r="R130" i="42"/>
  <c r="Q130" i="42"/>
  <c r="P130" i="42"/>
  <c r="O130" i="42"/>
  <c r="N130" i="42"/>
  <c r="M130" i="42"/>
  <c r="L130" i="42"/>
  <c r="K130" i="42"/>
  <c r="J130" i="42"/>
  <c r="I130" i="42"/>
  <c r="H130" i="42"/>
  <c r="G130" i="42"/>
  <c r="G22" i="42"/>
  <c r="G16" i="42"/>
  <c r="G10" i="42"/>
  <c r="H22" i="42"/>
  <c r="T16" i="42"/>
  <c r="AA25" i="45" s="1"/>
  <c r="S16" i="42"/>
  <c r="Z25" i="45" s="1"/>
  <c r="R16" i="42"/>
  <c r="Y25" i="45" s="1"/>
  <c r="Q16" i="42"/>
  <c r="X25" i="45" s="1"/>
  <c r="P16" i="42"/>
  <c r="W25" i="45" s="1"/>
  <c r="O16" i="42"/>
  <c r="V25" i="45" s="1"/>
  <c r="N16" i="42"/>
  <c r="U25" i="45" s="1"/>
  <c r="M16" i="42"/>
  <c r="T25" i="45" s="1"/>
  <c r="L16" i="42"/>
  <c r="S25" i="45" s="1"/>
  <c r="K16" i="42"/>
  <c r="R25" i="45" s="1"/>
  <c r="J16" i="42"/>
  <c r="I16" i="42"/>
  <c r="H16" i="42"/>
  <c r="H10" i="42"/>
  <c r="J22" i="42"/>
  <c r="K22" i="42"/>
  <c r="R26" i="45" s="1"/>
  <c r="L22" i="42"/>
  <c r="S26" i="45" s="1"/>
  <c r="M22" i="42"/>
  <c r="T26" i="45" s="1"/>
  <c r="N22" i="42"/>
  <c r="U26" i="45" s="1"/>
  <c r="O22" i="42"/>
  <c r="V26" i="45" s="1"/>
  <c r="P22" i="42"/>
  <c r="W26" i="45" s="1"/>
  <c r="Q22" i="42"/>
  <c r="X26" i="45" s="1"/>
  <c r="R22" i="42"/>
  <c r="Y26" i="45" s="1"/>
  <c r="S22" i="42"/>
  <c r="Z26" i="45" s="1"/>
  <c r="T22" i="42"/>
  <c r="AA26" i="45" s="1"/>
  <c r="J10" i="42"/>
  <c r="K10" i="42"/>
  <c r="R24" i="45" s="1"/>
  <c r="L10" i="42"/>
  <c r="S24" i="45" s="1"/>
  <c r="M10" i="42"/>
  <c r="T24" i="45" s="1"/>
  <c r="N10" i="42"/>
  <c r="U24" i="45" s="1"/>
  <c r="O10" i="42"/>
  <c r="V24" i="45" s="1"/>
  <c r="V39" i="45" s="1"/>
  <c r="I29" i="47" s="1"/>
  <c r="I22" i="47" s="1"/>
  <c r="P10" i="42"/>
  <c r="W24" i="45" s="1"/>
  <c r="Q10" i="42"/>
  <c r="X24" i="45" s="1"/>
  <c r="X39" i="45" s="1"/>
  <c r="R10" i="42"/>
  <c r="Y24" i="45" s="1"/>
  <c r="S10" i="42"/>
  <c r="Z24" i="45" s="1"/>
  <c r="T10" i="42"/>
  <c r="AA24" i="45" s="1"/>
  <c r="I22" i="42"/>
  <c r="I10" i="42"/>
  <c r="T39" i="45" l="1"/>
  <c r="G29" i="47" s="1"/>
  <c r="G22" i="47" s="1"/>
  <c r="Z39" i="45"/>
  <c r="Y39" i="45"/>
  <c r="AA39" i="45"/>
  <c r="S39" i="45"/>
  <c r="F29" i="47" s="1"/>
  <c r="F22" i="47" s="1"/>
  <c r="R39" i="45"/>
  <c r="E29" i="47" s="1"/>
  <c r="E22" i="47" s="1"/>
  <c r="Q25" i="45"/>
  <c r="P25" i="45" s="1"/>
  <c r="K25" i="45" s="1"/>
  <c r="U39" i="45"/>
  <c r="H29" i="47" s="1"/>
  <c r="H22" i="47" s="1"/>
  <c r="Q24" i="45"/>
  <c r="W39" i="45"/>
  <c r="J29" i="47" s="1"/>
  <c r="J22" i="47" s="1"/>
  <c r="Q26" i="45"/>
  <c r="P26" i="45" s="1"/>
  <c r="K26" i="45" s="1"/>
  <c r="G146" i="42"/>
  <c r="O146" i="42"/>
  <c r="Q146" i="42"/>
  <c r="L146" i="42"/>
  <c r="T146" i="42"/>
  <c r="N146" i="42"/>
  <c r="J146" i="42"/>
  <c r="R146" i="42"/>
  <c r="K146" i="42"/>
  <c r="S146" i="42"/>
  <c r="I146" i="42"/>
  <c r="M146" i="42"/>
  <c r="H146" i="42"/>
  <c r="P146" i="42"/>
  <c r="O2" i="42"/>
  <c r="H122" i="42"/>
  <c r="P122" i="42"/>
  <c r="I122" i="42"/>
  <c r="Q122" i="42"/>
  <c r="N122" i="42"/>
  <c r="G2" i="42"/>
  <c r="G117" i="42" s="1"/>
  <c r="L122" i="42"/>
  <c r="K122" i="42"/>
  <c r="M122" i="42"/>
  <c r="S122" i="42"/>
  <c r="G122" i="42"/>
  <c r="O122" i="42"/>
  <c r="J122" i="42"/>
  <c r="R122" i="42"/>
  <c r="Q2" i="42"/>
  <c r="H2" i="42"/>
  <c r="T2" i="42"/>
  <c r="J2" i="42"/>
  <c r="I2" i="42"/>
  <c r="N2" i="42"/>
  <c r="R2" i="42"/>
  <c r="M2" i="42"/>
  <c r="P2" i="42"/>
  <c r="L2" i="42"/>
  <c r="S2" i="42"/>
  <c r="K2" i="42"/>
  <c r="G120" i="42" l="1"/>
  <c r="Q39" i="45"/>
  <c r="D29" i="47" s="1"/>
  <c r="P24" i="45"/>
  <c r="Z5" i="38"/>
  <c r="AA5" i="38"/>
  <c r="AB5" i="38"/>
  <c r="AC5" i="38"/>
  <c r="AD5" i="38"/>
  <c r="AE5" i="38"/>
  <c r="AF5" i="38"/>
  <c r="AG5" i="38"/>
  <c r="AH5" i="38"/>
  <c r="AI5" i="38"/>
  <c r="Z6" i="38"/>
  <c r="AA6" i="38"/>
  <c r="AB6" i="38"/>
  <c r="AC6" i="38"/>
  <c r="AD6" i="38"/>
  <c r="AE6" i="38"/>
  <c r="AF6" i="38"/>
  <c r="AG6" i="38"/>
  <c r="AH6" i="38"/>
  <c r="AI6" i="38"/>
  <c r="Z7" i="38"/>
  <c r="AA7" i="38"/>
  <c r="AB7" i="38"/>
  <c r="AC7" i="38"/>
  <c r="AD7" i="38"/>
  <c r="AE7" i="38"/>
  <c r="AF7" i="38"/>
  <c r="AG7" i="38"/>
  <c r="AH7" i="38"/>
  <c r="AI7" i="38"/>
  <c r="Z8" i="38"/>
  <c r="AA8" i="38"/>
  <c r="AB8" i="38"/>
  <c r="AC8" i="38"/>
  <c r="AD8" i="38"/>
  <c r="AE8" i="38"/>
  <c r="AF8" i="38"/>
  <c r="AG8" i="38"/>
  <c r="AH8" i="38"/>
  <c r="AI8" i="38"/>
  <c r="Z9" i="38"/>
  <c r="AA9" i="38"/>
  <c r="AB9" i="38"/>
  <c r="AC9" i="38"/>
  <c r="AD9" i="38"/>
  <c r="AE9" i="38"/>
  <c r="AF9" i="38"/>
  <c r="AG9" i="38"/>
  <c r="AH9" i="38"/>
  <c r="AI9" i="38"/>
  <c r="Z10" i="38"/>
  <c r="AA10" i="38"/>
  <c r="AB10" i="38"/>
  <c r="AC10" i="38"/>
  <c r="AD10" i="38"/>
  <c r="AE10" i="38"/>
  <c r="AF10" i="38"/>
  <c r="AG10" i="38"/>
  <c r="AH10" i="38"/>
  <c r="AI10" i="38"/>
  <c r="Z11" i="38"/>
  <c r="AA11" i="38"/>
  <c r="AB11" i="38"/>
  <c r="AC11" i="38"/>
  <c r="AD11" i="38"/>
  <c r="AE11" i="38"/>
  <c r="AF11" i="38"/>
  <c r="AG11" i="38"/>
  <c r="AH11" i="38"/>
  <c r="AI11" i="38"/>
  <c r="Z12" i="38"/>
  <c r="AA12" i="38"/>
  <c r="AB12" i="38"/>
  <c r="AC12" i="38"/>
  <c r="AD12" i="38"/>
  <c r="AE12" i="38"/>
  <c r="AF12" i="38"/>
  <c r="AG12" i="38"/>
  <c r="AH12" i="38"/>
  <c r="AI12" i="38"/>
  <c r="Z13" i="38"/>
  <c r="AA13" i="38"/>
  <c r="AB13" i="38"/>
  <c r="AC13" i="38"/>
  <c r="AD13" i="38"/>
  <c r="AE13" i="38"/>
  <c r="AF13" i="38"/>
  <c r="AG13" i="38"/>
  <c r="AH13" i="38"/>
  <c r="AI13" i="38"/>
  <c r="Z14" i="38"/>
  <c r="AA14" i="38"/>
  <c r="AB14" i="38"/>
  <c r="AC14" i="38"/>
  <c r="AD14" i="38"/>
  <c r="AE14" i="38"/>
  <c r="AF14" i="38"/>
  <c r="AG14" i="38"/>
  <c r="AH14" i="38"/>
  <c r="AI14" i="38"/>
  <c r="Z15" i="38"/>
  <c r="AA15" i="38"/>
  <c r="AB15" i="38"/>
  <c r="AC15" i="38"/>
  <c r="AD15" i="38"/>
  <c r="AE15" i="38"/>
  <c r="AF15" i="38"/>
  <c r="AG15" i="38"/>
  <c r="AH15" i="38"/>
  <c r="AI15" i="38"/>
  <c r="Z16" i="38"/>
  <c r="AA16" i="38"/>
  <c r="AB16" i="38"/>
  <c r="AC16" i="38"/>
  <c r="AD16" i="38"/>
  <c r="AE16" i="38"/>
  <c r="AF16" i="38"/>
  <c r="AG16" i="38"/>
  <c r="AH16" i="38"/>
  <c r="AI16" i="38"/>
  <c r="Z17" i="38"/>
  <c r="AA17" i="38"/>
  <c r="AB17" i="38"/>
  <c r="AC17" i="38"/>
  <c r="AD17" i="38"/>
  <c r="AE17" i="38"/>
  <c r="AF17" i="38"/>
  <c r="AG17" i="38"/>
  <c r="AH17" i="38"/>
  <c r="AI17" i="38"/>
  <c r="Z18" i="38"/>
  <c r="AA18" i="38"/>
  <c r="AB18" i="38"/>
  <c r="AC18" i="38"/>
  <c r="AD18" i="38"/>
  <c r="AE18" i="38"/>
  <c r="AF18" i="38"/>
  <c r="AG18" i="38"/>
  <c r="AH18" i="38"/>
  <c r="AI18" i="38"/>
  <c r="Z19" i="38"/>
  <c r="AA19" i="38"/>
  <c r="AB19" i="38"/>
  <c r="AC19" i="38"/>
  <c r="AD19" i="38"/>
  <c r="AE19" i="38"/>
  <c r="AF19" i="38"/>
  <c r="AG19" i="38"/>
  <c r="AH19" i="38"/>
  <c r="AI19" i="38"/>
  <c r="Z20" i="38"/>
  <c r="AA20" i="38"/>
  <c r="AB20" i="38"/>
  <c r="AC20" i="38"/>
  <c r="AD20" i="38"/>
  <c r="AE20" i="38"/>
  <c r="AF20" i="38"/>
  <c r="AG20" i="38"/>
  <c r="AH20" i="38"/>
  <c r="AI20" i="38"/>
  <c r="Z21" i="38"/>
  <c r="AA21" i="38"/>
  <c r="AB21" i="38"/>
  <c r="AC21" i="38"/>
  <c r="AD21" i="38"/>
  <c r="AE21" i="38"/>
  <c r="AF21" i="38"/>
  <c r="AG21" i="38"/>
  <c r="AH21" i="38"/>
  <c r="AI21" i="38"/>
  <c r="Z22" i="38"/>
  <c r="AA22" i="38"/>
  <c r="AB22" i="38"/>
  <c r="AC22" i="38"/>
  <c r="AD22" i="38"/>
  <c r="AE22" i="38"/>
  <c r="AF22" i="38"/>
  <c r="AG22" i="38"/>
  <c r="AH22" i="38"/>
  <c r="AI22" i="38"/>
  <c r="Z23" i="38"/>
  <c r="AA23" i="38"/>
  <c r="AB23" i="38"/>
  <c r="AC23" i="38"/>
  <c r="AD23" i="38"/>
  <c r="AE23" i="38"/>
  <c r="AF23" i="38"/>
  <c r="AG23" i="38"/>
  <c r="AH23" i="38"/>
  <c r="AI23" i="38"/>
  <c r="Z24" i="38"/>
  <c r="AA24" i="38"/>
  <c r="AB24" i="38"/>
  <c r="AC24" i="38"/>
  <c r="AD24" i="38"/>
  <c r="AE24" i="38"/>
  <c r="AF24" i="38"/>
  <c r="AG24" i="38"/>
  <c r="AH24" i="38"/>
  <c r="AI24" i="38"/>
  <c r="Z25" i="38"/>
  <c r="AA25" i="38"/>
  <c r="AB25" i="38"/>
  <c r="AC25" i="38"/>
  <c r="AD25" i="38"/>
  <c r="AE25" i="38"/>
  <c r="AF25" i="38"/>
  <c r="AG25" i="38"/>
  <c r="AH25" i="38"/>
  <c r="AI25" i="38"/>
  <c r="Z26" i="38"/>
  <c r="AA26" i="38"/>
  <c r="AB26" i="38"/>
  <c r="AC26" i="38"/>
  <c r="AD26" i="38"/>
  <c r="AE26" i="38"/>
  <c r="AF26" i="38"/>
  <c r="AG26" i="38"/>
  <c r="AH26" i="38"/>
  <c r="AI26" i="38"/>
  <c r="Z27" i="38"/>
  <c r="AA27" i="38"/>
  <c r="AB27" i="38"/>
  <c r="AC27" i="38"/>
  <c r="AD27" i="38"/>
  <c r="AE27" i="38"/>
  <c r="AF27" i="38"/>
  <c r="AG27" i="38"/>
  <c r="AH27" i="38"/>
  <c r="AI27" i="38"/>
  <c r="Z28" i="38"/>
  <c r="AA28" i="38"/>
  <c r="AB28" i="38"/>
  <c r="AC28" i="38"/>
  <c r="AD28" i="38"/>
  <c r="AE28" i="38"/>
  <c r="AF28" i="38"/>
  <c r="AG28" i="38"/>
  <c r="AH28" i="38"/>
  <c r="AI28" i="38"/>
  <c r="Z29" i="38"/>
  <c r="AA29" i="38"/>
  <c r="AB29" i="38"/>
  <c r="AC29" i="38"/>
  <c r="AD29" i="38"/>
  <c r="AE29" i="38"/>
  <c r="AF29" i="38"/>
  <c r="AG29" i="38"/>
  <c r="AH29" i="38"/>
  <c r="AI29" i="38"/>
  <c r="Z30" i="38"/>
  <c r="AA30" i="38"/>
  <c r="AB30" i="38"/>
  <c r="AC30" i="38"/>
  <c r="AD30" i="38"/>
  <c r="AE30" i="38"/>
  <c r="AF30" i="38"/>
  <c r="AG30" i="38"/>
  <c r="AH30" i="38"/>
  <c r="AI30" i="38"/>
  <c r="Y6" i="38"/>
  <c r="Y7" i="38"/>
  <c r="Y8" i="38"/>
  <c r="Y9" i="38"/>
  <c r="Y10" i="38"/>
  <c r="Y11" i="38"/>
  <c r="Y12" i="38"/>
  <c r="Y13" i="38"/>
  <c r="Y14" i="38"/>
  <c r="Y15" i="38"/>
  <c r="Y16" i="38"/>
  <c r="Y17" i="38"/>
  <c r="Y18" i="38"/>
  <c r="Y19" i="38"/>
  <c r="Y20" i="38"/>
  <c r="Y21" i="38"/>
  <c r="Y22" i="38"/>
  <c r="Y23" i="38"/>
  <c r="Y24" i="38"/>
  <c r="Y25" i="38"/>
  <c r="Y26" i="38"/>
  <c r="Y27" i="38"/>
  <c r="Y28" i="38"/>
  <c r="Y29" i="38"/>
  <c r="Y30" i="38"/>
  <c r="Y5" i="38"/>
  <c r="Z5" i="25"/>
  <c r="AA5" i="25"/>
  <c r="AB5" i="25"/>
  <c r="AC5" i="25"/>
  <c r="AD5" i="25"/>
  <c r="AE5" i="25"/>
  <c r="AF5" i="25"/>
  <c r="AG5" i="25"/>
  <c r="AH5" i="25"/>
  <c r="AI5" i="25"/>
  <c r="AI6" i="25"/>
  <c r="AI7" i="25"/>
  <c r="AI8" i="25"/>
  <c r="Y6" i="25"/>
  <c r="Y7" i="25"/>
  <c r="Y8" i="25"/>
  <c r="Y5" i="25"/>
  <c r="N5" i="38"/>
  <c r="O5" i="38"/>
  <c r="P5" i="38"/>
  <c r="Q5" i="38"/>
  <c r="R5" i="38"/>
  <c r="S5" i="38"/>
  <c r="T5" i="38"/>
  <c r="U5" i="38"/>
  <c r="V5" i="38"/>
  <c r="W5" i="38"/>
  <c r="M5" i="38"/>
  <c r="D22" i="47" l="1"/>
  <c r="C29" i="47"/>
  <c r="P39" i="45"/>
  <c r="K24" i="45"/>
  <c r="K39" i="45" s="1"/>
  <c r="K56" i="45" s="1"/>
  <c r="K57" i="45" s="1"/>
  <c r="K30" i="33"/>
  <c r="G46" i="33"/>
  <c r="G57" i="33" s="1"/>
  <c r="C22" i="47" l="1"/>
  <c r="C37" i="47" s="1"/>
  <c r="C9" i="47"/>
  <c r="C7" i="47" s="1"/>
  <c r="G39" i="33"/>
  <c r="O30" i="33"/>
  <c r="G35" i="33"/>
  <c r="H30" i="33"/>
  <c r="M30" i="33"/>
  <c r="R73" i="33"/>
  <c r="R30" i="33"/>
  <c r="L30" i="33"/>
  <c r="I30" i="33"/>
  <c r="P30" i="33"/>
  <c r="Q30" i="33"/>
  <c r="N30" i="33"/>
  <c r="J30" i="33"/>
  <c r="G34" i="33"/>
  <c r="G37" i="33"/>
  <c r="G38" i="33"/>
  <c r="P43" i="33"/>
  <c r="G36" i="33"/>
  <c r="M43" i="33"/>
  <c r="L43" i="33"/>
  <c r="J43" i="33"/>
  <c r="R43" i="33"/>
  <c r="K43" i="33"/>
  <c r="I43" i="33"/>
  <c r="O43" i="33"/>
  <c r="Q43" i="33"/>
  <c r="H43" i="33"/>
  <c r="G33" i="33"/>
  <c r="N43" i="33"/>
  <c r="O73" i="33"/>
  <c r="Q73" i="33"/>
  <c r="J73" i="33"/>
  <c r="G32" i="33"/>
  <c r="L73" i="33"/>
  <c r="I73" i="33"/>
  <c r="N73" i="33"/>
  <c r="C10" i="47" l="1"/>
  <c r="C38" i="47"/>
  <c r="C11" i="47" s="1"/>
  <c r="G43" i="33"/>
  <c r="K73" i="33"/>
  <c r="P73" i="33"/>
  <c r="G62" i="33"/>
  <c r="G73" i="33" s="1"/>
  <c r="M73" i="33"/>
  <c r="C39" i="30"/>
  <c r="G27" i="33" l="1"/>
  <c r="I35" i="30" l="1"/>
  <c r="E35" i="30"/>
  <c r="F35" i="30" s="1"/>
  <c r="K35" i="30" s="1"/>
  <c r="K32" i="30"/>
  <c r="O32" i="30" s="1"/>
  <c r="J32" i="30"/>
  <c r="I26" i="30"/>
  <c r="I32" i="30" s="1"/>
  <c r="E26" i="30"/>
  <c r="F26" i="30" s="1"/>
  <c r="K26" i="30" s="1"/>
  <c r="N26" i="30" s="1"/>
  <c r="O26" i="30" s="1"/>
  <c r="P26" i="30" s="1"/>
  <c r="K31" i="30"/>
  <c r="Q26" i="30" l="1"/>
  <c r="R26" i="30"/>
  <c r="Q35" i="30"/>
  <c r="N35" i="30"/>
  <c r="O35" i="30" s="1"/>
  <c r="P35" i="30" s="1"/>
  <c r="P32" i="30"/>
  <c r="Q32" i="30" s="1"/>
  <c r="R32" i="30" l="1"/>
  <c r="R35" i="30"/>
  <c r="J31" i="30" l="1"/>
  <c r="H31" i="30"/>
  <c r="O31" i="30" s="1"/>
  <c r="I25" i="30"/>
  <c r="I31" i="30" s="1"/>
  <c r="E25" i="30"/>
  <c r="F25" i="30" s="1"/>
  <c r="K25" i="30" s="1"/>
  <c r="N25" i="30" s="1"/>
  <c r="O25" i="30" s="1"/>
  <c r="P25" i="30" s="1"/>
  <c r="R25" i="30" s="1"/>
  <c r="M6" i="25"/>
  <c r="N6" i="25"/>
  <c r="O6" i="25"/>
  <c r="P6" i="25"/>
  <c r="Q6" i="25"/>
  <c r="R6" i="25"/>
  <c r="S6" i="25"/>
  <c r="T6" i="25"/>
  <c r="U6" i="25"/>
  <c r="V6" i="25"/>
  <c r="W6" i="25"/>
  <c r="M7" i="25"/>
  <c r="N7" i="25"/>
  <c r="O7" i="25"/>
  <c r="P7" i="25"/>
  <c r="Q7" i="25"/>
  <c r="R7" i="25"/>
  <c r="S7" i="25"/>
  <c r="T7" i="25"/>
  <c r="U7" i="25"/>
  <c r="V7" i="25"/>
  <c r="W7" i="25"/>
  <c r="M8" i="25"/>
  <c r="N8" i="25"/>
  <c r="O8" i="25"/>
  <c r="P8" i="25"/>
  <c r="Q8" i="25"/>
  <c r="R8" i="25"/>
  <c r="S8" i="25"/>
  <c r="T8" i="25"/>
  <c r="U8" i="25"/>
  <c r="V8" i="25"/>
  <c r="W8" i="25"/>
  <c r="N5" i="25"/>
  <c r="O5" i="25"/>
  <c r="P5" i="25"/>
  <c r="Q5" i="25"/>
  <c r="R5" i="25"/>
  <c r="S5" i="25"/>
  <c r="T5" i="25"/>
  <c r="U5" i="25"/>
  <c r="V5" i="25"/>
  <c r="W5" i="25"/>
  <c r="M5" i="25"/>
  <c r="N2" i="33" l="1"/>
  <c r="M2" i="33"/>
  <c r="L2" i="33"/>
  <c r="K2" i="33"/>
  <c r="Z8" i="25"/>
  <c r="Z7" i="25"/>
  <c r="Z6" i="25"/>
  <c r="P31" i="30"/>
  <c r="Q25" i="30"/>
  <c r="H2" i="33" l="1"/>
  <c r="J2" i="33"/>
  <c r="I2" i="33"/>
  <c r="K14" i="33"/>
  <c r="N14" i="33"/>
  <c r="H14" i="33"/>
  <c r="I14" i="33"/>
  <c r="J14" i="33"/>
  <c r="L14" i="33"/>
  <c r="P14" i="33"/>
  <c r="Q14" i="33"/>
  <c r="R14" i="33"/>
  <c r="O14" i="33"/>
  <c r="M14" i="33"/>
  <c r="AA6" i="25"/>
  <c r="AA8" i="25"/>
  <c r="AA7" i="25"/>
  <c r="Q31" i="30"/>
  <c r="R31" i="30"/>
  <c r="G14" i="33" l="1"/>
  <c r="AB7" i="25"/>
  <c r="AB6" i="25"/>
  <c r="AB8" i="25"/>
  <c r="AC7" i="25" l="1"/>
  <c r="AC8" i="25"/>
  <c r="AC6" i="25"/>
  <c r="AD6" i="25" l="1"/>
  <c r="AD7" i="25"/>
  <c r="AD8" i="25"/>
  <c r="AE6" i="25" l="1"/>
  <c r="AE8" i="25"/>
  <c r="AE7" i="25"/>
  <c r="AF7" i="25" l="1"/>
  <c r="AF8" i="25"/>
  <c r="AF6" i="25"/>
  <c r="AH6" i="25" l="1"/>
  <c r="AG6" i="25"/>
  <c r="AH8" i="25"/>
  <c r="AG8" i="25"/>
  <c r="AH7" i="25"/>
  <c r="AG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6" authorId="0" shapeId="0" xr:uid="{00000000-0006-0000-0200-000001000000}">
      <text>
        <r>
          <rPr>
            <b/>
            <sz val="9"/>
            <color indexed="81"/>
            <rFont val="돋움"/>
            <family val="3"/>
            <charset val="129"/>
          </rPr>
          <t>현재연도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5" authorId="0" shapeId="0" xr:uid="{00000000-0006-0000-0300-000001000000}">
      <text>
        <r>
          <rPr>
            <b/>
            <sz val="9"/>
            <color indexed="81"/>
            <rFont val="돋움"/>
            <family val="3"/>
            <charset val="129"/>
          </rPr>
          <t xml:space="preserve">현재연도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김선아(신입인재육성TF)</author>
  </authors>
  <commentList>
    <comment ref="O5" authorId="0" shapeId="0" xr:uid="{00000000-0006-0000-0400-000001000000}">
      <text>
        <r>
          <rPr>
            <b/>
            <sz val="9"/>
            <color indexed="81"/>
            <rFont val="돋움"/>
            <family val="3"/>
            <charset val="129"/>
          </rPr>
          <t xml:space="preserve">IFRS 도입(2011년)에 따라 6년정액으로 일원화
</t>
        </r>
      </text>
    </comment>
    <comment ref="M42" authorId="1" shapeId="0" xr:uid="{00000000-0006-0000-0400-00000200000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 xml:space="preserve">TF):
Y9 </t>
        </r>
        <r>
          <rPr>
            <b/>
            <sz val="9"/>
            <color indexed="81"/>
            <rFont val="돋움"/>
            <family val="3"/>
            <charset val="129"/>
          </rPr>
          <t>이후</t>
        </r>
        <r>
          <rPr>
            <b/>
            <sz val="9"/>
            <color indexed="81"/>
            <rFont val="Tahoma"/>
            <family val="2"/>
          </rPr>
          <t xml:space="preserve"> </t>
        </r>
        <r>
          <rPr>
            <b/>
            <sz val="9"/>
            <color indexed="81"/>
            <rFont val="돋움"/>
            <family val="3"/>
            <charset val="129"/>
          </rPr>
          <t>누락금액</t>
        </r>
        <r>
          <rPr>
            <b/>
            <sz val="9"/>
            <color indexed="81"/>
            <rFont val="Tahoma"/>
            <family val="2"/>
          </rPr>
          <t xml:space="preserve"> </t>
        </r>
        <r>
          <rPr>
            <b/>
            <sz val="9"/>
            <color indexed="81"/>
            <rFont val="돋움"/>
            <family val="3"/>
            <charset val="129"/>
          </rPr>
          <t xml:space="preserve">추가
</t>
        </r>
      </text>
    </comment>
    <comment ref="O49" authorId="1" shapeId="0" xr:uid="{00000000-0006-0000-0400-00000300000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TF):</t>
        </r>
        <r>
          <rPr>
            <sz val="9"/>
            <color indexed="81"/>
            <rFont val="Tahoma"/>
            <family val="2"/>
          </rPr>
          <t xml:space="preserve">
</t>
        </r>
        <r>
          <rPr>
            <sz val="9"/>
            <color indexed="81"/>
            <rFont val="돋움"/>
            <family val="3"/>
            <charset val="129"/>
          </rPr>
          <t>수식</t>
        </r>
        <r>
          <rPr>
            <sz val="9"/>
            <color indexed="81"/>
            <rFont val="Tahoma"/>
            <family val="2"/>
          </rPr>
          <t xml:space="preserve"> </t>
        </r>
        <r>
          <rPr>
            <sz val="9"/>
            <color indexed="81"/>
            <rFont val="돋움"/>
            <family val="3"/>
            <charset val="129"/>
          </rPr>
          <t>누락으로</t>
        </r>
        <r>
          <rPr>
            <sz val="9"/>
            <color indexed="81"/>
            <rFont val="Tahoma"/>
            <family val="2"/>
          </rPr>
          <t xml:space="preserve"> </t>
        </r>
        <r>
          <rPr>
            <sz val="9"/>
            <color indexed="81"/>
            <rFont val="돋움"/>
            <family val="3"/>
            <charset val="129"/>
          </rPr>
          <t>추가함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6" authorId="0" shapeId="0" xr:uid="{00000000-0006-0000-0500-000001000000}">
      <text>
        <r>
          <rPr>
            <b/>
            <sz val="9"/>
            <color indexed="81"/>
            <rFont val="돋움"/>
            <family val="3"/>
            <charset val="129"/>
          </rPr>
          <t>현재연도</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쿼리 - 개발" description="통합 문서의 '개발' 쿼리에 대한 연결입니다." type="5" refreshedVersion="0" background="1">
    <dbPr connection="Provider=Microsoft.Mashup.OleDb.1;Data Source=$Workbook$;Location=개발;Extended Properties=&quot;&quot;" command="SELECT * FROM [개발]"/>
  </connection>
  <connection id="2" xr16:uid="{00000000-0015-0000-FFFF-FFFF01000000}" keepAlive="1" name="쿼리 - 개발_연비용" description="통합 문서의 '개발_연비용' 쿼리에 대한 연결입니다." type="5" refreshedVersion="0" background="1">
    <dbPr connection="Provider=Microsoft.Mashup.OleDb.1;Data Source=$Workbook$;Location=개발_연비용;Extended Properties=&quot;&quot;" command="SELECT * FROM [개발_연비용]"/>
  </connection>
  <connection id="3" xr16:uid="{00000000-0015-0000-FFFF-FFFF02000000}" keepAlive="1" name="쿼리 - 개발병합" description="통합 문서의 '개발병합' 쿼리에 대한 연결입니다." type="5" refreshedVersion="6" background="1" saveData="1">
    <dbPr connection="Provider=Microsoft.Mashup.OleDb.1;Data Source=$Workbook$;Location=개발병합;Extended Properties=&quot;&quot;" command="SELECT * FROM [개발병합]"/>
  </connection>
</connections>
</file>

<file path=xl/sharedStrings.xml><?xml version="1.0" encoding="utf-8"?>
<sst xmlns="http://schemas.openxmlformats.org/spreadsheetml/2006/main" count="6464" uniqueCount="1222">
  <si>
    <t>ID</t>
    <phoneticPr fontId="1" type="noConversion"/>
  </si>
  <si>
    <t>고객사</t>
    <phoneticPr fontId="1" type="noConversion"/>
  </si>
  <si>
    <t>대분류</t>
    <phoneticPr fontId="1" type="noConversion"/>
  </si>
  <si>
    <t>중분류</t>
    <phoneticPr fontId="1" type="noConversion"/>
  </si>
  <si>
    <t>소분류</t>
    <phoneticPr fontId="1" type="noConversion"/>
  </si>
  <si>
    <t>공급사</t>
    <phoneticPr fontId="1" type="noConversion"/>
  </si>
  <si>
    <t>단위</t>
    <phoneticPr fontId="1" type="noConversion"/>
  </si>
  <si>
    <t>수량</t>
    <phoneticPr fontId="1" type="noConversion"/>
  </si>
  <si>
    <t>소비자단가</t>
    <phoneticPr fontId="1" type="noConversion"/>
  </si>
  <si>
    <t>공급단가</t>
    <phoneticPr fontId="1" type="noConversion"/>
  </si>
  <si>
    <t>공급가합계</t>
    <phoneticPr fontId="1" type="noConversion"/>
  </si>
  <si>
    <t>Warranty</t>
    <phoneticPr fontId="1" type="noConversion"/>
  </si>
  <si>
    <t>MA기간</t>
    <phoneticPr fontId="1" type="noConversion"/>
  </si>
  <si>
    <t>MA요율</t>
    <phoneticPr fontId="1" type="noConversion"/>
  </si>
  <si>
    <t>구축</t>
  </si>
  <si>
    <t>MA총액</t>
    <phoneticPr fontId="1" type="noConversion"/>
  </si>
  <si>
    <t>비고</t>
    <phoneticPr fontId="1" type="noConversion"/>
  </si>
  <si>
    <t>Y1_M1</t>
    <phoneticPr fontId="1" type="noConversion"/>
  </si>
  <si>
    <t>Y1_M2</t>
  </si>
  <si>
    <t>Y1_M3</t>
  </si>
  <si>
    <t>Y1_M4</t>
  </si>
  <si>
    <t>Y1_M5</t>
  </si>
  <si>
    <t>Y1_M6</t>
  </si>
  <si>
    <t>Y1_M7</t>
  </si>
  <si>
    <t>Y1_M8</t>
  </si>
  <si>
    <t>Y1_M9</t>
  </si>
  <si>
    <t>Y1_M10</t>
  </si>
  <si>
    <t>Y1_M11</t>
  </si>
  <si>
    <t>Y1_M12</t>
  </si>
  <si>
    <t>Y2_M1</t>
  </si>
  <si>
    <t>Y2_M2</t>
  </si>
  <si>
    <t>Y2_M3</t>
  </si>
  <si>
    <t>Y2_M4</t>
  </si>
  <si>
    <t>Y2_M5</t>
  </si>
  <si>
    <t>Y2_M6</t>
  </si>
  <si>
    <t>Y2_M7</t>
  </si>
  <si>
    <t>Y2_M8</t>
  </si>
  <si>
    <t>Y2_M9</t>
  </si>
  <si>
    <t>Y2_M10</t>
  </si>
  <si>
    <t>Y2_M11</t>
  </si>
  <si>
    <t>Y2_M12</t>
  </si>
  <si>
    <t>Y1</t>
    <phoneticPr fontId="1" type="noConversion"/>
  </si>
  <si>
    <t>연증감율</t>
    <phoneticPr fontId="1" type="noConversion"/>
  </si>
  <si>
    <t>Y3_M1</t>
  </si>
  <si>
    <t>Y3_M2</t>
  </si>
  <si>
    <t>Y3_M3</t>
  </si>
  <si>
    <t>Y3_M4</t>
  </si>
  <si>
    <t>Y3_M5</t>
  </si>
  <si>
    <t>Y3_M6</t>
  </si>
  <si>
    <t>Y3_M7</t>
  </si>
  <si>
    <t>Y3_M8</t>
  </si>
  <si>
    <t>Y3_M9</t>
  </si>
  <si>
    <t>Y3_M10</t>
  </si>
  <si>
    <t>Y3_M11</t>
  </si>
  <si>
    <t>Y3_M12</t>
  </si>
  <si>
    <t>Y4_M1</t>
  </si>
  <si>
    <t>Y4_M2</t>
  </si>
  <si>
    <t>Y4_M3</t>
  </si>
  <si>
    <t>Y4_M4</t>
  </si>
  <si>
    <t>Y4_M5</t>
  </si>
  <si>
    <t>Y4_M6</t>
  </si>
  <si>
    <t>Y4_M7</t>
  </si>
  <si>
    <t>Y4_M8</t>
  </si>
  <si>
    <t>Y4_M9</t>
  </si>
  <si>
    <t>Y4_M10</t>
  </si>
  <si>
    <t>Y4_M11</t>
  </si>
  <si>
    <t>Y4_M12</t>
  </si>
  <si>
    <t>Y5_M1</t>
  </si>
  <si>
    <t>Y5_M2</t>
  </si>
  <si>
    <t>Y5_M3</t>
  </si>
  <si>
    <t>Y5_M4</t>
  </si>
  <si>
    <t>Y5_M5</t>
  </si>
  <si>
    <t>Y5_M6</t>
  </si>
  <si>
    <t>Y5_M7</t>
  </si>
  <si>
    <t>Y5_M8</t>
  </si>
  <si>
    <t>Y5_M9</t>
  </si>
  <si>
    <t>Y5_M10</t>
  </si>
  <si>
    <t>Y5_M11</t>
  </si>
  <si>
    <t>Y5_M12</t>
  </si>
  <si>
    <t>Y6_M1</t>
  </si>
  <si>
    <t>Y6_M2</t>
  </si>
  <si>
    <t>Y6_M3</t>
  </si>
  <si>
    <t>Y6_M4</t>
  </si>
  <si>
    <t>Y6_M5</t>
  </si>
  <si>
    <t>Y6_M6</t>
  </si>
  <si>
    <t>Y6_M7</t>
  </si>
  <si>
    <t>Y6_M8</t>
  </si>
  <si>
    <t>Y6_M9</t>
  </si>
  <si>
    <t>Y6_M10</t>
  </si>
  <si>
    <t>Y6_M11</t>
  </si>
  <si>
    <t>Y6_M12</t>
  </si>
  <si>
    <t>Y7_M1</t>
  </si>
  <si>
    <t>Y7_M2</t>
  </si>
  <si>
    <t>Y7_M3</t>
  </si>
  <si>
    <t>Y7_M4</t>
  </si>
  <si>
    <t>Y7_M5</t>
  </si>
  <si>
    <t>Y7_M6</t>
  </si>
  <si>
    <t>Y7_M7</t>
  </si>
  <si>
    <t>Y7_M8</t>
  </si>
  <si>
    <t>Y7_M9</t>
  </si>
  <si>
    <t>Y7_M10</t>
  </si>
  <si>
    <t>Y7_M11</t>
  </si>
  <si>
    <t>Y7_M12</t>
  </si>
  <si>
    <t>Y8_M1</t>
  </si>
  <si>
    <t>Y8_M2</t>
  </si>
  <si>
    <t>Y8_M3</t>
  </si>
  <si>
    <t>Y8_M4</t>
  </si>
  <si>
    <t>Y8_M5</t>
  </si>
  <si>
    <t>Y8_M6</t>
  </si>
  <si>
    <t>Y8_M7</t>
  </si>
  <si>
    <t>Y8_M8</t>
  </si>
  <si>
    <t>Y8_M9</t>
  </si>
  <si>
    <t>Y8_M10</t>
  </si>
  <si>
    <t>Y8_M11</t>
  </si>
  <si>
    <t>Y8_M12</t>
  </si>
  <si>
    <t>Y9_M1</t>
  </si>
  <si>
    <t>Y9_M2</t>
  </si>
  <si>
    <t>Y9_M3</t>
  </si>
  <si>
    <t>Y9_M4</t>
  </si>
  <si>
    <t>Y9_M5</t>
  </si>
  <si>
    <t>Y9_M6</t>
  </si>
  <si>
    <t>Y9_M7</t>
  </si>
  <si>
    <t>Y9_M8</t>
  </si>
  <si>
    <t>Y9_M9</t>
  </si>
  <si>
    <t>Y9_M10</t>
  </si>
  <si>
    <t>Y9_M11</t>
  </si>
  <si>
    <t>Y9_M12</t>
  </si>
  <si>
    <t>Y10_M1</t>
  </si>
  <si>
    <t>Y10_M2</t>
  </si>
  <si>
    <t>Y10_M3</t>
  </si>
  <si>
    <t>Y10_M4</t>
  </si>
  <si>
    <t>Y10_M5</t>
  </si>
  <si>
    <t>Y10_M6</t>
  </si>
  <si>
    <t>Y10_M7</t>
  </si>
  <si>
    <t>Y10_M8</t>
  </si>
  <si>
    <t>Y10_M9</t>
  </si>
  <si>
    <t>Y10_M10</t>
  </si>
  <si>
    <t>Y10_M11</t>
  </si>
  <si>
    <t>Y10_M12</t>
  </si>
  <si>
    <t>Y2</t>
    <phoneticPr fontId="1" type="noConversion"/>
  </si>
  <si>
    <t>Y3</t>
    <phoneticPr fontId="1" type="noConversion"/>
  </si>
  <si>
    <t>Y4</t>
    <phoneticPr fontId="1" type="noConversion"/>
  </si>
  <si>
    <t>Y5</t>
    <phoneticPr fontId="1" type="noConversion"/>
  </si>
  <si>
    <t>Y6</t>
    <phoneticPr fontId="1" type="noConversion"/>
  </si>
  <si>
    <t>Y7</t>
    <phoneticPr fontId="1" type="noConversion"/>
  </si>
  <si>
    <t>Y8</t>
    <phoneticPr fontId="1" type="noConversion"/>
  </si>
  <si>
    <t>Y9</t>
    <phoneticPr fontId="1" type="noConversion"/>
  </si>
  <si>
    <t>Y10</t>
    <phoneticPr fontId="1" type="noConversion"/>
  </si>
  <si>
    <t>과업1</t>
    <phoneticPr fontId="1" type="noConversion"/>
  </si>
  <si>
    <t>과업2</t>
  </si>
  <si>
    <t>과업3</t>
  </si>
  <si>
    <t>공란</t>
    <phoneticPr fontId="1" type="noConversion"/>
  </si>
  <si>
    <t>운영</t>
  </si>
  <si>
    <t>솔루션</t>
  </si>
  <si>
    <t>공란2</t>
    <phoneticPr fontId="1" type="noConversion"/>
  </si>
  <si>
    <t>요율</t>
    <phoneticPr fontId="1" type="noConversion"/>
  </si>
  <si>
    <t>증가율</t>
    <phoneticPr fontId="1" type="noConversion"/>
  </si>
  <si>
    <t>롯데렌탈</t>
    <phoneticPr fontId="1" type="noConversion"/>
  </si>
  <si>
    <t>Y1기간</t>
    <phoneticPr fontId="1" type="noConversion"/>
  </si>
  <si>
    <t>Y2기간</t>
  </si>
  <si>
    <t>Y3기간</t>
  </si>
  <si>
    <t>Y4기간</t>
  </si>
  <si>
    <t>Y5기간</t>
  </si>
  <si>
    <t>Y6기간</t>
  </si>
  <si>
    <t>Y7기간</t>
  </si>
  <si>
    <t>Y8기간</t>
  </si>
  <si>
    <t>Y9기간</t>
  </si>
  <si>
    <t>Y10기간</t>
  </si>
  <si>
    <t>Y11기간</t>
  </si>
  <si>
    <t>상담사</t>
  </si>
  <si>
    <t>Y11_M1</t>
  </si>
  <si>
    <t>Y11_M2</t>
  </si>
  <si>
    <t>Y11_M3</t>
  </si>
  <si>
    <t>Y11_M4</t>
  </si>
  <si>
    <t>Y11_M5</t>
  </si>
  <si>
    <t>Y11_M6</t>
  </si>
  <si>
    <t>Y11_M7</t>
  </si>
  <si>
    <t>Y11_M8</t>
  </si>
  <si>
    <t>Y11_M9</t>
  </si>
  <si>
    <t>Y11_M10</t>
  </si>
  <si>
    <t>Y11_M11</t>
  </si>
  <si>
    <t>Y11_M12</t>
  </si>
  <si>
    <t>Y11</t>
  </si>
  <si>
    <t>Y11</t>
    <phoneticPr fontId="1" type="noConversion"/>
  </si>
  <si>
    <t>Y1공백기간</t>
    <phoneticPr fontId="1" type="noConversion"/>
  </si>
  <si>
    <t>Y1월단가</t>
    <phoneticPr fontId="1" type="noConversion"/>
  </si>
  <si>
    <t>관리자</t>
  </si>
  <si>
    <t>센터장</t>
  </si>
  <si>
    <t>코드</t>
    <phoneticPr fontId="1" type="noConversion"/>
  </si>
  <si>
    <t>구분</t>
    <phoneticPr fontId="1" type="noConversion"/>
  </si>
  <si>
    <t>분야</t>
    <phoneticPr fontId="1" type="noConversion"/>
  </si>
  <si>
    <t>직급</t>
    <phoneticPr fontId="1" type="noConversion"/>
  </si>
  <si>
    <t>임금상승율</t>
    <phoneticPr fontId="1" type="noConversion"/>
  </si>
  <si>
    <t>인건비</t>
    <phoneticPr fontId="1" type="noConversion"/>
  </si>
  <si>
    <t>명</t>
    <phoneticPr fontId="1" type="noConversion"/>
  </si>
  <si>
    <t>Y1월단가</t>
  </si>
  <si>
    <t>Y2월단가</t>
  </si>
  <si>
    <t>Y3월단가</t>
  </si>
  <si>
    <t>Y4월단가</t>
  </si>
  <si>
    <t>Y5월단가</t>
  </si>
  <si>
    <t>Y6월단가</t>
  </si>
  <si>
    <t>Y7월단가</t>
  </si>
  <si>
    <t>Y8월단가</t>
  </si>
  <si>
    <t>Y9월단가</t>
  </si>
  <si>
    <t>Y10월단가</t>
  </si>
  <si>
    <t>Y11월단가</t>
  </si>
  <si>
    <t>Y1월인력</t>
    <phoneticPr fontId="1" type="noConversion"/>
  </si>
  <si>
    <t>Y2월인력</t>
  </si>
  <si>
    <t>Y3월인력</t>
  </si>
  <si>
    <t>Y4월인력</t>
  </si>
  <si>
    <t>Y5월인력</t>
  </si>
  <si>
    <t>Y6월인력</t>
  </si>
  <si>
    <t>Y7월인력</t>
  </si>
  <si>
    <t>Y8월인력</t>
  </si>
  <si>
    <t>Y9월인력</t>
  </si>
  <si>
    <t>Y10월인력</t>
  </si>
  <si>
    <t>Y11월인력</t>
  </si>
  <si>
    <t>오토케어</t>
    <phoneticPr fontId="1" type="noConversion"/>
  </si>
  <si>
    <t>매니저</t>
  </si>
  <si>
    <t>그린카</t>
    <phoneticPr fontId="1" type="noConversion"/>
  </si>
  <si>
    <t>STT_TA</t>
    <phoneticPr fontId="1" type="noConversion"/>
  </si>
  <si>
    <t>솔루션</t>
    <phoneticPr fontId="1" type="noConversion"/>
  </si>
  <si>
    <t>(A)전체콜(연)</t>
    <phoneticPr fontId="1" type="noConversion"/>
  </si>
  <si>
    <t>(B)대상콜비중</t>
    <phoneticPr fontId="1" type="noConversion"/>
  </si>
  <si>
    <t>(C)전체상담시간(년)(초)</t>
    <phoneticPr fontId="1" type="noConversion"/>
  </si>
  <si>
    <t>(D)전체상담시간(일)(초)</t>
    <phoneticPr fontId="1" type="noConversion"/>
  </si>
  <si>
    <t>(E)평균콜상담시간(일)(초)</t>
    <phoneticPr fontId="1" type="noConversion"/>
  </si>
  <si>
    <t>(F)CPD(평일)</t>
    <phoneticPr fontId="1" type="noConversion"/>
  </si>
  <si>
    <t>(G)평균연봉</t>
    <phoneticPr fontId="1" type="noConversion"/>
  </si>
  <si>
    <t>(H)전체인건비</t>
    <phoneticPr fontId="1" type="noConversion"/>
  </si>
  <si>
    <t>A * E</t>
    <phoneticPr fontId="1" type="noConversion"/>
  </si>
  <si>
    <t>C / 12개월 / 21일</t>
    <phoneticPr fontId="1" type="noConversion"/>
  </si>
  <si>
    <t>H x 0.8 / 50</t>
    <phoneticPr fontId="1" type="noConversion"/>
  </si>
  <si>
    <t>(I)총감소시간</t>
    <phoneticPr fontId="1" type="noConversion"/>
  </si>
  <si>
    <t>(J)절감시간비중</t>
    <phoneticPr fontId="1" type="noConversion"/>
  </si>
  <si>
    <t>(K)효과</t>
    <phoneticPr fontId="1" type="noConversion"/>
  </si>
  <si>
    <t>(L)절감콜</t>
    <phoneticPr fontId="1" type="noConversion"/>
  </si>
  <si>
    <t>(N)금액환산</t>
    <phoneticPr fontId="1" type="noConversion"/>
  </si>
  <si>
    <t>(O)인건비감소 비중</t>
    <phoneticPr fontId="1" type="noConversion"/>
  </si>
  <si>
    <t>(P)10년효과</t>
    <phoneticPr fontId="1" type="noConversion"/>
  </si>
  <si>
    <t>D x L x M</t>
    <phoneticPr fontId="1" type="noConversion"/>
  </si>
  <si>
    <t>I / E</t>
    <phoneticPr fontId="1" type="noConversion"/>
  </si>
  <si>
    <t>L / F</t>
    <phoneticPr fontId="1" type="noConversion"/>
  </si>
  <si>
    <t>(M)상담사</t>
    <phoneticPr fontId="1" type="noConversion"/>
  </si>
  <si>
    <t>M * G</t>
    <phoneticPr fontId="1" type="noConversion"/>
  </si>
  <si>
    <t>N / J</t>
    <phoneticPr fontId="1" type="noConversion"/>
  </si>
  <si>
    <t>N * 10년</t>
    <phoneticPr fontId="1" type="noConversion"/>
  </si>
  <si>
    <t>보이는ARS</t>
    <phoneticPr fontId="1" type="noConversion"/>
  </si>
  <si>
    <t>A / 12개월 / 21일 * J  * K</t>
    <phoneticPr fontId="1" type="noConversion"/>
  </si>
  <si>
    <t>(I)셀프처리 예상건수</t>
    <phoneticPr fontId="1" type="noConversion"/>
  </si>
  <si>
    <t>(K)ARS 콜 중 셀프처리</t>
    <phoneticPr fontId="1" type="noConversion"/>
  </si>
  <si>
    <t>(J)ARS처리비중</t>
    <phoneticPr fontId="1" type="noConversion"/>
  </si>
  <si>
    <t>I / F</t>
    <phoneticPr fontId="1" type="noConversion"/>
  </si>
  <si>
    <t>A / 12개월 / 30일 * J  * K</t>
    <phoneticPr fontId="1" type="noConversion"/>
  </si>
  <si>
    <t>C / 12개월 / 30일</t>
    <phoneticPr fontId="1" type="noConversion"/>
  </si>
  <si>
    <t>상담사</t>
    <phoneticPr fontId="1" type="noConversion"/>
  </si>
  <si>
    <t>관리자</t>
    <phoneticPr fontId="1" type="noConversion"/>
  </si>
  <si>
    <t>합계</t>
    <phoneticPr fontId="1" type="noConversion"/>
  </si>
  <si>
    <t>Y2</t>
  </si>
  <si>
    <t>Y3</t>
  </si>
  <si>
    <t>Y4</t>
  </si>
  <si>
    <t>Y5</t>
  </si>
  <si>
    <t>Y6</t>
  </si>
  <si>
    <t>Y7</t>
  </si>
  <si>
    <t>Y8</t>
  </si>
  <si>
    <t>Y9</t>
  </si>
  <si>
    <t>Y10</t>
  </si>
  <si>
    <t>인력유형</t>
    <phoneticPr fontId="1" type="noConversion"/>
  </si>
  <si>
    <t>BPR</t>
    <phoneticPr fontId="1" type="noConversion"/>
  </si>
  <si>
    <t>MA월단가</t>
    <phoneticPr fontId="1" type="noConversion"/>
  </si>
  <si>
    <t>1. Base Case</t>
    <phoneticPr fontId="1" type="noConversion"/>
  </si>
  <si>
    <t>인건비 GAP</t>
    <phoneticPr fontId="1" type="noConversion"/>
  </si>
  <si>
    <t>1. Baseline</t>
    <phoneticPr fontId="1" type="noConversion"/>
  </si>
  <si>
    <t>2. 하도급견적</t>
    <phoneticPr fontId="1" type="noConversion"/>
  </si>
  <si>
    <t>인건비</t>
  </si>
  <si>
    <t>ASP</t>
    <phoneticPr fontId="1" type="noConversion"/>
  </si>
  <si>
    <t>BASE</t>
    <phoneticPr fontId="1" type="noConversion"/>
  </si>
  <si>
    <t>COST</t>
    <phoneticPr fontId="1" type="noConversion"/>
  </si>
  <si>
    <t>수행비용</t>
  </si>
  <si>
    <t>구축</t>
    <phoneticPr fontId="1" type="noConversion"/>
  </si>
  <si>
    <t>직접경비</t>
  </si>
  <si>
    <t>수행출장비(국내)</t>
  </si>
  <si>
    <t>수행활동비</t>
  </si>
  <si>
    <t>차장</t>
  </si>
  <si>
    <t>KT</t>
    <phoneticPr fontId="1" type="noConversion"/>
  </si>
  <si>
    <t>투입기간</t>
    <phoneticPr fontId="1" type="noConversion"/>
  </si>
  <si>
    <t>공백기간</t>
    <phoneticPr fontId="1" type="noConversion"/>
  </si>
  <si>
    <t>월비용</t>
    <phoneticPr fontId="1" type="noConversion"/>
  </si>
  <si>
    <t>수행비용</t>
    <phoneticPr fontId="1" type="noConversion"/>
  </si>
  <si>
    <t>일반경비</t>
  </si>
  <si>
    <t>수행총액</t>
    <phoneticPr fontId="1" type="noConversion"/>
  </si>
  <si>
    <t>수행01</t>
    <phoneticPr fontId="1" type="noConversion"/>
  </si>
  <si>
    <t>수행02</t>
  </si>
  <si>
    <t>수행03</t>
  </si>
  <si>
    <t>수행04</t>
  </si>
  <si>
    <t>수행05</t>
  </si>
  <si>
    <t>수행06</t>
  </si>
  <si>
    <t>수행07</t>
  </si>
  <si>
    <t>수행08</t>
  </si>
  <si>
    <t>수행09</t>
  </si>
  <si>
    <t>수행10</t>
  </si>
  <si>
    <t>수행11</t>
  </si>
  <si>
    <t>수행12</t>
  </si>
  <si>
    <t>수행13</t>
  </si>
  <si>
    <t>식</t>
    <phoneticPr fontId="1" type="noConversion"/>
  </si>
  <si>
    <t>고급기술자</t>
  </si>
  <si>
    <t>중급기술자</t>
  </si>
  <si>
    <t>M/M</t>
  </si>
  <si>
    <t>인건비 총액</t>
    <phoneticPr fontId="1" type="noConversion"/>
  </si>
  <si>
    <t>구축합계</t>
    <phoneticPr fontId="1" type="noConversion"/>
  </si>
  <si>
    <t>MA합계</t>
    <phoneticPr fontId="1" type="noConversion"/>
  </si>
  <si>
    <t>총계</t>
    <phoneticPr fontId="1" type="noConversion"/>
  </si>
  <si>
    <t>개발</t>
    <phoneticPr fontId="1" type="noConversion"/>
  </si>
  <si>
    <t>라이선스</t>
    <phoneticPr fontId="1" type="noConversion"/>
  </si>
  <si>
    <t>HW</t>
    <phoneticPr fontId="1" type="noConversion"/>
  </si>
  <si>
    <t>SW</t>
    <phoneticPr fontId="1" type="noConversion"/>
  </si>
  <si>
    <t>운영</t>
    <phoneticPr fontId="1" type="noConversion"/>
  </si>
  <si>
    <t>MA</t>
    <phoneticPr fontId="1" type="noConversion"/>
  </si>
  <si>
    <t>인프라</t>
    <phoneticPr fontId="1" type="noConversion"/>
  </si>
  <si>
    <t>협력사</t>
    <phoneticPr fontId="1" type="noConversion"/>
  </si>
  <si>
    <t>구축 소계</t>
    <phoneticPr fontId="1" type="noConversion"/>
  </si>
  <si>
    <t>운영 소계</t>
    <phoneticPr fontId="1" type="noConversion"/>
  </si>
  <si>
    <t>MA 소계</t>
    <phoneticPr fontId="1" type="noConversion"/>
  </si>
  <si>
    <t>KTH</t>
    <phoneticPr fontId="1" type="noConversion"/>
  </si>
  <si>
    <t>도연시스템즈</t>
    <phoneticPr fontId="1" type="noConversion"/>
  </si>
  <si>
    <t>HOME</t>
    <phoneticPr fontId="1" type="noConversion"/>
  </si>
  <si>
    <t>AICC 비용산정 목차</t>
    <phoneticPr fontId="1" type="noConversion"/>
  </si>
  <si>
    <t>1. 솔루션효과</t>
    <phoneticPr fontId="1" type="noConversion"/>
  </si>
  <si>
    <t>2. CPD</t>
    <phoneticPr fontId="1" type="noConversion"/>
  </si>
  <si>
    <t>■ 인건비 요약</t>
    <phoneticPr fontId="1" type="noConversion"/>
  </si>
  <si>
    <t>■ 구축비용 요약</t>
    <phoneticPr fontId="1" type="noConversion"/>
  </si>
  <si>
    <t>■ 수행비용 요약</t>
    <phoneticPr fontId="1" type="noConversion"/>
  </si>
  <si>
    <t>■ Baseline 정리</t>
    <phoneticPr fontId="1" type="noConversion"/>
  </si>
  <si>
    <t>■ 견적정리</t>
    <phoneticPr fontId="1" type="noConversion"/>
  </si>
  <si>
    <t>aig_lbr01</t>
  </si>
  <si>
    <t>aig_lbr01</t>
    <phoneticPr fontId="1" type="noConversion"/>
  </si>
  <si>
    <t>AIG</t>
    <phoneticPr fontId="1" type="noConversion"/>
  </si>
  <si>
    <t>IB</t>
  </si>
  <si>
    <t>CS CSR</t>
  </si>
  <si>
    <t>CP CSR</t>
  </si>
  <si>
    <t>ECS CSR</t>
  </si>
  <si>
    <t>SA CSR</t>
  </si>
  <si>
    <t>BS CSR</t>
  </si>
  <si>
    <t>Renewal OB CSR</t>
  </si>
  <si>
    <t>DP CSR</t>
  </si>
  <si>
    <t>팀장</t>
  </si>
  <si>
    <t>교육강사</t>
  </si>
  <si>
    <t>Staff</t>
  </si>
  <si>
    <t>OB</t>
  </si>
  <si>
    <t>부매니져</t>
  </si>
  <si>
    <t>Trainer</t>
  </si>
  <si>
    <t>CSR - 해피콜</t>
  </si>
  <si>
    <t>CSR - MPR</t>
  </si>
  <si>
    <t>QC</t>
  </si>
  <si>
    <t>현장대리인</t>
  </si>
  <si>
    <t>강사</t>
  </si>
  <si>
    <t>BA</t>
  </si>
  <si>
    <t>QMR</t>
  </si>
  <si>
    <t>QA</t>
  </si>
  <si>
    <t>인바운드블렌딩</t>
  </si>
  <si>
    <t>aig_lbr02</t>
  </si>
  <si>
    <t>aig_lbr03</t>
  </si>
  <si>
    <t>aig_lbr04</t>
  </si>
  <si>
    <t>aig_lbr05</t>
  </si>
  <si>
    <t>aig_lbr06</t>
  </si>
  <si>
    <t>aig_lbr07</t>
  </si>
  <si>
    <t>aig_lbr08</t>
  </si>
  <si>
    <t>aig_lbr09</t>
  </si>
  <si>
    <t>aig_lbr10</t>
  </si>
  <si>
    <t>aig_lbr11</t>
  </si>
  <si>
    <t>aig_lbr12</t>
  </si>
  <si>
    <t>aig_lbr13</t>
  </si>
  <si>
    <t>aig_lbr14</t>
  </si>
  <si>
    <t>aig_lbr15</t>
  </si>
  <si>
    <t>aig_lbr16</t>
  </si>
  <si>
    <t>aig_lbr17</t>
  </si>
  <si>
    <t>aig_lbr18</t>
  </si>
  <si>
    <t>aig_lbr19</t>
  </si>
  <si>
    <t>aig_lbr20</t>
  </si>
  <si>
    <t>aig_lbr21</t>
  </si>
  <si>
    <t>aig_lbr22</t>
  </si>
  <si>
    <t>aig_lbr23</t>
  </si>
  <si>
    <t>aig_lbr24</t>
  </si>
  <si>
    <t>aig_lbr25</t>
  </si>
  <si>
    <t>aig_lbr26</t>
  </si>
  <si>
    <t>메타넷</t>
    <phoneticPr fontId="1" type="noConversion"/>
  </si>
  <si>
    <t>메타넷</t>
    <phoneticPr fontId="1" type="noConversion"/>
  </si>
  <si>
    <t>AIG</t>
    <phoneticPr fontId="1" type="noConversion"/>
  </si>
  <si>
    <t>챗봇</t>
    <phoneticPr fontId="1" type="noConversion"/>
  </si>
  <si>
    <t>빅데이터</t>
    <phoneticPr fontId="1" type="noConversion"/>
  </si>
  <si>
    <t>과업유형</t>
    <phoneticPr fontId="1" type="noConversion"/>
  </si>
  <si>
    <t>IB</t>
    <phoneticPr fontId="1" type="noConversion"/>
  </si>
  <si>
    <t>OB</t>
    <phoneticPr fontId="1" type="noConversion"/>
  </si>
  <si>
    <t>QC</t>
    <phoneticPr fontId="1" type="noConversion"/>
  </si>
  <si>
    <t>QA</t>
    <phoneticPr fontId="1" type="noConversion"/>
  </si>
  <si>
    <t>Y1월인력
(평균)</t>
    <phoneticPr fontId="1" type="noConversion"/>
  </si>
  <si>
    <t>Y2월인력
(평균)</t>
  </si>
  <si>
    <t>Y3월인력
(평균)</t>
  </si>
  <si>
    <t>Y4월인력
(평균)</t>
  </si>
  <si>
    <t>Y5월인력
(평균)</t>
  </si>
  <si>
    <t>Y6월인력
(평균)</t>
  </si>
  <si>
    <t>Y7월인력
(평균)</t>
  </si>
  <si>
    <t>Y8월인력
(평균)</t>
  </si>
  <si>
    <t>Y9월인력
(평균)</t>
  </si>
  <si>
    <t>Y10월인력
(평균)</t>
  </si>
  <si>
    <t>Y11월인력
(평균)</t>
  </si>
  <si>
    <t>Y1월인력
(합계)</t>
    <phoneticPr fontId="1" type="noConversion"/>
  </si>
  <si>
    <t>Y2월인력
(합계)</t>
  </si>
  <si>
    <t>Y3월인력
(합계)</t>
  </si>
  <si>
    <t>Y4월인력
(합계)</t>
  </si>
  <si>
    <t>Y5월인력
(합계)</t>
  </si>
  <si>
    <t>Y6월인력
(합계)</t>
  </si>
  <si>
    <t>Y7월인력
(합계)</t>
  </si>
  <si>
    <t>Y8월인력
(합계)</t>
  </si>
  <si>
    <t>Y9월인력
(합계)</t>
  </si>
  <si>
    <t>Y10월인력
(합계)</t>
  </si>
  <si>
    <t>순천 상주</t>
  </si>
  <si>
    <t>여의도 상주</t>
  </si>
  <si>
    <t>인입호 감소</t>
  </si>
  <si>
    <t>상담분석</t>
  </si>
  <si>
    <t>aig_lbr27</t>
  </si>
  <si>
    <t>aig_lbr28</t>
  </si>
  <si>
    <t>aig_lbr29</t>
  </si>
  <si>
    <t>aig_lbr30</t>
  </si>
  <si>
    <t>AIG</t>
  </si>
  <si>
    <t>관리운영</t>
  </si>
  <si>
    <t>관리운영</t>
    <phoneticPr fontId="1" type="noConversion"/>
  </si>
  <si>
    <t>DT고도화</t>
  </si>
  <si>
    <t>DT고도화</t>
    <phoneticPr fontId="1" type="noConversion"/>
  </si>
  <si>
    <t>번호1</t>
    <phoneticPr fontId="1" type="noConversion"/>
  </si>
  <si>
    <t>번호2</t>
  </si>
  <si>
    <t>번호3</t>
  </si>
  <si>
    <t>번호4</t>
  </si>
  <si>
    <t>번호5</t>
  </si>
  <si>
    <t>번호6</t>
  </si>
  <si>
    <t>번호7</t>
  </si>
  <si>
    <t>번호8</t>
  </si>
  <si>
    <t>번호9</t>
  </si>
  <si>
    <t>번호10</t>
  </si>
  <si>
    <t>확인</t>
    <phoneticPr fontId="1" type="noConversion"/>
  </si>
  <si>
    <t>인입호감소</t>
    <phoneticPr fontId="1" type="noConversion"/>
  </si>
  <si>
    <t>인입호감소</t>
  </si>
  <si>
    <t>보험료</t>
  </si>
  <si>
    <t>자문비</t>
  </si>
  <si>
    <t>BPO 수행출장비(국내)</t>
  </si>
  <si>
    <t>솔루션 구축 PL</t>
  </si>
  <si>
    <t>Y1</t>
  </si>
  <si>
    <t>투자</t>
  </si>
  <si>
    <t>제안비용</t>
  </si>
  <si>
    <t>영업비용</t>
  </si>
  <si>
    <t>KT 인건비</t>
  </si>
  <si>
    <t>솔루션 구축 PM</t>
  </si>
  <si>
    <t>솔루션 구축 PL_TM</t>
  </si>
  <si>
    <t>빅데이터 분석</t>
  </si>
  <si>
    <t>운영 PM(용산 상주)</t>
  </si>
  <si>
    <t>운영 PL(순천 상주, 현장대리인, 인력 승계)</t>
  </si>
  <si>
    <t>운영 PL(여의도 상주, 인력승계 DA)</t>
  </si>
  <si>
    <t>BM Cost</t>
  </si>
  <si>
    <t>C.Cost</t>
  </si>
  <si>
    <t>CC(투자효과반영)</t>
  </si>
  <si>
    <t>CC(솔루션구축-수행)</t>
  </si>
  <si>
    <t>(%)</t>
  </si>
  <si>
    <t>비용</t>
  </si>
  <si>
    <t>기존 증감율</t>
  </si>
  <si>
    <t>매출 시나리오  →</t>
  </si>
  <si>
    <t>Simulaion</t>
  </si>
  <si>
    <t>BAU * 93%</t>
  </si>
  <si>
    <t>매출증가율=0</t>
  </si>
  <si>
    <t>매출</t>
  </si>
  <si>
    <t>변동비</t>
  </si>
  <si>
    <t>고정비</t>
  </si>
  <si>
    <t>이익</t>
  </si>
  <si>
    <t>NPV</t>
  </si>
  <si>
    <t>※ BAU변동에 의한 하도급비용은 실제 견적이 필요하나 편의상 매출 연동 비율로 추정함</t>
  </si>
  <si>
    <t>합 계</t>
  </si>
  <si>
    <t>CAGR</t>
  </si>
  <si>
    <t>매출 총계</t>
  </si>
  <si>
    <t>비용 총계</t>
  </si>
  <si>
    <t>운영인건비</t>
  </si>
  <si>
    <t>관리운용</t>
  </si>
  <si>
    <t>* 매출대비</t>
  </si>
  <si>
    <t>항 목</t>
  </si>
  <si>
    <t>기준 하도급 금액</t>
  </si>
  <si>
    <t>하도급 추가 절감율</t>
  </si>
  <si>
    <t>하도급 추가 절감액</t>
  </si>
  <si>
    <t>최종 타겟 하도급금액</t>
  </si>
  <si>
    <t>H</t>
    <phoneticPr fontId="1" type="noConversion"/>
  </si>
  <si>
    <t>비용 요약</t>
    <phoneticPr fontId="35" type="noConversion"/>
  </si>
  <si>
    <t>* 감가비는 투자Sheet에서 자동계산되므로 입력하지 말것</t>
    <phoneticPr fontId="35" type="noConversion"/>
  </si>
  <si>
    <t>(단위: 백만원)</t>
    <phoneticPr fontId="35" type="noConversion"/>
  </si>
  <si>
    <t>구분</t>
  </si>
  <si>
    <t>적요</t>
    <phoneticPr fontId="35" type="noConversion"/>
  </si>
  <si>
    <t>Y0</t>
    <phoneticPr fontId="35" type="noConversion"/>
  </si>
  <si>
    <t>비고</t>
    <phoneticPr fontId="35" type="noConversion"/>
  </si>
  <si>
    <t>인건비</t>
    <phoneticPr fontId="35" type="noConversion"/>
  </si>
  <si>
    <t>1. AICC운영비</t>
    <phoneticPr fontId="35" type="noConversion"/>
  </si>
  <si>
    <r>
      <t xml:space="preserve"> </t>
    </r>
    <r>
      <rPr>
        <sz val="10"/>
        <color indexed="10"/>
        <rFont val="맑은 고딕"/>
        <family val="3"/>
        <charset val="129"/>
      </rPr>
      <t>사업수행을 위해 인원 증원할 경우에만 산출
 기존 인력 활용은 SUNK COST로 간주하여 제외</t>
    </r>
    <r>
      <rPr>
        <sz val="10"/>
        <rFont val="맑은 고딕"/>
        <family val="3"/>
        <charset val="129"/>
      </rPr>
      <t xml:space="preserve">
 ※ 직원 1인당 평균인건비 62 백만원
  (2012년 사업보고서 기준)</t>
    </r>
    <phoneticPr fontId="35" type="noConversion"/>
  </si>
  <si>
    <t>2. 하도급 인건비(I/B, 관리운영비)</t>
    <phoneticPr fontId="35" type="noConversion"/>
  </si>
  <si>
    <t>3. 하도급 인건비(O/B, QC)</t>
    <phoneticPr fontId="35" type="noConversion"/>
  </si>
  <si>
    <t>4. KT 인건비</t>
    <phoneticPr fontId="35" type="noConversion"/>
  </si>
  <si>
    <t>5. MA</t>
    <phoneticPr fontId="35" type="noConversion"/>
  </si>
  <si>
    <t>소계</t>
    <phoneticPr fontId="35" type="noConversion"/>
  </si>
  <si>
    <t>서비스매출원가</t>
    <phoneticPr fontId="35" type="noConversion"/>
  </si>
  <si>
    <t>1. BM 책임비용</t>
    <phoneticPr fontId="35" type="noConversion"/>
  </si>
  <si>
    <t xml:space="preserve"> 서비스구입비, 상품(단말)구입비, 
 컨텐츠구입비, 접속비, 국제정산부담금
 등 서비스 제공을 위한 원가 </t>
    <phoneticPr fontId="35" type="noConversion"/>
  </si>
  <si>
    <t>2. 빅데이터 컨설팅 KTH</t>
    <phoneticPr fontId="35" type="noConversion"/>
  </si>
  <si>
    <t xml:space="preserve">4. …. </t>
    <phoneticPr fontId="35" type="noConversion"/>
  </si>
  <si>
    <t>판매비</t>
    <phoneticPr fontId="35" type="noConversion"/>
  </si>
  <si>
    <t>1. 판매촉진비</t>
    <phoneticPr fontId="35" type="noConversion"/>
  </si>
  <si>
    <t>판매촉진비 : 내부직원(RM, ITC, AM 판매비
 판매수수료 : 외부 유통채널 이용시 지급수수료</t>
    <phoneticPr fontId="35" type="noConversion"/>
  </si>
  <si>
    <t>2. 판매수수료</t>
    <phoneticPr fontId="35" type="noConversion"/>
  </si>
  <si>
    <t>소계</t>
  </si>
  <si>
    <t>사업경비</t>
    <phoneticPr fontId="35" type="noConversion"/>
  </si>
  <si>
    <t>Contingency Cost(매출액 전체)</t>
    <phoneticPr fontId="35" type="noConversion"/>
  </si>
  <si>
    <t xml:space="preserve"> 사업수행과 관련하여 직접적으로 발생하는 비용만 산출
 기존 배정된 기관의 사업경비는 의사결정과 무관한 비용이므로 제외</t>
    <phoneticPr fontId="35" type="noConversion"/>
  </si>
  <si>
    <t>2. 기타 수행/영업/제안 경비</t>
  </si>
  <si>
    <t>1-2. CC(투자효과반영)</t>
  </si>
  <si>
    <t>1-2. CC(솔루션구축-수행)</t>
  </si>
  <si>
    <t>감가비</t>
    <phoneticPr fontId="35" type="noConversion"/>
  </si>
  <si>
    <t>투자금액으로부터 자동계산</t>
    <phoneticPr fontId="35" type="noConversion"/>
  </si>
  <si>
    <t>자동계산되는 부분이므로 입력하지 말 것</t>
    <phoneticPr fontId="35" type="noConversion"/>
  </si>
  <si>
    <t>비용 합계</t>
  </si>
  <si>
    <t>유발비용</t>
    <phoneticPr fontId="35" type="noConversion"/>
  </si>
  <si>
    <t xml:space="preserve">1. …. </t>
    <phoneticPr fontId="35" type="noConversion"/>
  </si>
  <si>
    <t xml:space="preserve">2. …. </t>
    <phoneticPr fontId="35" type="noConversion"/>
  </si>
  <si>
    <t>3. 유발투자로 인한 감가비(투자금액으로부터 자동계산)</t>
    <phoneticPr fontId="35" type="noConversion"/>
  </si>
  <si>
    <t>유발비용 합계</t>
    <phoneticPr fontId="35" type="noConversion"/>
  </si>
  <si>
    <t>비용 총계</t>
    <phoneticPr fontId="35" type="noConversion"/>
  </si>
  <si>
    <t>Case 0</t>
  </si>
  <si>
    <t>NPV</t>
    <phoneticPr fontId="35" type="noConversion"/>
  </si>
  <si>
    <t xml:space="preserve">  : 5년간의 매출 추정</t>
    <phoneticPr fontId="35" type="noConversion"/>
  </si>
  <si>
    <t>구분</t>
    <phoneticPr fontId="35" type="noConversion"/>
  </si>
  <si>
    <t>Y1</t>
    <phoneticPr fontId="35" type="noConversion"/>
  </si>
  <si>
    <t>1. 매출</t>
    <phoneticPr fontId="35" type="noConversion"/>
  </si>
  <si>
    <t>3. …</t>
    <phoneticPr fontId="35" type="noConversion"/>
  </si>
  <si>
    <t>4. …</t>
    <phoneticPr fontId="35" type="noConversion"/>
  </si>
  <si>
    <t>5. 유발매출</t>
    <phoneticPr fontId="35" type="noConversion"/>
  </si>
  <si>
    <t>계</t>
    <phoneticPr fontId="35" type="noConversion"/>
  </si>
  <si>
    <t>* 투자는 초기에 일시 투입되는 경우가 대부분이어서 기존대로 연도별 전망</t>
    <phoneticPr fontId="35" type="noConversion"/>
  </si>
  <si>
    <t>Y0(당해년도)</t>
    <phoneticPr fontId="35" type="noConversion"/>
  </si>
  <si>
    <t>Y2</t>
    <phoneticPr fontId="35" type="noConversion"/>
  </si>
  <si>
    <t>상각방법</t>
    <phoneticPr fontId="35" type="noConversion"/>
  </si>
  <si>
    <t>내용연수</t>
    <phoneticPr fontId="35" type="noConversion"/>
  </si>
  <si>
    <t>직접투자</t>
    <phoneticPr fontId="35" type="noConversion"/>
  </si>
  <si>
    <t>1. AICC 구축</t>
    <phoneticPr fontId="35" type="noConversion"/>
  </si>
  <si>
    <t>정액</t>
    <phoneticPr fontId="35" type="noConversion"/>
  </si>
  <si>
    <t xml:space="preserve">2. HW 구입 </t>
    <phoneticPr fontId="35" type="noConversion"/>
  </si>
  <si>
    <t xml:space="preserve">3. …. </t>
    <phoneticPr fontId="35" type="noConversion"/>
  </si>
  <si>
    <t>유발투자</t>
    <phoneticPr fontId="35" type="noConversion"/>
  </si>
  <si>
    <t xml:space="preserve">2. … </t>
    <phoneticPr fontId="35" type="noConversion"/>
  </si>
  <si>
    <t>합계</t>
    <phoneticPr fontId="35" type="noConversion"/>
  </si>
  <si>
    <r>
      <rPr>
        <b/>
        <sz val="16"/>
        <rFont val="맑은 고딕"/>
        <family val="3"/>
        <charset val="129"/>
      </rPr>
      <t>5</t>
    </r>
    <r>
      <rPr>
        <b/>
        <sz val="12"/>
        <rFont val="맑은 고딕"/>
        <family val="3"/>
        <charset val="129"/>
      </rPr>
      <t>-</t>
    </r>
    <r>
      <rPr>
        <b/>
        <sz val="14"/>
        <rFont val="맑은 고딕"/>
        <family val="3"/>
        <charset val="129"/>
      </rPr>
      <t>1</t>
    </r>
    <phoneticPr fontId="35" type="noConversion"/>
  </si>
  <si>
    <t>항목별 투자비 산출 근거</t>
    <phoneticPr fontId="35" type="noConversion"/>
  </si>
  <si>
    <t>1. 직접투자</t>
    <phoneticPr fontId="35" type="noConversion"/>
  </si>
  <si>
    <t>2. 유발투자</t>
    <phoneticPr fontId="35" type="noConversion"/>
  </si>
  <si>
    <t>※ 간접투자(인프라투자)는 해당사업으로 인한 투자임이 명확하고 그 금액을 합리적으로 산출할 수 있을 경우 유발투자에 포함</t>
    <phoneticPr fontId="35" type="noConversion"/>
  </si>
  <si>
    <t xml:space="preserve">    </t>
    <phoneticPr fontId="35" type="noConversion"/>
  </si>
  <si>
    <r>
      <rPr>
        <b/>
        <sz val="16"/>
        <rFont val="맑은 고딕"/>
        <family val="3"/>
        <charset val="129"/>
      </rPr>
      <t>5</t>
    </r>
    <r>
      <rPr>
        <b/>
        <sz val="12"/>
        <rFont val="맑은 고딕"/>
        <family val="3"/>
        <charset val="129"/>
      </rPr>
      <t>-</t>
    </r>
    <r>
      <rPr>
        <b/>
        <sz val="14"/>
        <rFont val="맑은 고딕"/>
        <family val="3"/>
        <charset val="129"/>
      </rPr>
      <t>2</t>
    </r>
    <phoneticPr fontId="35" type="noConversion"/>
  </si>
  <si>
    <t xml:space="preserve">     : 타 서비스의 투자에 영향을 미치는 부문 검토하여 위의 양식에 기재</t>
    <phoneticPr fontId="35" type="noConversion"/>
  </si>
  <si>
    <t xml:space="preserve">     해당 사업과의 인과관계가 명확해야 함</t>
    <phoneticPr fontId="35" type="noConversion"/>
  </si>
  <si>
    <r>
      <rPr>
        <b/>
        <sz val="16"/>
        <rFont val="맑은 고딕"/>
        <family val="3"/>
        <charset val="129"/>
      </rPr>
      <t>5</t>
    </r>
    <r>
      <rPr>
        <b/>
        <sz val="12"/>
        <rFont val="맑은 고딕"/>
        <family val="3"/>
        <charset val="129"/>
      </rPr>
      <t>-</t>
    </r>
    <r>
      <rPr>
        <b/>
        <sz val="14"/>
        <rFont val="맑은 고딕"/>
        <family val="3"/>
        <charset val="129"/>
      </rPr>
      <t>3</t>
    </r>
    <phoneticPr fontId="35" type="noConversion"/>
  </si>
  <si>
    <t>감가상각비 계산</t>
    <phoneticPr fontId="35" type="noConversion"/>
  </si>
  <si>
    <t xml:space="preserve">     : 위 분홍색 칸에 투자항목별 상각방법과 내용연수만 입력하면 감가비 자동계산</t>
    <phoneticPr fontId="35" type="noConversion"/>
  </si>
  <si>
    <t>(아래 표는 자동계산되는 표이므로 아무것도 입력하지 마세요)</t>
    <phoneticPr fontId="35" type="noConversion"/>
  </si>
  <si>
    <t>(단위 : 백만원)</t>
    <phoneticPr fontId="35" type="noConversion"/>
  </si>
  <si>
    <t>직접 감가비</t>
    <phoneticPr fontId="35" type="noConversion"/>
  </si>
  <si>
    <t>유발 감가비</t>
    <phoneticPr fontId="35" type="noConversion"/>
  </si>
  <si>
    <t>연도</t>
    <phoneticPr fontId="35" type="noConversion"/>
  </si>
  <si>
    <t>투자금액</t>
    <phoneticPr fontId="35" type="noConversion"/>
  </si>
  <si>
    <t>상각률</t>
    <phoneticPr fontId="35" type="noConversion"/>
  </si>
  <si>
    <t>직접투자
1. SW개발</t>
    <phoneticPr fontId="35" type="noConversion"/>
  </si>
  <si>
    <t>Y3</t>
    <phoneticPr fontId="35" type="noConversion"/>
  </si>
  <si>
    <t>Y4</t>
    <phoneticPr fontId="35" type="noConversion"/>
  </si>
  <si>
    <t>직접투자
2. HW구입</t>
    <phoneticPr fontId="35" type="noConversion"/>
  </si>
  <si>
    <t>직접투자
3. ….</t>
    <phoneticPr fontId="35" type="noConversion"/>
  </si>
  <si>
    <t>직접투자
4. …..</t>
    <phoneticPr fontId="35" type="noConversion"/>
  </si>
  <si>
    <t>유발투자
1. ….</t>
    <phoneticPr fontId="35" type="noConversion"/>
  </si>
  <si>
    <t>유발투자
2. ….</t>
    <phoneticPr fontId="35" type="noConversion"/>
  </si>
  <si>
    <t>■ 전체 요약</t>
    <phoneticPr fontId="1" type="noConversion"/>
  </si>
  <si>
    <t>현장대리인</t>
    <phoneticPr fontId="1" type="noConversion"/>
  </si>
  <si>
    <t>세부사항</t>
    <phoneticPr fontId="1" type="noConversion"/>
  </si>
  <si>
    <t>VDC-C</t>
    <phoneticPr fontId="1" type="noConversion"/>
  </si>
  <si>
    <t>VDC-B</t>
    <phoneticPr fontId="1" type="noConversion"/>
  </si>
  <si>
    <t>최종금액</t>
    <phoneticPr fontId="1" type="noConversion"/>
  </si>
  <si>
    <t>GAP</t>
    <phoneticPr fontId="1" type="noConversion"/>
  </si>
  <si>
    <t>운영하도급</t>
    <phoneticPr fontId="1" type="noConversion"/>
  </si>
  <si>
    <t>항목</t>
    <phoneticPr fontId="1" type="noConversion"/>
  </si>
  <si>
    <t>관리운영비</t>
    <phoneticPr fontId="1" type="noConversion"/>
  </si>
  <si>
    <t>투자</t>
    <phoneticPr fontId="1" type="noConversion"/>
  </si>
  <si>
    <t>직접경비</t>
    <phoneticPr fontId="1" type="noConversion"/>
  </si>
  <si>
    <t>일반경비</t>
    <phoneticPr fontId="1" type="noConversion"/>
  </si>
  <si>
    <t>제안비용</t>
    <phoneticPr fontId="1" type="noConversion"/>
  </si>
  <si>
    <t>영업비용</t>
    <phoneticPr fontId="1" type="noConversion"/>
  </si>
  <si>
    <t>KT인건비</t>
    <phoneticPr fontId="1" type="noConversion"/>
  </si>
  <si>
    <t>소분류1</t>
    <phoneticPr fontId="1" type="noConversion"/>
  </si>
  <si>
    <t>소분류2</t>
  </si>
  <si>
    <t>소분류3</t>
  </si>
  <si>
    <t>소분류4</t>
  </si>
  <si>
    <t>1. 매출</t>
    <phoneticPr fontId="1" type="noConversion"/>
  </si>
  <si>
    <t>2. 비용</t>
    <phoneticPr fontId="1" type="noConversion"/>
  </si>
  <si>
    <t>3. 수익분석</t>
    <phoneticPr fontId="1" type="noConversion"/>
  </si>
  <si>
    <t>이익</t>
    <phoneticPr fontId="1" type="noConversion"/>
  </si>
  <si>
    <t>금액</t>
    <phoneticPr fontId="1" type="noConversion"/>
  </si>
  <si>
    <t>비율</t>
    <phoneticPr fontId="1" type="noConversion"/>
  </si>
  <si>
    <t>NPV</t>
    <phoneticPr fontId="1" type="noConversion"/>
  </si>
  <si>
    <t>WACC 10.33%</t>
    <phoneticPr fontId="1" type="noConversion"/>
  </si>
  <si>
    <t>STT</t>
    <phoneticPr fontId="1" type="noConversion"/>
  </si>
  <si>
    <t>STT 설계 및 모델링</t>
  </si>
  <si>
    <t>STT</t>
    <phoneticPr fontId="1" type="noConversion"/>
  </si>
  <si>
    <t>AIG</t>
    <phoneticPr fontId="1" type="noConversion"/>
  </si>
  <si>
    <t>AIG</t>
    <phoneticPr fontId="1" type="noConversion"/>
  </si>
  <si>
    <t>STT 커스터마이징</t>
  </si>
  <si>
    <t>STT 운용관리시스템</t>
  </si>
  <si>
    <t>STT 설치 셋팅</t>
  </si>
  <si>
    <t>표제어/마스킹처리</t>
  </si>
  <si>
    <t>TSAPI연동</t>
  </si>
  <si>
    <t>IVR 및 녹취</t>
  </si>
  <si>
    <t xml:space="preserve">녹취플레이어 연동 개발/설치 </t>
  </si>
  <si>
    <t>400시간(2020년)</t>
  </si>
  <si>
    <t>자료입력원</t>
  </si>
  <si>
    <t>인바운드 인프라 분석,설계</t>
  </si>
  <si>
    <t>아웃바운드 인프라 분석, 설계</t>
  </si>
  <si>
    <t>초급기술자</t>
  </si>
  <si>
    <t>TA</t>
  </si>
  <si>
    <t>화면기획</t>
  </si>
  <si>
    <t>텍스트 분석 및 설계</t>
  </si>
  <si>
    <t>키워드/사전관리/지식구축</t>
  </si>
  <si>
    <t>데이터 연동 개발</t>
  </si>
  <si>
    <t>웹 개발</t>
  </si>
  <si>
    <t>프로젝트 관리/산출물 관리/업무협의</t>
  </si>
  <si>
    <t>시나리오 개발 / 통합테스트</t>
  </si>
  <si>
    <t>챗봇 서비스 기획 및 동적 대화 개발
시나리오 튜닝</t>
  </si>
  <si>
    <t>시나리오 구축 / 사전 데이터 구축</t>
  </si>
  <si>
    <t>개인화 제공 Legacy 연동 및 관리
CMS 수정 개발 / API 개발</t>
  </si>
  <si>
    <t>대화엔진 구축 /시스템 환경설정 및 포팅</t>
  </si>
  <si>
    <t>CMS UI 디자인</t>
  </si>
  <si>
    <t>퍼블리싱</t>
  </si>
  <si>
    <t>간편인증 연동</t>
  </si>
  <si>
    <t>해피콜 제공</t>
  </si>
  <si>
    <t>챗봇</t>
  </si>
  <si>
    <t>챗봇연계구축(분석설계)</t>
  </si>
  <si>
    <t>요구사항 분석 및 설계, 프로젝트 관리</t>
  </si>
  <si>
    <t>특급기술자</t>
  </si>
  <si>
    <t>챗봇연계구축(개발)</t>
  </si>
  <si>
    <t>솔루션 구축 및 커스터마이징</t>
  </si>
  <si>
    <t>챗봇연계 Front 웹 기획/개발</t>
  </si>
  <si>
    <t>챗봇연계구축(기획)</t>
  </si>
  <si>
    <t>챗봇 Front 기획</t>
  </si>
  <si>
    <t>챗봇연계구축(디자인</t>
  </si>
  <si>
    <t>챗봇 Front 디자인(비상주)</t>
  </si>
  <si>
    <t>챗봇연계구축(퍼블리싱</t>
  </si>
  <si>
    <t>챗봇 Front 퍼블리싱(비상주)</t>
  </si>
  <si>
    <t>빅데이터</t>
  </si>
  <si>
    <t>구축</t>
    <phoneticPr fontId="1" type="noConversion"/>
  </si>
  <si>
    <t>개발</t>
  </si>
  <si>
    <t>컨설팅</t>
  </si>
  <si>
    <t>VoC 분석 컨설팅</t>
  </si>
  <si>
    <t>STT</t>
  </si>
  <si>
    <t>STT</t>
    <phoneticPr fontId="1" type="noConversion"/>
  </si>
  <si>
    <t>개발</t>
    <phoneticPr fontId="1" type="noConversion"/>
  </si>
  <si>
    <t>구축PM</t>
  </si>
  <si>
    <t>KTH</t>
  </si>
  <si>
    <t>aig01</t>
    <phoneticPr fontId="1" type="noConversion"/>
  </si>
  <si>
    <t>aig02</t>
  </si>
  <si>
    <t>aig03</t>
  </si>
  <si>
    <t>aig04</t>
  </si>
  <si>
    <t>aig05</t>
  </si>
  <si>
    <t>aig06</t>
  </si>
  <si>
    <t>aig07</t>
  </si>
  <si>
    <t>aig08</t>
  </si>
  <si>
    <t>aig09</t>
  </si>
  <si>
    <t>aig10</t>
  </si>
  <si>
    <t>aig11</t>
  </si>
  <si>
    <t>aig12</t>
  </si>
  <si>
    <t>aig13</t>
  </si>
  <si>
    <t>aig14</t>
  </si>
  <si>
    <t>aig15</t>
  </si>
  <si>
    <t>aig16</t>
  </si>
  <si>
    <t>aig17</t>
  </si>
  <si>
    <t>aig18</t>
  </si>
  <si>
    <t>aig19</t>
  </si>
  <si>
    <t>aig20</t>
  </si>
  <si>
    <t>aig21</t>
  </si>
  <si>
    <t>aig22</t>
  </si>
  <si>
    <t>aig23</t>
  </si>
  <si>
    <t>aig24</t>
  </si>
  <si>
    <t>aig25</t>
  </si>
  <si>
    <t>aig26</t>
  </si>
  <si>
    <t>aig27</t>
  </si>
  <si>
    <t>aig28</t>
  </si>
  <si>
    <t>aig29</t>
  </si>
  <si>
    <t>aig30</t>
  </si>
  <si>
    <t>aig31</t>
  </si>
  <si>
    <t>aig32</t>
  </si>
  <si>
    <t>aig33</t>
  </si>
  <si>
    <t>aig34</t>
  </si>
  <si>
    <t>aig35</t>
  </si>
  <si>
    <t>aig36</t>
  </si>
  <si>
    <t>aig37</t>
  </si>
  <si>
    <t>1. 패킷 수집 SW : 
PFS 2.X Runtime License</t>
  </si>
  <si>
    <t>2. 스트리밍 연계 SW: VAS 2.X Runtime License</t>
  </si>
  <si>
    <t>2. 스트리밍 연계 SW: VAS 2.X Cold Backup License</t>
  </si>
  <si>
    <t>3. CTI 연계 SW: SCS 2.X Runtime License</t>
  </si>
  <si>
    <t>3. CTI 연계 SW: SCS 2.X Hot Backup License</t>
  </si>
  <si>
    <t>화자 분리용 Avaya TSAPI 라이선스</t>
  </si>
  <si>
    <t>녹취 변환 모듈 (1600시간)</t>
  </si>
  <si>
    <t>Realtime Packet analysis / Source or Destination IP Filtering
Server License (Server 당 2,000 Uaser 수용 가능)</t>
  </si>
  <si>
    <t>RTP Realtime Transport &amp; RX, TX separation
Server License (Server 당 300 Uaser 수용 가능)</t>
  </si>
  <si>
    <t>VAS Software의 Active-Standby License</t>
  </si>
  <si>
    <t>CTI Event Transport,- CTI User Data Update 
Server License (Server 당 2,000 Uaser 수용 가능)</t>
  </si>
  <si>
    <t>SCS Software의 Active-Standby License</t>
  </si>
  <si>
    <t>1차 : 700시간, 2차 : 300시간, 3차 : 300시간, 4차 : 300시간</t>
  </si>
  <si>
    <t>식</t>
  </si>
  <si>
    <t>copy</t>
  </si>
  <si>
    <t>구축</t>
    <phoneticPr fontId="1" type="noConversion"/>
  </si>
  <si>
    <t>라이선스</t>
    <phoneticPr fontId="1" type="noConversion"/>
  </si>
  <si>
    <t>aig38</t>
  </si>
  <si>
    <t>aig39</t>
  </si>
  <si>
    <t>aig40</t>
  </si>
  <si>
    <t>aig41</t>
  </si>
  <si>
    <t>aig42</t>
  </si>
  <si>
    <t>aig43</t>
  </si>
  <si>
    <t>aig44</t>
  </si>
  <si>
    <t>MA</t>
    <phoneticPr fontId="1" type="noConversion"/>
  </si>
  <si>
    <t>개월</t>
    <phoneticPr fontId="1" type="noConversion"/>
  </si>
  <si>
    <t>aig45</t>
  </si>
  <si>
    <t>aig46</t>
  </si>
  <si>
    <t>eNomix(Engine)</t>
  </si>
  <si>
    <t>EER Premium Engine(통합 플랫폼 엔진)</t>
  </si>
  <si>
    <t>eNomix(Service)</t>
  </si>
  <si>
    <t>CS Talk(채팅상담 솔루션)</t>
  </si>
  <si>
    <t>Bot Connector(챗봇연계 관리)</t>
  </si>
  <si>
    <t>eNomix(Front)</t>
  </si>
  <si>
    <t>Front API_Bot Connector(챗봇연계 프론트 연계 API)</t>
  </si>
  <si>
    <t>Kakao Front Adaptor_Bot Connector(챗봇연계 카카오 연계 API)</t>
  </si>
  <si>
    <t>aig47</t>
  </si>
  <si>
    <t>스펙트라 Renewal license</t>
  </si>
  <si>
    <t>채팅솔루션</t>
    <phoneticPr fontId="1" type="noConversion"/>
  </si>
  <si>
    <t>채팅솔루션</t>
    <phoneticPr fontId="1" type="noConversion"/>
  </si>
  <si>
    <t>채팅솔루션</t>
    <phoneticPr fontId="1" type="noConversion"/>
  </si>
  <si>
    <t>DB암호화</t>
  </si>
  <si>
    <t>예스피치 Engine Renewal license</t>
  </si>
  <si>
    <t>한솔Avaya TSAPI Renewal license</t>
  </si>
  <si>
    <t>AP용 암호화 모듈</t>
  </si>
  <si>
    <t>D'Amo bA-SCP(A)</t>
  </si>
  <si>
    <t>D'Amo bA-SCP(S)</t>
  </si>
  <si>
    <t>폴더암호화 모듈</t>
  </si>
  <si>
    <t>KE-LNX(32Core)</t>
  </si>
  <si>
    <t>키관리시스템</t>
  </si>
  <si>
    <t>D'Amo SG-KMS 1400(어플라이언스 장비포함)</t>
  </si>
  <si>
    <t>SW</t>
    <phoneticPr fontId="1" type="noConversion"/>
  </si>
  <si>
    <t>DB 암호화 유지보수</t>
  </si>
  <si>
    <t>SW</t>
    <phoneticPr fontId="1" type="noConversion"/>
  </si>
  <si>
    <t>STT운영</t>
    <phoneticPr fontId="1" type="noConversion"/>
  </si>
  <si>
    <t>TA운영</t>
    <phoneticPr fontId="1" type="noConversion"/>
  </si>
  <si>
    <t>챗봇운영</t>
    <phoneticPr fontId="1" type="noConversion"/>
  </si>
  <si>
    <t>운영</t>
    <phoneticPr fontId="1" type="noConversion"/>
  </si>
  <si>
    <t>운영</t>
    <phoneticPr fontId="1" type="noConversion"/>
  </si>
  <si>
    <t>TA</t>
    <phoneticPr fontId="1" type="noConversion"/>
  </si>
  <si>
    <t>운영</t>
    <phoneticPr fontId="1" type="noConversion"/>
  </si>
  <si>
    <t>챗봇</t>
    <phoneticPr fontId="1" type="noConversion"/>
  </si>
  <si>
    <t>aig48</t>
  </si>
  <si>
    <t>aig49</t>
  </si>
  <si>
    <t>aig50</t>
  </si>
  <si>
    <t>aig51</t>
  </si>
  <si>
    <t>aig52</t>
  </si>
  <si>
    <t>aig53</t>
  </si>
  <si>
    <t>aig54</t>
  </si>
  <si>
    <t>aig55</t>
  </si>
  <si>
    <t>aig56</t>
  </si>
  <si>
    <t>aig57</t>
  </si>
  <si>
    <t>aig58</t>
  </si>
  <si>
    <t>aig59</t>
  </si>
  <si>
    <t>aig60</t>
  </si>
  <si>
    <t>aig61</t>
  </si>
  <si>
    <t>추가전사</t>
    <phoneticPr fontId="1" type="noConversion"/>
  </si>
  <si>
    <t>300시간(21년 부터)</t>
  </si>
  <si>
    <t>MM</t>
    <phoneticPr fontId="1" type="noConversion"/>
  </si>
  <si>
    <t>분석/구축</t>
  </si>
  <si>
    <t>시스템 분석 및 설계/구축</t>
  </si>
  <si>
    <t>KMS 일반 기능 수정 개발</t>
  </si>
  <si>
    <t>컨텐츠 생성 및 공유 기능</t>
  </si>
  <si>
    <t>시스템 통계 및 관리 기능 수정 개발</t>
  </si>
  <si>
    <t>KMS 연동 I/F 모듈 개발</t>
  </si>
  <si>
    <t>디자인</t>
  </si>
  <si>
    <t>웹 페이지 및 UI 디자인</t>
  </si>
  <si>
    <t>웹 페이지 및 UI 퍼블리싱</t>
  </si>
  <si>
    <t>aig62</t>
  </si>
  <si>
    <t>aig63</t>
  </si>
  <si>
    <t>aig64</t>
  </si>
  <si>
    <t>aig65</t>
  </si>
  <si>
    <t>aig66</t>
  </si>
  <si>
    <t>aig67</t>
  </si>
  <si>
    <t>aig68</t>
  </si>
  <si>
    <t>지어소프트</t>
    <phoneticPr fontId="1" type="noConversion"/>
  </si>
  <si>
    <t>KMS</t>
    <phoneticPr fontId="1" type="noConversion"/>
  </si>
  <si>
    <t>KMS운영</t>
    <phoneticPr fontId="1" type="noConversion"/>
  </si>
  <si>
    <t>AIG</t>
    <phoneticPr fontId="1" type="noConversion"/>
  </si>
  <si>
    <t>AIG</t>
    <phoneticPr fontId="1" type="noConversion"/>
  </si>
  <si>
    <t>AIG</t>
    <phoneticPr fontId="1" type="noConversion"/>
  </si>
  <si>
    <t>솔루션</t>
    <phoneticPr fontId="1" type="noConversion"/>
  </si>
  <si>
    <t xml:space="preserve">STT / Gateway </t>
  </si>
  <si>
    <t xml:space="preserve">Dell R740 </t>
  </si>
  <si>
    <t>Xeon Gold 6126 2.6Ghz 2P 24core, 128GB, 300GB SAS 15k *2, 1G 4P Onboard NIC, 1G 4P NIC *2, 10G 2P NIC(TX) *2,
750W AC PS *2</t>
  </si>
  <si>
    <t>STT / OMU</t>
  </si>
  <si>
    <t>Xeon Gold 6126 2.6Ghz 2P 24core, 128GB, 300GB SAS 15k *2, 1G 4P Onboard NIC, 1G 4P NIC *2, 750W AC PS *2</t>
  </si>
  <si>
    <t>STT / SCU</t>
  </si>
  <si>
    <t>Xeon Gold 6150 2.7Ghz 2P 36core, 128GB, 300GB SAS 15k *2, 1G 4P Onboard NIC, 1G 2P NIC *2, 10G 2P NIC(TX) *2, 
750W AC PS *2</t>
  </si>
  <si>
    <t>STT / SRU</t>
  </si>
  <si>
    <t>Xeon Gold 6150 2.7Ghz 2P 36core, 128GB, 300GB SAS 15k *2, 1G 4P Onboard NIC, 1G 2P NIC *2, 10G 2P NIC(TX) *2, NVIDIA Quadro RTX 6000 GPU *1, 1600W AC PS *2</t>
  </si>
  <si>
    <t>TA / 수집</t>
  </si>
  <si>
    <t>Xeon Gold 6130 2.1Ghz 2P 32core, 256GB, 300GB SAS 15k *2, 1.2TB SAS 10K *2, 1G 4P Onboard NIC, 1G 2P NIC *2, 
750W AC PS *2</t>
  </si>
  <si>
    <t>TA / 분석</t>
  </si>
  <si>
    <t>해피콜 서버</t>
  </si>
  <si>
    <t xml:space="preserve">Dell R640 </t>
  </si>
  <si>
    <t>Xeon Silver 4112 2.6Ghz 2P 8core, 64GB, 300GB SAS 15k *2, 1G 4P Onboard NIC, 1G 2P NIC *2, 495W AC PS *2</t>
  </si>
  <si>
    <t>챗봇  / CMS</t>
  </si>
  <si>
    <t>챗봇 / 챗봇 엔진</t>
  </si>
  <si>
    <t>Xeon Gold 6134 3.2Ghz 2P 16core, 128GB, 300GB SAS 15k *2, 1G 4P Onboard NIC, 1G 2P NIC *2, 750W AC PS *2</t>
  </si>
  <si>
    <t>챗봇 / 챗봇 API</t>
  </si>
  <si>
    <t xml:space="preserve">녹취 </t>
  </si>
  <si>
    <t>Xeon Silver 4112 2.6Ghz 2P 8core, 64GB, 300GB SAS 15k *2, 1G 4P Onboard NIC, 1G 2P NIC *2,
495W AC PS *2, MS Win SVR 5Cal</t>
  </si>
  <si>
    <t>KMS / WEB</t>
  </si>
  <si>
    <t>공통  / 통합 DB</t>
  </si>
  <si>
    <t>Xeon Gold 6126 2.6Ghz 2P 24core, 256GB, 300GB SAS 15k *2, 1G 4P Onboard NIC, 1G 2P NIC *2, 16G 2P HBA *2, 
750W AC PS *2</t>
  </si>
  <si>
    <t>공통 / 백업</t>
  </si>
  <si>
    <t>Xeon Gold 6126 2.6Ghz 2P 24core, 64GB, 300GB SAS 15k *2, 1G 4P Onboard NIC, 10G 2P NIC, 16G 2P HBA *2, 
MS Win SVR, 750W AC PS *2</t>
  </si>
  <si>
    <t>공통 / 통합 스토리지</t>
  </si>
  <si>
    <t>EMC UNITY 380</t>
  </si>
  <si>
    <t>380 DPE 25 X 2.5 DELL FLD RCK, 2X4 PORT IO 10GBASET,  
2X4 PORT IO 16GB FC, D4  1.8TB 10K SAS 25X2.5 DRIVEX17, D4  SYSPACK 4X1.8TGB 10K SAS 25X2.5</t>
  </si>
  <si>
    <t>공통 / 백업 스토리지</t>
  </si>
  <si>
    <t>380 DPE 25 X 2.5 DELL FLD RCK, 2X4 PORT IO 10GBE OPT, 
2X4 PORT IO 16GB FC,D4  6TB NLSAS 15X3.5 DRIVE, 
D4  SYSPACK 4X600GB 10K SAS 25X2.5</t>
  </si>
  <si>
    <t>공통  / Rack &amp; KVM</t>
  </si>
  <si>
    <t xml:space="preserve">Dell NETSHELTER SX </t>
  </si>
  <si>
    <t>42U RACK 및 16Port KVM Switch 및 18.5" Console</t>
  </si>
  <si>
    <t>공통  / SAN Switch</t>
  </si>
  <si>
    <t>DS-6505R-B</t>
  </si>
  <si>
    <t>DS-6505R-B 12P/24P 16GB RTF BASE SWITCH, DS-6505R ADD ON PWR SUPPLY</t>
  </si>
  <si>
    <t>공통  / L4 Switch</t>
  </si>
  <si>
    <t>BIP IP i2800</t>
  </si>
  <si>
    <t>1G 4Port &amp; 10G 2Port L4 switch</t>
  </si>
  <si>
    <t>공통 / L3 Switch</t>
  </si>
  <si>
    <t>C9300-48UXM-A</t>
  </si>
  <si>
    <t>Catalyst 9300 48-port(12 mGig&amp;36 2.5Gbps) Network Advantage, Dual Power, C9300 DNA Advantage License 3Y</t>
  </si>
  <si>
    <t>공통 / L2 Switch</t>
  </si>
  <si>
    <t>C9300-48U-A</t>
  </si>
  <si>
    <t>Catalyst 9300 48-port UPOE, Network Advantage, Dual Power, C9300 DNA Advantage License 3Y</t>
  </si>
  <si>
    <t>공통 / Infrastructure Support</t>
  </si>
  <si>
    <t>DYS_Infra</t>
  </si>
  <si>
    <t>Premium Support for Infrastructure 
(Included Network Cable Implement)</t>
  </si>
  <si>
    <t>공통 / DB 기술 지원</t>
  </si>
  <si>
    <t>DYS_DBMS</t>
  </si>
  <si>
    <t>년간 10회 DBMS 기술 지원</t>
  </si>
  <si>
    <t>공통 / OS 설치 지원</t>
  </si>
  <si>
    <t>DYS_OS</t>
  </si>
  <si>
    <t>CentOS 7.5 설치 지원</t>
  </si>
  <si>
    <t>공통  / 순천 센터 설치</t>
  </si>
  <si>
    <t>DYS-REM</t>
  </si>
  <si>
    <t>순천 지역센터 서버 설치 지원</t>
  </si>
  <si>
    <t>set</t>
  </si>
  <si>
    <t>HW</t>
    <phoneticPr fontId="1" type="noConversion"/>
  </si>
  <si>
    <t>aig69</t>
  </si>
  <si>
    <t>aig70</t>
  </si>
  <si>
    <t>aig71</t>
  </si>
  <si>
    <t>aig72</t>
  </si>
  <si>
    <t>aig73</t>
  </si>
  <si>
    <t>aig74</t>
  </si>
  <si>
    <t>aig75</t>
  </si>
  <si>
    <t>aig76</t>
  </si>
  <si>
    <t>aig77</t>
  </si>
  <si>
    <t>aig78</t>
  </si>
  <si>
    <t>aig79</t>
  </si>
  <si>
    <t>aig80</t>
  </si>
  <si>
    <t>aig81</t>
  </si>
  <si>
    <t>aig82</t>
  </si>
  <si>
    <t>aig83</t>
  </si>
  <si>
    <t>aig84</t>
  </si>
  <si>
    <t>aig85</t>
  </si>
  <si>
    <t>aig86</t>
  </si>
  <si>
    <t>aig87</t>
  </si>
  <si>
    <t>aig88</t>
  </si>
  <si>
    <t>aig89</t>
  </si>
  <si>
    <t>aig90</t>
  </si>
  <si>
    <t>aig91</t>
  </si>
  <si>
    <t>aig92</t>
  </si>
  <si>
    <t>STT / STT 개발</t>
  </si>
  <si>
    <t>KMS / WAS</t>
  </si>
  <si>
    <t>C9300-24U-A</t>
  </si>
  <si>
    <t>Catalyst 9300 24-port UPOE, Network Advantage, Dual Power</t>
  </si>
  <si>
    <t>도연시스템즈</t>
    <phoneticPr fontId="1" type="noConversion"/>
  </si>
  <si>
    <t>aig93</t>
  </si>
  <si>
    <t>aig94</t>
  </si>
  <si>
    <t>aig95</t>
  </si>
  <si>
    <t>aig96</t>
  </si>
  <si>
    <t>aig97</t>
  </si>
  <si>
    <t>aig98</t>
  </si>
  <si>
    <t>APM</t>
  </si>
  <si>
    <t>JENNIFER</t>
  </si>
  <si>
    <t>STT 2P 24Core Server 2식, KMS WEB 2P 8Core Server 2식</t>
  </si>
  <si>
    <t>DB 접근제어</t>
  </si>
  <si>
    <t>ChakraMax</t>
  </si>
  <si>
    <t>ChakraMax S/W V3.0 License for Core</t>
  </si>
  <si>
    <t>System Monitoring</t>
  </si>
  <si>
    <t>OnTune</t>
  </si>
  <si>
    <t>OnTune Enterprise Edition License for System mgmt &amp; analysis for Socket</t>
  </si>
  <si>
    <t>HA Solution</t>
  </si>
  <si>
    <t>MCCS-LD</t>
  </si>
  <si>
    <t>Mantech Continuous Cluster Server</t>
  </si>
  <si>
    <t>서버 보안</t>
  </si>
  <si>
    <t>DHCM</t>
  </si>
  <si>
    <t>서버 보안 중앙관리 도구</t>
  </si>
  <si>
    <t>Backup</t>
  </si>
  <si>
    <t>VBR</t>
  </si>
  <si>
    <t>Veeam  Backup &amp; Replication Enterprise &amp; Veeam One (Monthly Charge)</t>
  </si>
  <si>
    <t>Lic</t>
  </si>
  <si>
    <t>aig99</t>
  </si>
  <si>
    <t>aig100</t>
  </si>
  <si>
    <t>aig101</t>
  </si>
  <si>
    <t>aig102</t>
  </si>
  <si>
    <t>aig103</t>
  </si>
  <si>
    <t>aig104</t>
  </si>
  <si>
    <t>상주 운영</t>
  </si>
  <si>
    <t>시스템 운영</t>
  </si>
  <si>
    <t>AICC 솔루션 및 IT 인프라 전체 운영</t>
  </si>
  <si>
    <t>인프라</t>
    <phoneticPr fontId="1" type="noConversion"/>
  </si>
  <si>
    <t>공통</t>
    <phoneticPr fontId="1" type="noConversion"/>
  </si>
  <si>
    <t>공통</t>
    <phoneticPr fontId="1" type="noConversion"/>
  </si>
  <si>
    <t>공통</t>
    <phoneticPr fontId="1" type="noConversion"/>
  </si>
  <si>
    <t>AIG</t>
    <phoneticPr fontId="1" type="noConversion"/>
  </si>
  <si>
    <t>AIG</t>
    <phoneticPr fontId="1" type="noConversion"/>
  </si>
  <si>
    <t>1.인건비_요약 시트 참조</t>
    <phoneticPr fontId="1" type="noConversion"/>
  </si>
  <si>
    <t>2. 구축비_요약 시트 참조 (10행)</t>
    <phoneticPr fontId="1" type="noConversion"/>
  </si>
  <si>
    <t>2. 구축비_요약 시트 참조 (16행)</t>
    <phoneticPr fontId="1" type="noConversion"/>
  </si>
  <si>
    <t>2. 구축비_요약 시트 참조 (22행)</t>
    <phoneticPr fontId="1" type="noConversion"/>
  </si>
  <si>
    <t>2. 구축비_요약 시트 참조 (33행)</t>
    <phoneticPr fontId="1" type="noConversion"/>
  </si>
  <si>
    <t>2. 구축비_요약 시트 참조 (39행)</t>
    <phoneticPr fontId="1" type="noConversion"/>
  </si>
  <si>
    <t>2. 구축비_요약 시트 참조 (45행)</t>
    <phoneticPr fontId="1" type="noConversion"/>
  </si>
  <si>
    <t>2. 구축비_요약 시트 참조 (56행)</t>
    <phoneticPr fontId="1" type="noConversion"/>
  </si>
  <si>
    <t>2. 구축비_요약 시트 참조 (62행)</t>
    <phoneticPr fontId="1" type="noConversion"/>
  </si>
  <si>
    <t>2. 구축비_요약 시트 참조 (68행)</t>
    <phoneticPr fontId="1" type="noConversion"/>
  </si>
  <si>
    <t>2. 구축비_요약 시트 참조 (79행)</t>
    <phoneticPr fontId="1" type="noConversion"/>
  </si>
  <si>
    <t>2. 구축비_요약 시트 참조 (85행)</t>
    <phoneticPr fontId="1" type="noConversion"/>
  </si>
  <si>
    <t>2. 구축비_요약 시트 참조 (91행)</t>
    <phoneticPr fontId="1" type="noConversion"/>
  </si>
  <si>
    <t>2. 구축비_요약 시트 참조 (102행)</t>
    <phoneticPr fontId="1" type="noConversion"/>
  </si>
  <si>
    <t>2. 구축비_요약 시트 참조 (108행)</t>
    <phoneticPr fontId="1" type="noConversion"/>
  </si>
  <si>
    <t>2. 구축비_요약 시트 참조 (114행)</t>
    <phoneticPr fontId="1" type="noConversion"/>
  </si>
  <si>
    <t>복합기 렌탈(사무실 분리 고려없이 총 1대 렌탈로 가정)</t>
  </si>
  <si>
    <t>TM 1명</t>
    <phoneticPr fontId="1" type="noConversion"/>
  </si>
  <si>
    <t>BPO 4명</t>
    <phoneticPr fontId="1" type="noConversion"/>
  </si>
  <si>
    <t>구축인력 4명</t>
    <phoneticPr fontId="1" type="noConversion"/>
  </si>
  <si>
    <t>노트북 렌탈비</t>
    <phoneticPr fontId="1" type="noConversion"/>
  </si>
  <si>
    <t>복합기 렌탈비</t>
    <phoneticPr fontId="1" type="noConversion"/>
  </si>
  <si>
    <t>사무집기</t>
    <phoneticPr fontId="1" type="noConversion"/>
  </si>
  <si>
    <t>수행룸구축비</t>
    <phoneticPr fontId="1" type="noConversion"/>
  </si>
  <si>
    <t>구축 기간중 소모품비(월 50만원)</t>
  </si>
  <si>
    <t>BPO 운영 기간 중 소모품비(월 10만원)</t>
  </si>
  <si>
    <t>프로젝트룸 전용회선(Switch 포함)임차비</t>
  </si>
  <si>
    <t>코넷(인터넷) 회선비(10M)</t>
  </si>
  <si>
    <t>보고회</t>
    <phoneticPr fontId="1" type="noConversion"/>
  </si>
  <si>
    <t>BPO</t>
    <phoneticPr fontId="1" type="noConversion"/>
  </si>
  <si>
    <t>교육비</t>
    <phoneticPr fontId="1" type="noConversion"/>
  </si>
  <si>
    <t>인쇄비</t>
    <phoneticPr fontId="1" type="noConversion"/>
  </si>
  <si>
    <t>수행14</t>
  </si>
  <si>
    <t>수행15</t>
  </si>
  <si>
    <t>구축인력 중간-완료-최종 단계별 2명씩 순천/광주 1박2일간 출장</t>
  </si>
  <si>
    <t>구축인력 수행활동비(PM 1명 + PL 3명)(10개월+14개월)</t>
  </si>
  <si>
    <t>BPO 수행활동비</t>
  </si>
  <si>
    <t>수행16</t>
  </si>
  <si>
    <t>수행17</t>
  </si>
  <si>
    <t>수행18</t>
  </si>
  <si>
    <t>수행19</t>
  </si>
  <si>
    <t>수행20</t>
  </si>
  <si>
    <t>수행21</t>
  </si>
  <si>
    <t>수행22</t>
  </si>
  <si>
    <t>구축_운영</t>
  </si>
  <si>
    <t>구축_운영</t>
    <phoneticPr fontId="1" type="noConversion"/>
  </si>
  <si>
    <t>KT인건비</t>
  </si>
  <si>
    <t>제안</t>
  </si>
  <si>
    <t>제안</t>
    <phoneticPr fontId="1" type="noConversion"/>
  </si>
  <si>
    <t>수행23</t>
  </si>
  <si>
    <t>수행24</t>
  </si>
  <si>
    <t>수행25</t>
  </si>
  <si>
    <t>수행26</t>
  </si>
  <si>
    <t>수행27</t>
  </si>
  <si>
    <t>수행28</t>
  </si>
  <si>
    <t>수행29</t>
  </si>
  <si>
    <t>수행30</t>
  </si>
  <si>
    <t>수행31</t>
  </si>
  <si>
    <t>수행32</t>
  </si>
  <si>
    <t>수행33</t>
  </si>
  <si>
    <t>1명 × 10개월, 차장</t>
  </si>
  <si>
    <t>1명 × 10개월, 부장</t>
  </si>
  <si>
    <t>1명 × 24개월, 차장</t>
  </si>
  <si>
    <t>BM 2개월, 부장</t>
  </si>
  <si>
    <t>과장</t>
  </si>
  <si>
    <t>수행34</t>
  </si>
  <si>
    <t>수행35</t>
  </si>
  <si>
    <t>수행36</t>
  </si>
  <si>
    <t>기타</t>
  </si>
  <si>
    <t>기타</t>
    <phoneticPr fontId="1" type="noConversion"/>
  </si>
  <si>
    <t>3. 수행비_요약 시트 참조 (5행)</t>
    <phoneticPr fontId="1" type="noConversion"/>
  </si>
  <si>
    <t>3. 수행비_요약 시트 참조 (6행)</t>
  </si>
  <si>
    <t>3. 수행비_요약 시트 참조 (7행)</t>
  </si>
  <si>
    <t>3. 수행비_요약 시트 참조 (8행)</t>
  </si>
  <si>
    <t>3. 수행비_요약 시트 참조 (9행)</t>
  </si>
  <si>
    <t>3. 수행비_요약 시트 참조 (10행)</t>
  </si>
  <si>
    <t>3. 수행비_요약 시트 참조 (11행)</t>
  </si>
  <si>
    <t>3. 수행비_요약 시트 참조 (12행)</t>
  </si>
  <si>
    <t>3. 수행비_요약 시트 참조 (13행)</t>
  </si>
  <si>
    <t>3. 수행비_요약 시트 참조 (14행)</t>
  </si>
  <si>
    <t>3. 수행비_요약 시트 참조 (15행)</t>
  </si>
  <si>
    <t>에이피위즈덤</t>
    <phoneticPr fontId="1" type="noConversion"/>
  </si>
  <si>
    <t>Paperless</t>
    <phoneticPr fontId="1" type="noConversion"/>
  </si>
  <si>
    <t>aig104</t>
    <phoneticPr fontId="1" type="noConversion"/>
  </si>
  <si>
    <t>수행37</t>
  </si>
  <si>
    <t>CS</t>
  </si>
  <si>
    <t>CS</t>
    <phoneticPr fontId="1" type="noConversion"/>
  </si>
  <si>
    <t>OB(HC)</t>
  </si>
  <si>
    <t>OB(HC)</t>
    <phoneticPr fontId="1" type="noConversion"/>
  </si>
  <si>
    <t>OB(MPR)</t>
  </si>
  <si>
    <t>OB(MPR)</t>
    <phoneticPr fontId="1" type="noConversion"/>
  </si>
  <si>
    <t>2. 솔루션효과</t>
    <phoneticPr fontId="1" type="noConversion"/>
  </si>
  <si>
    <t>2. 재인입율</t>
    <phoneticPr fontId="1" type="noConversion"/>
  </si>
  <si>
    <t>CP제외</t>
    <phoneticPr fontId="1" type="noConversion"/>
  </si>
  <si>
    <t>Ob</t>
    <phoneticPr fontId="1" type="noConversion"/>
  </si>
  <si>
    <t>1. 상담원</t>
    <phoneticPr fontId="1" type="noConversion"/>
  </si>
  <si>
    <t>2. 대상인원</t>
    <phoneticPr fontId="1" type="noConversion"/>
  </si>
  <si>
    <t>3. 절감인원</t>
    <phoneticPr fontId="1" type="noConversion"/>
  </si>
  <si>
    <t>HC</t>
    <phoneticPr fontId="1" type="noConversion"/>
  </si>
  <si>
    <t>MPR</t>
    <phoneticPr fontId="1" type="noConversion"/>
  </si>
  <si>
    <t>QM</t>
    <phoneticPr fontId="1" type="noConversion"/>
  </si>
  <si>
    <t>4. 연간인건비</t>
    <phoneticPr fontId="1" type="noConversion"/>
  </si>
  <si>
    <t>3. 메타넷 최종견적</t>
    <phoneticPr fontId="1" type="noConversion"/>
  </si>
  <si>
    <t>1.인건비_요약 시트 참조 (17행)</t>
    <phoneticPr fontId="1" type="noConversion"/>
  </si>
  <si>
    <t>1.인건비_요약 시트 참조 (18, 19행의 합)</t>
    <phoneticPr fontId="1" type="noConversion"/>
  </si>
  <si>
    <t>BAU</t>
    <phoneticPr fontId="1" type="noConversion"/>
  </si>
  <si>
    <t>임의입력</t>
    <phoneticPr fontId="1" type="noConversion"/>
  </si>
  <si>
    <t>1.인건비_요약 시트 참조 (20행)</t>
    <phoneticPr fontId="1" type="noConversion"/>
  </si>
  <si>
    <t>매출항목</t>
    <phoneticPr fontId="1" type="noConversion"/>
  </si>
  <si>
    <t>2명</t>
    <phoneticPr fontId="1" type="noConversion"/>
  </si>
  <si>
    <t>금액</t>
  </si>
  <si>
    <t>비고</t>
  </si>
  <si>
    <t>매출액</t>
  </si>
  <si>
    <t>사업기간 :</t>
  </si>
  <si>
    <t>로부터</t>
  </si>
  <si>
    <t>개월</t>
  </si>
  <si>
    <t>(준공일기준)</t>
  </si>
  <si>
    <t>매출 계</t>
  </si>
  <si>
    <t>      69,570,048,694</t>
  </si>
  <si>
    <t>BM</t>
  </si>
  <si>
    <t>직접비</t>
  </si>
  <si>
    <t>하도급원가</t>
  </si>
  <si>
    <t>하도급(물자)</t>
  </si>
  <si>
    <t>"물자(물품의 공급 및 셋팅)"에 해당하는 업체명, 과업 작성</t>
  </si>
  <si>
    <t>지어소프트</t>
  </si>
  <si>
    <t>도연시스템</t>
  </si>
  <si>
    <t>하도급(용역)</t>
  </si>
  <si>
    <t>에이피위즈덤</t>
  </si>
  <si>
    <t>"용역(컨설팅, 설계, SW 개발 등)"에 해당하는 업체명, 과업 작성</t>
  </si>
  <si>
    <t>메타넷</t>
  </si>
  <si>
    <t>하도급(공사)</t>
  </si>
  <si>
    <t>"공사(통신, 전기, 실내건축, 기계설비 등)"에 해당하는 업체명, 과업 작성</t>
  </si>
  <si>
    <t>하도급 원가 계</t>
  </si>
  <si>
    <t>하도급원가율 :</t>
  </si>
  <si>
    <t>프로젝트 계약직</t>
  </si>
  <si>
    <t>계약직 직원 인건비</t>
  </si>
  <si>
    <t>                          -</t>
  </si>
  <si>
    <t>4대보험 회사부담금 : 임금 x 0.11</t>
  </si>
  <si>
    <t>퇴직금(12개월 이상 시) : 월급여x30일x(근무년수+1년미만근무일수/365)</t>
  </si>
  <si>
    <t>수행원가</t>
  </si>
  <si>
    <t>건물 임차료</t>
  </si>
  <si>
    <t>프로젝트 수행을 위한 상면 임대료, 관리비, 중개 수수료 등</t>
  </si>
  <si>
    <t>수행룸 구축비</t>
  </si>
  <si>
    <t>수행룸 구축 공사비 (전기, 통신 등)</t>
  </si>
  <si>
    <t>물품 구매 및 렌탈비</t>
  </si>
  <si>
    <t>사무집기 구매/렌탈 비용</t>
  </si>
  <si>
    <t>워크샵/보고회</t>
  </si>
  <si>
    <t>프로젝트 수행단계 워크샵/보고회 진행을 위한 비용</t>
  </si>
  <si>
    <t>교육비</t>
  </si>
  <si>
    <t>과업에 포함된 교육/BMT 등 진행을 위한 비용</t>
  </si>
  <si>
    <t>인쇄비</t>
  </si>
  <si>
    <t>프로젝트 수행단계 산출물 생산을 위한 비용 (인쇄, 디자인 등 관련 비용 포함)</t>
  </si>
  <si>
    <t>해외출장비 (수행)</t>
  </si>
  <si>
    <t>수주 후, 사업 수행을 위한 해외출장비 (영업/제안/수행 포함)</t>
  </si>
  <si>
    <t>기타 수행비용</t>
  </si>
  <si>
    <t>기타 수행비용 발생 시, 사유 작성 (예비비 포함)</t>
  </si>
  <si>
    <t>직접경비 합계</t>
  </si>
  <si>
    <t>          207,350,000</t>
  </si>
  <si>
    <t>판매비</t>
  </si>
  <si>
    <t>투입인력</t>
  </si>
  <si>
    <t>PM</t>
  </si>
  <si>
    <t>94 M/M</t>
  </si>
  <si>
    <t>명</t>
  </si>
  <si>
    <t>차장 1, 10개월 / 차장 1, 84개월</t>
  </si>
  <si>
    <t>PL</t>
  </si>
  <si>
    <t>12 M/M</t>
  </si>
  <si>
    <t>부장 1, 10개월 / 부장 1, 2개월</t>
  </si>
  <si>
    <t>10 M/M</t>
  </si>
  <si>
    <t>차장 1, 10개월</t>
  </si>
  <si>
    <t>24 M/M</t>
  </si>
  <si>
    <t>차장 1, 24개월</t>
  </si>
  <si>
    <t>72 M/M</t>
  </si>
  <si>
    <t>과장 1, 72개월</t>
  </si>
  <si>
    <t>국내여비 기입된 항목???</t>
  </si>
  <si>
    <t>판매활동비</t>
  </si>
  <si>
    <t>제안/수행 활동비</t>
  </si>
  <si>
    <t>제안 및 수행 활동비 (투입인력 규모에 따라 자동으로 책정/입력)</t>
  </si>
  <si>
    <t>여비교통비</t>
  </si>
  <si>
    <t>국내여비</t>
  </si>
  <si>
    <t>시내출장</t>
  </si>
  <si>
    <t>월</t>
  </si>
  <si>
    <t>시외출장</t>
  </si>
  <si>
    <t>해외여비</t>
  </si>
  <si>
    <t>수주 전, 제안단계 해외출장비 (영업/제안/수행 포함)</t>
  </si>
  <si>
    <t>기타 비용</t>
  </si>
  <si>
    <t>제안인쇄비</t>
  </si>
  <si>
    <t>수주 전, 제안단계 인쇄비 (인쇄, 디자인 등 관련 비용 포함)</t>
  </si>
  <si>
    <t>원</t>
  </si>
  <si>
    <t>컨설팅/자문료</t>
  </si>
  <si>
    <t>회계/법무/노무 등 외부에 지급하는 자문료</t>
  </si>
  <si>
    <t>기타 판매비</t>
  </si>
  <si>
    <t>BM직접성 비용</t>
  </si>
  <si>
    <t>판매비 합계</t>
  </si>
  <si>
    <t>이자 비용</t>
  </si>
  <si>
    <t>선지급이자비용</t>
  </si>
  <si>
    <t>어음이자비용</t>
  </si>
  <si>
    <t>PJT 예비비용</t>
  </si>
  <si>
    <t>Contingency Cost</t>
  </si>
  <si>
    <t>Contingency Rate 하단 참조</t>
  </si>
  <si>
    <t>BM 직접비 계</t>
  </si>
  <si>
    <t>프로젝트 직접이익</t>
  </si>
  <si>
    <t>프로젝트 직접이익률</t>
  </si>
  <si>
    <t>간접비</t>
  </si>
  <si>
    <t>영업 등</t>
  </si>
  <si>
    <t>인프라활동</t>
  </si>
  <si>
    <t>영업활동비</t>
  </si>
  <si>
    <t>사업경비 (BM간접성 비용)</t>
  </si>
  <si>
    <t>BM 간접비 계</t>
  </si>
  <si>
    <t>      58,799,509,442</t>
  </si>
  <si>
    <t>프로젝트 영업이익</t>
  </si>
  <si>
    <t>-     48,639,901,775</t>
  </si>
  <si>
    <t>프로젝트 영업이익률</t>
  </si>
  <si>
    <t>수익성 가이드라인</t>
  </si>
  <si>
    <t>PASS</t>
  </si>
  <si>
    <t>■ 사업유형 및 위험도에 따른 Contingency Cost</t>
  </si>
  <si>
    <t>대상사업</t>
  </si>
  <si>
    <t>설정기준(매출액)</t>
  </si>
  <si>
    <t>해당여부</t>
  </si>
  <si>
    <t>일반사업</t>
  </si>
  <si>
    <t>ㆍ정보통신공사용역, 컨설팅용역, 커스터마이징/연계솔루션, 유지보수 등</t>
  </si>
  <si>
    <t>해당없음</t>
  </si>
  <si>
    <t>위험사업</t>
  </si>
  <si>
    <t>ㆍSW개발 및 유지보수 포함 사업, 전국단위사업 등</t>
  </si>
  <si>
    <t>해당</t>
  </si>
  <si>
    <t>개별산정</t>
  </si>
  <si>
    <t>ㆍ과업범위 불명확, 지급보증, 효율보증, 책임준공 등</t>
  </si>
  <si>
    <t>필요시 직접입력</t>
  </si>
  <si>
    <t>최종 Contingency Rate</t>
  </si>
  <si>
    <t>[국공채매입 수수료] 없으면 0 / 물품 1 / 시설·용역 2</t>
  </si>
  <si>
    <t>[입찰보증] 불필요시 0 / 필요시 1</t>
  </si>
  <si>
    <t>[계약이행보증] 계약기간</t>
  </si>
  <si>
    <t>[하자보증] 하자보증기간</t>
  </si>
  <si>
    <t>[선급금보증] 선급금액</t>
  </si>
  <si>
    <t>[하도사 지급보증] 계약기간</t>
  </si>
  <si>
    <t>3. 매출 요약</t>
    <phoneticPr fontId="35" type="noConversion"/>
  </si>
  <si>
    <t>5. 투자 요약</t>
    <phoneticPr fontId="35" type="noConversion"/>
  </si>
  <si>
    <t>이익율 맞추기위한 조정으로 보임</t>
    <phoneticPr fontId="1" type="noConversion"/>
  </si>
  <si>
    <t>견적 확인불가</t>
    <phoneticPr fontId="1" type="noConversion"/>
  </si>
  <si>
    <t>빅데이터컨설팅, 페이퍼리스 포함</t>
    <phoneticPr fontId="1" type="noConversion"/>
  </si>
  <si>
    <t>단, 페이퍼리스는 견적확인 불가</t>
    <phoneticPr fontId="1" type="noConversion"/>
  </si>
  <si>
    <t>■ 비용 시뮬레이션</t>
    <phoneticPr fontId="1" type="noConversion"/>
  </si>
  <si>
    <t>STAFF</t>
    <phoneticPr fontId="1" type="noConversion"/>
  </si>
  <si>
    <t>센터장</t>
    <phoneticPr fontId="1" type="noConversion"/>
  </si>
  <si>
    <t>교육</t>
    <phoneticPr fontId="1" type="noConversion"/>
  </si>
  <si>
    <t>지원</t>
    <phoneticPr fontId="1" type="noConversion"/>
  </si>
  <si>
    <t>SV</t>
    <phoneticPr fontId="1" type="noConversion"/>
  </si>
  <si>
    <t>GL</t>
    <phoneticPr fontId="1" type="noConversion"/>
  </si>
  <si>
    <t>CSR</t>
    <phoneticPr fontId="1" type="noConversion"/>
  </si>
  <si>
    <t>AAA</t>
    <phoneticPr fontId="1" type="noConversion"/>
  </si>
  <si>
    <t>BBB</t>
    <phoneticPr fontId="1" type="noConversion"/>
  </si>
  <si>
    <t>CCC</t>
    <phoneticPr fontId="1" type="noConversion"/>
  </si>
  <si>
    <t>http://massmail.kt.com/NameCardImage/NameCardFiles/20194/cf192bf8-f3da-47d2-b590-dd8856e993a7.png</t>
  </si>
  <si>
    <t>M1FTE</t>
    <phoneticPr fontId="1" type="noConversion"/>
  </si>
  <si>
    <t>M2FTE</t>
  </si>
  <si>
    <t>M3FTE</t>
  </si>
  <si>
    <t>M4FTE</t>
  </si>
  <si>
    <t>M5FTE</t>
  </si>
  <si>
    <t>M6FTE</t>
  </si>
  <si>
    <t>M7FTE</t>
  </si>
  <si>
    <t>M8FTE</t>
  </si>
  <si>
    <t>M9FTE</t>
  </si>
  <si>
    <t>M10FTE</t>
  </si>
  <si>
    <t>M11FTE</t>
  </si>
  <si>
    <t>M12FTE</t>
  </si>
  <si>
    <t>M1CPD</t>
    <phoneticPr fontId="1" type="noConversion"/>
  </si>
  <si>
    <t>M2CPD</t>
  </si>
  <si>
    <t>M3CPD</t>
  </si>
  <si>
    <t>M4CPD</t>
  </si>
  <si>
    <t>M5CPD</t>
  </si>
  <si>
    <t>M6CPD</t>
  </si>
  <si>
    <t>M7CPD</t>
  </si>
  <si>
    <t>M8CPD</t>
  </si>
  <si>
    <t>M9CPD</t>
  </si>
  <si>
    <t>M10CPD</t>
  </si>
  <si>
    <t>M11CPD</t>
  </si>
  <si>
    <t>M12CPD</t>
  </si>
  <si>
    <t>M1월콜수</t>
    <phoneticPr fontId="1" type="noConversion"/>
  </si>
  <si>
    <t>M2월콜수</t>
  </si>
  <si>
    <t>M3월콜수</t>
  </si>
  <si>
    <t>M4월콜수</t>
  </si>
  <si>
    <t>M5월콜수</t>
  </si>
  <si>
    <t>M6월콜수</t>
  </si>
  <si>
    <t>M7월콜수</t>
  </si>
  <si>
    <t>M8월콜수</t>
  </si>
  <si>
    <t>M9월콜수</t>
  </si>
  <si>
    <t>M10월콜수</t>
  </si>
  <si>
    <t>M11월콜수</t>
  </si>
  <si>
    <t>M12월콜수</t>
  </si>
  <si>
    <t xml:space="preserve">   Working</t>
    <phoneticPr fontId="1" type="noConversion"/>
  </si>
  <si>
    <t>협력사별 원가정리</t>
    <phoneticPr fontId="1" type="noConversion"/>
  </si>
  <si>
    <t>협력사 총계</t>
    <phoneticPr fontId="1" type="noConversion"/>
  </si>
  <si>
    <t>솔루션 총계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</si>
</sst>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 #,##0_-;_-* &quot;-&quot;_-;_-@_-"/>
    <numFmt numFmtId="43" formatCode="_-* #,##0.00_-;\-* #,##0.00_-;_-* &quot;-&quot;??_-;_-@_-"/>
    <numFmt numFmtId="176" formatCode="#,##0_);[Red]\(#,##0\)"/>
    <numFmt numFmtId="177" formatCode="#,##0.0_);[Red]\(#,##0.0\)"/>
    <numFmt numFmtId="178" formatCode="#,##0.0"/>
    <numFmt numFmtId="179" formatCode="0.0%"/>
    <numFmt numFmtId="180" formatCode="_-* #,##0_-;\-* #,##0_-;_-* &quot;-&quot;??_-;_-@_-"/>
    <numFmt numFmtId="181" formatCode="_-* #,##0.00_-;\-* #,##0.00_-;_-* &quot;-&quot;_-;_-@_-"/>
    <numFmt numFmtId="182" formatCode="0.00000%"/>
    <numFmt numFmtId="183" formatCode="_-* #,##0.0_-;\-* #,##0.0_-;_-* &quot;-&quot;_-;_-@_-"/>
    <numFmt numFmtId="184" formatCode="#,##0_ "/>
    <numFmt numFmtId="185" formatCode="0_);[Red]\(0\)"/>
    <numFmt numFmtId="186" formatCode="_-* #,##0.000_-;\-* #,##0.000_-;_-* &quot;-&quot;_-;_-@_-"/>
    <numFmt numFmtId="187" formatCode="0_ "/>
  </numFmts>
  <fonts count="68" x14ac:knownFonts="1">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sz val="11"/>
      <color theme="1"/>
      <name val="맑은 고딕"/>
      <family val="2"/>
      <charset val="129"/>
      <scheme val="minor"/>
    </font>
    <font>
      <b/>
      <sz val="10"/>
      <name val="맑은 고딕"/>
      <family val="3"/>
      <charset val="129"/>
      <scheme val="minor"/>
    </font>
    <font>
      <sz val="11"/>
      <name val="맑은 고딕"/>
      <family val="3"/>
      <charset val="129"/>
      <scheme val="minor"/>
    </font>
    <font>
      <sz val="11"/>
      <color theme="1"/>
      <name val="맑은 고딕"/>
      <family val="3"/>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sz val="9"/>
      <color theme="0"/>
      <name val="맑은 고딕"/>
      <family val="3"/>
      <charset val="129"/>
      <scheme val="minor"/>
    </font>
    <font>
      <b/>
      <sz val="11"/>
      <color theme="1"/>
      <name val="맑은 고딕"/>
      <family val="3"/>
      <charset val="129"/>
      <scheme val="minor"/>
    </font>
    <font>
      <sz val="10"/>
      <color theme="1"/>
      <name val="맑은 고딕"/>
      <family val="2"/>
      <charset val="129"/>
      <scheme val="minor"/>
    </font>
    <font>
      <b/>
      <sz val="22"/>
      <color theme="1"/>
      <name val="맑은 고딕"/>
      <family val="3"/>
      <charset val="129"/>
      <scheme val="minor"/>
    </font>
    <font>
      <sz val="9"/>
      <color theme="0" tint="-0.14999847407452621"/>
      <name val="맑은 고딕"/>
      <family val="3"/>
      <charset val="129"/>
      <scheme val="minor"/>
    </font>
    <font>
      <b/>
      <sz val="24"/>
      <color theme="1"/>
      <name val="맑은 고딕"/>
      <family val="3"/>
      <charset val="129"/>
      <scheme val="minor"/>
    </font>
    <font>
      <b/>
      <sz val="20"/>
      <color theme="1"/>
      <name val="맑은 고딕"/>
      <family val="3"/>
      <charset val="129"/>
      <scheme val="minor"/>
    </font>
    <font>
      <b/>
      <sz val="14"/>
      <color rgb="FFC00000"/>
      <name val="맑은 고딕"/>
      <family val="3"/>
      <charset val="129"/>
      <scheme val="minor"/>
    </font>
    <font>
      <u/>
      <sz val="11"/>
      <color theme="10"/>
      <name val="맑은 고딕"/>
      <family val="2"/>
      <charset val="129"/>
      <scheme val="minor"/>
    </font>
    <font>
      <u/>
      <sz val="11"/>
      <color theme="0"/>
      <name val="맑은 고딕"/>
      <family val="2"/>
      <charset val="129"/>
      <scheme val="minor"/>
    </font>
    <font>
      <b/>
      <sz val="14"/>
      <color theme="1"/>
      <name val="맑은 고딕"/>
      <family val="3"/>
      <charset val="129"/>
      <scheme val="minor"/>
    </font>
    <font>
      <b/>
      <sz val="9"/>
      <color rgb="FFFF0000"/>
      <name val="맑은 고딕"/>
      <family val="3"/>
      <charset val="129"/>
      <scheme val="minor"/>
    </font>
    <font>
      <sz val="9"/>
      <color rgb="FFFF0000"/>
      <name val="맑은 고딕"/>
      <family val="3"/>
      <charset val="129"/>
      <scheme val="minor"/>
    </font>
    <font>
      <sz val="11"/>
      <color theme="0"/>
      <name val="맑은 고딕"/>
      <family val="3"/>
      <charset val="129"/>
      <scheme val="minor"/>
    </font>
    <font>
      <b/>
      <sz val="14"/>
      <name val="맑은 고딕"/>
      <family val="3"/>
      <charset val="129"/>
      <scheme val="minor"/>
    </font>
    <font>
      <sz val="14"/>
      <color theme="1"/>
      <name val="맑은 고딕"/>
      <family val="3"/>
      <charset val="129"/>
      <scheme val="minor"/>
    </font>
    <font>
      <b/>
      <sz val="11"/>
      <color rgb="FFFF0000"/>
      <name val="맑은 고딕"/>
      <family val="3"/>
      <charset val="129"/>
      <scheme val="minor"/>
    </font>
    <font>
      <b/>
      <sz val="11"/>
      <color theme="0"/>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9"/>
      <color indexed="81"/>
      <name val="돋움"/>
      <family val="3"/>
      <charset val="129"/>
    </font>
    <font>
      <b/>
      <u/>
      <sz val="11"/>
      <color theme="10"/>
      <name val="맑은 고딕"/>
      <family val="3"/>
      <charset val="129"/>
      <scheme val="minor"/>
    </font>
    <font>
      <sz val="10"/>
      <name val="맑은 고딕"/>
      <family val="3"/>
      <charset val="129"/>
      <scheme val="minor"/>
    </font>
    <font>
      <b/>
      <sz val="16"/>
      <name val="맑은 고딕"/>
      <family val="3"/>
      <charset val="129"/>
      <scheme val="minor"/>
    </font>
    <font>
      <sz val="8"/>
      <name val="돋움"/>
      <family val="3"/>
      <charset val="129"/>
    </font>
    <font>
      <sz val="18"/>
      <name val="맑은 고딕"/>
      <family val="3"/>
      <charset val="129"/>
      <scheme val="minor"/>
    </font>
    <font>
      <sz val="11"/>
      <color rgb="FFFF0000"/>
      <name val="맑은 고딕"/>
      <family val="3"/>
      <charset val="129"/>
      <scheme val="minor"/>
    </font>
    <font>
      <sz val="18"/>
      <color rgb="FFFF0000"/>
      <name val="맑은 고딕"/>
      <family val="3"/>
      <charset val="129"/>
      <scheme val="minor"/>
    </font>
    <font>
      <sz val="14"/>
      <name val="맑은 고딕"/>
      <family val="3"/>
      <charset val="129"/>
      <scheme val="minor"/>
    </font>
    <font>
      <sz val="12"/>
      <name val="맑은 고딕"/>
      <family val="3"/>
      <charset val="129"/>
      <scheme val="minor"/>
    </font>
    <font>
      <b/>
      <sz val="11"/>
      <name val="맑은 고딕"/>
      <family val="3"/>
      <charset val="129"/>
      <scheme val="minor"/>
    </font>
    <font>
      <sz val="11"/>
      <name val="돋움"/>
      <family val="3"/>
      <charset val="129"/>
    </font>
    <font>
      <sz val="10"/>
      <color indexed="10"/>
      <name val="맑은 고딕"/>
      <family val="3"/>
      <charset val="129"/>
    </font>
    <font>
      <sz val="10"/>
      <name val="맑은 고딕"/>
      <family val="3"/>
      <charset val="129"/>
    </font>
    <font>
      <sz val="10"/>
      <color rgb="FFFF0000"/>
      <name val="맑은 고딕"/>
      <family val="3"/>
      <charset val="129"/>
      <scheme val="minor"/>
    </font>
    <font>
      <b/>
      <i/>
      <sz val="10"/>
      <name val="맑은 고딕"/>
      <family val="3"/>
      <charset val="129"/>
      <scheme val="minor"/>
    </font>
    <font>
      <b/>
      <i/>
      <sz val="10"/>
      <color rgb="FFFF0000"/>
      <name val="맑은 고딕"/>
      <family val="3"/>
      <charset val="129"/>
      <scheme val="minor"/>
    </font>
    <font>
      <b/>
      <sz val="12"/>
      <name val="맑은 고딕"/>
      <family val="3"/>
      <charset val="129"/>
      <scheme val="minor"/>
    </font>
    <font>
      <sz val="10"/>
      <name val="Helv"/>
      <family val="2"/>
    </font>
    <font>
      <b/>
      <sz val="11"/>
      <color indexed="10"/>
      <name val="맑은 고딕"/>
      <family val="3"/>
      <charset val="129"/>
      <scheme val="minor"/>
    </font>
    <font>
      <b/>
      <sz val="16"/>
      <name val="맑은 고딕"/>
      <family val="3"/>
      <charset val="129"/>
    </font>
    <font>
      <b/>
      <sz val="12"/>
      <name val="맑은 고딕"/>
      <family val="3"/>
      <charset val="129"/>
    </font>
    <font>
      <b/>
      <sz val="14"/>
      <name val="맑은 고딕"/>
      <family val="3"/>
      <charset val="129"/>
    </font>
    <font>
      <sz val="11"/>
      <color indexed="10"/>
      <name val="맑은 고딕"/>
      <family val="3"/>
      <charset val="129"/>
      <scheme val="minor"/>
    </font>
    <font>
      <b/>
      <sz val="12"/>
      <color theme="1"/>
      <name val="맑은 고딕"/>
      <family val="3"/>
      <charset val="129"/>
      <scheme val="minor"/>
    </font>
    <font>
      <i/>
      <sz val="11"/>
      <color rgb="FFFF0000"/>
      <name val="맑은 고딕"/>
      <family val="3"/>
      <charset val="129"/>
      <scheme val="minor"/>
    </font>
    <font>
      <b/>
      <sz val="10"/>
      <color theme="1"/>
      <name val="맑은 고딕"/>
      <family val="3"/>
      <charset val="129"/>
      <scheme val="minor"/>
    </font>
    <font>
      <u/>
      <sz val="10"/>
      <color theme="0"/>
      <name val="맑은 고딕"/>
      <family val="2"/>
      <charset val="129"/>
      <scheme val="minor"/>
    </font>
    <font>
      <sz val="10"/>
      <color rgb="FF000000"/>
      <name val="맑은 고딕"/>
      <family val="3"/>
      <charset val="129"/>
    </font>
    <font>
      <b/>
      <sz val="9"/>
      <color theme="0"/>
      <name val="맑은 고딕"/>
      <family val="3"/>
      <charset val="129"/>
      <scheme val="minor"/>
    </font>
    <font>
      <b/>
      <sz val="10"/>
      <color rgb="FFFF0000"/>
      <name val="맑은 고딕"/>
      <family val="3"/>
      <charset val="129"/>
      <scheme val="minor"/>
    </font>
    <font>
      <sz val="10"/>
      <color theme="0"/>
      <name val="맑은 고딕"/>
      <family val="3"/>
      <charset val="129"/>
      <scheme val="minor"/>
    </font>
    <font>
      <b/>
      <sz val="10"/>
      <color theme="0"/>
      <name val="맑은 고딕"/>
      <family val="3"/>
      <charset val="129"/>
      <scheme val="minor"/>
    </font>
    <font>
      <sz val="10"/>
      <color rgb="FF201F1E"/>
      <name val="맑은 고딕"/>
      <family val="3"/>
      <charset val="129"/>
      <scheme val="minor"/>
    </font>
    <font>
      <sz val="10"/>
      <color rgb="FF000000"/>
      <name val="맑은 고딕"/>
      <family val="3"/>
      <charset val="129"/>
      <scheme val="minor"/>
    </font>
    <font>
      <sz val="10"/>
      <color rgb="FF333300"/>
      <name val="맑은 고딕"/>
      <family val="3"/>
      <charset val="129"/>
      <scheme val="minor"/>
    </font>
    <font>
      <u/>
      <sz val="10"/>
      <color rgb="FF000000"/>
      <name val="맑은 고딕"/>
      <family val="3"/>
      <charset val="129"/>
      <scheme val="minor"/>
    </font>
  </fonts>
  <fills count="45">
    <fill>
      <patternFill patternType="none"/>
    </fill>
    <fill>
      <patternFill patternType="gray125"/>
    </fill>
    <fill>
      <patternFill patternType="solid">
        <fgColor theme="2" tint="-9.9978637043366805E-2"/>
        <bgColor indexed="64"/>
      </patternFill>
    </fill>
    <fill>
      <patternFill patternType="solid">
        <fgColor rgb="FFFFFF00"/>
        <bgColor indexed="64"/>
      </patternFill>
    </fill>
    <fill>
      <patternFill patternType="solid">
        <fgColor indexed="26"/>
        <bgColor indexed="64"/>
      </patternFill>
    </fill>
    <fill>
      <patternFill patternType="solid">
        <fgColor theme="9" tint="0.59999389629810485"/>
        <bgColor indexed="64"/>
      </patternFill>
    </fill>
    <fill>
      <patternFill patternType="solid">
        <fgColor indexed="27"/>
        <bgColor indexed="64"/>
      </patternFill>
    </fill>
    <fill>
      <patternFill patternType="solid">
        <fgColor theme="1" tint="0.3499862666707357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2" tint="-0.74999237037263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0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rgb="FFFFCCCC"/>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indexed="55"/>
        <bgColor indexed="64"/>
      </patternFill>
    </fill>
    <fill>
      <patternFill patternType="solid">
        <fgColor indexed="22"/>
        <bgColor indexed="64"/>
      </patternFill>
    </fill>
    <fill>
      <patternFill patternType="solid">
        <fgColor theme="2" tint="-0.249977111117893"/>
        <bgColor indexed="64"/>
      </patternFill>
    </fill>
    <fill>
      <patternFill patternType="solid">
        <fgColor theme="1"/>
        <bgColor theme="1"/>
      </patternFill>
    </fill>
    <fill>
      <patternFill patternType="solid">
        <fgColor theme="5" tint="-0.249977111117893"/>
        <bgColor indexed="64"/>
      </patternFill>
    </fill>
    <fill>
      <patternFill patternType="solid">
        <fgColor rgb="FFC00000"/>
        <bgColor indexed="64"/>
      </patternFill>
    </fill>
    <fill>
      <patternFill patternType="solid">
        <fgColor rgb="FFFFFFFF"/>
        <bgColor indexed="64"/>
      </patternFill>
    </fill>
    <fill>
      <patternFill patternType="solid">
        <fgColor rgb="FFE4E4E4"/>
        <bgColor indexed="64"/>
      </patternFill>
    </fill>
    <fill>
      <patternFill patternType="solid">
        <fgColor rgb="FFFDE9D9"/>
        <bgColor indexed="64"/>
      </patternFill>
    </fill>
    <fill>
      <patternFill patternType="solid">
        <fgColor rgb="FFD9D9D9"/>
        <bgColor indexed="64"/>
      </patternFill>
    </fill>
    <fill>
      <patternFill patternType="solid">
        <fgColor rgb="FFFEF3D8"/>
        <bgColor indexed="64"/>
      </patternFill>
    </fill>
    <fill>
      <patternFill patternType="solid">
        <fgColor rgb="FFFCD5B4"/>
        <bgColor indexed="64"/>
      </patternFill>
    </fill>
    <fill>
      <patternFill patternType="solid">
        <fgColor rgb="FFFFCC99"/>
        <bgColor indexed="64"/>
      </patternFill>
    </fill>
    <fill>
      <patternFill patternType="solid">
        <fgColor theme="9" tint="0.39997558519241921"/>
        <bgColor indexed="64"/>
      </patternFill>
    </fill>
  </fills>
  <borders count="88">
    <border>
      <left/>
      <right/>
      <top/>
      <bottom/>
      <diagonal/>
    </border>
    <border>
      <left style="dotted">
        <color auto="1"/>
      </left>
      <right style="medium">
        <color indexed="64"/>
      </right>
      <top style="medium">
        <color indexed="64"/>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auto="1"/>
      </left>
      <right style="thin">
        <color auto="1"/>
      </right>
      <top style="thin">
        <color auto="1"/>
      </top>
      <bottom style="thin">
        <color auto="1"/>
      </bottom>
      <diagonal/>
    </border>
    <border>
      <left style="dotted">
        <color indexed="64"/>
      </left>
      <right style="medium">
        <color indexed="64"/>
      </right>
      <top style="dotted">
        <color auto="1"/>
      </top>
      <bottom style="medium">
        <color indexed="64"/>
      </bottom>
      <diagonal/>
    </border>
    <border>
      <left style="dotted">
        <color auto="1"/>
      </left>
      <right style="medium">
        <color indexed="64"/>
      </right>
      <top style="dotted">
        <color auto="1"/>
      </top>
      <bottom style="dotted">
        <color auto="1"/>
      </bottom>
      <diagonal/>
    </border>
    <border>
      <left style="dotted">
        <color indexed="64"/>
      </left>
      <right style="dotted">
        <color auto="1"/>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dotted">
        <color indexed="64"/>
      </left>
      <right style="dotted">
        <color auto="1"/>
      </right>
      <top style="medium">
        <color indexed="64"/>
      </top>
      <bottom style="thin">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dotted">
        <color indexed="64"/>
      </left>
      <right style="medium">
        <color indexed="64"/>
      </right>
      <top/>
      <bottom style="dotted">
        <color indexed="64"/>
      </bottom>
      <diagonal/>
    </border>
    <border>
      <left style="medium">
        <color indexed="64"/>
      </left>
      <right style="dotted">
        <color auto="1"/>
      </right>
      <top style="dotted">
        <color indexed="64"/>
      </top>
      <bottom style="dotted">
        <color indexed="64"/>
      </bottom>
      <diagonal/>
    </border>
    <border>
      <left/>
      <right/>
      <top style="thin">
        <color auto="1"/>
      </top>
      <bottom style="thin">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dotted">
        <color auto="1"/>
      </right>
      <top style="medium">
        <color indexed="64"/>
      </top>
      <bottom style="thin">
        <color indexed="64"/>
      </bottom>
      <diagonal/>
    </border>
    <border>
      <left style="dotted">
        <color indexed="64"/>
      </left>
      <right style="dotted">
        <color auto="1"/>
      </right>
      <top style="medium">
        <color indexed="64"/>
      </top>
      <bottom style="thin">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dotted">
        <color indexed="64"/>
      </bottom>
      <diagonal/>
    </border>
    <border>
      <left style="dotted">
        <color indexed="64"/>
      </left>
      <right style="dotted">
        <color auto="1"/>
      </right>
      <top/>
      <bottom style="dotted">
        <color indexed="64"/>
      </bottom>
      <diagonal/>
    </border>
    <border>
      <left style="medium">
        <color indexed="64"/>
      </left>
      <right style="dotted">
        <color auto="1"/>
      </right>
      <top/>
      <bottom style="dotted">
        <color indexed="64"/>
      </bottom>
      <diagonal/>
    </border>
    <border>
      <left style="medium">
        <color indexed="64"/>
      </left>
      <right style="dotted">
        <color auto="1"/>
      </right>
      <top style="dotted">
        <color indexed="64"/>
      </top>
      <bottom style="dotted">
        <color indexed="64"/>
      </bottom>
      <diagonal/>
    </border>
    <border>
      <left/>
      <right/>
      <top style="medium">
        <color indexed="64"/>
      </top>
      <bottom/>
      <diagonal/>
    </border>
    <border>
      <left/>
      <right/>
      <top/>
      <bottom style="double">
        <color indexed="64"/>
      </bottom>
      <diagonal/>
    </border>
    <border>
      <left/>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top style="medium">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diagonal/>
    </border>
    <border>
      <left/>
      <right style="thin">
        <color theme="0" tint="-0.499984740745262"/>
      </right>
      <top/>
      <bottom/>
      <diagonal/>
    </border>
    <border>
      <left/>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medium">
        <color theme="0" tint="-0.499984740745262"/>
      </bottom>
      <diagonal/>
    </border>
    <border>
      <left/>
      <right/>
      <top/>
      <bottom style="medium">
        <color theme="0" tint="-0.499984740745262"/>
      </bottom>
      <diagonal/>
    </border>
    <border>
      <left style="thin">
        <color theme="0" tint="-0.499984740745262"/>
      </left>
      <right/>
      <top/>
      <bottom style="medium">
        <color theme="0" tint="-0.499984740745262"/>
      </bottom>
      <diagonal/>
    </border>
    <border>
      <left/>
      <right/>
      <top style="medium">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theme="0" tint="-0.499984740745262"/>
      </left>
      <right style="thin">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double">
        <color rgb="FFFF0000"/>
      </left>
      <right style="double">
        <color rgb="FFFF0000"/>
      </right>
      <top style="double">
        <color rgb="FFFF0000"/>
      </top>
      <bottom style="double">
        <color rgb="FFFF0000"/>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dotted">
        <color indexed="64"/>
      </left>
      <right style="dotted">
        <color auto="1"/>
      </right>
      <top/>
      <bottom/>
      <diagonal/>
    </border>
    <border>
      <left style="medium">
        <color rgb="FFFF0000"/>
      </left>
      <right style="medium">
        <color rgb="FFFF0000"/>
      </right>
      <top style="medium">
        <color rgb="FFFF0000"/>
      </top>
      <bottom style="medium">
        <color rgb="FFFF0000"/>
      </bottom>
      <diagonal/>
    </border>
  </borders>
  <cellStyleXfs count="8">
    <xf numFmtId="0" fontId="0" fillId="0" borderId="0">
      <alignment vertical="center"/>
    </xf>
    <xf numFmtId="41" fontId="3" fillId="0" borderId="0" applyFont="0" applyFill="0" applyBorder="0" applyAlignment="0" applyProtection="0">
      <alignment vertical="center"/>
    </xf>
    <xf numFmtId="9" fontId="3" fillId="0" borderId="0" applyFont="0" applyFill="0" applyBorder="0" applyAlignment="0" applyProtection="0">
      <alignment vertical="center"/>
    </xf>
    <xf numFmtId="0" fontId="18" fillId="0" borderId="0" applyNumberFormat="0" applyFill="0" applyBorder="0" applyAlignment="0" applyProtection="0">
      <alignment vertical="center"/>
    </xf>
    <xf numFmtId="41" fontId="42" fillId="0" borderId="0" applyFont="0" applyFill="0" applyBorder="0" applyAlignment="0" applyProtection="0">
      <alignment vertical="center"/>
    </xf>
    <xf numFmtId="0" fontId="49" fillId="0" borderId="0"/>
    <xf numFmtId="0" fontId="42" fillId="0" borderId="0">
      <alignment vertical="center"/>
    </xf>
    <xf numFmtId="0" fontId="42" fillId="0" borderId="0">
      <alignment vertical="center"/>
    </xf>
  </cellStyleXfs>
  <cellXfs count="664">
    <xf numFmtId="0" fontId="0" fillId="0" borderId="0" xfId="0">
      <alignment vertical="center"/>
    </xf>
    <xf numFmtId="0" fontId="5" fillId="0" borderId="0" xfId="0" applyFont="1">
      <alignment vertical="center"/>
    </xf>
    <xf numFmtId="0" fontId="7" fillId="0" borderId="0" xfId="0" applyFont="1">
      <alignment vertical="center"/>
    </xf>
    <xf numFmtId="0" fontId="7" fillId="0" borderId="0" xfId="0" applyFont="1" applyAlignment="1">
      <alignment horizontal="center" vertical="center"/>
    </xf>
    <xf numFmtId="41" fontId="0" fillId="0" borderId="0" xfId="1" applyFont="1">
      <alignment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lignment vertical="center"/>
    </xf>
    <xf numFmtId="0" fontId="2" fillId="0" borderId="2" xfId="0" quotePrefix="1" applyFont="1" applyBorder="1" applyAlignment="1">
      <alignment horizontal="left" vertical="center"/>
    </xf>
    <xf numFmtId="0" fontId="2" fillId="8" borderId="2" xfId="0" applyFont="1" applyFill="1" applyBorder="1">
      <alignment vertical="center"/>
    </xf>
    <xf numFmtId="176" fontId="2" fillId="0" borderId="2" xfId="0" applyNumberFormat="1" applyFont="1" applyBorder="1" applyAlignment="1">
      <alignment vertical="center" shrinkToFit="1"/>
    </xf>
    <xf numFmtId="41" fontId="7" fillId="0" borderId="4" xfId="1" applyFont="1" applyBorder="1">
      <alignment vertical="center"/>
    </xf>
    <xf numFmtId="9" fontId="7" fillId="0" borderId="4" xfId="0" applyNumberFormat="1" applyFont="1" applyBorder="1">
      <alignment vertical="center"/>
    </xf>
    <xf numFmtId="43" fontId="7" fillId="0" borderId="4" xfId="0" applyNumberFormat="1" applyFont="1" applyBorder="1">
      <alignment vertical="center"/>
    </xf>
    <xf numFmtId="0" fontId="7" fillId="0" borderId="4" xfId="0" applyFont="1" applyBorder="1">
      <alignment vertical="center"/>
    </xf>
    <xf numFmtId="0" fontId="7" fillId="5" borderId="4" xfId="0" applyFont="1" applyFill="1" applyBorder="1" applyAlignment="1">
      <alignment horizontal="center" vertical="center"/>
    </xf>
    <xf numFmtId="43" fontId="7" fillId="0" borderId="0" xfId="0" applyNumberFormat="1" applyFont="1" applyAlignment="1">
      <alignment horizontal="center" vertical="center"/>
    </xf>
    <xf numFmtId="179" fontId="7" fillId="0" borderId="4" xfId="2" applyNumberFormat="1" applyFont="1" applyBorder="1">
      <alignment vertical="center"/>
    </xf>
    <xf numFmtId="180" fontId="7" fillId="0" borderId="4" xfId="0" applyNumberFormat="1" applyFont="1" applyBorder="1">
      <alignment vertical="center"/>
    </xf>
    <xf numFmtId="41" fontId="7" fillId="0" borderId="0" xfId="1" applyFont="1" applyBorder="1">
      <alignment vertical="center"/>
    </xf>
    <xf numFmtId="9" fontId="7" fillId="0" borderId="0" xfId="0" applyNumberFormat="1" applyFont="1" applyBorder="1">
      <alignment vertical="center"/>
    </xf>
    <xf numFmtId="43" fontId="7" fillId="0" borderId="0" xfId="0" applyNumberFormat="1" applyFont="1" applyBorder="1">
      <alignment vertical="center"/>
    </xf>
    <xf numFmtId="179" fontId="7" fillId="0" borderId="0" xfId="2" applyNumberFormat="1" applyFont="1" applyBorder="1">
      <alignment vertical="center"/>
    </xf>
    <xf numFmtId="0" fontId="7" fillId="0" borderId="0" xfId="0" applyFont="1" applyBorder="1">
      <alignment vertical="center"/>
    </xf>
    <xf numFmtId="179" fontId="7" fillId="3" borderId="4" xfId="2" applyNumberFormat="1" applyFont="1" applyFill="1" applyBorder="1">
      <alignment vertical="center"/>
    </xf>
    <xf numFmtId="10" fontId="7" fillId="3" borderId="4" xfId="0" applyNumberFormat="1" applyFont="1" applyFill="1" applyBorder="1">
      <alignment vertical="center"/>
    </xf>
    <xf numFmtId="3" fontId="0" fillId="0" borderId="0" xfId="0" applyNumberFormat="1">
      <alignment vertical="center"/>
    </xf>
    <xf numFmtId="179" fontId="7" fillId="0" borderId="0" xfId="2" applyNumberFormat="1" applyFont="1">
      <alignment vertical="center"/>
    </xf>
    <xf numFmtId="41" fontId="7" fillId="0" borderId="4" xfId="0" applyNumberFormat="1" applyFont="1" applyBorder="1">
      <alignment vertical="center"/>
    </xf>
    <xf numFmtId="3" fontId="0" fillId="0" borderId="7" xfId="0" applyNumberFormat="1" applyBorder="1">
      <alignment vertical="center"/>
    </xf>
    <xf numFmtId="0" fontId="4" fillId="5" borderId="1" xfId="0" applyFont="1" applyFill="1" applyBorder="1" applyAlignment="1">
      <alignment horizontal="center" vertical="center"/>
    </xf>
    <xf numFmtId="0" fontId="9" fillId="9" borderId="4" xfId="0" applyFont="1" applyFill="1" applyBorder="1" applyAlignment="1">
      <alignment horizontal="center" vertical="center"/>
    </xf>
    <xf numFmtId="0" fontId="0" fillId="0" borderId="10" xfId="0" applyFont="1" applyFill="1" applyBorder="1">
      <alignment vertical="center"/>
    </xf>
    <xf numFmtId="0" fontId="0" fillId="0" borderId="11" xfId="0" applyFont="1" applyFill="1" applyBorder="1">
      <alignment vertical="center"/>
    </xf>
    <xf numFmtId="178" fontId="0" fillId="0" borderId="11" xfId="0" applyNumberFormat="1" applyFont="1" applyFill="1" applyBorder="1">
      <alignment vertical="center"/>
    </xf>
    <xf numFmtId="3" fontId="0" fillId="0" borderId="11" xfId="0" applyNumberFormat="1" applyFont="1" applyFill="1" applyBorder="1">
      <alignment vertical="center"/>
    </xf>
    <xf numFmtId="9" fontId="0" fillId="0" borderId="11" xfId="0" applyNumberFormat="1" applyFont="1" applyFill="1" applyBorder="1">
      <alignment vertical="center"/>
    </xf>
    <xf numFmtId="3" fontId="0" fillId="0" borderId="11" xfId="0" applyNumberFormat="1" applyBorder="1">
      <alignment vertical="center"/>
    </xf>
    <xf numFmtId="0" fontId="0" fillId="0" borderId="11" xfId="0" applyBorder="1">
      <alignment vertical="center"/>
    </xf>
    <xf numFmtId="3" fontId="0" fillId="0" borderId="5" xfId="0" applyNumberFormat="1" applyBorder="1">
      <alignment vertical="center"/>
    </xf>
    <xf numFmtId="0" fontId="0" fillId="0" borderId="7" xfId="0" applyFont="1" applyFill="1" applyBorder="1">
      <alignment vertical="center"/>
    </xf>
    <xf numFmtId="178" fontId="0" fillId="0" borderId="7" xfId="0" applyNumberFormat="1" applyFont="1" applyFill="1" applyBorder="1">
      <alignment vertical="center"/>
    </xf>
    <xf numFmtId="3" fontId="0" fillId="0" borderId="7" xfId="0" applyNumberFormat="1" applyFont="1" applyFill="1" applyBorder="1">
      <alignment vertical="center"/>
    </xf>
    <xf numFmtId="9" fontId="0" fillId="0" borderId="7" xfId="0" applyNumberFormat="1" applyFont="1" applyFill="1" applyBorder="1">
      <alignment vertical="center"/>
    </xf>
    <xf numFmtId="0" fontId="0" fillId="0" borderId="7" xfId="0" applyBorder="1">
      <alignment vertical="center"/>
    </xf>
    <xf numFmtId="3" fontId="0" fillId="0" borderId="12" xfId="0" applyNumberFormat="1" applyBorder="1">
      <alignment vertical="center"/>
    </xf>
    <xf numFmtId="0" fontId="0" fillId="0" borderId="13" xfId="0" applyFont="1" applyFill="1" applyBorder="1">
      <alignment vertical="center"/>
    </xf>
    <xf numFmtId="3" fontId="0" fillId="0" borderId="6" xfId="0" applyNumberFormat="1" applyBorder="1">
      <alignment vertical="center"/>
    </xf>
    <xf numFmtId="0" fontId="7" fillId="0" borderId="14" xfId="0" applyFont="1" applyBorder="1">
      <alignment vertical="center"/>
    </xf>
    <xf numFmtId="41" fontId="7" fillId="0" borderId="14" xfId="0" applyNumberFormat="1" applyFont="1" applyBorder="1">
      <alignment vertical="center"/>
    </xf>
    <xf numFmtId="3" fontId="4" fillId="5" borderId="9" xfId="0" applyNumberFormat="1" applyFont="1" applyFill="1" applyBorder="1" applyAlignment="1">
      <alignment horizontal="center" vertical="center"/>
    </xf>
    <xf numFmtId="3" fontId="4" fillId="3" borderId="9" xfId="1" applyNumberFormat="1" applyFont="1" applyFill="1" applyBorder="1" applyAlignment="1">
      <alignment horizontal="center" vertical="center"/>
    </xf>
    <xf numFmtId="3" fontId="4" fillId="2" borderId="9" xfId="1" applyNumberFormat="1" applyFont="1" applyFill="1" applyBorder="1" applyAlignment="1">
      <alignment horizontal="center" vertical="center"/>
    </xf>
    <xf numFmtId="3" fontId="4" fillId="5" borderId="9" xfId="1" applyNumberFormat="1" applyFont="1" applyFill="1" applyBorder="1" applyAlignment="1">
      <alignment horizontal="center" vertical="center"/>
    </xf>
    <xf numFmtId="3" fontId="4" fillId="5" borderId="1" xfId="1" applyNumberFormat="1" applyFont="1" applyFill="1" applyBorder="1" applyAlignment="1">
      <alignment horizontal="center" vertical="center"/>
    </xf>
    <xf numFmtId="3" fontId="4" fillId="6" borderId="8" xfId="1" applyNumberFormat="1" applyFont="1" applyFill="1" applyBorder="1" applyAlignment="1">
      <alignment horizontal="center" vertical="center"/>
    </xf>
    <xf numFmtId="3" fontId="4" fillId="2" borderId="15" xfId="1" applyNumberFormat="1" applyFont="1" applyFill="1" applyBorder="1" applyAlignment="1">
      <alignment horizontal="center" vertical="center"/>
    </xf>
    <xf numFmtId="3" fontId="4" fillId="2" borderId="16" xfId="1" applyNumberFormat="1" applyFont="1" applyFill="1" applyBorder="1" applyAlignment="1">
      <alignment horizontal="center" vertical="center"/>
    </xf>
    <xf numFmtId="3" fontId="4" fillId="5" borderId="16" xfId="1" applyNumberFormat="1" applyFont="1" applyFill="1" applyBorder="1" applyAlignment="1">
      <alignment horizontal="center" vertical="center"/>
    </xf>
    <xf numFmtId="3" fontId="4" fillId="5" borderId="17" xfId="1" applyNumberFormat="1" applyFont="1" applyFill="1" applyBorder="1" applyAlignment="1">
      <alignment horizontal="center" vertical="center"/>
    </xf>
    <xf numFmtId="0" fontId="7" fillId="10" borderId="4" xfId="0" applyFont="1" applyFill="1" applyBorder="1" applyAlignment="1">
      <alignment horizontal="centerContinuous" vertical="center"/>
    </xf>
    <xf numFmtId="41" fontId="7" fillId="10" borderId="4" xfId="0" applyNumberFormat="1" applyFont="1" applyFill="1" applyBorder="1">
      <alignment vertical="center"/>
    </xf>
    <xf numFmtId="179" fontId="7" fillId="0" borderId="4" xfId="2" applyNumberFormat="1" applyFont="1" applyBorder="1" applyAlignment="1">
      <alignment horizontal="center" vertical="center"/>
    </xf>
    <xf numFmtId="179" fontId="7" fillId="0" borderId="4" xfId="0" applyNumberFormat="1" applyFont="1" applyBorder="1" applyAlignment="1">
      <alignment horizontal="center" vertical="center"/>
    </xf>
    <xf numFmtId="0" fontId="8" fillId="0" borderId="0" xfId="0" applyFont="1">
      <alignment vertical="center"/>
    </xf>
    <xf numFmtId="0" fontId="10" fillId="11" borderId="4" xfId="0" applyFont="1" applyFill="1" applyBorder="1" applyAlignment="1">
      <alignment horizontal="centerContinuous" vertical="center"/>
    </xf>
    <xf numFmtId="0" fontId="11" fillId="0" borderId="0" xfId="0" applyFont="1">
      <alignment vertical="center"/>
    </xf>
    <xf numFmtId="0" fontId="0" fillId="0" borderId="0" xfId="0" applyAlignment="1">
      <alignment horizontal="center" vertical="center"/>
    </xf>
    <xf numFmtId="0" fontId="0" fillId="12" borderId="0" xfId="0" applyFill="1">
      <alignment vertical="center"/>
    </xf>
    <xf numFmtId="3" fontId="2" fillId="0" borderId="12" xfId="0" applyNumberFormat="1" applyFont="1" applyBorder="1">
      <alignment vertical="center"/>
    </xf>
    <xf numFmtId="3" fontId="2" fillId="0" borderId="6" xfId="0" applyNumberFormat="1" applyFont="1" applyBorder="1">
      <alignment vertical="center"/>
    </xf>
    <xf numFmtId="3" fontId="2" fillId="0" borderId="5" xfId="0" applyNumberFormat="1" applyFont="1" applyBorder="1">
      <alignment vertical="center"/>
    </xf>
    <xf numFmtId="0" fontId="9" fillId="9" borderId="1" xfId="0" applyFont="1" applyFill="1" applyBorder="1" applyAlignment="1">
      <alignment horizontal="center" vertical="center"/>
    </xf>
    <xf numFmtId="41" fontId="2" fillId="10" borderId="6" xfId="0" applyNumberFormat="1" applyFont="1" applyFill="1" applyBorder="1">
      <alignment vertical="center"/>
    </xf>
    <xf numFmtId="41" fontId="2" fillId="10" borderId="5" xfId="0" applyNumberFormat="1" applyFont="1" applyFill="1" applyBorder="1">
      <alignment vertical="center"/>
    </xf>
    <xf numFmtId="0" fontId="2" fillId="0" borderId="12" xfId="0" applyFont="1" applyBorder="1">
      <alignment vertical="center"/>
    </xf>
    <xf numFmtId="0" fontId="2" fillId="0" borderId="6" xfId="0" applyFont="1" applyBorder="1">
      <alignment vertical="center"/>
    </xf>
    <xf numFmtId="0" fontId="2" fillId="0" borderId="0" xfId="0" applyFont="1">
      <alignment vertical="center"/>
    </xf>
    <xf numFmtId="0" fontId="2" fillId="9" borderId="1" xfId="0" applyFont="1" applyFill="1" applyBorder="1" applyAlignment="1">
      <alignment horizontal="center" vertical="center"/>
    </xf>
    <xf numFmtId="41" fontId="9" fillId="9" borderId="9" xfId="1" applyFont="1" applyFill="1" applyBorder="1" applyAlignment="1">
      <alignment horizontal="center" vertical="center"/>
    </xf>
    <xf numFmtId="41" fontId="9" fillId="9" borderId="1" xfId="1" applyFont="1" applyFill="1" applyBorder="1" applyAlignment="1">
      <alignment horizontal="center" vertical="center"/>
    </xf>
    <xf numFmtId="0" fontId="7" fillId="0" borderId="0" xfId="0" applyFont="1" applyFill="1" applyBorder="1" applyAlignment="1">
      <alignment horizontal="centerContinuous" vertical="center"/>
    </xf>
    <xf numFmtId="41" fontId="2" fillId="0" borderId="0" xfId="0" applyNumberFormat="1" applyFont="1" applyFill="1" applyBorder="1">
      <alignment vertical="center"/>
    </xf>
    <xf numFmtId="0" fontId="0" fillId="0" borderId="0" xfId="0" applyFill="1">
      <alignment vertical="center"/>
    </xf>
    <xf numFmtId="41" fontId="2" fillId="13" borderId="0" xfId="0" applyNumberFormat="1" applyFont="1" applyFill="1" applyBorder="1">
      <alignment vertical="center"/>
    </xf>
    <xf numFmtId="0" fontId="9" fillId="9" borderId="19" xfId="0" applyFont="1" applyFill="1" applyBorder="1" applyAlignment="1">
      <alignment horizontal="center" vertical="center"/>
    </xf>
    <xf numFmtId="0" fontId="7" fillId="10" borderId="21" xfId="0" applyFont="1" applyFill="1" applyBorder="1" applyAlignment="1">
      <alignment horizontal="centerContinuous" vertical="center"/>
    </xf>
    <xf numFmtId="0" fontId="2" fillId="9" borderId="19" xfId="0" applyFont="1" applyFill="1" applyBorder="1" applyAlignment="1">
      <alignment horizontal="center" vertical="center"/>
    </xf>
    <xf numFmtId="0" fontId="7" fillId="0" borderId="22" xfId="0" applyFont="1" applyBorder="1">
      <alignment vertical="center"/>
    </xf>
    <xf numFmtId="0" fontId="7" fillId="10" borderId="22" xfId="0" applyFont="1" applyFill="1" applyBorder="1" applyAlignment="1">
      <alignment horizontal="centerContinuous" vertical="center"/>
    </xf>
    <xf numFmtId="0" fontId="7" fillId="0" borderId="23" xfId="0" applyFont="1" applyBorder="1">
      <alignment vertical="center"/>
    </xf>
    <xf numFmtId="0" fontId="12" fillId="0" borderId="0" xfId="0" applyFont="1">
      <alignment vertical="center"/>
    </xf>
    <xf numFmtId="0" fontId="0" fillId="0" borderId="0" xfId="0" applyBorder="1">
      <alignment vertical="center"/>
    </xf>
    <xf numFmtId="0" fontId="0" fillId="0" borderId="0" xfId="0" applyFill="1" applyBorder="1">
      <alignment vertical="center"/>
    </xf>
    <xf numFmtId="0" fontId="9" fillId="9" borderId="18" xfId="0" applyFont="1" applyFill="1" applyBorder="1" applyAlignment="1">
      <alignment horizontal="center" vertical="center"/>
    </xf>
    <xf numFmtId="0" fontId="7" fillId="0" borderId="24" xfId="0" applyFont="1" applyBorder="1">
      <alignment vertical="center"/>
    </xf>
    <xf numFmtId="0" fontId="7" fillId="0" borderId="25" xfId="0" applyFont="1" applyBorder="1">
      <alignment vertical="center"/>
    </xf>
    <xf numFmtId="0" fontId="7" fillId="10" borderId="25" xfId="0" applyFont="1" applyFill="1" applyBorder="1" applyAlignment="1">
      <alignment horizontal="centerContinuous" vertical="center"/>
    </xf>
    <xf numFmtId="0" fontId="7" fillId="10" borderId="20" xfId="0" applyFont="1" applyFill="1" applyBorder="1" applyAlignment="1">
      <alignment horizontal="centerContinuous" vertical="center"/>
    </xf>
    <xf numFmtId="3" fontId="2" fillId="0" borderId="23" xfId="0" applyNumberFormat="1" applyFont="1" applyBorder="1">
      <alignment vertical="center"/>
    </xf>
    <xf numFmtId="0" fontId="2" fillId="0" borderId="23" xfId="0" applyFont="1" applyBorder="1">
      <alignment vertical="center"/>
    </xf>
    <xf numFmtId="3" fontId="2" fillId="0" borderId="22" xfId="0" applyNumberFormat="1" applyFont="1" applyBorder="1">
      <alignment vertical="center"/>
    </xf>
    <xf numFmtId="0" fontId="2" fillId="0" borderId="22" xfId="0" applyFont="1" applyBorder="1">
      <alignment vertical="center"/>
    </xf>
    <xf numFmtId="0" fontId="7" fillId="0" borderId="26" xfId="0" applyFont="1" applyFill="1" applyBorder="1" applyAlignment="1">
      <alignment horizontal="centerContinuous" vertical="center"/>
    </xf>
    <xf numFmtId="41" fontId="2" fillId="0" borderId="26" xfId="0" applyNumberFormat="1" applyFont="1" applyFill="1" applyBorder="1">
      <alignment vertical="center"/>
    </xf>
    <xf numFmtId="0" fontId="0" fillId="14" borderId="0" xfId="0" applyFill="1">
      <alignment vertical="center"/>
    </xf>
    <xf numFmtId="0" fontId="13" fillId="0" borderId="27" xfId="0" applyFont="1" applyBorder="1">
      <alignment vertical="center"/>
    </xf>
    <xf numFmtId="0" fontId="0" fillId="0" borderId="27" xfId="0" applyBorder="1">
      <alignment vertical="center"/>
    </xf>
    <xf numFmtId="0" fontId="14" fillId="0" borderId="25" xfId="0" applyFont="1" applyBorder="1">
      <alignment vertical="center"/>
    </xf>
    <xf numFmtId="0" fontId="14" fillId="0" borderId="22" xfId="0" applyFont="1" applyBorder="1">
      <alignment vertical="center"/>
    </xf>
    <xf numFmtId="0" fontId="16" fillId="0" borderId="0" xfId="0" applyFont="1" applyAlignment="1">
      <alignment horizontal="center" vertical="center"/>
    </xf>
    <xf numFmtId="0" fontId="17" fillId="0" borderId="0" xfId="0" applyFont="1">
      <alignment vertical="center"/>
    </xf>
    <xf numFmtId="0" fontId="19" fillId="14" borderId="0" xfId="3" applyFont="1" applyFill="1" applyAlignment="1">
      <alignment horizontal="center" vertical="center"/>
    </xf>
    <xf numFmtId="0" fontId="20" fillId="0" borderId="0" xfId="0" applyFont="1">
      <alignment vertical="center"/>
    </xf>
    <xf numFmtId="0" fontId="7" fillId="0" borderId="0" xfId="0" applyFont="1" applyAlignment="1">
      <alignment horizontal="left" vertical="center"/>
    </xf>
    <xf numFmtId="0" fontId="9" fillId="9" borderId="4" xfId="0" applyFont="1" applyFill="1" applyBorder="1" applyAlignment="1">
      <alignment horizontal="left" vertical="center"/>
    </xf>
    <xf numFmtId="0" fontId="7" fillId="0" borderId="4" xfId="0" applyFont="1" applyBorder="1" applyAlignment="1">
      <alignment horizontal="left" vertical="center"/>
    </xf>
    <xf numFmtId="0" fontId="7" fillId="5" borderId="4" xfId="0" applyFont="1" applyFill="1" applyBorder="1" applyAlignment="1">
      <alignment horizontal="left" vertical="center"/>
    </xf>
    <xf numFmtId="0" fontId="7" fillId="0" borderId="0" xfId="0" applyFont="1" applyBorder="1" applyAlignment="1">
      <alignment horizontal="left" vertical="center"/>
    </xf>
    <xf numFmtId="0" fontId="21" fillId="0" borderId="0" xfId="0" applyFont="1">
      <alignment vertical="center"/>
    </xf>
    <xf numFmtId="0" fontId="22" fillId="0" borderId="0" xfId="0" applyFont="1">
      <alignment vertical="center"/>
    </xf>
    <xf numFmtId="0" fontId="9" fillId="15" borderId="4" xfId="0" applyFont="1" applyFill="1" applyBorder="1" applyAlignment="1">
      <alignment horizontal="center" vertical="center"/>
    </xf>
    <xf numFmtId="0" fontId="7" fillId="16" borderId="4" xfId="0" applyFont="1" applyFill="1" applyBorder="1" applyAlignment="1">
      <alignment horizontal="centerContinuous" vertical="center"/>
    </xf>
    <xf numFmtId="41" fontId="7" fillId="16" borderId="4" xfId="0" applyNumberFormat="1" applyFont="1" applyFill="1" applyBorder="1">
      <alignment vertical="center"/>
    </xf>
    <xf numFmtId="0" fontId="20" fillId="0" borderId="27" xfId="0" applyFont="1" applyBorder="1">
      <alignment vertical="center"/>
    </xf>
    <xf numFmtId="0" fontId="25" fillId="0" borderId="0" xfId="0" applyFont="1">
      <alignment vertical="center"/>
    </xf>
    <xf numFmtId="0" fontId="25" fillId="0" borderId="0" xfId="0" applyFont="1" applyAlignment="1">
      <alignment horizontal="center" vertical="center"/>
    </xf>
    <xf numFmtId="0" fontId="2" fillId="0" borderId="2" xfId="0" applyFont="1" applyFill="1" applyBorder="1">
      <alignment vertical="center"/>
    </xf>
    <xf numFmtId="0" fontId="2" fillId="0" borderId="2" xfId="0" quotePrefix="1" applyFont="1" applyFill="1" applyBorder="1" applyAlignment="1">
      <alignment horizontal="left" vertical="center"/>
    </xf>
    <xf numFmtId="176" fontId="2" fillId="0" borderId="2" xfId="0" applyNumberFormat="1" applyFont="1" applyFill="1" applyBorder="1" applyAlignment="1">
      <alignment vertical="center" shrinkToFit="1"/>
    </xf>
    <xf numFmtId="177" fontId="6" fillId="0" borderId="2" xfId="0" quotePrefix="1" applyNumberFormat="1" applyFont="1" applyFill="1" applyBorder="1" applyAlignment="1">
      <alignment vertical="center" shrinkToFit="1"/>
    </xf>
    <xf numFmtId="177" fontId="0" fillId="0" borderId="2" xfId="0" applyNumberFormat="1" applyFill="1" applyBorder="1" applyAlignment="1">
      <alignment vertical="center" shrinkToFit="1"/>
    </xf>
    <xf numFmtId="177" fontId="2" fillId="0" borderId="2" xfId="0" applyNumberFormat="1" applyFont="1" applyFill="1" applyBorder="1" applyAlignment="1">
      <alignment vertical="center" shrinkToFit="1"/>
    </xf>
    <xf numFmtId="176" fontId="2" fillId="0" borderId="0" xfId="0" applyNumberFormat="1" applyFont="1" applyFill="1" applyBorder="1" applyAlignment="1">
      <alignment vertical="center" shrinkToFit="1"/>
    </xf>
    <xf numFmtId="0" fontId="0" fillId="0" borderId="22" xfId="0" applyFont="1" applyFill="1" applyBorder="1">
      <alignment vertical="center"/>
    </xf>
    <xf numFmtId="178" fontId="0" fillId="0" borderId="22" xfId="0" applyNumberFormat="1" applyFont="1" applyFill="1" applyBorder="1">
      <alignment vertical="center"/>
    </xf>
    <xf numFmtId="3" fontId="0" fillId="0" borderId="22" xfId="0" applyNumberFormat="1" applyFont="1" applyFill="1" applyBorder="1">
      <alignment vertical="center"/>
    </xf>
    <xf numFmtId="9" fontId="0" fillId="0" borderId="22" xfId="0" applyNumberFormat="1" applyFont="1" applyFill="1" applyBorder="1">
      <alignment vertical="center"/>
    </xf>
    <xf numFmtId="3" fontId="0" fillId="0" borderId="22" xfId="0" applyNumberFormat="1" applyBorder="1">
      <alignment vertical="center"/>
    </xf>
    <xf numFmtId="0" fontId="0" fillId="0" borderId="22" xfId="0" applyBorder="1">
      <alignment vertical="center"/>
    </xf>
    <xf numFmtId="0" fontId="6" fillId="0" borderId="22" xfId="0" applyFont="1" applyFill="1" applyBorder="1">
      <alignment vertical="center"/>
    </xf>
    <xf numFmtId="0" fontId="0" fillId="0" borderId="23" xfId="0" applyFont="1" applyFill="1" applyBorder="1">
      <alignment vertical="center"/>
    </xf>
    <xf numFmtId="178" fontId="0" fillId="0" borderId="23" xfId="0" applyNumberFormat="1" applyFont="1" applyFill="1" applyBorder="1">
      <alignment vertical="center"/>
    </xf>
    <xf numFmtId="3" fontId="0" fillId="0" borderId="23" xfId="0" applyNumberFormat="1" applyFont="1" applyFill="1" applyBorder="1">
      <alignment vertical="center"/>
    </xf>
    <xf numFmtId="9" fontId="0" fillId="0" borderId="23" xfId="0" applyNumberFormat="1" applyFont="1" applyFill="1" applyBorder="1">
      <alignment vertical="center"/>
    </xf>
    <xf numFmtId="41" fontId="0" fillId="0" borderId="23" xfId="1" applyNumberFormat="1" applyFont="1" applyFill="1" applyBorder="1">
      <alignment vertical="center"/>
    </xf>
    <xf numFmtId="3" fontId="0" fillId="0" borderId="23" xfId="0" applyNumberFormat="1" applyBorder="1">
      <alignment vertical="center"/>
    </xf>
    <xf numFmtId="0" fontId="0" fillId="0" borderId="23" xfId="0" applyBorder="1">
      <alignment vertic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2" borderId="19" xfId="0" applyFont="1" applyFill="1" applyBorder="1" applyAlignment="1">
      <alignment horizontal="center" vertical="center"/>
    </xf>
    <xf numFmtId="0" fontId="4" fillId="7" borderId="19" xfId="0" applyFont="1" applyFill="1" applyBorder="1" applyAlignment="1">
      <alignment horizontal="center" vertical="center"/>
    </xf>
    <xf numFmtId="0" fontId="4" fillId="5" borderId="19" xfId="0" applyFont="1" applyFill="1" applyBorder="1" applyAlignment="1">
      <alignment horizontal="center" vertical="center"/>
    </xf>
    <xf numFmtId="0" fontId="0" fillId="0" borderId="24" xfId="0" applyFont="1" applyFill="1" applyBorder="1">
      <alignment vertical="center"/>
    </xf>
    <xf numFmtId="0" fontId="0" fillId="0" borderId="25" xfId="0" applyFont="1" applyFill="1" applyBorder="1">
      <alignment vertical="center"/>
    </xf>
    <xf numFmtId="0" fontId="0" fillId="0" borderId="20" xfId="0" applyFont="1" applyFill="1" applyBorder="1">
      <alignment vertical="center"/>
    </xf>
    <xf numFmtId="0" fontId="6" fillId="0" borderId="21" xfId="0" applyFont="1" applyFill="1" applyBorder="1">
      <alignment vertical="center"/>
    </xf>
    <xf numFmtId="0" fontId="0" fillId="0" borderId="21" xfId="0" applyFont="1" applyFill="1" applyBorder="1">
      <alignment vertical="center"/>
    </xf>
    <xf numFmtId="178" fontId="0" fillId="0" borderId="21" xfId="0" applyNumberFormat="1" applyFont="1" applyFill="1" applyBorder="1">
      <alignment vertical="center"/>
    </xf>
    <xf numFmtId="3" fontId="0" fillId="0" borderId="21" xfId="0" applyNumberFormat="1" applyFont="1" applyFill="1" applyBorder="1">
      <alignment vertical="center"/>
    </xf>
    <xf numFmtId="9" fontId="0" fillId="0" borderId="21" xfId="0" applyNumberFormat="1" applyFont="1" applyFill="1" applyBorder="1">
      <alignment vertical="center"/>
    </xf>
    <xf numFmtId="3" fontId="0" fillId="0" borderId="21" xfId="0" applyNumberFormat="1" applyBorder="1">
      <alignment vertical="center"/>
    </xf>
    <xf numFmtId="0" fontId="0" fillId="0" borderId="21" xfId="0" applyBorder="1">
      <alignment vertical="center"/>
    </xf>
    <xf numFmtId="0" fontId="0" fillId="0" borderId="27" xfId="0" applyBorder="1" applyAlignment="1">
      <alignment horizontal="center" vertical="center"/>
    </xf>
    <xf numFmtId="0" fontId="7" fillId="0" borderId="4" xfId="0" applyFont="1" applyBorder="1" applyAlignment="1">
      <alignment horizontal="center" vertical="center"/>
    </xf>
    <xf numFmtId="0" fontId="7" fillId="10" borderId="4" xfId="0" applyFont="1" applyFill="1" applyBorder="1" applyAlignment="1">
      <alignment horizontal="center" vertical="center"/>
    </xf>
    <xf numFmtId="0" fontId="7" fillId="0" borderId="14" xfId="0" applyFont="1" applyBorder="1" applyAlignment="1">
      <alignment horizontal="center" vertical="center"/>
    </xf>
    <xf numFmtId="0" fontId="22" fillId="0" borderId="0" xfId="0" applyFont="1" applyAlignment="1">
      <alignment horizontal="center" vertical="center"/>
    </xf>
    <xf numFmtId="0" fontId="7" fillId="16" borderId="4" xfId="0" applyFont="1" applyFill="1" applyBorder="1" applyAlignment="1">
      <alignment horizontal="center" vertical="center"/>
    </xf>
    <xf numFmtId="0" fontId="10" fillId="11" borderId="4" xfId="0" applyFont="1" applyFill="1" applyBorder="1" applyAlignment="1">
      <alignment horizontal="center" vertical="center"/>
    </xf>
    <xf numFmtId="0" fontId="4" fillId="5" borderId="19" xfId="0" applyFont="1" applyFill="1" applyBorder="1" applyAlignment="1">
      <alignment horizontal="center" vertical="center" wrapText="1"/>
    </xf>
    <xf numFmtId="0" fontId="0" fillId="3" borderId="2" xfId="0" applyFill="1" applyBorder="1" applyAlignment="1">
      <alignment horizontal="center" vertical="center" wrapText="1"/>
    </xf>
    <xf numFmtId="0" fontId="0" fillId="0" borderId="7" xfId="0" applyFont="1" applyFill="1" applyBorder="1" applyAlignment="1">
      <alignment horizontal="center" vertical="center"/>
    </xf>
    <xf numFmtId="0" fontId="0" fillId="0" borderId="11" xfId="0" applyFont="1" applyFill="1" applyBorder="1" applyAlignment="1">
      <alignment horizontal="center" vertical="center"/>
    </xf>
    <xf numFmtId="41" fontId="7" fillId="10" borderId="4" xfId="1" applyFont="1" applyFill="1" applyBorder="1">
      <alignment vertical="center"/>
    </xf>
    <xf numFmtId="41" fontId="7" fillId="0" borderId="0" xfId="0" applyNumberFormat="1" applyFont="1">
      <alignment vertical="center"/>
    </xf>
    <xf numFmtId="0" fontId="0" fillId="0" borderId="23" xfId="0" applyFont="1" applyFill="1" applyBorder="1" applyAlignment="1">
      <alignment horizontal="center" vertical="center"/>
    </xf>
    <xf numFmtId="0" fontId="0" fillId="0" borderId="22" xfId="0" applyFont="1" applyFill="1" applyBorder="1" applyAlignment="1">
      <alignment horizontal="center" vertical="center"/>
    </xf>
    <xf numFmtId="0" fontId="2" fillId="3" borderId="2" xfId="0" applyFont="1" applyFill="1" applyBorder="1">
      <alignment vertical="center"/>
    </xf>
    <xf numFmtId="41" fontId="7" fillId="3" borderId="0" xfId="0" applyNumberFormat="1" applyFont="1" applyFill="1">
      <alignment vertical="center"/>
    </xf>
    <xf numFmtId="41" fontId="2" fillId="0" borderId="2" xfId="1" applyFont="1" applyBorder="1" applyAlignment="1">
      <alignment vertical="center" shrinkToFit="1"/>
    </xf>
    <xf numFmtId="182" fontId="0" fillId="0" borderId="0" xfId="2" applyNumberFormat="1" applyFont="1">
      <alignment vertical="center"/>
    </xf>
    <xf numFmtId="182" fontId="0" fillId="0" borderId="0" xfId="0" applyNumberFormat="1">
      <alignment vertical="center"/>
    </xf>
    <xf numFmtId="0" fontId="2" fillId="0" borderId="2" xfId="0" quotePrefix="1" applyFont="1" applyBorder="1" applyAlignment="1">
      <alignment horizontal="center" vertical="center"/>
    </xf>
    <xf numFmtId="0" fontId="2" fillId="3" borderId="2" xfId="0" quotePrefix="1" applyFont="1" applyFill="1" applyBorder="1" applyAlignment="1">
      <alignment horizontal="center" vertical="center"/>
    </xf>
    <xf numFmtId="0" fontId="2" fillId="0" borderId="2" xfId="0" quotePrefix="1" applyFont="1" applyFill="1" applyBorder="1" applyAlignment="1">
      <alignment horizontal="center" vertical="center"/>
    </xf>
    <xf numFmtId="41" fontId="0" fillId="0" borderId="0" xfId="0" applyNumberFormat="1">
      <alignment vertical="center"/>
    </xf>
    <xf numFmtId="0" fontId="0" fillId="17" borderId="0" xfId="0" applyFill="1">
      <alignment vertical="center"/>
    </xf>
    <xf numFmtId="183" fontId="7" fillId="0" borderId="4" xfId="1" applyNumberFormat="1" applyFont="1" applyBorder="1">
      <alignment vertical="center"/>
    </xf>
    <xf numFmtId="183" fontId="7" fillId="10" borderId="4" xfId="1" applyNumberFormat="1" applyFont="1" applyFill="1" applyBorder="1">
      <alignment vertical="center"/>
    </xf>
    <xf numFmtId="178" fontId="4" fillId="5" borderId="9" xfId="0" applyNumberFormat="1" applyFont="1" applyFill="1" applyBorder="1" applyAlignment="1">
      <alignment horizontal="center" vertical="center"/>
    </xf>
    <xf numFmtId="183" fontId="7" fillId="0" borderId="4" xfId="1" applyNumberFormat="1" applyFont="1" applyFill="1" applyBorder="1">
      <alignment vertical="center"/>
    </xf>
    <xf numFmtId="0" fontId="0" fillId="0" borderId="23" xfId="0" applyFont="1" applyFill="1" applyBorder="1" applyAlignment="1">
      <alignment horizontal="left" vertical="center"/>
    </xf>
    <xf numFmtId="0" fontId="0" fillId="0" borderId="22" xfId="0" applyFont="1" applyFill="1" applyBorder="1" applyAlignment="1">
      <alignment horizontal="left" vertical="center"/>
    </xf>
    <xf numFmtId="0" fontId="0" fillId="0" borderId="21" xfId="0" applyFont="1" applyFill="1" applyBorder="1" applyAlignment="1">
      <alignment horizontal="left" vertical="center"/>
    </xf>
    <xf numFmtId="0" fontId="0" fillId="0" borderId="0" xfId="0" quotePrefix="1" applyAlignment="1">
      <alignment horizontal="left" vertical="center"/>
    </xf>
    <xf numFmtId="176" fontId="0" fillId="0" borderId="0" xfId="0" applyNumberFormat="1">
      <alignment vertical="center"/>
    </xf>
    <xf numFmtId="176" fontId="11" fillId="0" borderId="32" xfId="0" applyNumberFormat="1" applyFont="1" applyBorder="1">
      <alignment vertical="center"/>
    </xf>
    <xf numFmtId="176" fontId="11" fillId="0" borderId="35" xfId="0" applyNumberFormat="1" applyFont="1" applyBorder="1">
      <alignment vertical="center"/>
    </xf>
    <xf numFmtId="176" fontId="0" fillId="0" borderId="35" xfId="0" applyNumberFormat="1" applyBorder="1">
      <alignment vertical="center"/>
    </xf>
    <xf numFmtId="176" fontId="11" fillId="0" borderId="0" xfId="0" applyNumberFormat="1" applyFont="1">
      <alignment vertical="center"/>
    </xf>
    <xf numFmtId="176" fontId="11" fillId="0" borderId="36" xfId="0" applyNumberFormat="1" applyFont="1" applyBorder="1">
      <alignment vertical="center"/>
    </xf>
    <xf numFmtId="179" fontId="0" fillId="0" borderId="0" xfId="0" applyNumberFormat="1">
      <alignment vertical="center"/>
    </xf>
    <xf numFmtId="0" fontId="11" fillId="0" borderId="0" xfId="0" quotePrefix="1" applyFont="1" applyAlignment="1">
      <alignment horizontal="left" vertical="center"/>
    </xf>
    <xf numFmtId="176" fontId="11" fillId="22" borderId="57" xfId="0" applyNumberFormat="1" applyFont="1" applyFill="1" applyBorder="1" applyAlignment="1">
      <alignment horizontal="center" vertical="center"/>
    </xf>
    <xf numFmtId="0" fontId="11" fillId="18" borderId="28" xfId="0" applyFont="1" applyFill="1" applyBorder="1" applyAlignment="1">
      <alignment horizontal="center" vertical="center"/>
    </xf>
    <xf numFmtId="0" fontId="11" fillId="18" borderId="29" xfId="0" applyFont="1" applyFill="1" applyBorder="1" applyAlignment="1">
      <alignment horizontal="center" vertical="center"/>
    </xf>
    <xf numFmtId="0" fontId="11" fillId="18" borderId="28" xfId="0" quotePrefix="1" applyFont="1" applyFill="1" applyBorder="1" applyAlignment="1">
      <alignment horizontal="center" vertical="center"/>
    </xf>
    <xf numFmtId="176" fontId="0" fillId="0" borderId="0" xfId="0" applyNumberFormat="1" applyAlignment="1">
      <alignment horizontal="left" vertical="center" indent="1"/>
    </xf>
    <xf numFmtId="179" fontId="0" fillId="0" borderId="35" xfId="0" applyNumberFormat="1" applyBorder="1">
      <alignment vertical="center"/>
    </xf>
    <xf numFmtId="176" fontId="0" fillId="0" borderId="44" xfId="0" applyNumberFormat="1" applyBorder="1">
      <alignment vertical="center"/>
    </xf>
    <xf numFmtId="176" fontId="11" fillId="0" borderId="43" xfId="0" applyNumberFormat="1" applyFont="1" applyBorder="1">
      <alignment vertical="center"/>
    </xf>
    <xf numFmtId="176" fontId="11" fillId="0" borderId="44" xfId="0" applyNumberFormat="1" applyFont="1" applyBorder="1">
      <alignment vertical="center"/>
    </xf>
    <xf numFmtId="179" fontId="11" fillId="18" borderId="30" xfId="0" applyNumberFormat="1" applyFont="1" applyFill="1" applyBorder="1" applyAlignment="1">
      <alignment horizontal="center" vertical="center"/>
    </xf>
    <xf numFmtId="179" fontId="11" fillId="0" borderId="30" xfId="0" applyNumberFormat="1" applyFont="1" applyBorder="1">
      <alignment vertical="center"/>
    </xf>
    <xf numFmtId="0" fontId="0" fillId="0" borderId="0" xfId="0" applyAlignment="1">
      <alignment horizontal="left" vertical="center" indent="1"/>
    </xf>
    <xf numFmtId="179" fontId="0" fillId="0" borderId="3" xfId="0" applyNumberFormat="1" applyBorder="1">
      <alignment vertical="center"/>
    </xf>
    <xf numFmtId="179" fontId="11" fillId="0" borderId="42" xfId="0" applyNumberFormat="1" applyFont="1" applyBorder="1">
      <alignment vertical="center"/>
    </xf>
    <xf numFmtId="176" fontId="0" fillId="3" borderId="35" xfId="0" applyNumberFormat="1" applyFill="1" applyBorder="1">
      <alignment vertical="center"/>
    </xf>
    <xf numFmtId="179" fontId="11" fillId="0" borderId="3" xfId="0" applyNumberFormat="1" applyFont="1" applyBorder="1">
      <alignment vertical="center"/>
    </xf>
    <xf numFmtId="0" fontId="11" fillId="0" borderId="31" xfId="0" applyFont="1" applyBorder="1">
      <alignment vertical="center"/>
    </xf>
    <xf numFmtId="176" fontId="11" fillId="0" borderId="31" xfId="0" applyNumberFormat="1" applyFont="1" applyBorder="1">
      <alignment vertical="center"/>
    </xf>
    <xf numFmtId="179" fontId="11" fillId="0" borderId="34" xfId="0" applyNumberFormat="1" applyFont="1" applyBorder="1">
      <alignment vertical="center"/>
    </xf>
    <xf numFmtId="10" fontId="11" fillId="0" borderId="35" xfId="0" applyNumberFormat="1" applyFont="1" applyBorder="1">
      <alignment vertical="center"/>
    </xf>
    <xf numFmtId="0" fontId="11" fillId="0" borderId="44" xfId="0" applyFont="1" applyBorder="1">
      <alignment vertical="center"/>
    </xf>
    <xf numFmtId="179" fontId="0" fillId="0" borderId="45" xfId="0" applyNumberFormat="1" applyBorder="1">
      <alignment vertical="center"/>
    </xf>
    <xf numFmtId="0" fontId="11" fillId="18" borderId="46" xfId="0" applyFont="1" applyFill="1" applyBorder="1" applyAlignment="1">
      <alignment horizontal="center" vertical="center"/>
    </xf>
    <xf numFmtId="176" fontId="11" fillId="18" borderId="58" xfId="0" applyNumberFormat="1" applyFont="1" applyFill="1" applyBorder="1" applyAlignment="1">
      <alignment horizontal="center" vertical="center"/>
    </xf>
    <xf numFmtId="0" fontId="11" fillId="18" borderId="59" xfId="0" applyFont="1" applyFill="1" applyBorder="1" applyAlignment="1">
      <alignment horizontal="center" vertical="center"/>
    </xf>
    <xf numFmtId="176" fontId="0" fillId="18" borderId="46" xfId="0" applyNumberFormat="1" applyFill="1" applyBorder="1">
      <alignment vertical="center"/>
    </xf>
    <xf numFmtId="0" fontId="11" fillId="0" borderId="31" xfId="0" quotePrefix="1" applyFont="1" applyBorder="1" applyAlignment="1">
      <alignment horizontal="left" vertical="center"/>
    </xf>
    <xf numFmtId="176" fontId="11" fillId="0" borderId="33" xfId="0" applyNumberFormat="1" applyFont="1" applyBorder="1">
      <alignment vertical="center"/>
    </xf>
    <xf numFmtId="0" fontId="11" fillId="3" borderId="40" xfId="0" quotePrefix="1" applyFont="1" applyFill="1" applyBorder="1" applyAlignment="1">
      <alignment horizontal="left" vertical="center"/>
    </xf>
    <xf numFmtId="176" fontId="0" fillId="3" borderId="2" xfId="0" applyNumberFormat="1" applyFill="1" applyBorder="1">
      <alignment vertical="center"/>
    </xf>
    <xf numFmtId="179" fontId="11" fillId="3" borderId="40" xfId="0" applyNumberFormat="1" applyFont="1" applyFill="1" applyBorder="1">
      <alignment vertical="center"/>
    </xf>
    <xf numFmtId="10" fontId="11" fillId="3" borderId="40" xfId="0" applyNumberFormat="1" applyFont="1" applyFill="1" applyBorder="1">
      <alignment vertical="center"/>
    </xf>
    <xf numFmtId="179" fontId="11" fillId="3" borderId="41" xfId="0" applyNumberFormat="1" applyFont="1" applyFill="1" applyBorder="1">
      <alignment vertical="center"/>
    </xf>
    <xf numFmtId="176" fontId="0" fillId="3" borderId="40" xfId="0" applyNumberFormat="1" applyFill="1" applyBorder="1">
      <alignment vertical="center"/>
    </xf>
    <xf numFmtId="176" fontId="0" fillId="0" borderId="31" xfId="0" applyNumberFormat="1" applyBorder="1">
      <alignment vertical="center"/>
    </xf>
    <xf numFmtId="0" fontId="0" fillId="0" borderId="37" xfId="0" applyBorder="1" applyAlignment="1">
      <alignment horizontal="left" vertical="center" indent="1"/>
    </xf>
    <xf numFmtId="176" fontId="11" fillId="0" borderId="38" xfId="0" applyNumberFormat="1" applyFont="1" applyBorder="1">
      <alignment vertical="center"/>
    </xf>
    <xf numFmtId="176" fontId="11" fillId="0" borderId="37" xfId="0" applyNumberFormat="1" applyFont="1" applyBorder="1">
      <alignment vertical="center"/>
    </xf>
    <xf numFmtId="176" fontId="11" fillId="0" borderId="39" xfId="0" applyNumberFormat="1" applyFont="1" applyBorder="1">
      <alignment vertical="center"/>
    </xf>
    <xf numFmtId="176" fontId="0" fillId="0" borderId="37" xfId="0" applyNumberFormat="1" applyBorder="1">
      <alignment vertical="center"/>
    </xf>
    <xf numFmtId="0" fontId="11" fillId="23" borderId="0" xfId="0" applyFont="1" applyFill="1">
      <alignment vertical="center"/>
    </xf>
    <xf numFmtId="176" fontId="11" fillId="23" borderId="35" xfId="0" applyNumberFormat="1" applyFont="1" applyFill="1" applyBorder="1">
      <alignment vertical="center"/>
    </xf>
    <xf numFmtId="176" fontId="11" fillId="23" borderId="0" xfId="0" applyNumberFormat="1" applyFont="1" applyFill="1">
      <alignment vertical="center"/>
    </xf>
    <xf numFmtId="176" fontId="0" fillId="23" borderId="0" xfId="0" applyNumberFormat="1" applyFill="1">
      <alignment vertical="center"/>
    </xf>
    <xf numFmtId="0" fontId="32" fillId="3" borderId="57" xfId="3" applyFont="1" applyFill="1" applyBorder="1" applyAlignment="1">
      <alignment horizontal="center" vertical="center"/>
    </xf>
    <xf numFmtId="0" fontId="5" fillId="8" borderId="0" xfId="0" applyFont="1" applyFill="1">
      <alignment vertical="center"/>
    </xf>
    <xf numFmtId="0" fontId="5" fillId="8" borderId="0" xfId="0" applyFont="1" applyFill="1" applyAlignment="1">
      <alignment horizontal="left" vertical="center"/>
    </xf>
    <xf numFmtId="176" fontId="5" fillId="8" borderId="0" xfId="0" applyNumberFormat="1" applyFont="1" applyFill="1">
      <alignment vertical="center"/>
    </xf>
    <xf numFmtId="0" fontId="33" fillId="8" borderId="0" xfId="0" applyFont="1" applyFill="1">
      <alignment vertical="center"/>
    </xf>
    <xf numFmtId="0" fontId="34" fillId="8" borderId="0" xfId="0" quotePrefix="1" applyFont="1" applyFill="1" applyAlignment="1">
      <alignment horizontal="left" vertical="center"/>
    </xf>
    <xf numFmtId="0" fontId="36" fillId="8" borderId="0" xfId="0" applyFont="1" applyFill="1">
      <alignment vertical="center"/>
    </xf>
    <xf numFmtId="0" fontId="36" fillId="8" borderId="0" xfId="0" quotePrefix="1" applyFont="1" applyFill="1" applyAlignment="1">
      <alignment horizontal="left" vertical="center"/>
    </xf>
    <xf numFmtId="176" fontId="0" fillId="8" borderId="0" xfId="0" applyNumberFormat="1" applyFill="1">
      <alignment vertical="center"/>
    </xf>
    <xf numFmtId="0" fontId="37" fillId="8" borderId="0" xfId="0" applyFont="1" applyFill="1">
      <alignment vertical="center"/>
    </xf>
    <xf numFmtId="0" fontId="38" fillId="8" borderId="0" xfId="0" applyFont="1" applyFill="1">
      <alignment vertical="center"/>
    </xf>
    <xf numFmtId="179" fontId="5" fillId="8" borderId="0" xfId="0" applyNumberFormat="1" applyFont="1" applyFill="1">
      <alignment vertical="center"/>
    </xf>
    <xf numFmtId="0" fontId="39" fillId="8" borderId="0" xfId="0" applyFont="1" applyFill="1">
      <alignment vertical="center"/>
    </xf>
    <xf numFmtId="0" fontId="40" fillId="8" borderId="0" xfId="0" quotePrefix="1" applyFont="1" applyFill="1" applyAlignment="1">
      <alignment horizontal="left" vertical="center"/>
    </xf>
    <xf numFmtId="0" fontId="40" fillId="8" borderId="0" xfId="0" applyFont="1" applyFill="1">
      <alignment vertical="center"/>
    </xf>
    <xf numFmtId="0" fontId="33" fillId="8" borderId="0" xfId="0" applyFont="1" applyFill="1" applyAlignment="1">
      <alignment horizontal="right" vertical="center"/>
    </xf>
    <xf numFmtId="0" fontId="41" fillId="24" borderId="61" xfId="0" applyFont="1" applyFill="1" applyBorder="1" applyAlignment="1">
      <alignment horizontal="center" vertical="center"/>
    </xf>
    <xf numFmtId="0" fontId="41" fillId="8" borderId="0" xfId="0" applyFont="1" applyFill="1" applyAlignment="1">
      <alignment horizontal="left" vertical="center"/>
    </xf>
    <xf numFmtId="41" fontId="5" fillId="0" borderId="4" xfId="4" applyFont="1" applyFill="1" applyBorder="1" applyAlignment="1">
      <alignment horizontal="center" vertical="center"/>
    </xf>
    <xf numFmtId="41" fontId="5" fillId="25" borderId="4" xfId="4" applyFont="1" applyFill="1" applyBorder="1" applyAlignment="1">
      <alignment horizontal="center" vertical="center"/>
    </xf>
    <xf numFmtId="41" fontId="5" fillId="26" borderId="4" xfId="4" applyFont="1" applyFill="1" applyBorder="1" applyAlignment="1">
      <alignment horizontal="center" vertical="center"/>
    </xf>
    <xf numFmtId="176" fontId="6" fillId="25" borderId="4" xfId="4" applyNumberFormat="1" applyFont="1" applyFill="1" applyBorder="1" applyAlignment="1">
      <alignment vertical="center"/>
    </xf>
    <xf numFmtId="176" fontId="5" fillId="25" borderId="4" xfId="4" applyNumberFormat="1" applyFont="1" applyFill="1" applyBorder="1" applyAlignment="1">
      <alignment horizontal="center" vertical="center"/>
    </xf>
    <xf numFmtId="41" fontId="41" fillId="27" borderId="4" xfId="4" applyFont="1" applyFill="1" applyBorder="1" applyAlignment="1">
      <alignment horizontal="center" vertical="center"/>
    </xf>
    <xf numFmtId="179" fontId="37" fillId="3" borderId="72" xfId="0" applyNumberFormat="1" applyFont="1" applyFill="1" applyBorder="1">
      <alignment vertical="center"/>
    </xf>
    <xf numFmtId="41" fontId="5" fillId="3" borderId="4" xfId="4" applyFont="1" applyFill="1" applyBorder="1" applyAlignment="1">
      <alignment horizontal="center" vertical="center"/>
    </xf>
    <xf numFmtId="41" fontId="41" fillId="27" borderId="4" xfId="4" applyFont="1" applyFill="1" applyBorder="1">
      <alignment vertical="center"/>
    </xf>
    <xf numFmtId="0" fontId="41" fillId="0" borderId="4" xfId="0" applyFont="1" applyBorder="1" applyAlignment="1">
      <alignment horizontal="center" vertical="center"/>
    </xf>
    <xf numFmtId="41" fontId="5" fillId="10" borderId="4" xfId="4" applyFont="1" applyFill="1" applyBorder="1" applyAlignment="1">
      <alignment horizontal="center" vertical="center"/>
    </xf>
    <xf numFmtId="41" fontId="41" fillId="24" borderId="4" xfId="4" applyFont="1" applyFill="1" applyBorder="1" applyAlignment="1">
      <alignment horizontal="center" vertical="center"/>
    </xf>
    <xf numFmtId="41" fontId="41" fillId="0" borderId="4" xfId="4" applyFont="1" applyFill="1" applyBorder="1" applyAlignment="1">
      <alignment horizontal="center" vertical="center"/>
    </xf>
    <xf numFmtId="41" fontId="27" fillId="28" borderId="82" xfId="4" applyFont="1" applyFill="1" applyBorder="1" applyAlignment="1">
      <alignment horizontal="center" vertical="center"/>
    </xf>
    <xf numFmtId="0" fontId="48" fillId="8" borderId="0" xfId="0" quotePrefix="1" applyFont="1" applyFill="1" applyAlignment="1">
      <alignment horizontal="center" vertical="center"/>
    </xf>
    <xf numFmtId="0" fontId="48" fillId="0" borderId="0" xfId="0" applyFont="1" applyAlignment="1">
      <alignment horizontal="center" vertical="center"/>
    </xf>
    <xf numFmtId="0" fontId="48" fillId="0" borderId="0" xfId="0" quotePrefix="1" applyFont="1" applyAlignment="1">
      <alignment horizontal="center" vertical="center"/>
    </xf>
    <xf numFmtId="176" fontId="41" fillId="26" borderId="0" xfId="0" applyNumberFormat="1" applyFont="1" applyFill="1">
      <alignment vertical="center"/>
    </xf>
    <xf numFmtId="9" fontId="26" fillId="0" borderId="0" xfId="0" applyNumberFormat="1" applyFont="1">
      <alignment vertical="center"/>
    </xf>
    <xf numFmtId="0" fontId="41" fillId="5" borderId="61" xfId="0" applyFont="1" applyFill="1" applyBorder="1" applyAlignment="1">
      <alignment horizontal="center" vertical="center"/>
    </xf>
    <xf numFmtId="41" fontId="5" fillId="26" borderId="4" xfId="0" applyNumberFormat="1" applyFont="1" applyFill="1" applyBorder="1" applyAlignment="1">
      <alignment horizontal="center" vertical="center"/>
    </xf>
    <xf numFmtId="41" fontId="5" fillId="0" borderId="4" xfId="0" applyNumberFormat="1" applyFont="1" applyBorder="1" applyAlignment="1">
      <alignment horizontal="center" vertical="center"/>
    </xf>
    <xf numFmtId="41" fontId="5" fillId="0" borderId="4" xfId="4" applyFont="1" applyBorder="1" applyAlignment="1">
      <alignment horizontal="center" vertical="center"/>
    </xf>
    <xf numFmtId="184" fontId="5" fillId="3" borderId="4" xfId="0" applyNumberFormat="1" applyFont="1" applyFill="1" applyBorder="1" applyAlignment="1">
      <alignment horizontal="center" vertical="center"/>
    </xf>
    <xf numFmtId="41" fontId="41" fillId="5" borderId="82" xfId="4" applyFont="1" applyFill="1" applyBorder="1" applyAlignment="1">
      <alignment vertical="center"/>
    </xf>
    <xf numFmtId="0" fontId="50" fillId="8" borderId="0" xfId="5" applyFont="1" applyFill="1"/>
    <xf numFmtId="41" fontId="5" fillId="3" borderId="0" xfId="4" applyFont="1" applyFill="1" applyAlignment="1">
      <alignment vertical="center"/>
    </xf>
    <xf numFmtId="0" fontId="5" fillId="8" borderId="0" xfId="0" applyFont="1" applyFill="1" applyAlignment="1"/>
    <xf numFmtId="0" fontId="4" fillId="29" borderId="61" xfId="0" applyFont="1" applyFill="1" applyBorder="1" applyAlignment="1">
      <alignment horizontal="center" vertical="center"/>
    </xf>
    <xf numFmtId="0" fontId="41" fillId="0" borderId="49" xfId="0" applyFont="1" applyBorder="1" applyAlignment="1">
      <alignment horizontal="center" vertical="center"/>
    </xf>
    <xf numFmtId="0" fontId="41" fillId="0" borderId="50" xfId="6" applyFont="1" applyBorder="1" applyAlignment="1">
      <alignment horizontal="center" vertical="center"/>
    </xf>
    <xf numFmtId="184" fontId="33" fillId="25" borderId="4" xfId="0" quotePrefix="1" applyNumberFormat="1" applyFont="1" applyFill="1" applyBorder="1" applyAlignment="1">
      <alignment horizontal="left" vertical="center"/>
    </xf>
    <xf numFmtId="184" fontId="5" fillId="0" borderId="4" xfId="0" applyNumberFormat="1" applyFont="1" applyBorder="1" applyAlignment="1">
      <alignment horizontal="right" vertical="center"/>
    </xf>
    <xf numFmtId="0" fontId="5" fillId="30" borderId="56" xfId="0" applyFont="1" applyFill="1" applyBorder="1" applyAlignment="1">
      <alignment horizontal="center"/>
    </xf>
    <xf numFmtId="0" fontId="5" fillId="30" borderId="4" xfId="0" applyFont="1" applyFill="1" applyBorder="1" applyAlignment="1">
      <alignment horizontal="center" vertical="center"/>
    </xf>
    <xf numFmtId="184" fontId="33" fillId="25" borderId="4" xfId="0" applyNumberFormat="1" applyFont="1" applyFill="1" applyBorder="1">
      <alignment vertical="center"/>
    </xf>
    <xf numFmtId="0" fontId="33" fillId="25" borderId="4" xfId="0" applyFont="1" applyFill="1" applyBorder="1">
      <alignment vertical="center"/>
    </xf>
    <xf numFmtId="0" fontId="4" fillId="20" borderId="4" xfId="0" applyFont="1" applyFill="1" applyBorder="1" applyAlignment="1">
      <alignment horizontal="center" vertical="center"/>
    </xf>
    <xf numFmtId="184" fontId="41" fillId="20" borderId="4" xfId="0" applyNumberFormat="1" applyFont="1" applyFill="1" applyBorder="1" applyAlignment="1">
      <alignment horizontal="right" vertical="center"/>
    </xf>
    <xf numFmtId="0" fontId="5" fillId="8" borderId="0" xfId="0" applyFont="1" applyFill="1" applyAlignment="1">
      <alignment horizontal="center"/>
    </xf>
    <xf numFmtId="0" fontId="5" fillId="8" borderId="0" xfId="0" applyFont="1" applyFill="1" applyAlignment="1">
      <alignment horizontal="center" vertical="center"/>
    </xf>
    <xf numFmtId="0" fontId="33" fillId="0" borderId="50" xfId="0" applyFont="1" applyBorder="1" applyAlignment="1">
      <alignment horizontal="left" vertical="center"/>
    </xf>
    <xf numFmtId="184" fontId="5" fillId="0" borderId="50" xfId="0" applyNumberFormat="1" applyFont="1" applyBorder="1" applyAlignment="1">
      <alignment horizontal="right" vertical="center"/>
    </xf>
    <xf numFmtId="184" fontId="27" fillId="21" borderId="82" xfId="0" applyNumberFormat="1" applyFont="1" applyFill="1" applyBorder="1" applyAlignment="1">
      <alignment horizontal="right" vertical="center"/>
    </xf>
    <xf numFmtId="0" fontId="23" fillId="8" borderId="0" xfId="0" applyFont="1" applyFill="1" applyAlignment="1">
      <alignment horizontal="center" vertical="center"/>
    </xf>
    <xf numFmtId="184" fontId="23" fillId="8" borderId="0" xfId="0" applyNumberFormat="1" applyFont="1" applyFill="1" applyAlignment="1">
      <alignment horizontal="right" vertical="center"/>
    </xf>
    <xf numFmtId="0" fontId="48" fillId="8" borderId="0" xfId="0" quotePrefix="1" applyFont="1" applyFill="1" applyAlignment="1">
      <alignment horizontal="left" vertical="center"/>
    </xf>
    <xf numFmtId="0" fontId="34" fillId="8" borderId="0" xfId="0" applyFont="1" applyFill="1">
      <alignment vertical="center"/>
    </xf>
    <xf numFmtId="0" fontId="33" fillId="8" borderId="0" xfId="0" applyFont="1" applyFill="1" applyAlignment="1">
      <alignment horizontal="left" vertical="center"/>
    </xf>
    <xf numFmtId="0" fontId="48" fillId="8" borderId="47" xfId="0" applyFont="1" applyFill="1" applyBorder="1">
      <alignment vertical="center"/>
    </xf>
    <xf numFmtId="0" fontId="5" fillId="8" borderId="48" xfId="0" applyFont="1" applyFill="1" applyBorder="1">
      <alignment vertical="center"/>
    </xf>
    <xf numFmtId="0" fontId="5" fillId="8" borderId="48" xfId="0" applyFont="1" applyFill="1" applyBorder="1" applyAlignment="1">
      <alignment horizontal="left" vertical="center"/>
    </xf>
    <xf numFmtId="0" fontId="5" fillId="8" borderId="49" xfId="0" applyFont="1" applyFill="1" applyBorder="1">
      <alignment vertical="center"/>
    </xf>
    <xf numFmtId="0" fontId="40" fillId="8" borderId="69" xfId="0" applyFont="1" applyFill="1" applyBorder="1">
      <alignment vertical="center"/>
    </xf>
    <xf numFmtId="0" fontId="5" fillId="8" borderId="73" xfId="0" applyFont="1" applyFill="1" applyBorder="1">
      <alignment vertical="center"/>
    </xf>
    <xf numFmtId="0" fontId="48" fillId="8" borderId="69" xfId="0" applyFont="1" applyFill="1" applyBorder="1">
      <alignment vertical="center"/>
    </xf>
    <xf numFmtId="0" fontId="40" fillId="8" borderId="51" xfId="0" applyFont="1" applyFill="1" applyBorder="1">
      <alignment vertical="center"/>
    </xf>
    <xf numFmtId="0" fontId="5" fillId="8" borderId="52" xfId="0" applyFont="1" applyFill="1" applyBorder="1">
      <alignment vertical="center"/>
    </xf>
    <xf numFmtId="0" fontId="5" fillId="8" borderId="52" xfId="0" applyFont="1" applyFill="1" applyBorder="1" applyAlignment="1">
      <alignment horizontal="left" vertical="center"/>
    </xf>
    <xf numFmtId="0" fontId="5" fillId="8" borderId="53" xfId="0" applyFont="1" applyFill="1" applyBorder="1">
      <alignment vertical="center"/>
    </xf>
    <xf numFmtId="0" fontId="41" fillId="8" borderId="0" xfId="0" applyFont="1" applyFill="1" applyAlignment="1">
      <alignment horizontal="center" vertical="center"/>
    </xf>
    <xf numFmtId="184" fontId="50" fillId="8" borderId="0" xfId="0" applyNumberFormat="1" applyFont="1" applyFill="1" applyAlignment="1">
      <alignment horizontal="right" vertical="center"/>
    </xf>
    <xf numFmtId="0" fontId="41" fillId="8" borderId="0" xfId="0" applyFont="1" applyFill="1" applyAlignment="1"/>
    <xf numFmtId="0" fontId="41" fillId="8" borderId="0" xfId="0" applyFont="1" applyFill="1">
      <alignment vertical="center"/>
    </xf>
    <xf numFmtId="184" fontId="54" fillId="8" borderId="0" xfId="0" applyNumberFormat="1" applyFont="1" applyFill="1" applyAlignment="1">
      <alignment horizontal="right" vertical="center"/>
    </xf>
    <xf numFmtId="184" fontId="6" fillId="8" borderId="0" xfId="0" applyNumberFormat="1" applyFont="1" applyFill="1" applyAlignment="1">
      <alignment horizontal="right" vertical="center"/>
    </xf>
    <xf numFmtId="0" fontId="6" fillId="8" borderId="0" xfId="0" applyFont="1" applyFill="1" applyAlignment="1"/>
    <xf numFmtId="0" fontId="6" fillId="8" borderId="0" xfId="0" applyFont="1" applyFill="1">
      <alignment vertical="center"/>
    </xf>
    <xf numFmtId="0" fontId="11" fillId="8" borderId="0" xfId="0" applyFont="1" applyFill="1">
      <alignment vertical="center"/>
    </xf>
    <xf numFmtId="0" fontId="24" fillId="8" borderId="0" xfId="0" applyFont="1" applyFill="1">
      <alignment vertical="center"/>
    </xf>
    <xf numFmtId="0" fontId="23" fillId="8" borderId="0" xfId="6" applyFont="1" applyFill="1">
      <alignment vertical="center"/>
    </xf>
    <xf numFmtId="0" fontId="55" fillId="8" borderId="0" xfId="6" applyFont="1" applyFill="1">
      <alignment vertical="center"/>
    </xf>
    <xf numFmtId="0" fontId="6" fillId="8" borderId="0" xfId="6" applyFont="1" applyFill="1">
      <alignment vertical="center"/>
    </xf>
    <xf numFmtId="0" fontId="6" fillId="8" borderId="0" xfId="6" applyFont="1" applyFill="1" applyAlignment="1">
      <alignment horizontal="center" vertical="center"/>
    </xf>
    <xf numFmtId="0" fontId="5" fillId="8" borderId="0" xfId="6" applyFont="1" applyFill="1">
      <alignment vertical="center"/>
    </xf>
    <xf numFmtId="0" fontId="56" fillId="8" borderId="0" xfId="0" applyFont="1" applyFill="1">
      <alignment vertical="center"/>
    </xf>
    <xf numFmtId="0" fontId="5" fillId="8" borderId="0" xfId="0" applyFont="1" applyFill="1" applyAlignment="1">
      <alignment horizontal="right"/>
    </xf>
    <xf numFmtId="0" fontId="6" fillId="0" borderId="0" xfId="0" applyFont="1">
      <alignment vertical="center"/>
    </xf>
    <xf numFmtId="0" fontId="2" fillId="8" borderId="0" xfId="6" applyFont="1" applyFill="1">
      <alignment vertical="center"/>
    </xf>
    <xf numFmtId="0" fontId="57" fillId="8" borderId="0" xfId="6" applyFont="1" applyFill="1">
      <alignment vertical="center"/>
    </xf>
    <xf numFmtId="0" fontId="2" fillId="8" borderId="0" xfId="0" applyFont="1" applyFill="1" applyAlignment="1">
      <alignment horizontal="right"/>
    </xf>
    <xf numFmtId="0" fontId="2" fillId="8" borderId="0" xfId="0" applyFont="1" applyFill="1">
      <alignment vertical="center"/>
    </xf>
    <xf numFmtId="0" fontId="2" fillId="31" borderId="4" xfId="6" applyFont="1" applyFill="1" applyBorder="1" applyAlignment="1">
      <alignment horizontal="center" vertical="center" wrapText="1"/>
    </xf>
    <xf numFmtId="0" fontId="2" fillId="31" borderId="4" xfId="6" applyFont="1" applyFill="1" applyBorder="1" applyAlignment="1">
      <alignment horizontal="center" vertical="center"/>
    </xf>
    <xf numFmtId="0" fontId="57" fillId="32" borderId="4" xfId="0" applyFont="1" applyFill="1" applyBorder="1" applyAlignment="1">
      <alignment horizontal="center" vertical="center"/>
    </xf>
    <xf numFmtId="184" fontId="2" fillId="0" borderId="4" xfId="6" applyNumberFormat="1" applyFont="1" applyBorder="1" applyAlignment="1">
      <alignment horizontal="center" vertical="center"/>
    </xf>
    <xf numFmtId="184" fontId="33" fillId="0" borderId="4" xfId="6" applyNumberFormat="1" applyFont="1" applyBorder="1" applyAlignment="1">
      <alignment horizontal="center" vertical="center"/>
    </xf>
    <xf numFmtId="0" fontId="2" fillId="0" borderId="4" xfId="0" applyFont="1" applyBorder="1" applyAlignment="1">
      <alignment horizontal="center" vertical="center"/>
    </xf>
    <xf numFmtId="186" fontId="2" fillId="0" borderId="4" xfId="4" applyNumberFormat="1" applyFont="1" applyFill="1" applyBorder="1" applyAlignment="1">
      <alignment horizontal="center" vertical="center"/>
    </xf>
    <xf numFmtId="41" fontId="2" fillId="0" borderId="4" xfId="4" applyFont="1" applyFill="1" applyBorder="1" applyAlignment="1">
      <alignment horizontal="center" vertical="center"/>
    </xf>
    <xf numFmtId="41" fontId="2" fillId="0" borderId="0" xfId="0" applyNumberFormat="1" applyFont="1">
      <alignment vertical="center"/>
    </xf>
    <xf numFmtId="0" fontId="2" fillId="3" borderId="0" xfId="0" applyFont="1" applyFill="1">
      <alignment vertical="center"/>
    </xf>
    <xf numFmtId="176" fontId="2" fillId="3" borderId="0" xfId="0" applyNumberFormat="1" applyFont="1" applyFill="1">
      <alignment vertical="center"/>
    </xf>
    <xf numFmtId="176" fontId="2" fillId="0" borderId="0" xfId="0" applyNumberFormat="1" applyFont="1">
      <alignment vertical="center"/>
    </xf>
    <xf numFmtId="176" fontId="2" fillId="0" borderId="4" xfId="4" applyNumberFormat="1" applyFont="1" applyFill="1" applyBorder="1" applyAlignment="1">
      <alignment horizontal="center" vertical="center"/>
    </xf>
    <xf numFmtId="0" fontId="2" fillId="19" borderId="4" xfId="6" applyFont="1" applyFill="1" applyBorder="1" applyAlignment="1">
      <alignment horizontal="center" vertical="center"/>
    </xf>
    <xf numFmtId="41" fontId="2" fillId="19" borderId="4" xfId="6" applyNumberFormat="1" applyFont="1" applyFill="1" applyBorder="1" applyAlignment="1">
      <alignment horizontal="center" vertical="center"/>
    </xf>
    <xf numFmtId="41" fontId="2" fillId="19" borderId="4" xfId="4" applyFont="1" applyFill="1" applyBorder="1" applyAlignment="1">
      <alignment horizontal="center" vertical="center"/>
    </xf>
    <xf numFmtId="176" fontId="2" fillId="19" borderId="4" xfId="6" applyNumberFormat="1" applyFont="1" applyFill="1" applyBorder="1" applyAlignment="1">
      <alignment horizontal="center" vertical="center"/>
    </xf>
    <xf numFmtId="0" fontId="33" fillId="0" borderId="0" xfId="0" applyFont="1">
      <alignment vertical="center"/>
    </xf>
    <xf numFmtId="0" fontId="33" fillId="0" borderId="4" xfId="0" applyFont="1" applyBorder="1" applyAlignment="1">
      <alignment horizontal="center" vertical="center"/>
    </xf>
    <xf numFmtId="0" fontId="33" fillId="19" borderId="4" xfId="6" applyFont="1" applyFill="1" applyBorder="1" applyAlignment="1">
      <alignment horizontal="center" vertical="center"/>
    </xf>
    <xf numFmtId="41" fontId="33" fillId="19" borderId="4" xfId="6" applyNumberFormat="1" applyFont="1" applyFill="1" applyBorder="1" applyAlignment="1">
      <alignment horizontal="center" vertical="center"/>
    </xf>
    <xf numFmtId="41" fontId="33" fillId="19" borderId="4" xfId="4" applyFont="1" applyFill="1" applyBorder="1" applyAlignment="1">
      <alignment horizontal="center" vertical="center"/>
    </xf>
    <xf numFmtId="0" fontId="5" fillId="0" borderId="0" xfId="6" applyFont="1">
      <alignment vertical="center"/>
    </xf>
    <xf numFmtId="0" fontId="5" fillId="0" borderId="0" xfId="6" applyFont="1" applyAlignment="1">
      <alignment horizontal="center" vertical="center"/>
    </xf>
    <xf numFmtId="187" fontId="5" fillId="0" borderId="0" xfId="6" applyNumberFormat="1" applyFont="1">
      <alignment vertical="center"/>
    </xf>
    <xf numFmtId="41" fontId="7" fillId="0" borderId="4" xfId="1" applyFont="1" applyFill="1" applyBorder="1">
      <alignment vertical="center"/>
    </xf>
    <xf numFmtId="0" fontId="0" fillId="0" borderId="21" xfId="0" applyFont="1" applyFill="1" applyBorder="1" applyAlignment="1">
      <alignment horizontal="center" vertical="center"/>
    </xf>
    <xf numFmtId="41" fontId="7" fillId="3" borderId="4" xfId="1" applyFont="1" applyFill="1" applyBorder="1">
      <alignment vertical="center"/>
    </xf>
    <xf numFmtId="0" fontId="58" fillId="14" borderId="0" xfId="3" applyFont="1" applyFill="1" applyAlignment="1">
      <alignment horizontal="center" vertical="center"/>
    </xf>
    <xf numFmtId="0" fontId="2" fillId="14" borderId="0" xfId="0" applyFont="1" applyFill="1">
      <alignment vertical="center"/>
    </xf>
    <xf numFmtId="0" fontId="2" fillId="33" borderId="4" xfId="0" applyFont="1" applyFill="1" applyBorder="1" applyAlignment="1">
      <alignment horizontal="center" vertical="center"/>
    </xf>
    <xf numFmtId="0" fontId="2" fillId="0" borderId="4" xfId="0" applyFont="1" applyBorder="1">
      <alignment vertical="center"/>
    </xf>
    <xf numFmtId="0" fontId="2" fillId="0" borderId="0" xfId="0" applyFont="1" applyAlignment="1">
      <alignment horizontal="center" vertical="center"/>
    </xf>
    <xf numFmtId="0" fontId="2" fillId="0" borderId="4" xfId="0" applyFont="1" applyFill="1" applyBorder="1">
      <alignment vertical="center"/>
    </xf>
    <xf numFmtId="0" fontId="2" fillId="0" borderId="0" xfId="0" applyFont="1" applyFill="1">
      <alignment vertical="center"/>
    </xf>
    <xf numFmtId="0" fontId="2" fillId="0" borderId="48" xfId="0" applyFont="1" applyFill="1" applyBorder="1" applyAlignment="1">
      <alignment horizontal="center" vertical="center"/>
    </xf>
    <xf numFmtId="0" fontId="2" fillId="0" borderId="48"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horizontal="center" vertical="center"/>
    </xf>
    <xf numFmtId="0" fontId="2" fillId="0" borderId="52" xfId="0" applyFont="1" applyFill="1" applyBorder="1">
      <alignment vertical="center"/>
    </xf>
    <xf numFmtId="41" fontId="2" fillId="0" borderId="4" xfId="0" applyNumberFormat="1" applyFont="1" applyBorder="1">
      <alignment vertical="center"/>
    </xf>
    <xf numFmtId="0" fontId="59" fillId="0" borderId="4" xfId="0" applyFont="1" applyBorder="1" applyAlignment="1">
      <alignment horizontal="left" vertical="center"/>
    </xf>
    <xf numFmtId="0" fontId="59" fillId="0" borderId="4" xfId="0" applyFont="1" applyBorder="1" applyAlignment="1">
      <alignment horizontal="left" vertical="center" indent="1"/>
    </xf>
    <xf numFmtId="0" fontId="2" fillId="3" borderId="4" xfId="0" applyFont="1" applyFill="1" applyBorder="1">
      <alignment vertical="center"/>
    </xf>
    <xf numFmtId="3" fontId="2" fillId="6" borderId="22" xfId="0" applyNumberFormat="1" applyFont="1" applyFill="1" applyBorder="1">
      <alignment vertical="center"/>
    </xf>
    <xf numFmtId="9" fontId="2" fillId="0" borderId="22" xfId="0" applyNumberFormat="1" applyFont="1" applyBorder="1">
      <alignment vertical="center"/>
    </xf>
    <xf numFmtId="41" fontId="2" fillId="0" borderId="22" xfId="1" applyNumberFormat="1" applyFont="1" applyBorder="1">
      <alignment vertical="center"/>
    </xf>
    <xf numFmtId="3" fontId="2" fillId="6" borderId="23" xfId="0" applyNumberFormat="1" applyFont="1" applyFill="1" applyBorder="1">
      <alignment vertical="center"/>
    </xf>
    <xf numFmtId="9" fontId="2" fillId="0" borderId="23" xfId="0" applyNumberFormat="1" applyFont="1" applyBorder="1">
      <alignment vertical="center"/>
    </xf>
    <xf numFmtId="41" fontId="2" fillId="0" borderId="23" xfId="1" applyNumberFormat="1" applyFont="1" applyBorder="1">
      <alignment vertical="center"/>
    </xf>
    <xf numFmtId="3" fontId="2" fillId="4" borderId="22" xfId="0" applyNumberFormat="1" applyFont="1" applyFill="1" applyBorder="1">
      <alignment vertical="center"/>
    </xf>
    <xf numFmtId="0" fontId="2" fillId="0" borderId="24" xfId="0" applyFont="1" applyBorder="1">
      <alignment vertical="center"/>
    </xf>
    <xf numFmtId="0" fontId="2" fillId="0" borderId="25" xfId="0" applyFont="1" applyBorder="1">
      <alignment vertical="center"/>
    </xf>
    <xf numFmtId="0" fontId="2" fillId="0" borderId="20" xfId="0" applyFont="1" applyBorder="1">
      <alignment vertical="center"/>
    </xf>
    <xf numFmtId="0" fontId="2" fillId="0" borderId="21" xfId="0" applyFont="1" applyBorder="1">
      <alignment vertical="center"/>
    </xf>
    <xf numFmtId="3" fontId="2" fillId="0" borderId="21" xfId="0" applyNumberFormat="1" applyFont="1" applyBorder="1">
      <alignment vertical="center"/>
    </xf>
    <xf numFmtId="3" fontId="2" fillId="6" borderId="21" xfId="0" applyNumberFormat="1" applyFont="1" applyFill="1" applyBorder="1">
      <alignment vertical="center"/>
    </xf>
    <xf numFmtId="41" fontId="2" fillId="0" borderId="21" xfId="1" applyNumberFormat="1" applyFont="1" applyBorder="1">
      <alignment vertical="center"/>
    </xf>
    <xf numFmtId="3" fontId="12" fillId="0" borderId="23" xfId="0" applyNumberFormat="1" applyFont="1" applyBorder="1">
      <alignment vertical="center"/>
    </xf>
    <xf numFmtId="0" fontId="12" fillId="0" borderId="23" xfId="0" applyFont="1" applyBorder="1">
      <alignment vertical="center"/>
    </xf>
    <xf numFmtId="0" fontId="12" fillId="0" borderId="12" xfId="0" applyFont="1" applyBorder="1">
      <alignment vertical="center"/>
    </xf>
    <xf numFmtId="3" fontId="12" fillId="0" borderId="22" xfId="0" applyNumberFormat="1" applyFont="1" applyBorder="1">
      <alignment vertical="center"/>
    </xf>
    <xf numFmtId="0" fontId="12" fillId="0" borderId="22" xfId="0" applyFont="1" applyBorder="1">
      <alignment vertical="center"/>
    </xf>
    <xf numFmtId="0" fontId="12" fillId="0" borderId="6" xfId="0" applyFont="1" applyBorder="1">
      <alignment vertical="center"/>
    </xf>
    <xf numFmtId="41" fontId="12" fillId="10" borderId="22" xfId="0" applyNumberFormat="1" applyFont="1" applyFill="1" applyBorder="1">
      <alignment vertical="center"/>
    </xf>
    <xf numFmtId="41" fontId="12" fillId="10" borderId="6" xfId="0" applyNumberFormat="1" applyFont="1" applyFill="1" applyBorder="1">
      <alignment vertical="center"/>
    </xf>
    <xf numFmtId="3" fontId="12" fillId="0" borderId="6" xfId="0" applyNumberFormat="1" applyFont="1" applyBorder="1">
      <alignment vertical="center"/>
    </xf>
    <xf numFmtId="41" fontId="12" fillId="10" borderId="21" xfId="0" applyNumberFormat="1" applyFont="1" applyFill="1" applyBorder="1">
      <alignment vertical="center"/>
    </xf>
    <xf numFmtId="41" fontId="12" fillId="10" borderId="5" xfId="0" applyNumberFormat="1" applyFont="1" applyFill="1" applyBorder="1">
      <alignment vertical="center"/>
    </xf>
    <xf numFmtId="0" fontId="2" fillId="0" borderId="86" xfId="0" applyFont="1" applyFill="1" applyBorder="1">
      <alignment vertical="center"/>
    </xf>
    <xf numFmtId="0" fontId="2" fillId="0" borderId="22" xfId="0" applyFont="1" applyFill="1" applyBorder="1">
      <alignment vertical="center"/>
    </xf>
    <xf numFmtId="3" fontId="2" fillId="0" borderId="22" xfId="0" applyNumberFormat="1" applyFont="1" applyFill="1" applyBorder="1">
      <alignment vertical="center"/>
    </xf>
    <xf numFmtId="0" fontId="2" fillId="0" borderId="21" xfId="0" applyFont="1" applyFill="1" applyBorder="1">
      <alignment vertical="center"/>
    </xf>
    <xf numFmtId="41" fontId="2" fillId="10" borderId="22" xfId="0" applyNumberFormat="1" applyFont="1" applyFill="1" applyBorder="1">
      <alignment vertical="center"/>
    </xf>
    <xf numFmtId="41" fontId="2" fillId="10" borderId="21" xfId="0" applyNumberFormat="1" applyFont="1" applyFill="1" applyBorder="1">
      <alignment vertical="center"/>
    </xf>
    <xf numFmtId="41" fontId="2" fillId="0" borderId="4" xfId="0" applyNumberFormat="1" applyFont="1" applyBorder="1" applyAlignment="1">
      <alignment horizontal="center" vertical="center"/>
    </xf>
    <xf numFmtId="178" fontId="2" fillId="0" borderId="22" xfId="0" applyNumberFormat="1" applyFont="1" applyBorder="1">
      <alignment vertical="center"/>
    </xf>
    <xf numFmtId="181" fontId="2" fillId="0" borderId="22" xfId="1" applyNumberFormat="1" applyFont="1" applyBorder="1">
      <alignment vertical="center"/>
    </xf>
    <xf numFmtId="178" fontId="2" fillId="0" borderId="23" xfId="0" applyNumberFormat="1" applyFont="1" applyBorder="1">
      <alignment vertical="center"/>
    </xf>
    <xf numFmtId="181" fontId="2" fillId="0" borderId="23" xfId="1" applyNumberFormat="1" applyFont="1" applyBorder="1">
      <alignment vertical="center"/>
    </xf>
    <xf numFmtId="178" fontId="2" fillId="0" borderId="21" xfId="0" applyNumberFormat="1" applyFont="1" applyBorder="1">
      <alignment vertical="center"/>
    </xf>
    <xf numFmtId="9" fontId="2" fillId="0" borderId="21" xfId="0" applyNumberFormat="1" applyFont="1" applyBorder="1">
      <alignment vertical="center"/>
    </xf>
    <xf numFmtId="181" fontId="2" fillId="0" borderId="21" xfId="1" applyNumberFormat="1" applyFont="1" applyBorder="1">
      <alignment vertical="center"/>
    </xf>
    <xf numFmtId="0" fontId="2" fillId="3" borderId="22" xfId="0" applyFont="1" applyFill="1" applyBorder="1">
      <alignment vertical="center"/>
    </xf>
    <xf numFmtId="0" fontId="9" fillId="9" borderId="60" xfId="0" applyFont="1" applyFill="1" applyBorder="1" applyAlignment="1">
      <alignment horizontal="center" vertical="center"/>
    </xf>
    <xf numFmtId="0" fontId="9" fillId="9" borderId="61" xfId="0" applyFont="1" applyFill="1" applyBorder="1" applyAlignment="1">
      <alignment horizontal="center" vertical="center"/>
    </xf>
    <xf numFmtId="0" fontId="9" fillId="9" borderId="64" xfId="0" applyFont="1" applyFill="1" applyBorder="1" applyAlignment="1">
      <alignment horizontal="center" vertical="center"/>
    </xf>
    <xf numFmtId="0" fontId="0" fillId="0" borderId="48" xfId="0" applyBorder="1">
      <alignment vertical="center"/>
    </xf>
    <xf numFmtId="0" fontId="2" fillId="0" borderId="78" xfId="0" applyFont="1" applyBorder="1">
      <alignment vertical="center"/>
    </xf>
    <xf numFmtId="41" fontId="2" fillId="0" borderId="4" xfId="1" applyFont="1" applyBorder="1">
      <alignment vertical="center"/>
    </xf>
    <xf numFmtId="41" fontId="12" fillId="0" borderId="4" xfId="1" applyFont="1" applyBorder="1">
      <alignment vertical="center"/>
    </xf>
    <xf numFmtId="41" fontId="2" fillId="0" borderId="0" xfId="0" applyNumberFormat="1" applyFont="1" applyBorder="1">
      <alignment vertical="center"/>
    </xf>
    <xf numFmtId="0" fontId="2" fillId="9" borderId="4" xfId="0" applyFont="1" applyFill="1" applyBorder="1">
      <alignment vertical="center"/>
    </xf>
    <xf numFmtId="41" fontId="2" fillId="9" borderId="4" xfId="0" applyNumberFormat="1" applyFont="1" applyFill="1" applyBorder="1">
      <alignment vertical="center"/>
    </xf>
    <xf numFmtId="0" fontId="57" fillId="0" borderId="0" xfId="0" applyFont="1" applyBorder="1" applyAlignment="1">
      <alignment horizontal="center" vertical="center"/>
    </xf>
    <xf numFmtId="0" fontId="2" fillId="0" borderId="52" xfId="0" applyFont="1" applyFill="1" applyBorder="1" applyAlignment="1">
      <alignment horizontal="center" vertical="center"/>
    </xf>
    <xf numFmtId="0" fontId="2" fillId="9" borderId="4" xfId="0" applyFont="1" applyFill="1" applyBorder="1" applyAlignment="1">
      <alignment horizontal="center" vertical="center"/>
    </xf>
    <xf numFmtId="0" fontId="2" fillId="0" borderId="4" xfId="0" applyFont="1" applyFill="1" applyBorder="1" applyAlignment="1">
      <alignment horizontal="center" vertical="center"/>
    </xf>
    <xf numFmtId="41" fontId="2" fillId="3" borderId="4" xfId="0" applyNumberFormat="1" applyFont="1" applyFill="1" applyBorder="1">
      <alignment vertical="center"/>
    </xf>
    <xf numFmtId="0" fontId="2" fillId="0" borderId="20" xfId="0" applyFont="1" applyFill="1" applyBorder="1">
      <alignment vertical="center"/>
    </xf>
    <xf numFmtId="183" fontId="7" fillId="16" borderId="4" xfId="0" applyNumberFormat="1" applyFont="1" applyFill="1" applyBorder="1">
      <alignment vertical="center"/>
    </xf>
    <xf numFmtId="0" fontId="60" fillId="34" borderId="4" xfId="0" applyFont="1" applyFill="1" applyBorder="1" applyAlignment="1">
      <alignment horizontal="center" vertical="center"/>
    </xf>
    <xf numFmtId="0" fontId="2" fillId="3" borderId="4" xfId="0" applyFont="1" applyFill="1" applyBorder="1" applyAlignment="1">
      <alignment horizontal="center" vertical="center"/>
    </xf>
    <xf numFmtId="41" fontId="2" fillId="2" borderId="4" xfId="0" applyNumberFormat="1" applyFont="1" applyFill="1" applyBorder="1">
      <alignment vertical="center"/>
    </xf>
    <xf numFmtId="0" fontId="2" fillId="2" borderId="4" xfId="0" applyFont="1" applyFill="1" applyBorder="1" applyAlignment="1">
      <alignment horizontal="center" vertical="center"/>
    </xf>
    <xf numFmtId="0" fontId="2" fillId="2" borderId="4" xfId="0" applyFont="1" applyFill="1" applyBorder="1">
      <alignment vertical="center"/>
    </xf>
    <xf numFmtId="41" fontId="61" fillId="0" borderId="4" xfId="0" applyNumberFormat="1" applyFont="1" applyBorder="1">
      <alignment vertical="center"/>
    </xf>
    <xf numFmtId="0" fontId="62" fillId="35" borderId="4" xfId="0" applyFont="1" applyFill="1" applyBorder="1" applyAlignment="1">
      <alignment horizontal="center" vertical="center"/>
    </xf>
    <xf numFmtId="41" fontId="63" fillId="35" borderId="4" xfId="0" applyNumberFormat="1" applyFont="1" applyFill="1" applyBorder="1">
      <alignment vertical="center"/>
    </xf>
    <xf numFmtId="41" fontId="62" fillId="35" borderId="4" xfId="0" applyNumberFormat="1" applyFont="1" applyFill="1" applyBorder="1">
      <alignment vertical="center"/>
    </xf>
    <xf numFmtId="41" fontId="62" fillId="35" borderId="4" xfId="1" applyFont="1" applyFill="1" applyBorder="1">
      <alignment vertical="center"/>
    </xf>
    <xf numFmtId="41" fontId="61" fillId="3" borderId="4" xfId="0" applyNumberFormat="1" applyFont="1" applyFill="1" applyBorder="1">
      <alignment vertical="center"/>
    </xf>
    <xf numFmtId="10" fontId="2" fillId="0" borderId="4" xfId="2" applyNumberFormat="1" applyFont="1" applyBorder="1">
      <alignment vertical="center"/>
    </xf>
    <xf numFmtId="0" fontId="62" fillId="36" borderId="4" xfId="0" applyFont="1" applyFill="1" applyBorder="1" applyAlignment="1">
      <alignment horizontal="center" vertical="center"/>
    </xf>
    <xf numFmtId="0" fontId="57" fillId="33" borderId="4" xfId="0" applyFont="1" applyFill="1" applyBorder="1" applyAlignment="1">
      <alignment horizontal="center" vertical="center"/>
    </xf>
    <xf numFmtId="0" fontId="63" fillId="35" borderId="4" xfId="0" applyFont="1" applyFill="1" applyBorder="1" applyAlignment="1">
      <alignment horizontal="center" vertical="center"/>
    </xf>
    <xf numFmtId="0" fontId="64" fillId="38" borderId="4" xfId="0" applyFont="1" applyFill="1" applyBorder="1" applyAlignment="1">
      <alignment horizontal="center" vertical="center" wrapText="1"/>
    </xf>
    <xf numFmtId="0" fontId="64" fillId="37" borderId="4" xfId="0" applyFont="1" applyFill="1" applyBorder="1" applyAlignment="1">
      <alignment horizontal="left" vertical="center" wrapText="1"/>
    </xf>
    <xf numFmtId="0" fontId="64" fillId="37" borderId="4" xfId="0" applyFont="1" applyFill="1" applyBorder="1" applyAlignment="1">
      <alignment horizontal="center" vertical="center" wrapText="1"/>
    </xf>
    <xf numFmtId="0" fontId="2" fillId="38" borderId="4" xfId="0" applyFont="1" applyFill="1" applyBorder="1" applyAlignment="1">
      <alignment vertical="center" wrapText="1"/>
    </xf>
    <xf numFmtId="0" fontId="64" fillId="41" borderId="4" xfId="0" applyFont="1" applyFill="1" applyBorder="1" applyAlignment="1">
      <alignment horizontal="center" vertical="center" wrapText="1"/>
    </xf>
    <xf numFmtId="0" fontId="66" fillId="41" borderId="4" xfId="0" applyFont="1" applyFill="1" applyBorder="1" applyAlignment="1">
      <alignment horizontal="center" vertical="center" wrapText="1"/>
    </xf>
    <xf numFmtId="0" fontId="45" fillId="37" borderId="4" xfId="0" applyFont="1" applyFill="1" applyBorder="1" applyAlignment="1">
      <alignment horizontal="center" vertical="center" wrapText="1"/>
    </xf>
    <xf numFmtId="0" fontId="45" fillId="3" borderId="4" xfId="0" applyFont="1" applyFill="1" applyBorder="1" applyAlignment="1">
      <alignment horizontal="center" vertical="center" wrapText="1"/>
    </xf>
    <xf numFmtId="0" fontId="66" fillId="37" borderId="4" xfId="0" applyFont="1" applyFill="1" applyBorder="1" applyAlignment="1">
      <alignment horizontal="left" vertical="center" wrapText="1"/>
    </xf>
    <xf numFmtId="0" fontId="66" fillId="37" borderId="4" xfId="0" applyFont="1" applyFill="1" applyBorder="1" applyAlignment="1">
      <alignment horizontal="right" vertical="center" wrapText="1"/>
    </xf>
    <xf numFmtId="0" fontId="64" fillId="37" borderId="4" xfId="0" applyFont="1" applyFill="1" applyBorder="1" applyAlignment="1">
      <alignment vertical="center" wrapText="1"/>
    </xf>
    <xf numFmtId="10" fontId="65" fillId="39" borderId="4" xfId="0" applyNumberFormat="1" applyFont="1" applyFill="1" applyBorder="1" applyAlignment="1">
      <alignment horizontal="center" vertical="center" wrapText="1"/>
    </xf>
    <xf numFmtId="0" fontId="2" fillId="37" borderId="4" xfId="0" applyFont="1" applyFill="1" applyBorder="1" applyAlignment="1">
      <alignment vertical="center" wrapText="1"/>
    </xf>
    <xf numFmtId="10" fontId="64" fillId="39" borderId="4" xfId="0" applyNumberFormat="1" applyFont="1" applyFill="1" applyBorder="1" applyAlignment="1">
      <alignment horizontal="center" vertical="center" wrapText="1"/>
    </xf>
    <xf numFmtId="10" fontId="64" fillId="42" borderId="4" xfId="0" applyNumberFormat="1" applyFont="1" applyFill="1" applyBorder="1" applyAlignment="1">
      <alignment horizontal="center" vertical="center" wrapText="1"/>
    </xf>
    <xf numFmtId="41" fontId="64" fillId="37" borderId="4" xfId="1" applyFont="1" applyFill="1" applyBorder="1" applyAlignment="1">
      <alignment horizontal="center" vertical="center" wrapText="1"/>
    </xf>
    <xf numFmtId="41" fontId="66" fillId="41" borderId="4" xfId="1" applyFont="1" applyFill="1" applyBorder="1" applyAlignment="1">
      <alignment horizontal="center" vertical="center" wrapText="1"/>
    </xf>
    <xf numFmtId="41" fontId="64" fillId="41" borderId="4" xfId="1" applyFont="1" applyFill="1" applyBorder="1" applyAlignment="1">
      <alignment horizontal="right" vertical="center" wrapText="1"/>
    </xf>
    <xf numFmtId="41" fontId="64" fillId="38" borderId="4" xfId="1" applyFont="1" applyFill="1" applyBorder="1" applyAlignment="1">
      <alignment horizontal="right" vertical="center" wrapText="1"/>
    </xf>
    <xf numFmtId="41" fontId="64" fillId="39" borderId="4" xfId="1" applyFont="1" applyFill="1" applyBorder="1" applyAlignment="1">
      <alignment horizontal="right" vertical="center" wrapText="1"/>
    </xf>
    <xf numFmtId="41" fontId="64" fillId="41" borderId="4" xfId="1" applyFont="1" applyFill="1" applyBorder="1" applyAlignment="1">
      <alignment horizontal="center" vertical="center" wrapText="1"/>
    </xf>
    <xf numFmtId="3" fontId="45" fillId="3" borderId="4" xfId="0" applyNumberFormat="1" applyFont="1" applyFill="1" applyBorder="1" applyAlignment="1">
      <alignment horizontal="right" vertical="center" wrapText="1"/>
    </xf>
    <xf numFmtId="41" fontId="45" fillId="3" borderId="4" xfId="1" applyFont="1" applyFill="1" applyBorder="1" applyAlignment="1">
      <alignment horizontal="right" vertical="center" wrapText="1"/>
    </xf>
    <xf numFmtId="41" fontId="65" fillId="39" borderId="4" xfId="1" applyFont="1" applyFill="1" applyBorder="1" applyAlignment="1">
      <alignment horizontal="left" vertical="center" wrapText="1"/>
    </xf>
    <xf numFmtId="41" fontId="64" fillId="38" borderId="4" xfId="1" applyFont="1" applyFill="1" applyBorder="1" applyAlignment="1">
      <alignment horizontal="left" vertical="center" wrapText="1"/>
    </xf>
    <xf numFmtId="0" fontId="61" fillId="0" borderId="4" xfId="0" applyFont="1" applyBorder="1">
      <alignment vertical="center"/>
    </xf>
    <xf numFmtId="0" fontId="61" fillId="3" borderId="4" xfId="0" applyFont="1" applyFill="1" applyBorder="1">
      <alignment vertical="center"/>
    </xf>
    <xf numFmtId="0" fontId="0" fillId="0" borderId="0" xfId="0" applyBorder="1" applyAlignment="1">
      <alignment horizontal="left" vertical="center" indent="1"/>
    </xf>
    <xf numFmtId="176" fontId="0" fillId="0" borderId="0" xfId="0" applyNumberFormat="1" applyBorder="1">
      <alignment vertical="center"/>
    </xf>
    <xf numFmtId="176" fontId="0" fillId="0" borderId="0" xfId="0" applyNumberFormat="1" applyFill="1" applyBorder="1">
      <alignment vertical="center"/>
    </xf>
    <xf numFmtId="179" fontId="11" fillId="0" borderId="0" xfId="0" applyNumberFormat="1" applyFont="1" applyFill="1" applyBorder="1">
      <alignment vertical="center"/>
    </xf>
    <xf numFmtId="10" fontId="11" fillId="0" borderId="0" xfId="0" applyNumberFormat="1" applyFont="1" applyFill="1" applyBorder="1">
      <alignment vertical="center"/>
    </xf>
    <xf numFmtId="0" fontId="11" fillId="0" borderId="0" xfId="0" applyFont="1" applyFill="1" applyBorder="1" applyAlignment="1">
      <alignment horizontal="center" vertical="center"/>
    </xf>
    <xf numFmtId="179" fontId="11" fillId="0" borderId="0" xfId="0" applyNumberFormat="1" applyFont="1" applyFill="1" applyBorder="1" applyAlignment="1">
      <alignment horizontal="center" vertical="center"/>
    </xf>
    <xf numFmtId="179" fontId="0" fillId="0" borderId="0" xfId="0" applyNumberFormat="1" applyFill="1" applyBorder="1">
      <alignment vertical="center"/>
    </xf>
    <xf numFmtId="0" fontId="0" fillId="0" borderId="0" xfId="0" applyFill="1" applyBorder="1" applyAlignment="1">
      <alignment horizontal="left" vertical="center" indent="1"/>
    </xf>
    <xf numFmtId="0" fontId="0" fillId="0" borderId="0" xfId="0" quotePrefix="1" applyFill="1" applyBorder="1" applyAlignment="1">
      <alignment horizontal="left" vertical="center"/>
    </xf>
    <xf numFmtId="0" fontId="0" fillId="0" borderId="0" xfId="0" quotePrefix="1" applyFill="1" applyBorder="1" applyAlignment="1">
      <alignment horizontal="left" vertical="center" indent="1"/>
    </xf>
    <xf numFmtId="176" fontId="11" fillId="0" borderId="0" xfId="0" applyNumberFormat="1" applyFont="1" applyFill="1" applyBorder="1">
      <alignment vertical="center"/>
    </xf>
    <xf numFmtId="0" fontId="59" fillId="3" borderId="4" xfId="0" applyFont="1" applyFill="1" applyBorder="1" applyAlignment="1">
      <alignment horizontal="left" vertical="center"/>
    </xf>
    <xf numFmtId="0" fontId="45" fillId="3" borderId="4" xfId="0" applyFont="1" applyFill="1" applyBorder="1">
      <alignment vertical="center"/>
    </xf>
    <xf numFmtId="176" fontId="2" fillId="0" borderId="32" xfId="0" applyNumberFormat="1" applyFont="1" applyBorder="1">
      <alignment vertical="center"/>
    </xf>
    <xf numFmtId="176" fontId="2" fillId="0" borderId="31" xfId="0" applyNumberFormat="1" applyFont="1" applyBorder="1">
      <alignment vertical="center"/>
    </xf>
    <xf numFmtId="176" fontId="2" fillId="0" borderId="35" xfId="0" applyNumberFormat="1" applyFont="1" applyBorder="1">
      <alignment vertical="center"/>
    </xf>
    <xf numFmtId="176" fontId="2" fillId="0" borderId="0" xfId="0" applyNumberFormat="1" applyFont="1" applyBorder="1">
      <alignment vertical="center"/>
    </xf>
    <xf numFmtId="176" fontId="37" fillId="3" borderId="35" xfId="0" applyNumberFormat="1" applyFont="1" applyFill="1" applyBorder="1">
      <alignment vertical="center"/>
    </xf>
    <xf numFmtId="176" fontId="37" fillId="0" borderId="0" xfId="0" applyNumberFormat="1" applyFont="1">
      <alignment vertical="center"/>
    </xf>
    <xf numFmtId="176" fontId="6" fillId="15" borderId="35" xfId="0" applyNumberFormat="1" applyFont="1" applyFill="1" applyBorder="1">
      <alignment vertical="center"/>
    </xf>
    <xf numFmtId="176" fontId="6" fillId="0" borderId="0" xfId="0" applyNumberFormat="1" applyFont="1">
      <alignment vertical="center"/>
    </xf>
    <xf numFmtId="176" fontId="6" fillId="3" borderId="35" xfId="0" applyNumberFormat="1" applyFont="1" applyFill="1" applyBorder="1">
      <alignment vertical="center"/>
    </xf>
    <xf numFmtId="176" fontId="37" fillId="15" borderId="35" xfId="0" applyNumberFormat="1" applyFont="1" applyFill="1" applyBorder="1">
      <alignment vertical="center"/>
    </xf>
    <xf numFmtId="0" fontId="26" fillId="0" borderId="28" xfId="0" quotePrefix="1" applyFont="1" applyBorder="1" applyAlignment="1">
      <alignment horizontal="left" vertical="center"/>
    </xf>
    <xf numFmtId="176" fontId="26" fillId="0" borderId="29" xfId="0" applyNumberFormat="1" applyFont="1" applyBorder="1">
      <alignment vertical="center"/>
    </xf>
    <xf numFmtId="176" fontId="26" fillId="0" borderId="28" xfId="0" applyNumberFormat="1" applyFont="1" applyBorder="1">
      <alignment vertical="center"/>
    </xf>
    <xf numFmtId="0" fontId="26" fillId="0" borderId="40" xfId="0" quotePrefix="1" applyFont="1" applyBorder="1" applyAlignment="1">
      <alignment horizontal="left" vertical="center"/>
    </xf>
    <xf numFmtId="176" fontId="26" fillId="0" borderId="2" xfId="0" applyNumberFormat="1" applyFont="1" applyBorder="1">
      <alignment vertical="center"/>
    </xf>
    <xf numFmtId="176" fontId="26" fillId="0" borderId="40" xfId="0" applyNumberFormat="1" applyFont="1" applyBorder="1">
      <alignment vertical="center"/>
    </xf>
    <xf numFmtId="0" fontId="15" fillId="0" borderId="27" xfId="0" applyFont="1" applyBorder="1" applyAlignment="1">
      <alignment horizontal="center" vertical="center"/>
    </xf>
    <xf numFmtId="0" fontId="27" fillId="28" borderId="79" xfId="0" applyFont="1" applyFill="1" applyBorder="1" applyAlignment="1">
      <alignment horizontal="center" vertical="center"/>
    </xf>
    <xf numFmtId="0" fontId="27" fillId="28" borderId="80" xfId="0" applyFont="1" applyFill="1" applyBorder="1" applyAlignment="1">
      <alignment horizontal="center" vertical="center"/>
    </xf>
    <xf numFmtId="0" fontId="27" fillId="28" borderId="81" xfId="0" applyFont="1" applyFill="1" applyBorder="1" applyAlignment="1">
      <alignment horizontal="center" vertical="center"/>
    </xf>
    <xf numFmtId="41" fontId="4" fillId="0" borderId="83" xfId="0" applyNumberFormat="1" applyFont="1" applyBorder="1" applyAlignment="1">
      <alignment horizontal="center" vertical="center"/>
    </xf>
    <xf numFmtId="41" fontId="4" fillId="0" borderId="80" xfId="0" applyNumberFormat="1" applyFont="1" applyBorder="1" applyAlignment="1">
      <alignment horizontal="center" vertical="center"/>
    </xf>
    <xf numFmtId="41" fontId="4" fillId="0" borderId="84" xfId="0" applyNumberFormat="1" applyFont="1" applyBorder="1" applyAlignment="1">
      <alignment horizontal="center" vertical="center"/>
    </xf>
    <xf numFmtId="0" fontId="41" fillId="0" borderId="78" xfId="0" applyFont="1" applyBorder="1" applyAlignment="1">
      <alignment horizontal="center" vertical="center" wrapText="1"/>
    </xf>
    <xf numFmtId="0" fontId="41" fillId="0" borderId="78" xfId="0" applyFont="1" applyBorder="1" applyAlignment="1">
      <alignment horizontal="center" vertical="center"/>
    </xf>
    <xf numFmtId="0" fontId="33" fillId="0" borderId="55" xfId="0" applyFont="1" applyBorder="1" applyAlignment="1">
      <alignment horizontal="left" vertical="center"/>
    </xf>
    <xf numFmtId="0" fontId="33" fillId="0" borderId="14" xfId="0" applyFont="1" applyBorder="1" applyAlignment="1">
      <alignment horizontal="left" vertical="center"/>
    </xf>
    <xf numFmtId="0" fontId="33" fillId="0" borderId="56" xfId="0" applyFont="1" applyBorder="1" applyAlignment="1">
      <alignment horizontal="left" vertical="center"/>
    </xf>
    <xf numFmtId="41" fontId="33" fillId="0" borderId="55" xfId="0" applyNumberFormat="1" applyFont="1" applyBorder="1" applyAlignment="1">
      <alignment horizontal="center"/>
    </xf>
    <xf numFmtId="41" fontId="33" fillId="0" borderId="14" xfId="0" applyNumberFormat="1" applyFont="1" applyBorder="1" applyAlignment="1">
      <alignment horizontal="center"/>
    </xf>
    <xf numFmtId="41" fontId="33" fillId="0" borderId="75" xfId="0" applyNumberFormat="1" applyFont="1" applyBorder="1" applyAlignment="1">
      <alignment horizontal="center"/>
    </xf>
    <xf numFmtId="0" fontId="46" fillId="0" borderId="55" xfId="0" applyFont="1" applyBorder="1" applyAlignment="1">
      <alignment horizontal="left" vertical="center"/>
    </xf>
    <xf numFmtId="0" fontId="46" fillId="0" borderId="14" xfId="0" applyFont="1" applyBorder="1" applyAlignment="1">
      <alignment horizontal="left" vertical="center"/>
    </xf>
    <xf numFmtId="0" fontId="46" fillId="0" borderId="56" xfId="0" applyFont="1" applyBorder="1" applyAlignment="1">
      <alignment horizontal="left" vertical="center"/>
    </xf>
    <xf numFmtId="41" fontId="47" fillId="0" borderId="4" xfId="4" applyFont="1" applyFill="1" applyBorder="1" applyAlignment="1">
      <alignment horizontal="left" vertical="center"/>
    </xf>
    <xf numFmtId="41" fontId="47" fillId="0" borderId="74" xfId="4" applyFont="1" applyFill="1" applyBorder="1" applyAlignment="1">
      <alignment horizontal="left" vertical="center"/>
    </xf>
    <xf numFmtId="0" fontId="4" fillId="27" borderId="4" xfId="0" applyFont="1" applyFill="1" applyBorder="1" applyAlignment="1">
      <alignment horizontal="left" vertical="center"/>
    </xf>
    <xf numFmtId="0" fontId="33" fillId="0" borderId="55" xfId="0" applyFont="1" applyBorder="1" applyAlignment="1">
      <alignment horizontal="center" vertical="center"/>
    </xf>
    <xf numFmtId="0" fontId="33" fillId="0" borderId="14" xfId="0" applyFont="1" applyBorder="1" applyAlignment="1">
      <alignment horizontal="center" vertical="center"/>
    </xf>
    <xf numFmtId="0" fontId="33" fillId="0" borderId="75" xfId="0" applyFont="1" applyBorder="1" applyAlignment="1">
      <alignment horizontal="center" vertical="center"/>
    </xf>
    <xf numFmtId="0" fontId="46" fillId="0" borderId="4" xfId="0" applyFont="1" applyBorder="1" applyAlignment="1">
      <alignment horizontal="left" vertical="center"/>
    </xf>
    <xf numFmtId="0" fontId="41" fillId="24" borderId="77" xfId="0" applyFont="1" applyFill="1" applyBorder="1" applyAlignment="1">
      <alignment horizontal="center" vertical="center"/>
    </xf>
    <xf numFmtId="0" fontId="41" fillId="24" borderId="14" xfId="0" applyFont="1" applyFill="1" applyBorder="1" applyAlignment="1">
      <alignment horizontal="center" vertical="center"/>
    </xf>
    <xf numFmtId="0" fontId="41" fillId="24" borderId="56" xfId="0" applyFont="1" applyFill="1" applyBorder="1" applyAlignment="1">
      <alignment horizontal="center" vertical="center"/>
    </xf>
    <xf numFmtId="0" fontId="33" fillId="3" borderId="4" xfId="0" quotePrefix="1" applyFont="1" applyFill="1" applyBorder="1" applyAlignment="1">
      <alignment horizontal="left" vertical="center"/>
    </xf>
    <xf numFmtId="0" fontId="33" fillId="3" borderId="4" xfId="0" applyFont="1" applyFill="1" applyBorder="1" applyAlignment="1">
      <alignment horizontal="left" vertical="center"/>
    </xf>
    <xf numFmtId="0" fontId="33" fillId="0" borderId="4" xfId="0" applyFont="1" applyBorder="1" applyAlignment="1">
      <alignment horizontal="left" vertical="center"/>
    </xf>
    <xf numFmtId="41" fontId="33" fillId="0" borderId="55" xfId="4" applyFont="1" applyFill="1" applyBorder="1" applyAlignment="1">
      <alignment horizontal="center" vertical="center"/>
    </xf>
    <xf numFmtId="41" fontId="33" fillId="0" borderId="14" xfId="4" applyFont="1" applyFill="1" applyBorder="1" applyAlignment="1">
      <alignment horizontal="center" vertical="center"/>
    </xf>
    <xf numFmtId="41" fontId="33" fillId="0" borderId="75" xfId="4" applyFont="1" applyFill="1" applyBorder="1" applyAlignment="1">
      <alignment horizontal="center" vertical="center"/>
    </xf>
    <xf numFmtId="0" fontId="41" fillId="0" borderId="4" xfId="0" applyFont="1" applyBorder="1" applyAlignment="1">
      <alignment horizontal="center" vertical="center"/>
    </xf>
    <xf numFmtId="41" fontId="33" fillId="0" borderId="4" xfId="4" applyFont="1" applyFill="1" applyBorder="1" applyAlignment="1">
      <alignment horizontal="left" vertical="center" wrapText="1"/>
    </xf>
    <xf numFmtId="41" fontId="33" fillId="0" borderId="4" xfId="4" applyFont="1" applyFill="1" applyBorder="1" applyAlignment="1">
      <alignment horizontal="left" vertical="center"/>
    </xf>
    <xf numFmtId="41" fontId="33" fillId="0" borderId="74" xfId="4" applyFont="1" applyFill="1" applyBorder="1" applyAlignment="1">
      <alignment horizontal="left" vertical="center"/>
    </xf>
    <xf numFmtId="0" fontId="41" fillId="0" borderId="50" xfId="0" applyFont="1" applyBorder="1" applyAlignment="1">
      <alignment horizontal="center" vertical="center"/>
    </xf>
    <xf numFmtId="0" fontId="41" fillId="0" borderId="68" xfId="0" applyFont="1" applyBorder="1" applyAlignment="1">
      <alignment horizontal="center" vertical="center"/>
    </xf>
    <xf numFmtId="0" fontId="41" fillId="0" borderId="54" xfId="0" applyFont="1" applyBorder="1" applyAlignment="1">
      <alignment horizontal="center" vertical="center"/>
    </xf>
    <xf numFmtId="0" fontId="33" fillId="0" borderId="4" xfId="0" quotePrefix="1" applyFont="1" applyBorder="1" applyAlignment="1">
      <alignment horizontal="left" vertical="center"/>
    </xf>
    <xf numFmtId="0" fontId="45" fillId="0" borderId="4" xfId="0" applyFont="1" applyBorder="1" applyAlignment="1">
      <alignment horizontal="left" vertical="center" wrapText="1"/>
    </xf>
    <xf numFmtId="0" fontId="45" fillId="0" borderId="4" xfId="0" applyFont="1" applyBorder="1" applyAlignment="1">
      <alignment horizontal="left" vertical="center"/>
    </xf>
    <xf numFmtId="0" fontId="45" fillId="0" borderId="74" xfId="0" applyFont="1" applyBorder="1" applyAlignment="1">
      <alignment horizontal="left" vertical="center"/>
    </xf>
    <xf numFmtId="0" fontId="41" fillId="24" borderId="60" xfId="0" applyFont="1" applyFill="1" applyBorder="1" applyAlignment="1">
      <alignment horizontal="center" vertical="center"/>
    </xf>
    <xf numFmtId="0" fontId="41" fillId="24" borderId="61" xfId="0" applyFont="1" applyFill="1" applyBorder="1" applyAlignment="1">
      <alignment horizontal="center" vertical="center"/>
    </xf>
    <xf numFmtId="0" fontId="41" fillId="24" borderId="62" xfId="0" applyFont="1" applyFill="1" applyBorder="1" applyAlignment="1">
      <alignment horizontal="center" vertical="center"/>
    </xf>
    <xf numFmtId="0" fontId="41" fillId="24" borderId="63" xfId="0" applyFont="1" applyFill="1" applyBorder="1" applyAlignment="1">
      <alignment horizontal="center" vertical="center"/>
    </xf>
    <xf numFmtId="0" fontId="4" fillId="24" borderId="61" xfId="0" applyFont="1" applyFill="1" applyBorder="1" applyAlignment="1">
      <alignment horizontal="center" vertical="center"/>
    </xf>
    <xf numFmtId="0" fontId="4" fillId="24" borderId="64" xfId="0" applyFont="1" applyFill="1" applyBorder="1" applyAlignment="1">
      <alignment horizontal="center" vertical="center"/>
    </xf>
    <xf numFmtId="0" fontId="41" fillId="0" borderId="65" xfId="0" applyFont="1" applyBorder="1" applyAlignment="1">
      <alignment horizontal="center" vertical="center" wrapText="1"/>
    </xf>
    <xf numFmtId="0" fontId="41" fillId="0" borderId="67" xfId="0" applyFont="1" applyBorder="1" applyAlignment="1">
      <alignment horizontal="center" vertical="center"/>
    </xf>
    <xf numFmtId="0" fontId="41" fillId="0" borderId="73" xfId="0" applyFont="1" applyBorder="1" applyAlignment="1">
      <alignment horizontal="center" vertical="center"/>
    </xf>
    <xf numFmtId="0" fontId="41" fillId="0" borderId="76" xfId="0" applyFont="1" applyBorder="1" applyAlignment="1">
      <alignment horizontal="center" vertical="center"/>
    </xf>
    <xf numFmtId="0" fontId="41" fillId="25" borderId="50" xfId="0" applyFont="1" applyFill="1" applyBorder="1" applyAlignment="1">
      <alignment horizontal="center" vertical="center"/>
    </xf>
    <xf numFmtId="0" fontId="41" fillId="25" borderId="68" xfId="0" applyFont="1" applyFill="1" applyBorder="1" applyAlignment="1">
      <alignment horizontal="center" vertical="center"/>
    </xf>
    <xf numFmtId="0" fontId="41" fillId="25" borderId="54" xfId="0" applyFont="1" applyFill="1" applyBorder="1" applyAlignment="1">
      <alignment horizontal="center" vertical="center"/>
    </xf>
    <xf numFmtId="0" fontId="33" fillId="25" borderId="4" xfId="0" quotePrefix="1" applyFont="1" applyFill="1" applyBorder="1" applyAlignment="1">
      <alignment horizontal="left" vertical="center"/>
    </xf>
    <xf numFmtId="0" fontId="33" fillId="25" borderId="4" xfId="0" applyFont="1" applyFill="1" applyBorder="1" applyAlignment="1">
      <alignment horizontal="left" vertical="center"/>
    </xf>
    <xf numFmtId="185" fontId="33" fillId="25" borderId="47" xfId="0" applyNumberFormat="1" applyFont="1" applyFill="1" applyBorder="1" applyAlignment="1">
      <alignment horizontal="left" vertical="center" wrapText="1"/>
    </xf>
    <xf numFmtId="185" fontId="33" fillId="25" borderId="48" xfId="0" applyNumberFormat="1" applyFont="1" applyFill="1" applyBorder="1" applyAlignment="1">
      <alignment horizontal="left" vertical="center"/>
    </xf>
    <xf numFmtId="185" fontId="33" fillId="25" borderId="66" xfId="0" applyNumberFormat="1" applyFont="1" applyFill="1" applyBorder="1" applyAlignment="1">
      <alignment horizontal="left" vertical="center"/>
    </xf>
    <xf numFmtId="185" fontId="33" fillId="25" borderId="69" xfId="0" applyNumberFormat="1" applyFont="1" applyFill="1" applyBorder="1" applyAlignment="1">
      <alignment horizontal="left" vertical="center"/>
    </xf>
    <xf numFmtId="185" fontId="33" fillId="25" borderId="0" xfId="0" applyNumberFormat="1" applyFont="1" applyFill="1" applyAlignment="1">
      <alignment horizontal="left" vertical="center"/>
    </xf>
    <xf numFmtId="185" fontId="33" fillId="25" borderId="70" xfId="0" applyNumberFormat="1" applyFont="1" applyFill="1" applyBorder="1" applyAlignment="1">
      <alignment horizontal="left" vertical="center"/>
    </xf>
    <xf numFmtId="185" fontId="33" fillId="25" borderId="51" xfId="0" applyNumberFormat="1" applyFont="1" applyFill="1" applyBorder="1" applyAlignment="1">
      <alignment horizontal="left" vertical="center"/>
    </xf>
    <xf numFmtId="185" fontId="33" fillId="25" borderId="52" xfId="0" applyNumberFormat="1" applyFont="1" applyFill="1" applyBorder="1" applyAlignment="1">
      <alignment horizontal="left" vertical="center"/>
    </xf>
    <xf numFmtId="185" fontId="33" fillId="25" borderId="71" xfId="0" applyNumberFormat="1" applyFont="1" applyFill="1" applyBorder="1" applyAlignment="1">
      <alignment horizontal="left" vertical="center"/>
    </xf>
    <xf numFmtId="0" fontId="33" fillId="25" borderId="55" xfId="0" quotePrefix="1" applyFont="1" applyFill="1" applyBorder="1" applyAlignment="1">
      <alignment horizontal="left" vertical="center"/>
    </xf>
    <xf numFmtId="0" fontId="33" fillId="25" borderId="56" xfId="0" applyFont="1" applyFill="1" applyBorder="1" applyAlignment="1">
      <alignment horizontal="left" vertical="center"/>
    </xf>
    <xf numFmtId="0" fontId="2" fillId="25" borderId="55" xfId="0" quotePrefix="1" applyFont="1" applyFill="1" applyBorder="1" applyAlignment="1">
      <alignment horizontal="left" vertical="center"/>
    </xf>
    <xf numFmtId="0" fontId="2" fillId="25" borderId="56" xfId="0" applyFont="1" applyFill="1" applyBorder="1" applyAlignment="1">
      <alignment horizontal="left" vertical="center"/>
    </xf>
    <xf numFmtId="185" fontId="33" fillId="0" borderId="4" xfId="0" applyNumberFormat="1" applyFont="1" applyBorder="1" applyAlignment="1">
      <alignment horizontal="left" vertical="center" wrapText="1"/>
    </xf>
    <xf numFmtId="185" fontId="33" fillId="0" borderId="4" xfId="0" applyNumberFormat="1" applyFont="1" applyBorder="1" applyAlignment="1">
      <alignment horizontal="left" vertical="center"/>
    </xf>
    <xf numFmtId="185" fontId="33" fillId="0" borderId="74" xfId="0" applyNumberFormat="1" applyFont="1" applyBorder="1" applyAlignment="1">
      <alignment horizontal="left" vertical="center"/>
    </xf>
    <xf numFmtId="0" fontId="41" fillId="5" borderId="85" xfId="0" applyFont="1" applyFill="1" applyBorder="1" applyAlignment="1">
      <alignment horizontal="center" vertical="center"/>
    </xf>
    <xf numFmtId="0" fontId="41" fillId="5" borderId="82" xfId="0" applyFont="1" applyFill="1" applyBorder="1" applyAlignment="1">
      <alignment horizontal="center" vertical="center"/>
    </xf>
    <xf numFmtId="0" fontId="5" fillId="0" borderId="78" xfId="0" applyFont="1" applyBorder="1" applyAlignment="1">
      <alignment horizontal="left" vertical="center"/>
    </xf>
    <xf numFmtId="0" fontId="5" fillId="0" borderId="4" xfId="0" applyFont="1" applyBorder="1" applyAlignment="1">
      <alignment horizontal="left" vertical="center"/>
    </xf>
    <xf numFmtId="0" fontId="41" fillId="5" borderId="60" xfId="0" applyFont="1" applyFill="1" applyBorder="1" applyAlignment="1">
      <alignment horizontal="center" vertical="center" wrapText="1"/>
    </xf>
    <xf numFmtId="0" fontId="41" fillId="5" borderId="61" xfId="0" applyFont="1" applyFill="1" applyBorder="1" applyAlignment="1">
      <alignment horizontal="center" vertical="center" wrapText="1"/>
    </xf>
    <xf numFmtId="0" fontId="5" fillId="3" borderId="78" xfId="0" quotePrefix="1" applyFont="1" applyFill="1" applyBorder="1" applyAlignment="1">
      <alignment horizontal="left" vertical="center"/>
    </xf>
    <xf numFmtId="0" fontId="5" fillId="3" borderId="4" xfId="0" applyFont="1" applyFill="1" applyBorder="1" applyAlignment="1">
      <alignment horizontal="left" vertical="center"/>
    </xf>
    <xf numFmtId="0" fontId="33" fillId="0" borderId="4" xfId="6" applyFont="1" applyBorder="1" applyAlignment="1">
      <alignment horizontal="center" vertical="center" wrapText="1"/>
    </xf>
    <xf numFmtId="0" fontId="33" fillId="0" borderId="50" xfId="6" applyFont="1" applyBorder="1" applyAlignment="1">
      <alignment horizontal="center" vertical="center" wrapText="1"/>
    </xf>
    <xf numFmtId="0" fontId="33" fillId="0" borderId="68" xfId="6" applyFont="1" applyBorder="1" applyAlignment="1">
      <alignment horizontal="center" vertical="center" wrapText="1"/>
    </xf>
    <xf numFmtId="0" fontId="33" fillId="0" borderId="54" xfId="6" applyFont="1" applyBorder="1" applyAlignment="1">
      <alignment horizontal="center" vertical="center" wrapText="1"/>
    </xf>
    <xf numFmtId="0" fontId="4" fillId="0" borderId="78" xfId="0" applyFont="1" applyBorder="1" applyAlignment="1">
      <alignment horizontal="center" vertical="center"/>
    </xf>
    <xf numFmtId="0" fontId="4" fillId="0" borderId="4" xfId="0" applyFont="1" applyBorder="1" applyAlignment="1">
      <alignment horizontal="center" vertical="center"/>
    </xf>
    <xf numFmtId="0" fontId="27" fillId="21" borderId="85" xfId="0" applyFont="1" applyFill="1" applyBorder="1" applyAlignment="1">
      <alignment horizontal="center" vertical="center"/>
    </xf>
    <xf numFmtId="0" fontId="27" fillId="21" borderId="82" xfId="0" applyFont="1" applyFill="1" applyBorder="1" applyAlignment="1">
      <alignment horizontal="center" vertical="center"/>
    </xf>
    <xf numFmtId="0" fontId="2" fillId="0" borderId="4" xfId="6" applyFont="1" applyBorder="1" applyAlignment="1">
      <alignment horizontal="center" vertical="center" wrapText="1"/>
    </xf>
    <xf numFmtId="0" fontId="41" fillId="29" borderId="60" xfId="0" applyFont="1" applyFill="1" applyBorder="1" applyAlignment="1">
      <alignment horizontal="center" vertical="center"/>
    </xf>
    <xf numFmtId="0" fontId="41" fillId="29" borderId="61" xfId="0" applyFont="1" applyFill="1" applyBorder="1" applyAlignment="1">
      <alignment horizontal="center" vertical="center"/>
    </xf>
    <xf numFmtId="0" fontId="41" fillId="25" borderId="78" xfId="0" applyFont="1" applyFill="1" applyBorder="1" applyAlignment="1">
      <alignment horizontal="center" vertical="center" wrapText="1"/>
    </xf>
    <xf numFmtId="0" fontId="41" fillId="25" borderId="78" xfId="0" applyFont="1" applyFill="1" applyBorder="1" applyAlignment="1">
      <alignment horizontal="center" vertical="center"/>
    </xf>
    <xf numFmtId="0" fontId="41" fillId="25" borderId="65" xfId="0" applyFont="1" applyFill="1" applyBorder="1" applyAlignment="1">
      <alignment horizontal="center" vertical="center"/>
    </xf>
    <xf numFmtId="0" fontId="41" fillId="25" borderId="67" xfId="0" applyFont="1" applyFill="1" applyBorder="1" applyAlignment="1">
      <alignment horizontal="center" vertical="center"/>
    </xf>
    <xf numFmtId="0" fontId="41" fillId="25" borderId="76" xfId="0" applyFont="1" applyFill="1" applyBorder="1" applyAlignment="1">
      <alignment horizontal="center" vertical="center"/>
    </xf>
    <xf numFmtId="0" fontId="64" fillId="38" borderId="4" xfId="0" applyFont="1" applyFill="1" applyBorder="1" applyAlignment="1">
      <alignment horizontal="center" vertical="center" wrapText="1"/>
    </xf>
    <xf numFmtId="0" fontId="64" fillId="39" borderId="4" xfId="0" applyFont="1" applyFill="1" applyBorder="1" applyAlignment="1">
      <alignment horizontal="center" vertical="center" wrapText="1"/>
    </xf>
    <xf numFmtId="0" fontId="64" fillId="37" borderId="4" xfId="0" applyFont="1" applyFill="1" applyBorder="1" applyAlignment="1">
      <alignment horizontal="center" vertical="center" wrapText="1"/>
    </xf>
    <xf numFmtId="0" fontId="64" fillId="37" borderId="4" xfId="0" applyFont="1" applyFill="1" applyBorder="1" applyAlignment="1">
      <alignment horizontal="right" vertical="center" wrapText="1"/>
    </xf>
    <xf numFmtId="14" fontId="64" fillId="37" borderId="4" xfId="0" applyNumberFormat="1" applyFont="1" applyFill="1" applyBorder="1" applyAlignment="1">
      <alignment horizontal="center" vertical="center" wrapText="1"/>
    </xf>
    <xf numFmtId="0" fontId="64" fillId="37" borderId="4" xfId="0" applyFont="1" applyFill="1" applyBorder="1" applyAlignment="1">
      <alignment horizontal="left" vertical="center" wrapText="1"/>
    </xf>
    <xf numFmtId="10" fontId="64" fillId="38" borderId="4" xfId="0" applyNumberFormat="1" applyFont="1" applyFill="1" applyBorder="1" applyAlignment="1">
      <alignment horizontal="center" vertical="center" wrapText="1"/>
    </xf>
    <xf numFmtId="41" fontId="64" fillId="41" borderId="4" xfId="1" applyFont="1" applyFill="1" applyBorder="1" applyAlignment="1">
      <alignment horizontal="right" vertical="center" wrapText="1"/>
    </xf>
    <xf numFmtId="0" fontId="64" fillId="38" borderId="4" xfId="0" applyFont="1" applyFill="1" applyBorder="1" applyAlignment="1">
      <alignment horizontal="right" vertical="center" wrapText="1"/>
    </xf>
    <xf numFmtId="0" fontId="45" fillId="38" borderId="4" xfId="0" applyFont="1" applyFill="1" applyBorder="1" applyAlignment="1">
      <alignment horizontal="left" vertical="center" wrapText="1"/>
    </xf>
    <xf numFmtId="0" fontId="45" fillId="37" borderId="4" xfId="0" applyFont="1" applyFill="1" applyBorder="1" applyAlignment="1">
      <alignment horizontal="center" vertical="center" wrapText="1"/>
    </xf>
    <xf numFmtId="0" fontId="45" fillId="3" borderId="4" xfId="0" applyFont="1" applyFill="1" applyBorder="1" applyAlignment="1">
      <alignment horizontal="center" vertical="center" wrapText="1"/>
    </xf>
    <xf numFmtId="41" fontId="45" fillId="3" borderId="4" xfId="1" applyFont="1" applyFill="1" applyBorder="1" applyAlignment="1">
      <alignment horizontal="center" vertical="center" wrapText="1"/>
    </xf>
    <xf numFmtId="0" fontId="45" fillId="37" borderId="4" xfId="0" applyFont="1" applyFill="1" applyBorder="1" applyAlignment="1">
      <alignment horizontal="left" vertical="center" wrapText="1"/>
    </xf>
    <xf numFmtId="10" fontId="64" fillId="37" borderId="4" xfId="0" applyNumberFormat="1" applyFont="1" applyFill="1" applyBorder="1" applyAlignment="1">
      <alignment horizontal="center" vertical="center" wrapText="1"/>
    </xf>
    <xf numFmtId="0" fontId="66" fillId="41" borderId="4" xfId="0" applyFont="1" applyFill="1" applyBorder="1" applyAlignment="1">
      <alignment horizontal="center" vertical="center" wrapText="1"/>
    </xf>
    <xf numFmtId="0" fontId="65" fillId="37" borderId="4" xfId="0" applyFont="1" applyFill="1" applyBorder="1" applyAlignment="1">
      <alignment horizontal="left" vertical="center" wrapText="1"/>
    </xf>
    <xf numFmtId="0" fontId="67" fillId="37" borderId="4" xfId="0" applyFont="1" applyFill="1" applyBorder="1" applyAlignment="1">
      <alignment horizontal="center" vertical="center" wrapText="1"/>
    </xf>
    <xf numFmtId="0" fontId="65" fillId="38" borderId="4" xfId="0" applyFont="1" applyFill="1" applyBorder="1" applyAlignment="1">
      <alignment horizontal="center" vertical="center" wrapText="1"/>
    </xf>
    <xf numFmtId="0" fontId="65" fillId="39" borderId="4" xfId="0" applyFont="1" applyFill="1" applyBorder="1" applyAlignment="1">
      <alignment horizontal="center" vertical="center" wrapText="1"/>
    </xf>
    <xf numFmtId="0" fontId="45" fillId="39" borderId="4" xfId="0" applyFont="1" applyFill="1" applyBorder="1" applyAlignment="1">
      <alignment horizontal="left" vertical="center" wrapText="1"/>
    </xf>
    <xf numFmtId="0" fontId="64" fillId="39" borderId="4" xfId="0" applyFont="1" applyFill="1" applyBorder="1" applyAlignment="1">
      <alignment horizontal="left" vertical="center" wrapText="1"/>
    </xf>
    <xf numFmtId="0" fontId="65" fillId="42" borderId="4" xfId="0" applyFont="1" applyFill="1" applyBorder="1" applyAlignment="1">
      <alignment horizontal="center" vertical="center" wrapText="1"/>
    </xf>
    <xf numFmtId="0" fontId="64" fillId="42" borderId="4" xfId="0" applyFont="1" applyFill="1" applyBorder="1" applyAlignment="1">
      <alignment horizontal="center" vertical="center" wrapText="1"/>
    </xf>
    <xf numFmtId="0" fontId="64" fillId="40" borderId="4" xfId="0" applyFont="1" applyFill="1" applyBorder="1" applyAlignment="1">
      <alignment horizontal="center" vertical="center" wrapText="1"/>
    </xf>
    <xf numFmtId="0" fontId="45" fillId="38" borderId="4" xfId="0" applyFont="1" applyFill="1" applyBorder="1" applyAlignment="1">
      <alignment horizontal="center" vertical="center" wrapText="1"/>
    </xf>
    <xf numFmtId="0" fontId="64" fillId="41" borderId="4" xfId="0" applyFont="1" applyFill="1" applyBorder="1" applyAlignment="1">
      <alignment horizontal="center" vertical="center" wrapText="1"/>
    </xf>
    <xf numFmtId="10" fontId="64" fillId="43" borderId="4" xfId="0" applyNumberFormat="1" applyFont="1" applyFill="1" applyBorder="1" applyAlignment="1">
      <alignment horizontal="center" vertical="center" wrapText="1"/>
    </xf>
    <xf numFmtId="0" fontId="0" fillId="0" borderId="4" xfId="0" applyBorder="1">
      <alignment vertical="center"/>
    </xf>
    <xf numFmtId="41" fontId="0" fillId="3" borderId="4" xfId="1" applyFont="1" applyFill="1" applyBorder="1">
      <alignment vertical="center"/>
    </xf>
    <xf numFmtId="41" fontId="0" fillId="0" borderId="4" xfId="1" applyFont="1" applyBorder="1">
      <alignment vertical="center"/>
    </xf>
    <xf numFmtId="0" fontId="0" fillId="5" borderId="4" xfId="0" applyFill="1" applyBorder="1">
      <alignment vertical="center"/>
    </xf>
    <xf numFmtId="0" fontId="0" fillId="12" borderId="4" xfId="0" applyFill="1" applyBorder="1">
      <alignment vertical="center"/>
    </xf>
    <xf numFmtId="41" fontId="0" fillId="0" borderId="4" xfId="1" applyFont="1" applyFill="1" applyBorder="1">
      <alignment vertical="center"/>
    </xf>
    <xf numFmtId="0" fontId="20" fillId="0" borderId="0" xfId="0" applyFont="1" applyBorder="1">
      <alignment vertical="center"/>
    </xf>
    <xf numFmtId="14" fontId="0" fillId="0" borderId="0" xfId="0" applyNumberFormat="1">
      <alignment vertical="center"/>
    </xf>
    <xf numFmtId="0" fontId="61" fillId="44" borderId="0" xfId="0" applyFont="1" applyFill="1" applyAlignment="1">
      <alignment horizontal="center" vertical="center"/>
    </xf>
    <xf numFmtId="0" fontId="57" fillId="20" borderId="87" xfId="0" applyFont="1" applyFill="1" applyBorder="1" applyAlignment="1">
      <alignment horizontal="center" vertical="center"/>
    </xf>
    <xf numFmtId="0" fontId="23" fillId="11" borderId="0" xfId="0" applyFont="1" applyFill="1" applyBorder="1" applyAlignment="1">
      <alignment horizontal="left" vertical="center"/>
    </xf>
    <xf numFmtId="0" fontId="7" fillId="11" borderId="0" xfId="0" applyFont="1" applyFill="1" applyBorder="1" applyAlignment="1">
      <alignment horizontal="centerContinuous" vertical="center"/>
    </xf>
    <xf numFmtId="41" fontId="2" fillId="11" borderId="0" xfId="0" applyNumberFormat="1" applyFont="1" applyFill="1" applyBorder="1">
      <alignment vertical="center"/>
    </xf>
    <xf numFmtId="41" fontId="21" fillId="9" borderId="9" xfId="1" applyFont="1" applyFill="1" applyBorder="1" applyAlignment="1">
      <alignment horizontal="center" vertical="center"/>
    </xf>
  </cellXfs>
  <cellStyles count="8">
    <cellStyle name="백분율" xfId="2" builtinId="5"/>
    <cellStyle name="쉼표 [0]" xfId="1" builtinId="6"/>
    <cellStyle name="쉼표 [0] 3" xfId="4" xr:uid="{00000000-0005-0000-0000-000002000000}"/>
    <cellStyle name="표준" xfId="0" builtinId="0"/>
    <cellStyle name="표준 2" xfId="7" xr:uid="{00000000-0005-0000-0000-000004000000}"/>
    <cellStyle name="표준_감가비계산" xfId="6" xr:uid="{00000000-0005-0000-0000-000005000000}"/>
    <cellStyle name="표준_경제성분석설명자료(070807)" xfId="5" xr:uid="{00000000-0005-0000-0000-000006000000}"/>
    <cellStyle name="하이퍼링크" xfId="3" builtinId="8"/>
  </cellStyles>
  <dxfs count="74">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1" Type="http://schemas.openxmlformats.org/officeDocument/2006/relationships/hyperlink" Target="#'2.&#44396;&#52629;&#48708;_&#50836;&#50557;'!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68580</xdr:colOff>
      <xdr:row>2</xdr:row>
      <xdr:rowOff>377190</xdr:rowOff>
    </xdr:from>
    <xdr:to>
      <xdr:col>5</xdr:col>
      <xdr:colOff>373380</xdr:colOff>
      <xdr:row>4</xdr:row>
      <xdr:rowOff>125730</xdr:rowOff>
    </xdr:to>
    <xdr:sp macro="[0]!Part1_요약" textlink="">
      <xdr:nvSpPr>
        <xdr:cNvPr id="2" name="직사각형 1">
          <a:extLst>
            <a:ext uri="{FF2B5EF4-FFF2-40B4-BE49-F238E27FC236}">
              <a16:creationId xmlns:a16="http://schemas.microsoft.com/office/drawing/2014/main" id="{00000000-0008-0000-0000-000002000000}"/>
            </a:ext>
          </a:extLst>
        </xdr:cNvPr>
        <xdr:cNvSpPr/>
      </xdr:nvSpPr>
      <xdr:spPr>
        <a:xfrm>
          <a:off x="739140" y="10629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1.1 </a:t>
          </a:r>
          <a:r>
            <a:rPr lang="ko-KR" altLang="en-US" sz="1200" b="1">
              <a:solidFill>
                <a:sysClr val="windowText" lastClr="000000"/>
              </a:solidFill>
            </a:rPr>
            <a:t>요약</a:t>
          </a:r>
        </a:p>
      </xdr:txBody>
    </xdr:sp>
    <xdr:clientData/>
  </xdr:twoCellAnchor>
  <xdr:twoCellAnchor>
    <xdr:from>
      <xdr:col>1</xdr:col>
      <xdr:colOff>68580</xdr:colOff>
      <xdr:row>4</xdr:row>
      <xdr:rowOff>205105</xdr:rowOff>
    </xdr:from>
    <xdr:to>
      <xdr:col>5</xdr:col>
      <xdr:colOff>373380</xdr:colOff>
      <xdr:row>6</xdr:row>
      <xdr:rowOff>29845</xdr:rowOff>
    </xdr:to>
    <xdr:sp macro="[0]!Part1_Baseline정리" textlink="">
      <xdr:nvSpPr>
        <xdr:cNvPr id="3" name="직사각형 2">
          <a:extLst>
            <a:ext uri="{FF2B5EF4-FFF2-40B4-BE49-F238E27FC236}">
              <a16:creationId xmlns:a16="http://schemas.microsoft.com/office/drawing/2014/main" id="{00000000-0008-0000-0000-000003000000}"/>
            </a:ext>
          </a:extLst>
        </xdr:cNvPr>
        <xdr:cNvSpPr/>
      </xdr:nvSpPr>
      <xdr:spPr>
        <a:xfrm>
          <a:off x="739140" y="1500505"/>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a:t>
          </a:r>
          <a:r>
            <a:rPr lang="ko-KR" altLang="en-US" sz="1200" b="1">
              <a:solidFill>
                <a:sysClr val="windowText" lastClr="000000"/>
              </a:solidFill>
            </a:rPr>
            <a:t> </a:t>
          </a:r>
          <a:r>
            <a:rPr lang="en-US" altLang="ko-KR" sz="1200" b="1">
              <a:solidFill>
                <a:sysClr val="windowText" lastClr="000000"/>
              </a:solidFill>
            </a:rPr>
            <a:t>_ 1.2 Baseline </a:t>
          </a:r>
          <a:r>
            <a:rPr lang="ko-KR" altLang="en-US" sz="1200" b="1">
              <a:solidFill>
                <a:sysClr val="windowText" lastClr="000000"/>
              </a:solidFill>
            </a:rPr>
            <a:t>정리</a:t>
          </a:r>
        </a:p>
      </xdr:txBody>
    </xdr:sp>
    <xdr:clientData/>
  </xdr:twoCellAnchor>
  <xdr:twoCellAnchor>
    <xdr:from>
      <xdr:col>1</xdr:col>
      <xdr:colOff>68580</xdr:colOff>
      <xdr:row>6</xdr:row>
      <xdr:rowOff>96520</xdr:rowOff>
    </xdr:from>
    <xdr:to>
      <xdr:col>5</xdr:col>
      <xdr:colOff>373380</xdr:colOff>
      <xdr:row>7</xdr:row>
      <xdr:rowOff>187960</xdr:rowOff>
    </xdr:to>
    <xdr:sp macro="[0]!Part1_견적정리" textlink="">
      <xdr:nvSpPr>
        <xdr:cNvPr id="4" name="직사각형 3">
          <a:extLst>
            <a:ext uri="{FF2B5EF4-FFF2-40B4-BE49-F238E27FC236}">
              <a16:creationId xmlns:a16="http://schemas.microsoft.com/office/drawing/2014/main" id="{00000000-0008-0000-0000-000004000000}"/>
            </a:ext>
          </a:extLst>
        </xdr:cNvPr>
        <xdr:cNvSpPr/>
      </xdr:nvSpPr>
      <xdr:spPr>
        <a:xfrm>
          <a:off x="739140" y="192532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1.3 </a:t>
          </a:r>
          <a:r>
            <a:rPr lang="ko-KR" altLang="en-US" sz="1200" b="1">
              <a:solidFill>
                <a:sysClr val="windowText" lastClr="000000"/>
              </a:solidFill>
            </a:rPr>
            <a:t>견적 정리</a:t>
          </a:r>
        </a:p>
      </xdr:txBody>
    </xdr:sp>
    <xdr:clientData/>
  </xdr:twoCellAnchor>
  <xdr:twoCellAnchor>
    <xdr:from>
      <xdr:col>1</xdr:col>
      <xdr:colOff>68580</xdr:colOff>
      <xdr:row>8</xdr:row>
      <xdr:rowOff>110490</xdr:rowOff>
    </xdr:from>
    <xdr:to>
      <xdr:col>5</xdr:col>
      <xdr:colOff>373380</xdr:colOff>
      <xdr:row>9</xdr:row>
      <xdr:rowOff>201930</xdr:rowOff>
    </xdr:to>
    <xdr:sp macro="[0]!Part2_요약" textlink="">
      <xdr:nvSpPr>
        <xdr:cNvPr id="5" name="직사각형 4">
          <a:extLst>
            <a:ext uri="{FF2B5EF4-FFF2-40B4-BE49-F238E27FC236}">
              <a16:creationId xmlns:a16="http://schemas.microsoft.com/office/drawing/2014/main" id="{00000000-0008-0000-0000-000005000000}"/>
            </a:ext>
          </a:extLst>
        </xdr:cNvPr>
        <xdr:cNvSpPr/>
      </xdr:nvSpPr>
      <xdr:spPr>
        <a:xfrm>
          <a:off x="739140" y="24726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2.1 </a:t>
          </a:r>
          <a:r>
            <a:rPr lang="ko-KR" altLang="en-US" sz="1200" b="1">
              <a:solidFill>
                <a:sysClr val="windowText" lastClr="000000"/>
              </a:solidFill>
            </a:rPr>
            <a:t>요약</a:t>
          </a:r>
        </a:p>
      </xdr:txBody>
    </xdr:sp>
    <xdr:clientData/>
  </xdr:twoCellAnchor>
  <xdr:twoCellAnchor>
    <xdr:from>
      <xdr:col>1</xdr:col>
      <xdr:colOff>68580</xdr:colOff>
      <xdr:row>10</xdr:row>
      <xdr:rowOff>10160</xdr:rowOff>
    </xdr:from>
    <xdr:to>
      <xdr:col>5</xdr:col>
      <xdr:colOff>373380</xdr:colOff>
      <xdr:row>11</xdr:row>
      <xdr:rowOff>101600</xdr:rowOff>
    </xdr:to>
    <xdr:sp macro="[0]!Part2_견적정리" textlink="">
      <xdr:nvSpPr>
        <xdr:cNvPr id="6" name="직사각형 5">
          <a:extLst>
            <a:ext uri="{FF2B5EF4-FFF2-40B4-BE49-F238E27FC236}">
              <a16:creationId xmlns:a16="http://schemas.microsoft.com/office/drawing/2014/main" id="{00000000-0008-0000-0000-000006000000}"/>
            </a:ext>
          </a:extLst>
        </xdr:cNvPr>
        <xdr:cNvSpPr/>
      </xdr:nvSpPr>
      <xdr:spPr>
        <a:xfrm>
          <a:off x="739140" y="29057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2.2 </a:t>
          </a:r>
          <a:r>
            <a:rPr lang="ko-KR" altLang="en-US" sz="1200" b="1">
              <a:solidFill>
                <a:sysClr val="windowText" lastClr="000000"/>
              </a:solidFill>
            </a:rPr>
            <a:t>견적 정리</a:t>
          </a:r>
        </a:p>
      </xdr:txBody>
    </xdr:sp>
    <xdr:clientData/>
  </xdr:twoCellAnchor>
  <xdr:twoCellAnchor>
    <xdr:from>
      <xdr:col>1</xdr:col>
      <xdr:colOff>68580</xdr:colOff>
      <xdr:row>12</xdr:row>
      <xdr:rowOff>8890</xdr:rowOff>
    </xdr:from>
    <xdr:to>
      <xdr:col>5</xdr:col>
      <xdr:colOff>373380</xdr:colOff>
      <xdr:row>13</xdr:row>
      <xdr:rowOff>100330</xdr:rowOff>
    </xdr:to>
    <xdr:sp macro="[0]!Part3_요약" textlink="">
      <xdr:nvSpPr>
        <xdr:cNvPr id="7" name="직사각형 6">
          <a:extLst>
            <a:ext uri="{FF2B5EF4-FFF2-40B4-BE49-F238E27FC236}">
              <a16:creationId xmlns:a16="http://schemas.microsoft.com/office/drawing/2014/main" id="{00000000-0008-0000-0000-000007000000}"/>
            </a:ext>
          </a:extLst>
        </xdr:cNvPr>
        <xdr:cNvSpPr/>
      </xdr:nvSpPr>
      <xdr:spPr>
        <a:xfrm>
          <a:off x="739140" y="34378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3.1 </a:t>
          </a:r>
          <a:r>
            <a:rPr lang="ko-KR" altLang="en-US" sz="1200" b="1">
              <a:solidFill>
                <a:sysClr val="windowText" lastClr="000000"/>
              </a:solidFill>
            </a:rPr>
            <a:t>요약</a:t>
          </a:r>
        </a:p>
      </xdr:txBody>
    </xdr:sp>
    <xdr:clientData/>
  </xdr:twoCellAnchor>
  <xdr:twoCellAnchor>
    <xdr:from>
      <xdr:col>1</xdr:col>
      <xdr:colOff>68580</xdr:colOff>
      <xdr:row>13</xdr:row>
      <xdr:rowOff>175260</xdr:rowOff>
    </xdr:from>
    <xdr:to>
      <xdr:col>5</xdr:col>
      <xdr:colOff>373380</xdr:colOff>
      <xdr:row>15</xdr:row>
      <xdr:rowOff>91440</xdr:rowOff>
    </xdr:to>
    <xdr:sp macro="[0]!Part3_견적정리" textlink="">
      <xdr:nvSpPr>
        <xdr:cNvPr id="8" name="직사각형 7">
          <a:extLst>
            <a:ext uri="{FF2B5EF4-FFF2-40B4-BE49-F238E27FC236}">
              <a16:creationId xmlns:a16="http://schemas.microsoft.com/office/drawing/2014/main" id="{00000000-0008-0000-0000-000008000000}"/>
            </a:ext>
          </a:extLst>
        </xdr:cNvPr>
        <xdr:cNvSpPr/>
      </xdr:nvSpPr>
      <xdr:spPr>
        <a:xfrm>
          <a:off x="739140" y="38709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3.2 </a:t>
          </a:r>
          <a:r>
            <a:rPr lang="ko-KR" altLang="en-US" sz="1200" b="1">
              <a:solidFill>
                <a:sysClr val="windowText" lastClr="000000"/>
              </a:solidFill>
            </a:rPr>
            <a:t>견적정리</a:t>
          </a:r>
        </a:p>
      </xdr:txBody>
    </xdr:sp>
    <xdr:clientData/>
  </xdr:twoCellAnchor>
  <xdr:twoCellAnchor>
    <xdr:from>
      <xdr:col>1</xdr:col>
      <xdr:colOff>68580</xdr:colOff>
      <xdr:row>16</xdr:row>
      <xdr:rowOff>118110</xdr:rowOff>
    </xdr:from>
    <xdr:to>
      <xdr:col>5</xdr:col>
      <xdr:colOff>373380</xdr:colOff>
      <xdr:row>18</xdr:row>
      <xdr:rowOff>34290</xdr:rowOff>
    </xdr:to>
    <xdr:sp macro="[0]!Part4_Baseline" textlink="">
      <xdr:nvSpPr>
        <xdr:cNvPr id="12" name="직사각형 11">
          <a:extLst>
            <a:ext uri="{FF2B5EF4-FFF2-40B4-BE49-F238E27FC236}">
              <a16:creationId xmlns:a16="http://schemas.microsoft.com/office/drawing/2014/main" id="{00000000-0008-0000-0000-00000C000000}"/>
            </a:ext>
          </a:extLst>
        </xdr:cNvPr>
        <xdr:cNvSpPr/>
      </xdr:nvSpPr>
      <xdr:spPr>
        <a:xfrm>
          <a:off x="739140" y="447675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4.1 Baseline </a:t>
          </a:r>
          <a:r>
            <a:rPr lang="ko-KR" altLang="en-US" sz="1200" b="1">
              <a:solidFill>
                <a:sysClr val="windowText" lastClr="000000"/>
              </a:solidFill>
            </a:rPr>
            <a:t>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1</xdr:col>
      <xdr:colOff>68580</xdr:colOff>
      <xdr:row>18</xdr:row>
      <xdr:rowOff>113665</xdr:rowOff>
    </xdr:from>
    <xdr:to>
      <xdr:col>6</xdr:col>
      <xdr:colOff>68580</xdr:colOff>
      <xdr:row>20</xdr:row>
      <xdr:rowOff>29845</xdr:rowOff>
    </xdr:to>
    <xdr:sp macro="[0]!Part4_견적정리" textlink="">
      <xdr:nvSpPr>
        <xdr:cNvPr id="13" name="직사각형 12">
          <a:extLst>
            <a:ext uri="{FF2B5EF4-FFF2-40B4-BE49-F238E27FC236}">
              <a16:creationId xmlns:a16="http://schemas.microsoft.com/office/drawing/2014/main" id="{00000000-0008-0000-0000-00000D000000}"/>
            </a:ext>
          </a:extLst>
        </xdr:cNvPr>
        <xdr:cNvSpPr/>
      </xdr:nvSpPr>
      <xdr:spPr>
        <a:xfrm>
          <a:off x="739140" y="4914265"/>
          <a:ext cx="335280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4.2 </a:t>
          </a:r>
          <a:r>
            <a:rPr lang="ko-KR" altLang="en-US" sz="1200" b="1">
              <a:solidFill>
                <a:sysClr val="windowText" lastClr="000000"/>
              </a:solidFill>
            </a:rPr>
            <a:t>인건비견적 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9</xdr:col>
      <xdr:colOff>613410</xdr:colOff>
      <xdr:row>0</xdr:row>
      <xdr:rowOff>0</xdr:rowOff>
    </xdr:from>
    <xdr:to>
      <xdr:col>11</xdr:col>
      <xdr:colOff>160020</xdr:colOff>
      <xdr:row>1</xdr:row>
      <xdr:rowOff>137160</xdr:rowOff>
    </xdr:to>
    <xdr:sp macro="[0]!contents" textlink="">
      <xdr:nvSpPr>
        <xdr:cNvPr id="15" name="직사각형 14">
          <a:extLst>
            <a:ext uri="{FF2B5EF4-FFF2-40B4-BE49-F238E27FC236}">
              <a16:creationId xmlns:a16="http://schemas.microsoft.com/office/drawing/2014/main" id="{00000000-0008-0000-0000-00000F000000}"/>
            </a:ext>
          </a:extLst>
        </xdr:cNvPr>
        <xdr:cNvSpPr/>
      </xdr:nvSpPr>
      <xdr:spPr>
        <a:xfrm>
          <a:off x="6648450" y="0"/>
          <a:ext cx="88773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모든시트</a:t>
          </a:r>
          <a:endParaRPr lang="ko-KR" altLang="en-US" sz="1200" b="1">
            <a:solidFill>
              <a:sysClr val="windowText" lastClr="000000"/>
            </a:solidFill>
          </a:endParaRPr>
        </a:p>
      </xdr:txBody>
    </xdr:sp>
    <xdr:clientData/>
  </xdr:twoCellAnchor>
  <xdr:twoCellAnchor>
    <xdr:from>
      <xdr:col>14</xdr:col>
      <xdr:colOff>8965</xdr:colOff>
      <xdr:row>2</xdr:row>
      <xdr:rowOff>91440</xdr:rowOff>
    </xdr:from>
    <xdr:to>
      <xdr:col>18</xdr:col>
      <xdr:colOff>313764</xdr:colOff>
      <xdr:row>4</xdr:row>
      <xdr:rowOff>53340</xdr:rowOff>
    </xdr:to>
    <xdr:sp macro="" textlink="">
      <xdr:nvSpPr>
        <xdr:cNvPr id="16" name="직사각형 15">
          <a:extLst>
            <a:ext uri="{FF2B5EF4-FFF2-40B4-BE49-F238E27FC236}">
              <a16:creationId xmlns:a16="http://schemas.microsoft.com/office/drawing/2014/main" id="{00000000-0008-0000-0000-000010000000}"/>
            </a:ext>
          </a:extLst>
        </xdr:cNvPr>
        <xdr:cNvSpPr/>
      </xdr:nvSpPr>
      <xdr:spPr>
        <a:xfrm>
          <a:off x="9421906" y="786205"/>
          <a:ext cx="2994211" cy="3541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rgbClr val="FF0000"/>
              </a:solidFill>
            </a:rPr>
            <a:t>(</a:t>
          </a:r>
          <a:r>
            <a:rPr lang="ko-KR" altLang="en-US" sz="1200" b="1">
              <a:solidFill>
                <a:srgbClr val="FF0000"/>
              </a:solidFill>
            </a:rPr>
            <a:t>작업예정</a:t>
          </a:r>
          <a:r>
            <a:rPr lang="en-US" altLang="ko-KR" sz="1200" b="1">
              <a:solidFill>
                <a:srgbClr val="FF0000"/>
              </a:solidFill>
            </a:rPr>
            <a:t>) </a:t>
          </a:r>
          <a:r>
            <a:rPr lang="ko-KR" altLang="en-US" sz="1200" b="1">
              <a:solidFill>
                <a:srgbClr val="FF0000"/>
              </a:solidFill>
            </a:rPr>
            <a:t>고객사 제공 견적서</a:t>
          </a:r>
        </a:p>
      </xdr:txBody>
    </xdr:sp>
    <xdr:clientData/>
  </xdr:twoCellAnchor>
  <xdr:twoCellAnchor>
    <xdr:from>
      <xdr:col>14</xdr:col>
      <xdr:colOff>24429</xdr:colOff>
      <xdr:row>4</xdr:row>
      <xdr:rowOff>25549</xdr:rowOff>
    </xdr:from>
    <xdr:to>
      <xdr:col>18</xdr:col>
      <xdr:colOff>329228</xdr:colOff>
      <xdr:row>5</xdr:row>
      <xdr:rowOff>109370</xdr:rowOff>
    </xdr:to>
    <xdr:sp macro="" textlink="">
      <xdr:nvSpPr>
        <xdr:cNvPr id="19" name="직사각형 18">
          <a:extLst>
            <a:ext uri="{FF2B5EF4-FFF2-40B4-BE49-F238E27FC236}">
              <a16:creationId xmlns:a16="http://schemas.microsoft.com/office/drawing/2014/main" id="{00000000-0008-0000-0000-000013000000}"/>
            </a:ext>
          </a:extLst>
        </xdr:cNvPr>
        <xdr:cNvSpPr/>
      </xdr:nvSpPr>
      <xdr:spPr>
        <a:xfrm>
          <a:off x="9594253" y="1101314"/>
          <a:ext cx="3039034" cy="3415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rgbClr val="FF0000"/>
              </a:solidFill>
            </a:rPr>
            <a:t>(</a:t>
          </a:r>
          <a:r>
            <a:rPr lang="ko-KR" altLang="en-US" sz="1200" b="1">
              <a:solidFill>
                <a:srgbClr val="FF0000"/>
              </a:solidFill>
            </a:rPr>
            <a:t>작업예정</a:t>
          </a:r>
          <a:r>
            <a:rPr lang="en-US" altLang="ko-KR" sz="1200" b="1">
              <a:solidFill>
                <a:srgbClr val="FF0000"/>
              </a:solidFill>
            </a:rPr>
            <a:t>) </a:t>
          </a:r>
          <a:r>
            <a:rPr lang="ko-KR" altLang="en-US" sz="1200" b="1">
              <a:solidFill>
                <a:srgbClr val="FF0000"/>
              </a:solidFill>
            </a:rPr>
            <a:t>업데이트 이력</a:t>
          </a:r>
        </a:p>
      </xdr:txBody>
    </xdr:sp>
    <xdr:clientData/>
  </xdr:twoCellAnchor>
  <xdr:twoCellAnchor>
    <xdr:from>
      <xdr:col>6</xdr:col>
      <xdr:colOff>132117</xdr:colOff>
      <xdr:row>2</xdr:row>
      <xdr:rowOff>134806</xdr:rowOff>
    </xdr:from>
    <xdr:to>
      <xdr:col>10</xdr:col>
      <xdr:colOff>436918</xdr:colOff>
      <xdr:row>4</xdr:row>
      <xdr:rowOff>90991</xdr:rowOff>
    </xdr:to>
    <xdr:sp macro="[0]!Part5_시뮬레이션" textlink="">
      <xdr:nvSpPr>
        <xdr:cNvPr id="20" name="직사각형 19">
          <a:extLst>
            <a:ext uri="{FF2B5EF4-FFF2-40B4-BE49-F238E27FC236}">
              <a16:creationId xmlns:a16="http://schemas.microsoft.com/office/drawing/2014/main" id="{00000000-0008-0000-0000-000014000000}"/>
            </a:ext>
          </a:extLst>
        </xdr:cNvPr>
        <xdr:cNvSpPr/>
      </xdr:nvSpPr>
      <xdr:spPr>
        <a:xfrm>
          <a:off x="4166235" y="829571"/>
          <a:ext cx="2994212" cy="34839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5.1 </a:t>
          </a:r>
          <a:r>
            <a:rPr lang="ko-KR" altLang="en-US" sz="1200" b="1">
              <a:solidFill>
                <a:sysClr val="windowText" lastClr="000000"/>
              </a:solidFill>
            </a:rPr>
            <a:t>시뮬레이션</a:t>
          </a:r>
        </a:p>
      </xdr:txBody>
    </xdr:sp>
    <xdr:clientData/>
  </xdr:twoCellAnchor>
  <xdr:twoCellAnchor>
    <xdr:from>
      <xdr:col>6</xdr:col>
      <xdr:colOff>132117</xdr:colOff>
      <xdr:row>4</xdr:row>
      <xdr:rowOff>170366</xdr:rowOff>
    </xdr:from>
    <xdr:to>
      <xdr:col>10</xdr:col>
      <xdr:colOff>436918</xdr:colOff>
      <xdr:row>5</xdr:row>
      <xdr:rowOff>262142</xdr:rowOff>
    </xdr:to>
    <xdr:sp macro="[0]!Part5_통합시트" textlink="">
      <xdr:nvSpPr>
        <xdr:cNvPr id="21" name="직사각형 20">
          <a:extLst>
            <a:ext uri="{FF2B5EF4-FFF2-40B4-BE49-F238E27FC236}">
              <a16:creationId xmlns:a16="http://schemas.microsoft.com/office/drawing/2014/main" id="{00000000-0008-0000-0000-000015000000}"/>
            </a:ext>
          </a:extLst>
        </xdr:cNvPr>
        <xdr:cNvSpPr/>
      </xdr:nvSpPr>
      <xdr:spPr>
        <a:xfrm>
          <a:off x="4166235" y="1257337"/>
          <a:ext cx="2994212" cy="3607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a:t>
          </a:r>
          <a:r>
            <a:rPr lang="ko-KR" altLang="en-US" sz="1200" b="1">
              <a:solidFill>
                <a:sysClr val="windowText" lastClr="000000"/>
              </a:solidFill>
            </a:rPr>
            <a:t> </a:t>
          </a:r>
          <a:r>
            <a:rPr lang="en-US" altLang="ko-KR" sz="1200" b="1">
              <a:solidFill>
                <a:sysClr val="windowText" lastClr="000000"/>
              </a:solidFill>
            </a:rPr>
            <a:t>_ 5.2 </a:t>
          </a:r>
          <a:r>
            <a:rPr lang="ko-KR" altLang="en-US" sz="1200" b="1">
              <a:solidFill>
                <a:sysClr val="windowText" lastClr="000000"/>
              </a:solidFill>
            </a:rPr>
            <a:t>통합시트</a:t>
          </a:r>
        </a:p>
      </xdr:txBody>
    </xdr:sp>
    <xdr:clientData/>
  </xdr:twoCellAnchor>
  <xdr:twoCellAnchor>
    <xdr:from>
      <xdr:col>6</xdr:col>
      <xdr:colOff>132117</xdr:colOff>
      <xdr:row>6</xdr:row>
      <xdr:rowOff>54161</xdr:rowOff>
    </xdr:from>
    <xdr:to>
      <xdr:col>10</xdr:col>
      <xdr:colOff>436918</xdr:colOff>
      <xdr:row>7</xdr:row>
      <xdr:rowOff>155126</xdr:rowOff>
    </xdr:to>
    <xdr:sp macro="[0]!Part5_수익성분석" textlink="">
      <xdr:nvSpPr>
        <xdr:cNvPr id="22" name="직사각형 21">
          <a:extLst>
            <a:ext uri="{FF2B5EF4-FFF2-40B4-BE49-F238E27FC236}">
              <a16:creationId xmlns:a16="http://schemas.microsoft.com/office/drawing/2014/main" id="{00000000-0008-0000-0000-000016000000}"/>
            </a:ext>
          </a:extLst>
        </xdr:cNvPr>
        <xdr:cNvSpPr/>
      </xdr:nvSpPr>
      <xdr:spPr>
        <a:xfrm>
          <a:off x="4166235" y="1679014"/>
          <a:ext cx="2994212" cy="369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5.3 </a:t>
          </a:r>
          <a:r>
            <a:rPr lang="ko-KR" altLang="en-US" sz="1200" b="1">
              <a:solidFill>
                <a:sysClr val="windowText" lastClr="000000"/>
              </a:solidFill>
            </a:rPr>
            <a:t>수익성분석</a:t>
          </a:r>
        </a:p>
      </xdr:txBody>
    </xdr:sp>
    <xdr:clientData/>
  </xdr:twoCellAnchor>
  <xdr:twoCellAnchor>
    <xdr:from>
      <xdr:col>11</xdr:col>
      <xdr:colOff>77992</xdr:colOff>
      <xdr:row>0</xdr:row>
      <xdr:rowOff>0</xdr:rowOff>
    </xdr:from>
    <xdr:to>
      <xdr:col>12</xdr:col>
      <xdr:colOff>537882</xdr:colOff>
      <xdr:row>1</xdr:row>
      <xdr:rowOff>133350</xdr:rowOff>
    </xdr:to>
    <xdr:sp macro="[0]!시트숨기기" textlink="">
      <xdr:nvSpPr>
        <xdr:cNvPr id="23" name="직사각형 22">
          <a:extLst>
            <a:ext uri="{FF2B5EF4-FFF2-40B4-BE49-F238E27FC236}">
              <a16:creationId xmlns:a16="http://schemas.microsoft.com/office/drawing/2014/main" id="{00000000-0008-0000-0000-000017000000}"/>
            </a:ext>
          </a:extLst>
        </xdr:cNvPr>
        <xdr:cNvSpPr/>
      </xdr:nvSpPr>
      <xdr:spPr>
        <a:xfrm>
          <a:off x="7473874" y="0"/>
          <a:ext cx="1132243" cy="357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시트숨기기</a:t>
          </a:r>
          <a:endParaRPr lang="ko-KR" altLang="en-US" sz="1200" b="1">
            <a:solidFill>
              <a:sysClr val="windowText" lastClr="000000"/>
            </a:solidFill>
          </a:endParaRPr>
        </a:p>
      </xdr:txBody>
    </xdr:sp>
    <xdr:clientData/>
  </xdr:twoCellAnchor>
  <xdr:twoCellAnchor>
    <xdr:from>
      <xdr:col>1</xdr:col>
      <xdr:colOff>44375</xdr:colOff>
      <xdr:row>20</xdr:row>
      <xdr:rowOff>106941</xdr:rowOff>
    </xdr:from>
    <xdr:to>
      <xdr:col>6</xdr:col>
      <xdr:colOff>44375</xdr:colOff>
      <xdr:row>22</xdr:row>
      <xdr:rowOff>23122</xdr:rowOff>
    </xdr:to>
    <xdr:sp macro="[0]!Part4_FTE" textlink="">
      <xdr:nvSpPr>
        <xdr:cNvPr id="24" name="직사각형 23">
          <a:extLst>
            <a:ext uri="{FF2B5EF4-FFF2-40B4-BE49-F238E27FC236}">
              <a16:creationId xmlns:a16="http://schemas.microsoft.com/office/drawing/2014/main" id="{2C21E8C8-34E8-45A5-A7BC-22E2261117B1}"/>
            </a:ext>
          </a:extLst>
        </xdr:cNvPr>
        <xdr:cNvSpPr/>
      </xdr:nvSpPr>
      <xdr:spPr>
        <a:xfrm>
          <a:off x="727934" y="4992706"/>
          <a:ext cx="3417794" cy="3420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4.3 FTE</a:t>
          </a:r>
          <a:r>
            <a:rPr lang="ko-KR" altLang="en-US" sz="1200" b="1">
              <a:solidFill>
                <a:sysClr val="windowText" lastClr="000000"/>
              </a:solidFill>
            </a:rPr>
            <a:t>산정</a:t>
          </a:r>
        </a:p>
      </xdr:txBody>
    </xdr:sp>
    <xdr:clientData/>
  </xdr:twoCellAnchor>
  <xdr:twoCellAnchor>
    <xdr:from>
      <xdr:col>13</xdr:col>
      <xdr:colOff>663165</xdr:colOff>
      <xdr:row>5</xdr:row>
      <xdr:rowOff>115196</xdr:rowOff>
    </xdr:from>
    <xdr:to>
      <xdr:col>18</xdr:col>
      <xdr:colOff>284405</xdr:colOff>
      <xdr:row>6</xdr:row>
      <xdr:rowOff>199016</xdr:rowOff>
    </xdr:to>
    <xdr:sp macro="" textlink="">
      <xdr:nvSpPr>
        <xdr:cNvPr id="25" name="직사각형 24">
          <a:extLst>
            <a:ext uri="{FF2B5EF4-FFF2-40B4-BE49-F238E27FC236}">
              <a16:creationId xmlns:a16="http://schemas.microsoft.com/office/drawing/2014/main" id="{A4CF6B19-FD16-4327-B654-D9CD2421B8E2}"/>
            </a:ext>
          </a:extLst>
        </xdr:cNvPr>
        <xdr:cNvSpPr/>
      </xdr:nvSpPr>
      <xdr:spPr>
        <a:xfrm>
          <a:off x="9549430" y="1515931"/>
          <a:ext cx="3039034" cy="3415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rgbClr val="FF0000"/>
              </a:solidFill>
            </a:rPr>
            <a:t>(</a:t>
          </a:r>
          <a:r>
            <a:rPr lang="ko-KR" altLang="en-US" sz="1200" b="1">
              <a:solidFill>
                <a:srgbClr val="FF0000"/>
              </a:solidFill>
            </a:rPr>
            <a:t>작업예정</a:t>
          </a:r>
          <a:r>
            <a:rPr lang="en-US" altLang="ko-KR" sz="1200" b="1">
              <a:solidFill>
                <a:srgbClr val="FF0000"/>
              </a:solidFill>
            </a:rPr>
            <a:t>) PRB</a:t>
          </a:r>
          <a:r>
            <a:rPr lang="ko-KR" altLang="en-US" sz="1200" b="1">
              <a:solidFill>
                <a:srgbClr val="FF0000"/>
              </a:solidFill>
            </a:rPr>
            <a:t>관리</a:t>
          </a:r>
        </a:p>
      </xdr:txBody>
    </xdr:sp>
    <xdr:clientData/>
  </xdr:twoCellAnchor>
  <xdr:twoCellAnchor>
    <xdr:from>
      <xdr:col>13</xdr:col>
      <xdr:colOff>669888</xdr:colOff>
      <xdr:row>6</xdr:row>
      <xdr:rowOff>177948</xdr:rowOff>
    </xdr:from>
    <xdr:to>
      <xdr:col>18</xdr:col>
      <xdr:colOff>291128</xdr:colOff>
      <xdr:row>8</xdr:row>
      <xdr:rowOff>4034</xdr:rowOff>
    </xdr:to>
    <xdr:sp macro="" textlink="">
      <xdr:nvSpPr>
        <xdr:cNvPr id="26" name="직사각형 25">
          <a:extLst>
            <a:ext uri="{FF2B5EF4-FFF2-40B4-BE49-F238E27FC236}">
              <a16:creationId xmlns:a16="http://schemas.microsoft.com/office/drawing/2014/main" id="{6511DA8C-5EA9-4284-9CA1-4B4501660EA0}"/>
            </a:ext>
          </a:extLst>
        </xdr:cNvPr>
        <xdr:cNvSpPr/>
      </xdr:nvSpPr>
      <xdr:spPr>
        <a:xfrm>
          <a:off x="9556153" y="1836419"/>
          <a:ext cx="3039034" cy="3415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rgbClr val="FF0000"/>
              </a:solidFill>
            </a:rPr>
            <a:t>(</a:t>
          </a:r>
          <a:r>
            <a:rPr lang="ko-KR" altLang="en-US" sz="1200" b="1">
              <a:solidFill>
                <a:srgbClr val="FF0000"/>
              </a:solidFill>
            </a:rPr>
            <a:t>작업예정</a:t>
          </a:r>
          <a:r>
            <a:rPr lang="en-US" altLang="ko-KR" sz="1200" b="1">
              <a:solidFill>
                <a:srgbClr val="FF0000"/>
              </a:solidFill>
            </a:rPr>
            <a:t>) </a:t>
          </a:r>
          <a:r>
            <a:rPr lang="ko-KR" altLang="en-US" sz="1200" b="1">
              <a:solidFill>
                <a:srgbClr val="FF0000"/>
              </a:solidFill>
            </a:rPr>
            <a:t>매출관리</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1679441</xdr:colOff>
      <xdr:row>13</xdr:row>
      <xdr:rowOff>103254</xdr:rowOff>
    </xdr:from>
    <xdr:to>
      <xdr:col>16</xdr:col>
      <xdr:colOff>640496</xdr:colOff>
      <xdr:row>27</xdr:row>
      <xdr:rowOff>158644</xdr:rowOff>
    </xdr:to>
    <xdr:sp macro="" textlink="">
      <xdr:nvSpPr>
        <xdr:cNvPr id="2" name="직사각형 1">
          <a:extLst>
            <a:ext uri="{FF2B5EF4-FFF2-40B4-BE49-F238E27FC236}">
              <a16:creationId xmlns:a16="http://schemas.microsoft.com/office/drawing/2014/main" id="{00000000-0008-0000-0200-000002000000}"/>
            </a:ext>
          </a:extLst>
        </xdr:cNvPr>
        <xdr:cNvSpPr/>
      </xdr:nvSpPr>
      <xdr:spPr>
        <a:xfrm>
          <a:off x="6455548" y="2756647"/>
          <a:ext cx="6322519" cy="27768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1. </a:t>
          </a:r>
          <a:r>
            <a:rPr lang="ko-KR" altLang="en-US" sz="1100"/>
            <a:t>매출</a:t>
          </a:r>
          <a:endParaRPr lang="en-US" altLang="ko-KR" sz="1100"/>
        </a:p>
        <a:p>
          <a:pPr algn="l"/>
          <a:r>
            <a:rPr lang="en-US" altLang="ko-KR" sz="1100"/>
            <a:t>- </a:t>
          </a:r>
          <a:r>
            <a:rPr lang="ko-KR" altLang="en-US" sz="1100"/>
            <a:t>프로젝트 이익율을 충족시키기 위해 매출액 </a:t>
          </a:r>
          <a:r>
            <a:rPr lang="en-US" altLang="ko-KR" sz="1100"/>
            <a:t>4.2</a:t>
          </a:r>
          <a:r>
            <a:rPr lang="ko-KR" altLang="en-US" sz="1100"/>
            <a:t>억 정도 임의로 산정한 것으로 보임</a:t>
          </a:r>
          <a:endParaRPr lang="en-US" altLang="ko-KR" sz="1100"/>
        </a:p>
        <a:p>
          <a:pPr algn="l"/>
          <a:r>
            <a:rPr lang="en-US" altLang="ko-KR" sz="1100"/>
            <a:t>- </a:t>
          </a:r>
          <a:r>
            <a:rPr lang="ko-KR" altLang="en-US" sz="1100"/>
            <a:t>현장 대리인 </a:t>
          </a:r>
          <a:r>
            <a:rPr lang="en-US" altLang="ko-KR" sz="1100"/>
            <a:t>2</a:t>
          </a:r>
          <a:r>
            <a:rPr lang="ko-KR" altLang="en-US" sz="1100"/>
            <a:t>명은 어디서 나온 금액인지 잘 모르겠음</a:t>
          </a:r>
          <a:endParaRPr lang="en-US" altLang="ko-KR" sz="1100"/>
        </a:p>
        <a:p>
          <a:pPr algn="l"/>
          <a:endParaRPr lang="en-US" altLang="ko-KR" sz="1100"/>
        </a:p>
        <a:p>
          <a:pPr algn="l"/>
          <a:r>
            <a:rPr lang="en-US" altLang="ko-KR" sz="1100"/>
            <a:t>2. </a:t>
          </a:r>
          <a:r>
            <a:rPr lang="ko-KR" altLang="en-US" sz="1100"/>
            <a:t>비용</a:t>
          </a:r>
          <a:endParaRPr lang="en-US" altLang="ko-KR" sz="1100"/>
        </a:p>
        <a:p>
          <a:pPr algn="l"/>
          <a:r>
            <a:rPr lang="en-US" altLang="ko-KR" sz="1100"/>
            <a:t>- </a:t>
          </a:r>
          <a:r>
            <a:rPr lang="ko-KR" altLang="en-US" sz="1100"/>
            <a:t>운영하도급 </a:t>
          </a:r>
          <a:r>
            <a:rPr lang="en-US" altLang="ko-KR" sz="1100"/>
            <a:t>--&gt;</a:t>
          </a:r>
          <a:r>
            <a:rPr lang="en-US" altLang="ko-KR" sz="1100" baseline="0"/>
            <a:t> </a:t>
          </a:r>
          <a:r>
            <a:rPr lang="en-US" altLang="ko-KR" sz="1100"/>
            <a:t> VDC-C</a:t>
          </a:r>
          <a:r>
            <a:rPr lang="en-US" altLang="ko-KR" sz="1100" baseline="0"/>
            <a:t> </a:t>
          </a:r>
          <a:r>
            <a:rPr lang="ko-KR" altLang="en-US" sz="1100" baseline="0"/>
            <a:t>기준 메타넷 견적가</a:t>
          </a:r>
          <a:endParaRPr lang="en-US" altLang="ko-KR" sz="1100" baseline="0"/>
        </a:p>
        <a:p>
          <a:pPr algn="l"/>
          <a:r>
            <a:rPr lang="en-US" altLang="ko-KR" sz="1100" baseline="0"/>
            <a:t>- </a:t>
          </a:r>
          <a:r>
            <a:rPr lang="ko-KR" altLang="en-US" sz="1100" baseline="0"/>
            <a:t>투자</a:t>
          </a:r>
          <a:endParaRPr lang="en-US" altLang="ko-KR" sz="1100" baseline="0"/>
        </a:p>
        <a:p>
          <a:pPr algn="l"/>
          <a:r>
            <a:rPr lang="en-US" altLang="ko-KR" sz="1100" baseline="0"/>
            <a:t>  STT, TA, </a:t>
          </a:r>
          <a:r>
            <a:rPr lang="ko-KR" altLang="en-US" sz="1100" baseline="0"/>
            <a:t>챗봇</a:t>
          </a:r>
          <a:r>
            <a:rPr lang="en-US" altLang="ko-KR" sz="1100" baseline="0"/>
            <a:t>, KMS</a:t>
          </a:r>
          <a:r>
            <a:rPr lang="ko-KR" altLang="en-US" sz="1100" baseline="0"/>
            <a:t>는 </a:t>
          </a:r>
          <a:r>
            <a:rPr lang="en-US" altLang="ko-KR" sz="1100" baseline="0"/>
            <a:t>KTH, </a:t>
          </a:r>
          <a:r>
            <a:rPr lang="ko-KR" altLang="en-US" sz="1100" baseline="0"/>
            <a:t>도연시스템 견적가 동일함 확인</a:t>
          </a:r>
          <a:endParaRPr lang="en-US" altLang="ko-KR" sz="1100" baseline="0"/>
        </a:p>
        <a:p>
          <a:pPr algn="l"/>
          <a:r>
            <a:rPr lang="en-US" altLang="ko-KR" sz="1100" baseline="0"/>
            <a:t>  </a:t>
          </a:r>
          <a:r>
            <a:rPr lang="ko-KR" altLang="en-US" sz="1100" baseline="0"/>
            <a:t>단</a:t>
          </a:r>
          <a:r>
            <a:rPr lang="en-US" altLang="ko-KR" sz="1100" baseline="0"/>
            <a:t>, </a:t>
          </a:r>
          <a:r>
            <a:rPr lang="ko-KR" altLang="en-US" sz="1100" baseline="0"/>
            <a:t>페이퍼리스는 견적서 없이 </a:t>
          </a:r>
          <a:r>
            <a:rPr lang="en-US" altLang="ko-KR" sz="1100" baseline="0"/>
            <a:t>9.45</a:t>
          </a:r>
          <a:r>
            <a:rPr lang="ko-KR" altLang="en-US" sz="1100" baseline="0"/>
            <a:t>억 반영</a:t>
          </a:r>
          <a:endParaRPr lang="en-US" altLang="ko-KR" sz="1100" baseline="0"/>
        </a:p>
        <a:p>
          <a:pPr algn="l"/>
          <a:r>
            <a:rPr lang="en-US" altLang="ko-KR" sz="1100" baseline="0"/>
            <a:t>- </a:t>
          </a:r>
          <a:r>
            <a:rPr lang="ko-KR" altLang="en-US" sz="1100" baseline="0"/>
            <a:t>수행비용 일반경비는 </a:t>
          </a:r>
          <a:r>
            <a:rPr lang="en-US" altLang="ko-KR" sz="1100" baseline="0"/>
            <a:t>4.5</a:t>
          </a:r>
          <a:r>
            <a:rPr lang="ko-KR" altLang="en-US" sz="1100" baseline="0"/>
            <a:t>억으로 되어있으나 기존 프라이싱은 </a:t>
          </a:r>
          <a:r>
            <a:rPr lang="en-US" altLang="ko-KR" sz="1100" baseline="0"/>
            <a:t>5.5</a:t>
          </a:r>
          <a:r>
            <a:rPr lang="ko-KR" altLang="en-US" sz="1100" baseline="0"/>
            <a:t>억 </a:t>
          </a:r>
          <a:r>
            <a:rPr lang="en-US" altLang="ko-KR" sz="1100" baseline="0"/>
            <a:t>1</a:t>
          </a:r>
          <a:r>
            <a:rPr lang="ko-KR" altLang="en-US" sz="1100" baseline="0"/>
            <a:t>억 차감하여 반영한 듯</a:t>
          </a:r>
          <a:endParaRPr lang="en-US" altLang="ko-KR" sz="1100" baseline="0"/>
        </a:p>
        <a:p>
          <a:pPr algn="l"/>
          <a:r>
            <a:rPr lang="en-US" altLang="ko-KR" sz="1100" baseline="0"/>
            <a:t>- </a:t>
          </a:r>
          <a:r>
            <a:rPr lang="ko-KR" altLang="en-US" sz="1100" baseline="0"/>
            <a:t>구축인력 수행기간 </a:t>
          </a:r>
          <a:r>
            <a:rPr lang="en-US" altLang="ko-KR" sz="1100" baseline="0"/>
            <a:t>10</a:t>
          </a:r>
          <a:r>
            <a:rPr lang="ko-KR" altLang="en-US" sz="1100" baseline="0"/>
            <a:t>개월로 산정</a:t>
          </a:r>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293894</xdr:colOff>
      <xdr:row>2</xdr:row>
      <xdr:rowOff>9499</xdr:rowOff>
    </xdr:from>
    <xdr:to>
      <xdr:col>1</xdr:col>
      <xdr:colOff>601</xdr:colOff>
      <xdr:row>9</xdr:row>
      <xdr:rowOff>112059</xdr:rowOff>
    </xdr:to>
    <xdr:sp macro="[0]!Part1_요약" textlink="">
      <xdr:nvSpPr>
        <xdr:cNvPr id="3" name="사각형: 둥근 위쪽 모서리 2">
          <a:extLst>
            <a:ext uri="{FF2B5EF4-FFF2-40B4-BE49-F238E27FC236}">
              <a16:creationId xmlns:a16="http://schemas.microsoft.com/office/drawing/2014/main" id="{00000000-0008-0000-0300-000003000000}"/>
            </a:ext>
          </a:extLst>
        </xdr:cNvPr>
        <xdr:cNvSpPr/>
      </xdr:nvSpPr>
      <xdr:spPr>
        <a:xfrm rot="16200000">
          <a:off x="-359738" y="1268249"/>
          <a:ext cx="1671383" cy="364119"/>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273834</xdr:colOff>
      <xdr:row>11</xdr:row>
      <xdr:rowOff>217469</xdr:rowOff>
    </xdr:from>
    <xdr:to>
      <xdr:col>0</xdr:col>
      <xdr:colOff>652446</xdr:colOff>
      <xdr:row>18</xdr:row>
      <xdr:rowOff>223370</xdr:rowOff>
    </xdr:to>
    <xdr:sp macro="[0]!Part2_요약" textlink="">
      <xdr:nvSpPr>
        <xdr:cNvPr id="4" name="사각형: 둥근 위쪽 모서리 3">
          <a:extLst>
            <a:ext uri="{FF2B5EF4-FFF2-40B4-BE49-F238E27FC236}">
              <a16:creationId xmlns:a16="http://schemas.microsoft.com/office/drawing/2014/main" id="{00000000-0008-0000-0300-000004000000}"/>
            </a:ext>
          </a:extLst>
        </xdr:cNvPr>
        <xdr:cNvSpPr/>
      </xdr:nvSpPr>
      <xdr:spPr>
        <a:xfrm rot="16200000">
          <a:off x="-264458" y="3377937"/>
          <a:ext cx="1455196" cy="378612"/>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283061</xdr:colOff>
      <xdr:row>21</xdr:row>
      <xdr:rowOff>94839</xdr:rowOff>
    </xdr:from>
    <xdr:to>
      <xdr:col>1</xdr:col>
      <xdr:colOff>8071</xdr:colOff>
      <xdr:row>26</xdr:row>
      <xdr:rowOff>163084</xdr:rowOff>
    </xdr:to>
    <xdr:sp macro="[0]!Part3_요약" textlink="">
      <xdr:nvSpPr>
        <xdr:cNvPr id="5" name="사각형: 둥근 위쪽 모서리 4">
          <a:extLst>
            <a:ext uri="{FF2B5EF4-FFF2-40B4-BE49-F238E27FC236}">
              <a16:creationId xmlns:a16="http://schemas.microsoft.com/office/drawing/2014/main" id="{00000000-0008-0000-0300-000005000000}"/>
            </a:ext>
          </a:extLst>
        </xdr:cNvPr>
        <xdr:cNvSpPr/>
      </xdr:nvSpPr>
      <xdr:spPr>
        <a:xfrm rot="16200000">
          <a:off x="-120145" y="5241869"/>
          <a:ext cx="1188833" cy="382422"/>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twoCellAnchor>
    <xdr:from>
      <xdr:col>14</xdr:col>
      <xdr:colOff>251013</xdr:colOff>
      <xdr:row>3</xdr:row>
      <xdr:rowOff>26894</xdr:rowOff>
    </xdr:from>
    <xdr:to>
      <xdr:col>23</xdr:col>
      <xdr:colOff>40342</xdr:colOff>
      <xdr:row>16</xdr:row>
      <xdr:rowOff>71718</xdr:rowOff>
    </xdr:to>
    <xdr:sp macro="" textlink="">
      <xdr:nvSpPr>
        <xdr:cNvPr id="6" name="직사각형 5">
          <a:extLst>
            <a:ext uri="{FF2B5EF4-FFF2-40B4-BE49-F238E27FC236}">
              <a16:creationId xmlns:a16="http://schemas.microsoft.com/office/drawing/2014/main" id="{00000000-0008-0000-0300-000006000000}"/>
            </a:ext>
          </a:extLst>
        </xdr:cNvPr>
        <xdr:cNvSpPr/>
      </xdr:nvSpPr>
      <xdr:spPr>
        <a:xfrm>
          <a:off x="11456895" y="860612"/>
          <a:ext cx="6297706" cy="2841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  1. Baseline</a:t>
          </a:r>
          <a:r>
            <a:rPr lang="ko-KR" altLang="en-US" sz="1100"/>
            <a:t>에 솔루션효과 적용 한것이  </a:t>
          </a:r>
          <a:r>
            <a:rPr lang="en-US" altLang="ko-KR" sz="1100"/>
            <a:t>2. </a:t>
          </a:r>
          <a:r>
            <a:rPr lang="ko-KR" altLang="en-US" sz="1100"/>
            <a:t>솔루션 효과 표임</a:t>
          </a:r>
          <a:endParaRPr lang="en-US" altLang="ko-KR" sz="1100"/>
        </a:p>
        <a:p>
          <a:pPr algn="l"/>
          <a:r>
            <a:rPr lang="en-US" altLang="ko-KR" sz="1100"/>
            <a:t>   IB = </a:t>
          </a:r>
          <a:r>
            <a:rPr lang="ko-KR" altLang="en-US" sz="1100"/>
            <a:t>빅데이터</a:t>
          </a:r>
          <a:r>
            <a:rPr lang="en-US" altLang="ko-KR" sz="1100"/>
            <a:t>, </a:t>
          </a:r>
          <a:r>
            <a:rPr lang="ko-KR" altLang="en-US" sz="1100"/>
            <a:t>챗봇 효과 적용</a:t>
          </a:r>
          <a:endParaRPr lang="en-US" altLang="ko-KR" sz="1100"/>
        </a:p>
        <a:p>
          <a:pPr algn="l"/>
          <a:r>
            <a:rPr lang="en-US" altLang="ko-KR" sz="1100"/>
            <a:t>   OB =</a:t>
          </a:r>
          <a:r>
            <a:rPr lang="ko-KR" altLang="en-US" sz="1100"/>
            <a:t>챗봇효과 적용 후 재인입율 </a:t>
          </a:r>
          <a:r>
            <a:rPr lang="en-US" altLang="ko-KR" sz="1100"/>
            <a:t>17% </a:t>
          </a:r>
          <a:r>
            <a:rPr lang="ko-KR" altLang="en-US" sz="1100"/>
            <a:t>가정하여 산정</a:t>
          </a:r>
          <a:endParaRPr lang="en-US" altLang="ko-KR" sz="1100"/>
        </a:p>
        <a:p>
          <a:pPr algn="l"/>
          <a:endParaRPr lang="en-US" altLang="ko-KR" sz="1100"/>
        </a:p>
        <a:p>
          <a:pPr algn="l"/>
          <a:r>
            <a:rPr lang="en-US" altLang="ko-KR" sz="1100"/>
            <a:t>-</a:t>
          </a:r>
          <a:r>
            <a:rPr lang="en-US" altLang="ko-KR" sz="1100" baseline="0"/>
            <a:t> </a:t>
          </a:r>
          <a:r>
            <a:rPr lang="ko-KR" altLang="en-US" sz="1100" baseline="0"/>
            <a:t>적용효과 대상 인원 산정</a:t>
          </a:r>
          <a:endParaRPr lang="en-US" altLang="ko-KR" sz="1100" baseline="0"/>
        </a:p>
        <a:p>
          <a:pPr algn="l"/>
          <a:r>
            <a:rPr lang="en-US" altLang="ko-KR" sz="1100" baseline="0"/>
            <a:t>  IB =  CP</a:t>
          </a:r>
          <a:r>
            <a:rPr lang="ko-KR" altLang="en-US" sz="1100" baseline="0"/>
            <a:t>상담원을 제외하고 관리자를 제외한 인력으로만 대상으로 함</a:t>
          </a:r>
          <a:endParaRPr lang="en-US" altLang="ko-KR" sz="1100" baseline="0"/>
        </a:p>
        <a:p>
          <a:pPr algn="l"/>
          <a:r>
            <a:rPr lang="en-US" altLang="ko-KR" sz="1100" baseline="0"/>
            <a:t>  BAU</a:t>
          </a:r>
          <a:r>
            <a:rPr lang="ko-KR" altLang="en-US" sz="1100" baseline="0"/>
            <a:t>의 적용 단가와 효과계산시 적용한 상담원 단가가 다소 다름 </a:t>
          </a:r>
          <a:r>
            <a:rPr lang="en-US" altLang="ko-KR" sz="1100" baseline="0"/>
            <a:t>(</a:t>
          </a:r>
          <a:r>
            <a:rPr lang="ko-KR" altLang="en-US" sz="1100" baseline="0"/>
            <a:t>이유는 모름</a:t>
          </a:r>
          <a:r>
            <a:rPr lang="en-US" altLang="ko-KR" sz="1100" baseline="0"/>
            <a:t>)</a:t>
          </a:r>
        </a:p>
        <a:p>
          <a:pPr algn="l"/>
          <a:endParaRPr lang="en-US" altLang="ko-KR" sz="1100" baseline="0"/>
        </a:p>
        <a:p>
          <a:pPr algn="l"/>
          <a:endParaRPr lang="en-US" altLang="ko-KR" sz="1100" baseline="0"/>
        </a:p>
        <a:p>
          <a:pPr algn="l"/>
          <a:r>
            <a:rPr lang="en-US" altLang="ko-KR" sz="1100" baseline="0"/>
            <a:t>- </a:t>
          </a:r>
          <a:r>
            <a:rPr lang="ko-KR" altLang="en-US" sz="1100" baseline="0"/>
            <a:t>적용효과 계산후 산출한 필요인력수 보다 메타넷 최종견적</a:t>
          </a:r>
          <a:r>
            <a:rPr lang="en-US" altLang="ko-KR" sz="1100" baseline="0"/>
            <a:t>('20.12)</a:t>
          </a:r>
          <a:r>
            <a:rPr lang="ko-KR" altLang="en-US" sz="1100" baseline="0"/>
            <a:t>의 상담원 수가 상당히 적음</a:t>
          </a:r>
          <a:endParaRPr lang="en-US" altLang="ko-KR" sz="1100" baseline="0"/>
        </a:p>
        <a:p>
          <a:pPr algn="l"/>
          <a:r>
            <a:rPr lang="en-US" altLang="ko-KR" sz="1100" baseline="0"/>
            <a:t>  ==&gt; </a:t>
          </a:r>
          <a:r>
            <a:rPr lang="ko-KR" altLang="en-US" sz="1100" baseline="0"/>
            <a:t>확인필요</a:t>
          </a:r>
          <a:endParaRPr lang="en-US" altLang="ko-KR" sz="1100" baseline="0"/>
        </a:p>
        <a:p>
          <a:pPr algn="l"/>
          <a:endParaRPr lang="en-US" altLang="ko-KR" sz="1100"/>
        </a:p>
      </xdr:txBody>
    </xdr:sp>
    <xdr:clientData/>
  </xdr:twoCellAnchor>
  <xdr:twoCellAnchor>
    <xdr:from>
      <xdr:col>14</xdr:col>
      <xdr:colOff>44825</xdr:colOff>
      <xdr:row>17</xdr:row>
      <xdr:rowOff>143434</xdr:rowOff>
    </xdr:from>
    <xdr:to>
      <xdr:col>22</xdr:col>
      <xdr:colOff>506507</xdr:colOff>
      <xdr:row>23</xdr:row>
      <xdr:rowOff>161365</xdr:rowOff>
    </xdr:to>
    <xdr:sp macro="" textlink="">
      <xdr:nvSpPr>
        <xdr:cNvPr id="8" name="직사각형 7">
          <a:extLst>
            <a:ext uri="{FF2B5EF4-FFF2-40B4-BE49-F238E27FC236}">
              <a16:creationId xmlns:a16="http://schemas.microsoft.com/office/drawing/2014/main" id="{00000000-0008-0000-0300-000008000000}"/>
            </a:ext>
          </a:extLst>
        </xdr:cNvPr>
        <xdr:cNvSpPr/>
      </xdr:nvSpPr>
      <xdr:spPr>
        <a:xfrm>
          <a:off x="11250707" y="3998258"/>
          <a:ext cx="6297706" cy="13626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BAU </a:t>
          </a:r>
          <a:r>
            <a:rPr lang="ko-KR" altLang="en-US" sz="1100"/>
            <a:t>기준</a:t>
          </a:r>
          <a:r>
            <a:rPr lang="ko-KR" altLang="en-US" sz="1100" baseline="0"/>
            <a:t>인원</a:t>
          </a:r>
          <a:r>
            <a:rPr lang="en-US" altLang="ko-KR" sz="1100" baseline="0"/>
            <a:t>, </a:t>
          </a:r>
          <a:r>
            <a:rPr lang="ko-KR" altLang="en-US" sz="1100" baseline="0"/>
            <a:t>단가는 </a:t>
          </a:r>
          <a:r>
            <a:rPr lang="en-US" altLang="ko-KR" sz="1100" baseline="0"/>
            <a:t>'19</a:t>
          </a:r>
          <a:r>
            <a:rPr lang="ko-KR" altLang="en-US" sz="1100" baseline="0"/>
            <a:t>년 이므로 </a:t>
          </a:r>
          <a:r>
            <a:rPr lang="en-US" altLang="ko-KR" sz="1100" baseline="0"/>
            <a:t>'21</a:t>
          </a:r>
          <a:r>
            <a:rPr lang="ko-KR" altLang="en-US" sz="1100" baseline="0"/>
            <a:t>년 기준으로 </a:t>
          </a:r>
          <a:r>
            <a:rPr lang="en-US" altLang="ko-KR" sz="1100" baseline="0"/>
            <a:t>BAU</a:t>
          </a:r>
          <a:r>
            <a:rPr lang="ko-KR" altLang="en-US" sz="1100" baseline="0"/>
            <a:t>재산정 필요함</a:t>
          </a:r>
          <a:endParaRPr lang="en-US" altLang="ko-KR" sz="1100" baseline="0"/>
        </a:p>
        <a:p>
          <a:pPr algn="l"/>
          <a:endParaRPr lang="en-US" altLang="ko-KR"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230281</xdr:colOff>
          <xdr:row>0</xdr:row>
          <xdr:rowOff>0</xdr:rowOff>
        </xdr:from>
        <xdr:to>
          <xdr:col>5</xdr:col>
          <xdr:colOff>306481</xdr:colOff>
          <xdr:row>1</xdr:row>
          <xdr:rowOff>53228</xdr:rowOff>
        </xdr:to>
        <xdr:sp macro="" textlink="">
          <xdr:nvSpPr>
            <xdr:cNvPr id="46081" name="cmd_구축요약" hidden="1">
              <a:extLst>
                <a:ext uri="{63B3BB69-23CF-44E3-9099-C40C66FF867C}">
                  <a14:compatExt spid="_x0000_s46081"/>
                </a:ext>
                <a:ext uri="{FF2B5EF4-FFF2-40B4-BE49-F238E27FC236}">
                  <a16:creationId xmlns:a16="http://schemas.microsoft.com/office/drawing/2014/main" id="{00000000-0008-0000-0400-000001B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289560</xdr:colOff>
      <xdr:row>2</xdr:row>
      <xdr:rowOff>6960</xdr:rowOff>
    </xdr:from>
    <xdr:to>
      <xdr:col>1</xdr:col>
      <xdr:colOff>600</xdr:colOff>
      <xdr:row>8</xdr:row>
      <xdr:rowOff>106680</xdr:rowOff>
    </xdr:to>
    <xdr:sp macro="[0]!Part1_요약" textlink="">
      <xdr:nvSpPr>
        <xdr:cNvPr id="3" name="사각형: 둥근 위쪽 모서리 2">
          <a:extLst>
            <a:ext uri="{FF2B5EF4-FFF2-40B4-BE49-F238E27FC236}">
              <a16:creationId xmlns:a16="http://schemas.microsoft.com/office/drawing/2014/main" id="{00000000-0008-0000-0400-000003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4" name="사각형: 둥근 위쪽 모서리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rot="16200000">
          <a:off x="-270540" y="2392050"/>
          <a:ext cx="1425600" cy="305400"/>
        </a:xfrm>
        <a:prstGeom prst="round2Same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5" name="사각형: 둥근 위쪽 모서리 4">
          <a:extLst>
            <a:ext uri="{FF2B5EF4-FFF2-40B4-BE49-F238E27FC236}">
              <a16:creationId xmlns:a16="http://schemas.microsoft.com/office/drawing/2014/main" id="{00000000-0008-0000-0400-000005000000}"/>
            </a:ext>
          </a:extLst>
        </xdr:cNvPr>
        <xdr:cNvSpPr/>
      </xdr:nvSpPr>
      <xdr:spPr>
        <a:xfrm rot="16200000">
          <a:off x="-213390" y="383223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twoCellAnchor>
    <xdr:from>
      <xdr:col>9</xdr:col>
      <xdr:colOff>526676</xdr:colOff>
      <xdr:row>199</xdr:row>
      <xdr:rowOff>179294</xdr:rowOff>
    </xdr:from>
    <xdr:to>
      <xdr:col>11</xdr:col>
      <xdr:colOff>829235</xdr:colOff>
      <xdr:row>203</xdr:row>
      <xdr:rowOff>44824</xdr:rowOff>
    </xdr:to>
    <xdr:sp macro="" textlink="">
      <xdr:nvSpPr>
        <xdr:cNvPr id="6" name="직사각형 5">
          <a:extLst>
            <a:ext uri="{FF2B5EF4-FFF2-40B4-BE49-F238E27FC236}">
              <a16:creationId xmlns:a16="http://schemas.microsoft.com/office/drawing/2014/main" id="{EE3970F3-40C7-4471-849A-B911844428C1}"/>
            </a:ext>
          </a:extLst>
        </xdr:cNvPr>
        <xdr:cNvSpPr/>
      </xdr:nvSpPr>
      <xdr:spPr>
        <a:xfrm>
          <a:off x="7306235" y="42481500"/>
          <a:ext cx="1983441" cy="7171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t>견적서없음</a:t>
          </a:r>
          <a:endParaRPr lang="en-US" altLang="ko-K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289560</xdr:colOff>
      <xdr:row>2</xdr:row>
      <xdr:rowOff>6960</xdr:rowOff>
    </xdr:from>
    <xdr:to>
      <xdr:col>1</xdr:col>
      <xdr:colOff>600</xdr:colOff>
      <xdr:row>8</xdr:row>
      <xdr:rowOff>106680</xdr:rowOff>
    </xdr:to>
    <xdr:sp macro="[0]!Part1_요약" textlink="">
      <xdr:nvSpPr>
        <xdr:cNvPr id="2" name="사각형: 둥근 위쪽 모서리 1">
          <a:extLst>
            <a:ext uri="{FF2B5EF4-FFF2-40B4-BE49-F238E27FC236}">
              <a16:creationId xmlns:a16="http://schemas.microsoft.com/office/drawing/2014/main" id="{00000000-0008-0000-0500-000002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3" name="사각형: 둥근 위쪽 모서리 2">
          <a:extLst>
            <a:ext uri="{FF2B5EF4-FFF2-40B4-BE49-F238E27FC236}">
              <a16:creationId xmlns:a16="http://schemas.microsoft.com/office/drawing/2014/main" id="{00000000-0008-0000-0500-000003000000}"/>
            </a:ext>
          </a:extLst>
        </xdr:cNvPr>
        <xdr:cNvSpPr/>
      </xdr:nvSpPr>
      <xdr:spPr>
        <a:xfrm rot="16200000">
          <a:off x="-270540" y="2392050"/>
          <a:ext cx="14256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4" name="사각형: 둥근 위쪽 모서리 3">
          <a:extLst>
            <a:ext uri="{FF2B5EF4-FFF2-40B4-BE49-F238E27FC236}">
              <a16:creationId xmlns:a16="http://schemas.microsoft.com/office/drawing/2014/main" id="{00000000-0008-0000-0500-000004000000}"/>
            </a:ext>
          </a:extLst>
        </xdr:cNvPr>
        <xdr:cNvSpPr/>
      </xdr:nvSpPr>
      <xdr:spPr>
        <a:xfrm rot="16200000">
          <a:off x="-213390" y="3832230"/>
          <a:ext cx="1311300" cy="305400"/>
        </a:xfrm>
        <a:prstGeom prst="round2Same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0</xdr:row>
          <xdr:rowOff>0</xdr:rowOff>
        </xdr:from>
        <xdr:to>
          <xdr:col>4</xdr:col>
          <xdr:colOff>533400</xdr:colOff>
          <xdr:row>1</xdr:row>
          <xdr:rowOff>31296</xdr:rowOff>
        </xdr:to>
        <xdr:sp macro="" textlink="">
          <xdr:nvSpPr>
            <xdr:cNvPr id="29697" name="cmd_BL인건비" hidden="1">
              <a:extLst>
                <a:ext uri="{63B3BB69-23CF-44E3-9099-C40C66FF867C}">
                  <a14:compatExt spid="_x0000_s29697"/>
                </a:ext>
                <a:ext uri="{FF2B5EF4-FFF2-40B4-BE49-F238E27FC236}">
                  <a16:creationId xmlns:a16="http://schemas.microsoft.com/office/drawing/2014/main" id="{00000000-0008-0000-0600-000001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0</xdr:row>
          <xdr:rowOff>19050</xdr:rowOff>
        </xdr:from>
        <xdr:to>
          <xdr:col>6</xdr:col>
          <xdr:colOff>552450</xdr:colOff>
          <xdr:row>1</xdr:row>
          <xdr:rowOff>40821</xdr:rowOff>
        </xdr:to>
        <xdr:sp macro="" textlink="">
          <xdr:nvSpPr>
            <xdr:cNvPr id="29698" name="OptionButton1" hidden="1">
              <a:extLst>
                <a:ext uri="{63B3BB69-23CF-44E3-9099-C40C66FF867C}">
                  <a14:compatExt spid="_x0000_s29698"/>
                </a:ext>
                <a:ext uri="{FF2B5EF4-FFF2-40B4-BE49-F238E27FC236}">
                  <a16:creationId xmlns:a16="http://schemas.microsoft.com/office/drawing/2014/main" id="{00000000-0008-0000-0600-000002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1057275</xdr:colOff>
          <xdr:row>0</xdr:row>
          <xdr:rowOff>0</xdr:rowOff>
        </xdr:from>
        <xdr:to>
          <xdr:col>9</xdr:col>
          <xdr:colOff>104775</xdr:colOff>
          <xdr:row>1</xdr:row>
          <xdr:rowOff>69396</xdr:rowOff>
        </xdr:to>
        <xdr:sp macro="" textlink="">
          <xdr:nvSpPr>
            <xdr:cNvPr id="29699" name="OptionButton2" hidden="1">
              <a:extLst>
                <a:ext uri="{63B3BB69-23CF-44E3-9099-C40C66FF867C}">
                  <a14:compatExt spid="_x0000_s29699"/>
                </a:ext>
                <a:ext uri="{FF2B5EF4-FFF2-40B4-BE49-F238E27FC236}">
                  <a16:creationId xmlns:a16="http://schemas.microsoft.com/office/drawing/2014/main" id="{00000000-0008-0000-0600-000003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0</xdr:row>
          <xdr:rowOff>9525</xdr:rowOff>
        </xdr:from>
        <xdr:to>
          <xdr:col>4</xdr:col>
          <xdr:colOff>361950</xdr:colOff>
          <xdr:row>1</xdr:row>
          <xdr:rowOff>51707</xdr:rowOff>
        </xdr:to>
        <xdr:sp macro="" textlink="">
          <xdr:nvSpPr>
            <xdr:cNvPr id="41985" name="cmd_CS인건비"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0</xdr:row>
          <xdr:rowOff>19050</xdr:rowOff>
        </xdr:from>
        <xdr:to>
          <xdr:col>6</xdr:col>
          <xdr:colOff>847725</xdr:colOff>
          <xdr:row>1</xdr:row>
          <xdr:rowOff>42182</xdr:rowOff>
        </xdr:to>
        <xdr:sp macro="" textlink="">
          <xdr:nvSpPr>
            <xdr:cNvPr id="41986" name="OptionButton1" hidden="1">
              <a:extLst>
                <a:ext uri="{63B3BB69-23CF-44E3-9099-C40C66FF867C}">
                  <a14:compatExt spid="_x0000_s41986"/>
                </a:ext>
                <a:ext uri="{FF2B5EF4-FFF2-40B4-BE49-F238E27FC236}">
                  <a16:creationId xmlns:a16="http://schemas.microsoft.com/office/drawing/2014/main" id="{00000000-0008-0000-0700-000002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1057275</xdr:colOff>
          <xdr:row>0</xdr:row>
          <xdr:rowOff>0</xdr:rowOff>
        </xdr:from>
        <xdr:to>
          <xdr:col>7</xdr:col>
          <xdr:colOff>819150</xdr:colOff>
          <xdr:row>1</xdr:row>
          <xdr:rowOff>61232</xdr:rowOff>
        </xdr:to>
        <xdr:sp macro="" textlink="">
          <xdr:nvSpPr>
            <xdr:cNvPr id="41987" name="OptionButton2" hidden="1">
              <a:extLst>
                <a:ext uri="{63B3BB69-23CF-44E3-9099-C40C66FF867C}">
                  <a14:compatExt spid="_x0000_s41987"/>
                </a:ext>
                <a:ext uri="{FF2B5EF4-FFF2-40B4-BE49-F238E27FC236}">
                  <a16:creationId xmlns:a16="http://schemas.microsoft.com/office/drawing/2014/main" id="{00000000-0008-0000-0700-000003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257175</xdr:colOff>
          <xdr:row>0</xdr:row>
          <xdr:rowOff>19050</xdr:rowOff>
        </xdr:from>
        <xdr:to>
          <xdr:col>4</xdr:col>
          <xdr:colOff>9525</xdr:colOff>
          <xdr:row>1</xdr:row>
          <xdr:rowOff>13607</xdr:rowOff>
        </xdr:to>
        <xdr:sp macro="" textlink="">
          <xdr:nvSpPr>
            <xdr:cNvPr id="28673" name="cmd_CS구축" hidden="1">
              <a:extLst>
                <a:ext uri="{63B3BB69-23CF-44E3-9099-C40C66FF867C}">
                  <a14:compatExt spid="_x0000_s28673"/>
                </a:ext>
                <a:ext uri="{FF2B5EF4-FFF2-40B4-BE49-F238E27FC236}">
                  <a16:creationId xmlns:a16="http://schemas.microsoft.com/office/drawing/2014/main" id="{00000000-0008-0000-0800-000001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38100</xdr:rowOff>
        </xdr:from>
        <xdr:to>
          <xdr:col>5</xdr:col>
          <xdr:colOff>895350</xdr:colOff>
          <xdr:row>1</xdr:row>
          <xdr:rowOff>32657</xdr:rowOff>
        </xdr:to>
        <xdr:sp macro="" textlink="">
          <xdr:nvSpPr>
            <xdr:cNvPr id="28680" name="OptionButton1" hidden="1">
              <a:extLst>
                <a:ext uri="{63B3BB69-23CF-44E3-9099-C40C66FF867C}">
                  <a14:compatExt spid="_x0000_s28680"/>
                </a:ext>
                <a:ext uri="{FF2B5EF4-FFF2-40B4-BE49-F238E27FC236}">
                  <a16:creationId xmlns:a16="http://schemas.microsoft.com/office/drawing/2014/main" id="{00000000-0008-0000-0800-000008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1304925</xdr:colOff>
          <xdr:row>0</xdr:row>
          <xdr:rowOff>0</xdr:rowOff>
        </xdr:from>
        <xdr:to>
          <xdr:col>6</xdr:col>
          <xdr:colOff>514350</xdr:colOff>
          <xdr:row>0</xdr:row>
          <xdr:rowOff>247650</xdr:rowOff>
        </xdr:to>
        <xdr:sp macro="" textlink="">
          <xdr:nvSpPr>
            <xdr:cNvPr id="28681" name="OptionButton2" hidden="1">
              <a:extLst>
                <a:ext uri="{63B3BB69-23CF-44E3-9099-C40C66FF867C}">
                  <a14:compatExt spid="_x0000_s28681"/>
                </a:ext>
                <a:ext uri="{FF2B5EF4-FFF2-40B4-BE49-F238E27FC236}">
                  <a16:creationId xmlns:a16="http://schemas.microsoft.com/office/drawing/2014/main" id="{00000000-0008-0000-0800-000009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3</xdr:col>
          <xdr:colOff>361950</xdr:colOff>
          <xdr:row>1</xdr:row>
          <xdr:rowOff>13607</xdr:rowOff>
        </xdr:to>
        <xdr:sp macro="" textlink="">
          <xdr:nvSpPr>
            <xdr:cNvPr id="45057" name="cmd_CS수행"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0</xdr:row>
          <xdr:rowOff>0</xdr:rowOff>
        </xdr:from>
        <xdr:to>
          <xdr:col>4</xdr:col>
          <xdr:colOff>1162050</xdr:colOff>
          <xdr:row>0</xdr:row>
          <xdr:rowOff>266700</xdr:rowOff>
        </xdr:to>
        <xdr:sp macro="" textlink="">
          <xdr:nvSpPr>
            <xdr:cNvPr id="45058" name="OptionButton1" hidden="1">
              <a:extLst>
                <a:ext uri="{63B3BB69-23CF-44E3-9099-C40C66FF867C}">
                  <a14:compatExt spid="_x0000_s45058"/>
                </a:ext>
                <a:ext uri="{FF2B5EF4-FFF2-40B4-BE49-F238E27FC236}">
                  <a16:creationId xmlns:a16="http://schemas.microsoft.com/office/drawing/2014/main" id="{00000000-0008-0000-0900-000002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904875</xdr:colOff>
          <xdr:row>0</xdr:row>
          <xdr:rowOff>0</xdr:rowOff>
        </xdr:from>
        <xdr:to>
          <xdr:col>6</xdr:col>
          <xdr:colOff>133350</xdr:colOff>
          <xdr:row>0</xdr:row>
          <xdr:rowOff>238125</xdr:rowOff>
        </xdr:to>
        <xdr:sp macro="" textlink="">
          <xdr:nvSpPr>
            <xdr:cNvPr id="45059" name="OptionButton2" hidden="1">
              <a:extLst>
                <a:ext uri="{63B3BB69-23CF-44E3-9099-C40C66FF867C}">
                  <a14:compatExt spid="_x0000_s45059"/>
                </a:ext>
                <a:ext uri="{FF2B5EF4-FFF2-40B4-BE49-F238E27FC236}">
                  <a16:creationId xmlns:a16="http://schemas.microsoft.com/office/drawing/2014/main" id="{00000000-0008-0000-0900-000003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15</xdr:col>
      <xdr:colOff>0</xdr:colOff>
      <xdr:row>2</xdr:row>
      <xdr:rowOff>0</xdr:rowOff>
    </xdr:from>
    <xdr:to>
      <xdr:col>24</xdr:col>
      <xdr:colOff>185697</xdr:colOff>
      <xdr:row>5</xdr:row>
      <xdr:rowOff>136072</xdr:rowOff>
    </xdr:to>
    <xdr:sp macro="" textlink="">
      <xdr:nvSpPr>
        <xdr:cNvPr id="2" name="직사각형 1">
          <a:extLst>
            <a:ext uri="{FF2B5EF4-FFF2-40B4-BE49-F238E27FC236}">
              <a16:creationId xmlns:a16="http://schemas.microsoft.com/office/drawing/2014/main" id="{CBAE685A-EF27-48D5-95B1-4227F51CEBA9}"/>
            </a:ext>
          </a:extLst>
        </xdr:cNvPr>
        <xdr:cNvSpPr/>
      </xdr:nvSpPr>
      <xdr:spPr>
        <a:xfrm>
          <a:off x="10599964" y="544286"/>
          <a:ext cx="6308912" cy="7483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baseline="0"/>
            <a:t>라이나생명 기준</a:t>
          </a:r>
          <a:endParaRPr lang="en-US" altLang="ko-KR" sz="1100"/>
        </a:p>
        <a:p>
          <a:pPr algn="l"/>
          <a:r>
            <a:rPr lang="en-US" altLang="ko-KR" sz="1100"/>
            <a:t>FTE = </a:t>
          </a:r>
          <a:r>
            <a:rPr lang="ko-KR" altLang="en-US" sz="1100"/>
            <a:t>월콜수 </a:t>
          </a:r>
          <a:r>
            <a:rPr lang="en-US" altLang="ko-KR" sz="1100"/>
            <a:t>/ WD / CPD</a:t>
          </a:r>
          <a:endParaRPr lang="ko-KR"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21</xdr:row>
      <xdr:rowOff>0</xdr:rowOff>
    </xdr:from>
    <xdr:to>
      <xdr:col>6</xdr:col>
      <xdr:colOff>342900</xdr:colOff>
      <xdr:row>25</xdr:row>
      <xdr:rowOff>120650</xdr:rowOff>
    </xdr:to>
    <xdr:grpSp>
      <xdr:nvGrpSpPr>
        <xdr:cNvPr id="2" name="그룹 2">
          <a:extLst>
            <a:ext uri="{FF2B5EF4-FFF2-40B4-BE49-F238E27FC236}">
              <a16:creationId xmlns:a16="http://schemas.microsoft.com/office/drawing/2014/main" id="{00000000-0008-0000-0F00-000002000000}"/>
            </a:ext>
          </a:extLst>
        </xdr:cNvPr>
        <xdr:cNvGrpSpPr>
          <a:grpSpLocks/>
        </xdr:cNvGrpSpPr>
      </xdr:nvGrpSpPr>
      <xdr:grpSpPr bwMode="auto">
        <a:xfrm>
          <a:off x="4191000" y="5265964"/>
          <a:ext cx="3744686" cy="1318079"/>
          <a:chOff x="3492500" y="508000"/>
          <a:chExt cx="3708400" cy="469900"/>
        </a:xfrm>
      </xdr:grpSpPr>
      <xdr:sp macro="" textlink="">
        <xdr:nvSpPr>
          <xdr:cNvPr id="3" name="직사각형 2">
            <a:extLst>
              <a:ext uri="{FF2B5EF4-FFF2-40B4-BE49-F238E27FC236}">
                <a16:creationId xmlns:a16="http://schemas.microsoft.com/office/drawing/2014/main" id="{00000000-0008-0000-0F00-000003000000}"/>
              </a:ext>
            </a:extLst>
          </xdr:cNvPr>
          <xdr:cNvSpPr/>
        </xdr:nvSpPr>
        <xdr:spPr>
          <a:xfrm>
            <a:off x="3492500" y="508000"/>
            <a:ext cx="3708400" cy="459220"/>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lnSpc>
                <a:spcPts val="3500"/>
              </a:lnSpc>
            </a:pPr>
            <a:r>
              <a:rPr lang="ko-KR" altLang="en-US" sz="2400" b="1" i="1">
                <a:solidFill>
                  <a:srgbClr val="FF0000"/>
                </a:solidFill>
                <a:latin typeface="+mn-ea"/>
                <a:ea typeface="+mn-ea"/>
              </a:rPr>
              <a:t>내용 필수 작성 또는</a:t>
            </a:r>
            <a:endParaRPr lang="en-US" altLang="ko-KR" sz="2400" b="1" i="1">
              <a:solidFill>
                <a:srgbClr val="FF0000"/>
              </a:solidFill>
              <a:latin typeface="+mn-ea"/>
              <a:ea typeface="+mn-ea"/>
            </a:endParaRPr>
          </a:p>
          <a:p>
            <a:pPr algn="ctr">
              <a:lnSpc>
                <a:spcPts val="3500"/>
              </a:lnSpc>
            </a:pPr>
            <a:r>
              <a:rPr lang="ko-KR" altLang="en-US" sz="2400" b="1" i="1">
                <a:solidFill>
                  <a:srgbClr val="FF0000"/>
                </a:solidFill>
                <a:latin typeface="+mn-ea"/>
                <a:ea typeface="+mn-ea"/>
              </a:rPr>
              <a:t>별도 자료 제출 要</a:t>
            </a:r>
            <a:endParaRPr lang="en-US" altLang="ko-KR" sz="2400" b="1" i="1">
              <a:solidFill>
                <a:srgbClr val="FF0000"/>
              </a:solidFill>
              <a:latin typeface="+mn-ea"/>
              <a:ea typeface="+mn-ea"/>
            </a:endParaRPr>
          </a:p>
        </xdr:txBody>
      </xdr:sp>
      <xdr:cxnSp macro="">
        <xdr:nvCxnSpPr>
          <xdr:cNvPr id="4" name="직선 연결선 3">
            <a:extLst>
              <a:ext uri="{FF2B5EF4-FFF2-40B4-BE49-F238E27FC236}">
                <a16:creationId xmlns:a16="http://schemas.microsoft.com/office/drawing/2014/main" id="{00000000-0008-0000-0F00-000004000000}"/>
              </a:ext>
            </a:extLst>
          </xdr:cNvPr>
          <xdr:cNvCxnSpPr/>
        </xdr:nvCxnSpPr>
        <xdr:spPr>
          <a:xfrm>
            <a:off x="3500037" y="51868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직선 연결선 4">
            <a:extLst>
              <a:ext uri="{FF2B5EF4-FFF2-40B4-BE49-F238E27FC236}">
                <a16:creationId xmlns:a16="http://schemas.microsoft.com/office/drawing/2014/main" id="{00000000-0008-0000-0F00-000005000000}"/>
              </a:ext>
            </a:extLst>
          </xdr:cNvPr>
          <xdr:cNvCxnSpPr/>
        </xdr:nvCxnSpPr>
        <xdr:spPr>
          <a:xfrm>
            <a:off x="3500037" y="97790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14abbea5d20da3b7/&#48148;&#53461;%20&#54868;&#47732;/1.%20AIG/2.%20pricing/(&#44221;&#51228;&#49457;&#48516;&#49437;_1&#50900;&#44060;&#49884;)%20&#50896;&#44032;&#48516;&#49437;_20201231_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0 실무진 미팅"/>
      <sheetName val="PRC 시나리오"/>
      <sheetName val="단가, 인원"/>
      <sheetName val="PRC안별 가격"/>
      <sheetName val="PRC조정"/>
      <sheetName val="BAU대비효과금액차이"/>
      <sheetName val="00. Index"/>
      <sheetName val="4. 견적_메타넷_0602 (2)"/>
      <sheetName val="목차"/>
      <sheetName val="투자효과요약(우창성T)"/>
      <sheetName val="Sheet1"/>
      <sheetName val="BAU"/>
      <sheetName val="실행계획"/>
      <sheetName val="2. 솔루션 효과"/>
      <sheetName val="2. Cost Sheet"/>
      <sheetName val="3. 월간매출계획"/>
      <sheetName val="매출시뮬레이션"/>
      <sheetName val="Sheet3"/>
      <sheetName val="1. 사업성분석"/>
      <sheetName val="1. 사업성_매출"/>
      <sheetName val="1. 사업성_투자"/>
      <sheetName val="1. 사업성_비용"/>
      <sheetName val="3. 솔루션효과 정산"/>
      <sheetName val="6. 수행비용_단가"/>
      <sheetName val="BAU_견적 차이"/>
      <sheetName val="5. 구축비용_1203"/>
      <sheetName val="인입호"/>
      <sheetName val="기대효과"/>
      <sheetName val="2. CC 내역"/>
      <sheetName val="6. 수행비용"/>
      <sheetName val="Sheet2"/>
      <sheetName val="15up"/>
      <sheetName val="2. Simul"/>
      <sheetName val="3. 가격변경조건"/>
      <sheetName val="3. 콜 절감계획"/>
      <sheetName val="3. 인력 절감계획"/>
      <sheetName val="4. 견적_메타넷_0403 (2)"/>
      <sheetName val="4. 견적_메타넷_0528 (2)"/>
      <sheetName val="3. 중도해지위약금"/>
      <sheetName val="4. 견적_메타넷_0630 (2)"/>
      <sheetName val="4. 견적_메타넷_0703 (2)"/>
      <sheetName val="4. 견적_메타넷_0717 (2)"/>
      <sheetName val="4. 견적_메타넷_0721 (2)"/>
      <sheetName val="4. 견적_메타넷_0917 (2)"/>
      <sheetName val="4. 견적_메타넷_1021 (2)"/>
      <sheetName val="4. 견적_메타넷_1103 (2)"/>
      <sheetName val="4. 견적_메타넷_1203"/>
      <sheetName val="4. 견적_메타넷_1211"/>
      <sheetName val="4. 하도_요약"/>
      <sheetName val="4. 하도_연도별 인력계획"/>
      <sheetName val="4. 하도_연도별 단가"/>
      <sheetName val="4. 하도_연도별 금액"/>
      <sheetName val="5. 구축비용"/>
      <sheetName val="5. 구축_KTH물품"/>
      <sheetName val="5. 구축_KTH용역"/>
      <sheetName val="5. 구축_지어소프트용역"/>
      <sheetName val="5. 구축_도연시스템물품"/>
      <sheetName val="5. 구축_도연시스템MA요약"/>
      <sheetName val="5. 구축_도연시스템용역"/>
      <sheetName val="5. 구축_도연시스템구축요약"/>
      <sheetName val="5. 구축_지어소프트요약"/>
      <sheetName val="5. 구축_KTH요약"/>
      <sheetName val="5. 구축_견적요약"/>
      <sheetName val="5. 구축_요약"/>
      <sheetName val="5. 구축_VDC-B대비"/>
      <sheetName val="별지_IB"/>
      <sheetName val="별지_IB회귀분석"/>
      <sheetName val="별지_OB"/>
      <sheetName val="별지_OB회귀분석"/>
      <sheetName val="투자비"/>
      <sheetName val="견적_유베이스_0403"/>
      <sheetName val="견적_최저가기준_0318"/>
      <sheetName val="솔루션효과 시나리오"/>
      <sheetName val="견적_유베이스"/>
      <sheetName val="견적_메타넷_0318"/>
      <sheetName val="견적_메타넷"/>
      <sheetName val="견적 간 차이_0318"/>
      <sheetName val="견적 간 합계차이_0318"/>
      <sheetName val="견적 인원 차이_0318"/>
      <sheetName val="견적_유베이스_0318"/>
      <sheetName val="BAU대비 인원감소"/>
      <sheetName val="매출시나리오"/>
      <sheetName val="E.T. Fee"/>
      <sheetName val="손익리스크"/>
      <sheetName val="단가차이"/>
      <sheetName val="PRC 로직"/>
      <sheetName val="PRC 로직0203"/>
      <sheetName val="PRC 스케쥴"/>
      <sheetName val="견적_차이"/>
      <sheetName val="베이스라인0904"/>
      <sheetName val="증권수 추이"/>
      <sheetName val="현재DT전환율"/>
      <sheetName val="빅데이터"/>
      <sheetName val="InBound_TAQA_효과"/>
      <sheetName val="컨설팅_1_효과"/>
      <sheetName val="컨설팅_2_효과"/>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5">
          <cell r="N25">
            <v>3344840356.000001</v>
          </cell>
        </row>
        <row r="37">
          <cell r="N37">
            <v>225000000</v>
          </cell>
        </row>
        <row r="40">
          <cell r="N40">
            <v>945000000</v>
          </cell>
        </row>
      </sheetData>
      <sheetData sheetId="15"/>
      <sheetData sheetId="16"/>
      <sheetData sheetId="17"/>
      <sheetData sheetId="18">
        <row r="22">
          <cell r="O22">
            <v>498234354.72102785</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 Id="rId9" Type="http://schemas.openxmlformats.org/officeDocument/2006/relationships/image" Target="../media/image13.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1_Sheet">
    <tabColor theme="4" tint="0.59999389629810485"/>
  </sheetPr>
  <dimension ref="A1:K13"/>
  <sheetViews>
    <sheetView showGridLines="0" tabSelected="1" zoomScale="85" zoomScaleNormal="85" workbookViewId="0">
      <selection activeCell="R14" sqref="R14"/>
    </sheetView>
  </sheetViews>
  <sheetFormatPr defaultRowHeight="16.5" x14ac:dyDescent="0.3"/>
  <sheetData>
    <row r="1" spans="1:11" ht="21.75" customHeight="1" x14ac:dyDescent="0.3">
      <c r="A1" s="113" t="s">
        <v>325</v>
      </c>
    </row>
    <row r="2" spans="1:11" ht="39" thickBot="1" x14ac:dyDescent="0.35">
      <c r="B2" s="522" t="s">
        <v>326</v>
      </c>
      <c r="C2" s="522"/>
      <c r="D2" s="522"/>
      <c r="E2" s="522"/>
      <c r="F2" s="522"/>
      <c r="G2" s="522"/>
      <c r="H2" s="522"/>
      <c r="I2" s="522"/>
      <c r="J2" s="522"/>
      <c r="K2" s="522"/>
    </row>
    <row r="3" spans="1:11" ht="13.15" customHeight="1" thickTop="1" x14ac:dyDescent="0.3">
      <c r="B3" s="111"/>
      <c r="C3" s="111"/>
      <c r="D3" s="111"/>
      <c r="E3" s="111"/>
      <c r="F3" s="111"/>
      <c r="G3" s="111"/>
      <c r="H3" s="111"/>
      <c r="I3" s="111"/>
      <c r="J3" s="111"/>
      <c r="K3" s="111"/>
    </row>
    <row r="5" spans="1:11" ht="20.25" x14ac:dyDescent="0.3">
      <c r="B5" s="112"/>
      <c r="H5" s="112"/>
    </row>
    <row r="6" spans="1:11" ht="20.25" x14ac:dyDescent="0.3">
      <c r="B6" s="112"/>
      <c r="H6" s="112"/>
    </row>
    <row r="7" spans="1:11" ht="20.25" x14ac:dyDescent="0.3">
      <c r="B7" s="112"/>
    </row>
    <row r="8" spans="1:11" ht="20.25" x14ac:dyDescent="0.3">
      <c r="B8" s="112"/>
    </row>
    <row r="9" spans="1:11" ht="20.25" x14ac:dyDescent="0.3">
      <c r="B9" s="112"/>
    </row>
    <row r="10" spans="1:11" ht="20.25" x14ac:dyDescent="0.3">
      <c r="B10" s="112"/>
    </row>
    <row r="11" spans="1:11" ht="20.25" x14ac:dyDescent="0.3">
      <c r="B11" s="112"/>
    </row>
    <row r="12" spans="1:11" ht="20.25" x14ac:dyDescent="0.3">
      <c r="B12" s="112"/>
    </row>
    <row r="13" spans="1:11" ht="20.25" x14ac:dyDescent="0.3">
      <c r="B13" s="112"/>
    </row>
  </sheetData>
  <mergeCells count="1">
    <mergeCell ref="B2:K2"/>
  </mergeCells>
  <phoneticPr fontId="1" type="noConversion"/>
  <hyperlinks>
    <hyperlink ref="A1" location="HOME!A1" display="HOME" xr:uid="{00000000-0004-0000-0000-000000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E1_Sheet">
    <tabColor rgb="FFFF0000"/>
  </sheetPr>
  <dimension ref="A1:K87"/>
  <sheetViews>
    <sheetView showGridLines="0" topLeftCell="A7" zoomScale="85" zoomScaleNormal="85" workbookViewId="0">
      <selection activeCell="C3" sqref="C3"/>
    </sheetView>
  </sheetViews>
  <sheetFormatPr defaultColWidth="15.25" defaultRowHeight="16.5" x14ac:dyDescent="0.3"/>
  <cols>
    <col min="1" max="1" width="10.625" style="378" customWidth="1"/>
    <col min="2" max="2" width="20.5" customWidth="1"/>
    <col min="3" max="3" width="16.875" bestFit="1" customWidth="1"/>
  </cols>
  <sheetData>
    <row r="1" spans="1:11" ht="21.75" customHeight="1" thickBot="1" x14ac:dyDescent="0.35">
      <c r="A1" s="377" t="s">
        <v>325</v>
      </c>
      <c r="B1" s="125" t="s">
        <v>1170</v>
      </c>
      <c r="C1" s="125"/>
      <c r="D1" s="125"/>
      <c r="E1" s="125"/>
      <c r="F1" s="125"/>
      <c r="G1" s="125"/>
      <c r="H1" s="125"/>
      <c r="I1" s="125"/>
      <c r="J1" s="125"/>
      <c r="K1" s="125"/>
    </row>
    <row r="2" spans="1:11" ht="18" thickTop="1" thickBot="1" x14ac:dyDescent="0.35">
      <c r="A2" s="377"/>
      <c r="D2" s="197"/>
    </row>
    <row r="3" spans="1:11" ht="18" thickTop="1" thickBot="1" x14ac:dyDescent="0.35">
      <c r="A3" s="377"/>
      <c r="B3" s="204" t="s">
        <v>464</v>
      </c>
      <c r="C3" s="205" t="s">
        <v>463</v>
      </c>
      <c r="D3" s="68"/>
      <c r="E3" s="68"/>
      <c r="F3" s="68"/>
    </row>
    <row r="4" spans="1:11" ht="18" thickTop="1" thickBot="1" x14ac:dyDescent="0.35">
      <c r="A4" s="377"/>
      <c r="D4" s="203"/>
      <c r="E4" s="203"/>
      <c r="F4" s="203"/>
    </row>
    <row r="5" spans="1:11" x14ac:dyDescent="0.3">
      <c r="B5" s="206"/>
      <c r="C5" s="207" t="s">
        <v>465</v>
      </c>
      <c r="D5" s="206" t="s">
        <v>463</v>
      </c>
      <c r="E5" s="208" t="s">
        <v>466</v>
      </c>
      <c r="F5" s="208" t="s">
        <v>467</v>
      </c>
    </row>
    <row r="6" spans="1:11" x14ac:dyDescent="0.3">
      <c r="B6" s="197" t="s">
        <v>468</v>
      </c>
      <c r="C6" s="200">
        <f>C17</f>
        <v>69570048693.61261</v>
      </c>
      <c r="D6" s="197"/>
      <c r="E6" s="197"/>
      <c r="F6" s="197"/>
      <c r="G6" s="203"/>
      <c r="H6" s="203"/>
      <c r="I6" s="203"/>
    </row>
    <row r="7" spans="1:11" x14ac:dyDescent="0.3">
      <c r="B7" s="197" t="s">
        <v>462</v>
      </c>
      <c r="C7" s="200">
        <f>SUM(C8:C9)</f>
        <v>64218157478.962051</v>
      </c>
      <c r="D7" s="197"/>
      <c r="E7" s="197"/>
      <c r="F7" s="197"/>
      <c r="G7" s="203"/>
      <c r="H7" s="203"/>
      <c r="I7" s="203"/>
    </row>
    <row r="8" spans="1:11" x14ac:dyDescent="0.3">
      <c r="B8" s="209" t="s">
        <v>469</v>
      </c>
      <c r="C8" s="200">
        <f>SUM(C24:C27,C34:C35)</f>
        <v>55806031397.425262</v>
      </c>
      <c r="D8" s="197"/>
      <c r="E8" s="197"/>
      <c r="F8" s="197"/>
      <c r="G8" s="203"/>
      <c r="H8" s="203"/>
      <c r="I8" s="203"/>
    </row>
    <row r="9" spans="1:11" x14ac:dyDescent="0.3">
      <c r="B9" s="209" t="s">
        <v>470</v>
      </c>
      <c r="C9" s="200">
        <f>SUM(C28:C33)</f>
        <v>8412126081.5367861</v>
      </c>
      <c r="D9" s="197"/>
      <c r="E9" s="197"/>
      <c r="F9" s="197"/>
      <c r="G9" s="203"/>
      <c r="H9" s="203"/>
      <c r="I9" s="203"/>
    </row>
    <row r="10" spans="1:11" x14ac:dyDescent="0.3">
      <c r="B10" s="197" t="s">
        <v>471</v>
      </c>
      <c r="C10" s="200">
        <f>C37</f>
        <v>5351891214.6505585</v>
      </c>
      <c r="D10" s="197"/>
      <c r="E10" s="197"/>
      <c r="F10" s="197"/>
    </row>
    <row r="11" spans="1:11" x14ac:dyDescent="0.3">
      <c r="B11" s="197" t="s">
        <v>461</v>
      </c>
      <c r="C11" s="210">
        <f>C38</f>
        <v>7.6928093556759697E-2</v>
      </c>
      <c r="D11" s="203"/>
      <c r="E11" s="203"/>
      <c r="F11" s="203"/>
    </row>
    <row r="12" spans="1:11" ht="17.25" thickBot="1" x14ac:dyDescent="0.35">
      <c r="B12" s="211" t="s">
        <v>472</v>
      </c>
      <c r="C12" s="212">
        <f>C39</f>
        <v>0</v>
      </c>
      <c r="D12" s="213"/>
      <c r="E12" s="213"/>
      <c r="F12" s="213"/>
    </row>
    <row r="13" spans="1:11" x14ac:dyDescent="0.3">
      <c r="B13" s="204" t="s">
        <v>473</v>
      </c>
    </row>
    <row r="14" spans="1:11" x14ac:dyDescent="0.3">
      <c r="B14" s="204"/>
      <c r="D14" s="196"/>
    </row>
    <row r="15" spans="1:11" ht="17.25" thickBot="1" x14ac:dyDescent="0.35">
      <c r="C15" s="197"/>
      <c r="D15" s="197"/>
      <c r="E15" s="203"/>
      <c r="F15" s="203"/>
      <c r="G15" s="203"/>
      <c r="H15" s="203"/>
      <c r="I15" s="203"/>
    </row>
    <row r="16" spans="1:11" ht="17.25" thickBot="1" x14ac:dyDescent="0.35">
      <c r="B16" s="206" t="s">
        <v>458</v>
      </c>
      <c r="C16" s="207" t="s">
        <v>474</v>
      </c>
      <c r="D16" s="206" t="s">
        <v>446</v>
      </c>
      <c r="E16" s="206" t="s">
        <v>258</v>
      </c>
      <c r="F16" s="206" t="s">
        <v>259</v>
      </c>
      <c r="G16" s="206" t="s">
        <v>260</v>
      </c>
      <c r="H16" s="206" t="s">
        <v>261</v>
      </c>
      <c r="I16" s="206" t="s">
        <v>262</v>
      </c>
      <c r="J16" s="206" t="s">
        <v>263</v>
      </c>
      <c r="K16" s="214" t="s">
        <v>475</v>
      </c>
    </row>
    <row r="17" spans="2:11" x14ac:dyDescent="0.3">
      <c r="B17" s="516" t="s">
        <v>476</v>
      </c>
      <c r="C17" s="517">
        <f>SUM(C18:C21)</f>
        <v>69570048693.61261</v>
      </c>
      <c r="D17" s="518">
        <f>SUM(D18:D21)</f>
        <v>9442037000.052084</v>
      </c>
      <c r="E17" s="518">
        <f t="shared" ref="E17:J17" si="0">SUM(E18:E21)</f>
        <v>9023965136.2305756</v>
      </c>
      <c r="F17" s="518">
        <f t="shared" si="0"/>
        <v>9400891814.3633442</v>
      </c>
      <c r="G17" s="518">
        <f t="shared" si="0"/>
        <v>9793638329.3883438</v>
      </c>
      <c r="H17" s="518">
        <f t="shared" si="0"/>
        <v>10202848627.551319</v>
      </c>
      <c r="I17" s="518">
        <f t="shared" si="0"/>
        <v>10629191588.981571</v>
      </c>
      <c r="J17" s="518">
        <f t="shared" si="0"/>
        <v>11077476197.04537</v>
      </c>
      <c r="K17" s="215"/>
    </row>
    <row r="18" spans="2:11" x14ac:dyDescent="0.3">
      <c r="B18" s="216" t="s">
        <v>337</v>
      </c>
      <c r="C18" s="200">
        <f>SUM(D18:J18)</f>
        <v>37867969942.888405</v>
      </c>
      <c r="D18" s="197">
        <f>SUM(B.통합시트!Q6:Q7)</f>
        <v>5179863124.000001</v>
      </c>
      <c r="E18" s="197">
        <f>SUM(B.통합시트!R6:R7)</f>
        <v>4912225654.4310207</v>
      </c>
      <c r="F18" s="197">
        <f>SUM(B.통합시트!S6:S7)</f>
        <v>5115542674.2679186</v>
      </c>
      <c r="G18" s="197">
        <f>SUM(B.통합시트!T6:T7)</f>
        <v>5326865069.0442047</v>
      </c>
      <c r="H18" s="197">
        <f>SUM(B.통합시트!U6:U7)</f>
        <v>5546482759.1651173</v>
      </c>
      <c r="I18" s="197">
        <f>SUM(B.통합시트!V6:V7)</f>
        <v>5774694525.5668268</v>
      </c>
      <c r="J18" s="197">
        <f>SUM(B.통합시트!W6:W7)</f>
        <v>6012296136.4133139</v>
      </c>
      <c r="K18" s="217"/>
    </row>
    <row r="19" spans="2:11" x14ac:dyDescent="0.3">
      <c r="B19" s="216" t="s">
        <v>348</v>
      </c>
      <c r="C19" s="200">
        <f t="shared" ref="C19:C21" si="1">SUM(D19:J19)</f>
        <v>15708053562.154753</v>
      </c>
      <c r="D19" s="197">
        <f>SUM(B.통합시트!Q8:Q9)</f>
        <v>1894241230.8833327</v>
      </c>
      <c r="E19" s="197">
        <f>SUM(B.통합시트!R8:R9)</f>
        <v>2065975275.6396699</v>
      </c>
      <c r="F19" s="197">
        <f>SUM(B.통합시트!S8:S9)</f>
        <v>2154800717.4705734</v>
      </c>
      <c r="G19" s="197">
        <f>SUM(B.통합시트!T8:T9)</f>
        <v>2247587178.6159873</v>
      </c>
      <c r="H19" s="197">
        <f>SUM(B.통합시트!U8:U9)</f>
        <v>2344513545.9485064</v>
      </c>
      <c r="I19" s="197">
        <f>SUM(B.통합시트!V8:V9)</f>
        <v>2445766819.627255</v>
      </c>
      <c r="J19" s="197">
        <f>SUM(B.통합시트!W8:W9)</f>
        <v>2555168793.9694266</v>
      </c>
      <c r="K19" s="217"/>
    </row>
    <row r="20" spans="2:11" x14ac:dyDescent="0.3">
      <c r="B20" s="216" t="s">
        <v>353</v>
      </c>
      <c r="C20" s="200">
        <f t="shared" si="1"/>
        <v>14731750888.569454</v>
      </c>
      <c r="D20" s="197">
        <f>SUM(B.통합시트!Q10:Q11)</f>
        <v>2187607745.1687503</v>
      </c>
      <c r="E20" s="197">
        <f>SUM(B.통합시트!R10:R11)</f>
        <v>1865439306.1598854</v>
      </c>
      <c r="F20" s="197">
        <f>SUM(B.통합시트!S10:S11)</f>
        <v>1950223522.6248522</v>
      </c>
      <c r="G20" s="197">
        <f>SUM(B.통합시트!T10:T11)</f>
        <v>2038861181.7281516</v>
      </c>
      <c r="H20" s="197">
        <f>SUM(B.통합시트!U10:U11)</f>
        <v>2131527422.4376955</v>
      </c>
      <c r="I20" s="197">
        <f>SUM(B.통합시트!V10:V11)</f>
        <v>2228405343.7874885</v>
      </c>
      <c r="J20" s="197">
        <f>SUM(B.통합시트!W10:W11)</f>
        <v>2329686366.6626306</v>
      </c>
      <c r="K20" s="217"/>
    </row>
    <row r="21" spans="2:11" x14ac:dyDescent="0.3">
      <c r="B21" s="216" t="s">
        <v>354</v>
      </c>
      <c r="C21" s="200">
        <f t="shared" si="1"/>
        <v>1262274299.9999998</v>
      </c>
      <c r="D21" s="197">
        <f>B.통합시트!Q12</f>
        <v>180324899.99999997</v>
      </c>
      <c r="E21" s="197">
        <f>B.통합시트!R12</f>
        <v>180324899.99999997</v>
      </c>
      <c r="F21" s="197">
        <f>B.통합시트!S12</f>
        <v>180324899.99999997</v>
      </c>
      <c r="G21" s="197">
        <f>B.통합시트!T12</f>
        <v>180324899.99999997</v>
      </c>
      <c r="H21" s="197">
        <f>B.통합시트!U12</f>
        <v>180324899.99999997</v>
      </c>
      <c r="I21" s="197">
        <f>B.통합시트!V12</f>
        <v>180324899.99999997</v>
      </c>
      <c r="J21" s="197">
        <f>B.통합시트!W12</f>
        <v>180324899.99999997</v>
      </c>
      <c r="K21" s="217"/>
    </row>
    <row r="22" spans="2:11" x14ac:dyDescent="0.3">
      <c r="B22" s="519" t="s">
        <v>477</v>
      </c>
      <c r="C22" s="520">
        <f>SUM(C23,C29:C35)</f>
        <v>64218157478.962051</v>
      </c>
      <c r="D22" s="521">
        <f>SUM(D23,D29:D35)</f>
        <v>14285069927.216303</v>
      </c>
      <c r="E22" s="521">
        <f t="shared" ref="E22:J22" si="2">SUM(E23,E29:E35)</f>
        <v>9119294768.3497086</v>
      </c>
      <c r="F22" s="521">
        <f t="shared" si="2"/>
        <v>8469277824.8920918</v>
      </c>
      <c r="G22" s="521">
        <f t="shared" si="2"/>
        <v>8307854850.6661587</v>
      </c>
      <c r="H22" s="521">
        <f t="shared" si="2"/>
        <v>8118094640.7088652</v>
      </c>
      <c r="I22" s="521">
        <f t="shared" si="2"/>
        <v>7948861411.4572039</v>
      </c>
      <c r="J22" s="521">
        <f t="shared" si="2"/>
        <v>7969704055.6717138</v>
      </c>
      <c r="K22" s="218"/>
    </row>
    <row r="23" spans="2:11" x14ac:dyDescent="0.3">
      <c r="B23" t="s">
        <v>478</v>
      </c>
      <c r="C23" s="510">
        <f>SUM(D23:J23)</f>
        <v>51290822407.612518</v>
      </c>
      <c r="D23" s="511">
        <f t="shared" ref="D23:J23" si="3">SUM(D24:D28)</f>
        <v>9351687100.052084</v>
      </c>
      <c r="E23" s="511">
        <f t="shared" si="3"/>
        <v>7753359650.3978701</v>
      </c>
      <c r="F23" s="511">
        <f t="shared" si="3"/>
        <v>7154911776.3653965</v>
      </c>
      <c r="G23" s="511">
        <f t="shared" si="3"/>
        <v>6993488802.1394634</v>
      </c>
      <c r="H23" s="511">
        <f t="shared" si="3"/>
        <v>6784999630.9821701</v>
      </c>
      <c r="I23" s="511">
        <f t="shared" si="3"/>
        <v>6615766401.7305088</v>
      </c>
      <c r="J23" s="511">
        <f t="shared" si="3"/>
        <v>6636609045.9450188</v>
      </c>
      <c r="K23" s="217"/>
    </row>
    <row r="24" spans="2:11" x14ac:dyDescent="0.3">
      <c r="B24" s="216" t="s">
        <v>337</v>
      </c>
      <c r="C24" s="512">
        <f t="shared" ref="C24:C36" si="4">SUM(D24:J24)</f>
        <v>29192593550.740551</v>
      </c>
      <c r="D24" s="513">
        <f>B.통합시트!Q18</f>
        <v>5179863124</v>
      </c>
      <c r="E24" s="513">
        <f>B.통합시트!R18</f>
        <v>4435130726.8449993</v>
      </c>
      <c r="F24" s="513">
        <f>B.통합시트!S18</f>
        <v>4132106083.9063234</v>
      </c>
      <c r="G24" s="513">
        <f>B.통합시트!T18</f>
        <v>3973140320.4876475</v>
      </c>
      <c r="H24" s="513">
        <f>B.통합시트!U18</f>
        <v>3876998113.0849218</v>
      </c>
      <c r="I24" s="513">
        <f>B.통합시트!V18</f>
        <v>3770486336.8694983</v>
      </c>
      <c r="J24" s="513">
        <f>B.통합시트!W18</f>
        <v>3824868845.5471587</v>
      </c>
      <c r="K24" s="217"/>
    </row>
    <row r="25" spans="2:11" x14ac:dyDescent="0.3">
      <c r="B25" s="216" t="s">
        <v>348</v>
      </c>
      <c r="C25" s="512">
        <f t="shared" si="4"/>
        <v>9848752306.9327145</v>
      </c>
      <c r="D25" s="513">
        <f>B.통합시트!Q19</f>
        <v>1894241230.8833332</v>
      </c>
      <c r="E25" s="513">
        <f>B.통합시트!R19</f>
        <v>1444885317.2464371</v>
      </c>
      <c r="F25" s="513">
        <f>B.통합시트!S19</f>
        <v>1309823426.2088327</v>
      </c>
      <c r="G25" s="513">
        <f>B.통합시트!T19</f>
        <v>1301000926.5580986</v>
      </c>
      <c r="H25" s="513">
        <f>B.통합시트!U19</f>
        <v>1305548554.1848102</v>
      </c>
      <c r="I25" s="513">
        <f>B.통합시트!V19</f>
        <v>1290407145.116117</v>
      </c>
      <c r="J25" s="513">
        <f>B.통합시트!W19</f>
        <v>1302845706.7350838</v>
      </c>
      <c r="K25" s="217"/>
    </row>
    <row r="26" spans="2:11" x14ac:dyDescent="0.3">
      <c r="B26" s="216" t="s">
        <v>353</v>
      </c>
      <c r="C26" s="512">
        <f t="shared" si="4"/>
        <v>9817537043.6611042</v>
      </c>
      <c r="D26" s="513">
        <f>B.통합시트!Q20</f>
        <v>1864279302.958334</v>
      </c>
      <c r="E26" s="513">
        <f>B.통합시트!R20</f>
        <v>1479374831.4676623</v>
      </c>
      <c r="F26" s="513">
        <f>B.통합시트!S20</f>
        <v>1352485060.8512414</v>
      </c>
      <c r="G26" s="513">
        <f>B.통합시트!T20</f>
        <v>1353442891.6137331</v>
      </c>
      <c r="H26" s="513">
        <f>B.통합시트!U20</f>
        <v>1307477905.9252553</v>
      </c>
      <c r="I26" s="513">
        <f>B.통합시트!V20</f>
        <v>1255473236.0909023</v>
      </c>
      <c r="J26" s="513">
        <f>B.통합시트!W20</f>
        <v>1205003814.7539752</v>
      </c>
      <c r="K26" s="217"/>
    </row>
    <row r="27" spans="2:11" x14ac:dyDescent="0.3">
      <c r="B27" s="216" t="s">
        <v>394</v>
      </c>
      <c r="C27" s="512">
        <f t="shared" si="4"/>
        <v>1664163881.3496034</v>
      </c>
      <c r="D27" s="513">
        <f>B.통합시트!Q21</f>
        <v>323328442.21041662</v>
      </c>
      <c r="E27" s="513">
        <f>B.통합시트!R21</f>
        <v>247808774.83877078</v>
      </c>
      <c r="F27" s="513">
        <f>B.통합시트!S21</f>
        <v>212144805.39899936</v>
      </c>
      <c r="G27" s="513">
        <f>B.통합시트!T21</f>
        <v>215326977.47998431</v>
      </c>
      <c r="H27" s="513">
        <f>B.통합시트!U21</f>
        <v>218556882.14218405</v>
      </c>
      <c r="I27" s="513">
        <f>B.통합시트!V21</f>
        <v>221835235.37431672</v>
      </c>
      <c r="J27" s="513">
        <f>B.통합시트!W21</f>
        <v>225162763.90493149</v>
      </c>
      <c r="K27" s="217"/>
    </row>
    <row r="28" spans="2:11" x14ac:dyDescent="0.3">
      <c r="B28" s="216" t="s">
        <v>479</v>
      </c>
      <c r="C28" s="514">
        <f t="shared" si="4"/>
        <v>767775624.92854476</v>
      </c>
      <c r="D28" s="513">
        <f>B.통합시트!Q22</f>
        <v>89975000</v>
      </c>
      <c r="E28" s="513">
        <f>B.통합시트!R22</f>
        <v>146159999.99999997</v>
      </c>
      <c r="F28" s="513">
        <f>B.통합시트!S22</f>
        <v>148352399.99999997</v>
      </c>
      <c r="G28" s="513">
        <f>B.통합시트!T22</f>
        <v>150577685.99999997</v>
      </c>
      <c r="H28" s="513">
        <f>B.통합시트!U22</f>
        <v>76418175.644999936</v>
      </c>
      <c r="I28" s="513">
        <f>B.통합시트!V22</f>
        <v>77564448.279674947</v>
      </c>
      <c r="J28" s="513">
        <f>B.통합시트!W22</f>
        <v>78727915.00387007</v>
      </c>
      <c r="K28" s="220"/>
    </row>
    <row r="29" spans="2:11" x14ac:dyDescent="0.3">
      <c r="B29" t="s">
        <v>447</v>
      </c>
      <c r="C29" s="510">
        <f t="shared" si="4"/>
        <v>4916927663.5999994</v>
      </c>
      <c r="D29" s="511">
        <f>B.통합시트!Q39</f>
        <v>3365588894</v>
      </c>
      <c r="E29" s="511">
        <f>B.통합시트!R39</f>
        <v>194076536</v>
      </c>
      <c r="F29" s="511">
        <f>B.통합시트!S39</f>
        <v>260215070</v>
      </c>
      <c r="G29" s="511">
        <f>B.통합시트!T39</f>
        <v>260215070</v>
      </c>
      <c r="H29" s="511">
        <f>B.통합시트!U39</f>
        <v>278944031.19999999</v>
      </c>
      <c r="I29" s="511">
        <f>B.통합시트!V39</f>
        <v>278944031.19999999</v>
      </c>
      <c r="J29" s="511">
        <f>B.통합시트!W39</f>
        <v>278944031.19999999</v>
      </c>
      <c r="K29" s="217"/>
    </row>
    <row r="30" spans="2:11" x14ac:dyDescent="0.3">
      <c r="B30" t="s">
        <v>278</v>
      </c>
      <c r="C30" s="510">
        <f t="shared" si="4"/>
        <v>642852800</v>
      </c>
      <c r="D30" s="511">
        <f>SUM(B.통합시트!Q40:Q42)</f>
        <v>189218285.7142857</v>
      </c>
      <c r="E30" s="511">
        <f>SUM(B.통합시트!R40:R42)</f>
        <v>81439085.714285702</v>
      </c>
      <c r="F30" s="511">
        <f>SUM(B.통합시트!S40:S42)</f>
        <v>74439085.714285702</v>
      </c>
      <c r="G30" s="511">
        <f>SUM(B.통합시트!T40:T42)</f>
        <v>74439085.714285702</v>
      </c>
      <c r="H30" s="511">
        <f>SUM(B.통합시트!U40:U42)</f>
        <v>74439085.714285702</v>
      </c>
      <c r="I30" s="511">
        <f>SUM(B.통합시트!V40:V42)</f>
        <v>74439085.714285702</v>
      </c>
      <c r="J30" s="511">
        <f>SUM(B.통합시트!W40:W42)</f>
        <v>74439085.714285702</v>
      </c>
      <c r="K30" s="217"/>
    </row>
    <row r="31" spans="2:11" x14ac:dyDescent="0.3">
      <c r="B31" t="s">
        <v>448</v>
      </c>
      <c r="C31" s="510">
        <f t="shared" si="4"/>
        <v>10000000</v>
      </c>
      <c r="D31" s="511">
        <f>B.통합시트!Q43</f>
        <v>10000000</v>
      </c>
      <c r="E31" s="511">
        <f>B.통합시트!R43</f>
        <v>0</v>
      </c>
      <c r="F31" s="511">
        <f>B.통합시트!S43</f>
        <v>0</v>
      </c>
      <c r="G31" s="511">
        <f>B.통합시트!T43</f>
        <v>0</v>
      </c>
      <c r="H31" s="511">
        <f>B.통합시트!U43</f>
        <v>0</v>
      </c>
      <c r="I31" s="511">
        <f>B.통합시트!V43</f>
        <v>0</v>
      </c>
      <c r="J31" s="511">
        <f>B.통합시트!W43</f>
        <v>0</v>
      </c>
      <c r="K31" s="217"/>
    </row>
    <row r="32" spans="2:11" x14ac:dyDescent="0.3">
      <c r="B32" t="s">
        <v>449</v>
      </c>
      <c r="C32" s="510">
        <f t="shared" si="4"/>
        <v>8400000</v>
      </c>
      <c r="D32" s="511">
        <f>B.통합시트!Q44</f>
        <v>1200000</v>
      </c>
      <c r="E32" s="511">
        <f>B.통합시트!R44</f>
        <v>1200000</v>
      </c>
      <c r="F32" s="511">
        <f>B.통합시트!S44</f>
        <v>1200000</v>
      </c>
      <c r="G32" s="511">
        <f>B.통합시트!T44</f>
        <v>1200000</v>
      </c>
      <c r="H32" s="511">
        <f>B.통합시트!U44</f>
        <v>1200000</v>
      </c>
      <c r="I32" s="511">
        <f>B.통합시트!V44</f>
        <v>1200000</v>
      </c>
      <c r="J32" s="511">
        <f>B.통합시트!W44</f>
        <v>1200000</v>
      </c>
      <c r="K32" s="217"/>
    </row>
    <row r="33" spans="2:11" x14ac:dyDescent="0.3">
      <c r="B33" t="s">
        <v>450</v>
      </c>
      <c r="C33" s="510">
        <f t="shared" si="4"/>
        <v>2066169993.0082419</v>
      </c>
      <c r="D33" s="511">
        <f>SUM(B.통합시트!Q45:Q47)</f>
        <v>580385306.59464586</v>
      </c>
      <c r="E33" s="511">
        <f>SUM(B.통합시트!R45:R47)</f>
        <v>339887117.25655234</v>
      </c>
      <c r="F33" s="511">
        <f>SUM(B.통합시트!S45:S47)</f>
        <v>229179513.83140868</v>
      </c>
      <c r="G33" s="511">
        <f>SUM(B.통합시트!T45:T47)</f>
        <v>229179513.83140868</v>
      </c>
      <c r="H33" s="511">
        <f>SUM(B.통합시트!U45:U47)</f>
        <v>229179513.83140868</v>
      </c>
      <c r="I33" s="511">
        <f>SUM(B.통합시트!V45:V47)</f>
        <v>229179513.83140868</v>
      </c>
      <c r="J33" s="511">
        <f>SUM(B.통합시트!W45:W47)</f>
        <v>229179513.83140868</v>
      </c>
      <c r="K33" s="217"/>
    </row>
    <row r="34" spans="2:11" x14ac:dyDescent="0.3">
      <c r="B34" t="s">
        <v>457</v>
      </c>
      <c r="C34" s="515">
        <f t="shared" si="4"/>
        <v>3408932385.9870186</v>
      </c>
      <c r="D34" s="511">
        <f>B.통합시트!Q48</f>
        <v>486990340.85528833</v>
      </c>
      <c r="E34" s="511">
        <f>B.통합시트!R48</f>
        <v>486990340.85528833</v>
      </c>
      <c r="F34" s="511">
        <f>B.통합시트!S48</f>
        <v>486990340.85528833</v>
      </c>
      <c r="G34" s="511">
        <f>B.통합시트!T48</f>
        <v>486990340.85528833</v>
      </c>
      <c r="H34" s="511">
        <f>B.통합시트!U48</f>
        <v>486990340.85528833</v>
      </c>
      <c r="I34" s="511">
        <f>B.통합시트!V48</f>
        <v>486990340.85528833</v>
      </c>
      <c r="J34" s="511">
        <f>B.통합시트!W48</f>
        <v>486990340.85528833</v>
      </c>
      <c r="K34" s="217"/>
    </row>
    <row r="35" spans="2:11" x14ac:dyDescent="0.3">
      <c r="B35" t="s">
        <v>458</v>
      </c>
      <c r="C35" s="515">
        <f t="shared" si="4"/>
        <v>1874052228.7542741</v>
      </c>
      <c r="D35" s="511">
        <f>SUM(B.통합시트!Q49:Q50)</f>
        <v>300000000</v>
      </c>
      <c r="E35" s="511">
        <f>SUM(B.통합시트!R49:R50)</f>
        <v>262342038.12571231</v>
      </c>
      <c r="F35" s="511">
        <f>SUM(B.통합시트!S49:S50)</f>
        <v>262342038.12571231</v>
      </c>
      <c r="G35" s="511">
        <f>SUM(B.통합시트!T49:T50)</f>
        <v>262342038.12571231</v>
      </c>
      <c r="H35" s="511">
        <f>SUM(B.통합시트!U49:U50)</f>
        <v>262342038.12571231</v>
      </c>
      <c r="I35" s="511">
        <f>SUM(B.통합시트!V49:V50)</f>
        <v>262342038.12571231</v>
      </c>
      <c r="J35" s="511">
        <f>SUM(B.통합시트!W49:W50)</f>
        <v>262342038.12571231</v>
      </c>
      <c r="K35" s="217"/>
    </row>
    <row r="36" spans="2:11" x14ac:dyDescent="0.3">
      <c r="B36" t="s">
        <v>480</v>
      </c>
      <c r="C36" s="219">
        <f t="shared" si="4"/>
        <v>0</v>
      </c>
      <c r="D36" s="203"/>
      <c r="E36" s="203"/>
      <c r="F36" s="203"/>
      <c r="G36" s="203"/>
      <c r="H36" s="203"/>
      <c r="I36" s="203"/>
      <c r="J36" s="203"/>
      <c r="K36" s="217"/>
    </row>
    <row r="37" spans="2:11" x14ac:dyDescent="0.3">
      <c r="B37" s="221" t="s">
        <v>471</v>
      </c>
      <c r="C37" s="198">
        <f>C17-C22</f>
        <v>5351891214.6505585</v>
      </c>
      <c r="D37" s="222"/>
      <c r="E37" s="222"/>
      <c r="F37" s="222"/>
      <c r="G37" s="222"/>
      <c r="H37" s="222"/>
      <c r="I37" s="222"/>
      <c r="J37" s="222"/>
      <c r="K37" s="223"/>
    </row>
    <row r="38" spans="2:11" x14ac:dyDescent="0.3">
      <c r="B38" s="67" t="s">
        <v>461</v>
      </c>
      <c r="C38" s="224">
        <f>C37/C17</f>
        <v>7.6928093556759697E-2</v>
      </c>
      <c r="D38" s="197"/>
      <c r="E38" s="197"/>
      <c r="F38" s="197"/>
      <c r="G38" s="197"/>
      <c r="H38" s="197"/>
      <c r="I38" s="197"/>
      <c r="J38" s="197"/>
      <c r="K38" s="217"/>
    </row>
    <row r="39" spans="2:11" ht="17.25" thickBot="1" x14ac:dyDescent="0.35">
      <c r="B39" s="225" t="s">
        <v>472</v>
      </c>
      <c r="C39" s="212"/>
      <c r="D39" s="211"/>
      <c r="E39" s="211"/>
      <c r="F39" s="211"/>
      <c r="G39" s="211"/>
      <c r="H39" s="211"/>
      <c r="I39" s="211"/>
      <c r="J39" s="211"/>
      <c r="K39" s="226"/>
    </row>
    <row r="40" spans="2:11" ht="17.25" thickBot="1" x14ac:dyDescent="0.35">
      <c r="C40" s="197"/>
      <c r="D40" s="197"/>
      <c r="E40" s="197"/>
      <c r="F40" s="197"/>
      <c r="G40" s="197"/>
      <c r="H40" s="197"/>
      <c r="I40" s="197"/>
      <c r="J40" s="197"/>
      <c r="K40" s="197"/>
    </row>
    <row r="41" spans="2:11" x14ac:dyDescent="0.3">
      <c r="B41" s="227" t="s">
        <v>481</v>
      </c>
      <c r="C41" s="228" t="s">
        <v>474</v>
      </c>
      <c r="D41" s="227" t="s">
        <v>446</v>
      </c>
      <c r="E41" s="227" t="s">
        <v>258</v>
      </c>
      <c r="F41" s="227" t="s">
        <v>259</v>
      </c>
      <c r="G41" s="227" t="s">
        <v>260</v>
      </c>
      <c r="H41" s="227" t="s">
        <v>261</v>
      </c>
      <c r="I41" s="227" t="s">
        <v>262</v>
      </c>
      <c r="J41" s="229" t="s">
        <v>263</v>
      </c>
      <c r="K41" s="230"/>
    </row>
    <row r="42" spans="2:11" x14ac:dyDescent="0.3">
      <c r="B42" s="231" t="s">
        <v>482</v>
      </c>
      <c r="C42" s="198">
        <f>SUM(D42:J42)</f>
        <v>51290822407.612518</v>
      </c>
      <c r="D42" s="222">
        <f>SUM(D43:D47)</f>
        <v>9351687100.052084</v>
      </c>
      <c r="E42" s="222">
        <f t="shared" ref="E42:J42" si="5">SUM(E43:E47)</f>
        <v>7753359650.3978701</v>
      </c>
      <c r="F42" s="222">
        <f t="shared" si="5"/>
        <v>7154911776.3653965</v>
      </c>
      <c r="G42" s="222">
        <f t="shared" si="5"/>
        <v>6993488802.1394634</v>
      </c>
      <c r="H42" s="222">
        <f t="shared" si="5"/>
        <v>6784999630.9821701</v>
      </c>
      <c r="I42" s="222">
        <f t="shared" si="5"/>
        <v>6615766401.7305088</v>
      </c>
      <c r="J42" s="222">
        <f t="shared" si="5"/>
        <v>6636609045.9450188</v>
      </c>
      <c r="K42" s="222"/>
    </row>
    <row r="43" spans="2:11" x14ac:dyDescent="0.3">
      <c r="B43" s="216" t="s">
        <v>337</v>
      </c>
      <c r="C43" s="506">
        <f t="shared" ref="C43:C47" si="6">SUM(D43:J43)</f>
        <v>29192593550.740551</v>
      </c>
      <c r="D43" s="507">
        <f>B.통합시트!Q18</f>
        <v>5179863124</v>
      </c>
      <c r="E43" s="507">
        <f>B.통합시트!R18</f>
        <v>4435130726.8449993</v>
      </c>
      <c r="F43" s="507">
        <f>B.통합시트!S18</f>
        <v>4132106083.9063234</v>
      </c>
      <c r="G43" s="507">
        <f>B.통합시트!T18</f>
        <v>3973140320.4876475</v>
      </c>
      <c r="H43" s="507">
        <f>B.통합시트!U18</f>
        <v>3876998113.0849218</v>
      </c>
      <c r="I43" s="507">
        <f>B.통합시트!V18</f>
        <v>3770486336.8694983</v>
      </c>
      <c r="J43" s="507">
        <f>B.통합시트!W18</f>
        <v>3824868845.5471587</v>
      </c>
      <c r="K43" s="201"/>
    </row>
    <row r="44" spans="2:11" x14ac:dyDescent="0.3">
      <c r="B44" s="216" t="s">
        <v>348</v>
      </c>
      <c r="C44" s="506">
        <f t="shared" si="6"/>
        <v>9848752306.9327145</v>
      </c>
      <c r="D44" s="507">
        <f>B.통합시트!Q19</f>
        <v>1894241230.8833332</v>
      </c>
      <c r="E44" s="507">
        <f>B.통합시트!R19</f>
        <v>1444885317.2464371</v>
      </c>
      <c r="F44" s="507">
        <f>B.통합시트!S19</f>
        <v>1309823426.2088327</v>
      </c>
      <c r="G44" s="507">
        <f>B.통합시트!T19</f>
        <v>1301000926.5580986</v>
      </c>
      <c r="H44" s="507">
        <f>B.통합시트!U19</f>
        <v>1305548554.1848102</v>
      </c>
      <c r="I44" s="507">
        <f>B.통합시트!V19</f>
        <v>1290407145.116117</v>
      </c>
      <c r="J44" s="507">
        <f>B.통합시트!W19</f>
        <v>1302845706.7350838</v>
      </c>
      <c r="K44" s="201"/>
    </row>
    <row r="45" spans="2:11" x14ac:dyDescent="0.3">
      <c r="B45" s="216" t="s">
        <v>353</v>
      </c>
      <c r="C45" s="506">
        <f t="shared" si="6"/>
        <v>9817537043.6611042</v>
      </c>
      <c r="D45" s="507">
        <f>B.통합시트!Q20</f>
        <v>1864279302.958334</v>
      </c>
      <c r="E45" s="507">
        <f>B.통합시트!R20</f>
        <v>1479374831.4676623</v>
      </c>
      <c r="F45" s="507">
        <f>B.통합시트!S20</f>
        <v>1352485060.8512414</v>
      </c>
      <c r="G45" s="507">
        <f>B.통합시트!T20</f>
        <v>1353442891.6137331</v>
      </c>
      <c r="H45" s="507">
        <f>B.통합시트!U20</f>
        <v>1307477905.9252553</v>
      </c>
      <c r="I45" s="507">
        <f>B.통합시트!V20</f>
        <v>1255473236.0909023</v>
      </c>
      <c r="J45" s="507">
        <f>B.통합시트!W20</f>
        <v>1205003814.7539752</v>
      </c>
      <c r="K45" s="201"/>
    </row>
    <row r="46" spans="2:11" x14ac:dyDescent="0.3">
      <c r="B46" s="216" t="s">
        <v>394</v>
      </c>
      <c r="C46" s="506">
        <f t="shared" si="6"/>
        <v>1664163881.3496034</v>
      </c>
      <c r="D46" s="507">
        <f>B.통합시트!Q21</f>
        <v>323328442.21041662</v>
      </c>
      <c r="E46" s="507">
        <f>B.통합시트!R21</f>
        <v>247808774.83877078</v>
      </c>
      <c r="F46" s="507">
        <f>B.통합시트!S21</f>
        <v>212144805.39899936</v>
      </c>
      <c r="G46" s="507">
        <f>B.통합시트!T21</f>
        <v>215326977.47998431</v>
      </c>
      <c r="H46" s="507">
        <f>B.통합시트!U21</f>
        <v>218556882.14218405</v>
      </c>
      <c r="I46" s="507">
        <f>B.통합시트!V21</f>
        <v>221835235.37431672</v>
      </c>
      <c r="J46" s="507">
        <f>B.통합시트!W21</f>
        <v>225162763.90493149</v>
      </c>
      <c r="K46" s="201"/>
    </row>
    <row r="47" spans="2:11" x14ac:dyDescent="0.3">
      <c r="B47" s="216" t="s">
        <v>479</v>
      </c>
      <c r="C47" s="506">
        <f t="shared" si="6"/>
        <v>767775624.92854476</v>
      </c>
      <c r="D47" s="507">
        <f>B.통합시트!Q22</f>
        <v>89975000</v>
      </c>
      <c r="E47" s="507">
        <f>B.통합시트!R22</f>
        <v>146159999.99999997</v>
      </c>
      <c r="F47" s="507">
        <f>B.통합시트!S22</f>
        <v>148352399.99999997</v>
      </c>
      <c r="G47" s="507">
        <f>B.통합시트!T22</f>
        <v>150577685.99999997</v>
      </c>
      <c r="H47" s="507">
        <f>B.통합시트!U22</f>
        <v>76418175.644999936</v>
      </c>
      <c r="I47" s="507">
        <f>B.통합시트!V22</f>
        <v>77564448.279674947</v>
      </c>
      <c r="J47" s="507">
        <f>B.통합시트!W22</f>
        <v>78727915.00387007</v>
      </c>
      <c r="K47" s="201"/>
    </row>
    <row r="48" spans="2:11" x14ac:dyDescent="0.3">
      <c r="B48" s="233" t="s">
        <v>483</v>
      </c>
      <c r="C48" s="234"/>
      <c r="D48" s="235"/>
      <c r="E48" s="236"/>
      <c r="F48" s="235"/>
      <c r="G48" s="235"/>
      <c r="H48" s="235"/>
      <c r="I48" s="235"/>
      <c r="J48" s="237"/>
      <c r="K48" s="238"/>
    </row>
    <row r="49" spans="2:11" x14ac:dyDescent="0.3">
      <c r="B49" s="231" t="s">
        <v>484</v>
      </c>
      <c r="C49" s="198">
        <v>0</v>
      </c>
      <c r="D49" s="222">
        <v>0</v>
      </c>
      <c r="E49" s="222">
        <v>0</v>
      </c>
      <c r="F49" s="222">
        <v>0</v>
      </c>
      <c r="G49" s="222">
        <v>0</v>
      </c>
      <c r="H49" s="222">
        <v>0</v>
      </c>
      <c r="I49" s="222">
        <v>0</v>
      </c>
      <c r="J49" s="232">
        <v>0</v>
      </c>
      <c r="K49" s="239"/>
    </row>
    <row r="50" spans="2:11" x14ac:dyDescent="0.3">
      <c r="B50" s="216" t="s">
        <v>337</v>
      </c>
      <c r="C50" s="199">
        <v>0</v>
      </c>
      <c r="D50" s="201">
        <v>0</v>
      </c>
      <c r="E50" s="201">
        <v>0</v>
      </c>
      <c r="F50" s="201">
        <v>0</v>
      </c>
      <c r="G50" s="201">
        <v>0</v>
      </c>
      <c r="H50" s="201">
        <v>0</v>
      </c>
      <c r="I50" s="201">
        <v>0</v>
      </c>
      <c r="J50" s="202">
        <v>0</v>
      </c>
      <c r="K50" s="197"/>
    </row>
    <row r="51" spans="2:11" x14ac:dyDescent="0.3">
      <c r="B51" s="216" t="s">
        <v>348</v>
      </c>
      <c r="C51" s="199">
        <v>0</v>
      </c>
      <c r="D51" s="201">
        <v>0</v>
      </c>
      <c r="E51" s="201">
        <v>0</v>
      </c>
      <c r="F51" s="201">
        <v>0</v>
      </c>
      <c r="G51" s="201">
        <v>0</v>
      </c>
      <c r="H51" s="201">
        <v>0</v>
      </c>
      <c r="I51" s="201">
        <v>0</v>
      </c>
      <c r="J51" s="202">
        <v>0</v>
      </c>
      <c r="K51" s="197"/>
    </row>
    <row r="52" spans="2:11" x14ac:dyDescent="0.3">
      <c r="B52" s="216" t="s">
        <v>353</v>
      </c>
      <c r="C52" s="199">
        <v>0</v>
      </c>
      <c r="D52" s="201">
        <v>0</v>
      </c>
      <c r="E52" s="201">
        <v>0</v>
      </c>
      <c r="F52" s="201">
        <v>0</v>
      </c>
      <c r="G52" s="201">
        <v>0</v>
      </c>
      <c r="H52" s="201">
        <v>0</v>
      </c>
      <c r="I52" s="201">
        <v>0</v>
      </c>
      <c r="J52" s="202">
        <v>0</v>
      </c>
      <c r="K52" s="197"/>
    </row>
    <row r="53" spans="2:11" x14ac:dyDescent="0.3">
      <c r="B53" s="216" t="s">
        <v>394</v>
      </c>
      <c r="C53" s="199"/>
      <c r="D53" s="201"/>
      <c r="E53" s="201"/>
      <c r="F53" s="201"/>
      <c r="G53" s="201"/>
      <c r="H53" s="201"/>
      <c r="I53" s="201"/>
      <c r="J53" s="202"/>
      <c r="K53" s="197"/>
    </row>
    <row r="54" spans="2:11" x14ac:dyDescent="0.3">
      <c r="B54" s="240" t="s">
        <v>479</v>
      </c>
      <c r="C54" s="241">
        <v>0</v>
      </c>
      <c r="D54" s="242">
        <v>0</v>
      </c>
      <c r="E54" s="242">
        <v>0</v>
      </c>
      <c r="F54" s="242">
        <v>0</v>
      </c>
      <c r="G54" s="242">
        <v>0</v>
      </c>
      <c r="H54" s="242">
        <v>0</v>
      </c>
      <c r="I54" s="242">
        <v>0</v>
      </c>
      <c r="J54" s="243">
        <v>0</v>
      </c>
      <c r="K54" s="244"/>
    </row>
    <row r="55" spans="2:11" x14ac:dyDescent="0.3">
      <c r="B55" s="245" t="s">
        <v>485</v>
      </c>
      <c r="C55" s="246">
        <f>C42-C49</f>
        <v>51290822407.612518</v>
      </c>
      <c r="D55" s="247">
        <f>D42-D49</f>
        <v>9351687100.052084</v>
      </c>
      <c r="E55" s="247">
        <f t="shared" ref="E55:J55" si="7">E42-E49</f>
        <v>7753359650.3978701</v>
      </c>
      <c r="F55" s="247">
        <f t="shared" si="7"/>
        <v>7154911776.3653965</v>
      </c>
      <c r="G55" s="247">
        <f t="shared" si="7"/>
        <v>6993488802.1394634</v>
      </c>
      <c r="H55" s="247">
        <f t="shared" si="7"/>
        <v>6784999630.9821701</v>
      </c>
      <c r="I55" s="247">
        <f t="shared" si="7"/>
        <v>6615766401.7305088</v>
      </c>
      <c r="J55" s="247">
        <f t="shared" si="7"/>
        <v>6636609045.9450188</v>
      </c>
      <c r="K55" s="248"/>
    </row>
    <row r="56" spans="2:11" x14ac:dyDescent="0.3">
      <c r="B56" s="216" t="s">
        <v>337</v>
      </c>
      <c r="C56" s="508">
        <f>C43-C50</f>
        <v>29192593550.740551</v>
      </c>
      <c r="D56" s="360">
        <f>D43-D50</f>
        <v>5179863124</v>
      </c>
      <c r="E56" s="360">
        <f t="shared" ref="E56:J56" si="8">E43-E50</f>
        <v>4435130726.8449993</v>
      </c>
      <c r="F56" s="360">
        <f t="shared" si="8"/>
        <v>4132106083.9063234</v>
      </c>
      <c r="G56" s="360">
        <f t="shared" si="8"/>
        <v>3973140320.4876475</v>
      </c>
      <c r="H56" s="360">
        <f t="shared" si="8"/>
        <v>3876998113.0849218</v>
      </c>
      <c r="I56" s="360">
        <f t="shared" si="8"/>
        <v>3770486336.8694983</v>
      </c>
      <c r="J56" s="360">
        <f t="shared" si="8"/>
        <v>3824868845.5471587</v>
      </c>
      <c r="K56" s="197"/>
    </row>
    <row r="57" spans="2:11" x14ac:dyDescent="0.3">
      <c r="B57" s="216" t="s">
        <v>348</v>
      </c>
      <c r="C57" s="508">
        <f t="shared" ref="C57:D60" si="9">C44-C51</f>
        <v>9848752306.9327145</v>
      </c>
      <c r="D57" s="360">
        <f t="shared" si="9"/>
        <v>1894241230.8833332</v>
      </c>
      <c r="E57" s="360">
        <f t="shared" ref="E57:J57" si="10">E44-E51</f>
        <v>1444885317.2464371</v>
      </c>
      <c r="F57" s="360">
        <f t="shared" si="10"/>
        <v>1309823426.2088327</v>
      </c>
      <c r="G57" s="360">
        <f t="shared" si="10"/>
        <v>1301000926.5580986</v>
      </c>
      <c r="H57" s="360">
        <f t="shared" si="10"/>
        <v>1305548554.1848102</v>
      </c>
      <c r="I57" s="360">
        <f t="shared" si="10"/>
        <v>1290407145.116117</v>
      </c>
      <c r="J57" s="360">
        <f t="shared" si="10"/>
        <v>1302845706.7350838</v>
      </c>
      <c r="K57" s="197"/>
    </row>
    <row r="58" spans="2:11" x14ac:dyDescent="0.3">
      <c r="B58" s="216" t="s">
        <v>353</v>
      </c>
      <c r="C58" s="508">
        <f t="shared" si="9"/>
        <v>9817537043.6611042</v>
      </c>
      <c r="D58" s="360">
        <f t="shared" si="9"/>
        <v>1864279302.958334</v>
      </c>
      <c r="E58" s="360">
        <f t="shared" ref="E58:J58" si="11">E45-E52</f>
        <v>1479374831.4676623</v>
      </c>
      <c r="F58" s="360">
        <f t="shared" si="11"/>
        <v>1352485060.8512414</v>
      </c>
      <c r="G58" s="360">
        <f t="shared" si="11"/>
        <v>1353442891.6137331</v>
      </c>
      <c r="H58" s="360">
        <f t="shared" si="11"/>
        <v>1307477905.9252553</v>
      </c>
      <c r="I58" s="360">
        <f t="shared" si="11"/>
        <v>1255473236.0909023</v>
      </c>
      <c r="J58" s="360">
        <f t="shared" si="11"/>
        <v>1205003814.7539752</v>
      </c>
      <c r="K58" s="197"/>
    </row>
    <row r="59" spans="2:11" x14ac:dyDescent="0.3">
      <c r="B59" s="216" t="s">
        <v>394</v>
      </c>
      <c r="C59" s="508">
        <f t="shared" si="9"/>
        <v>1664163881.3496034</v>
      </c>
      <c r="D59" s="360">
        <f t="shared" si="9"/>
        <v>323328442.21041662</v>
      </c>
      <c r="E59" s="360">
        <f t="shared" ref="E59:J59" si="12">E46-E53</f>
        <v>247808774.83877078</v>
      </c>
      <c r="F59" s="360">
        <f t="shared" si="12"/>
        <v>212144805.39899936</v>
      </c>
      <c r="G59" s="360">
        <f t="shared" si="12"/>
        <v>215326977.47998431</v>
      </c>
      <c r="H59" s="360">
        <f t="shared" si="12"/>
        <v>218556882.14218405</v>
      </c>
      <c r="I59" s="360">
        <f t="shared" si="12"/>
        <v>221835235.37431672</v>
      </c>
      <c r="J59" s="360">
        <f t="shared" si="12"/>
        <v>225162763.90493149</v>
      </c>
      <c r="K59" s="197"/>
    </row>
    <row r="60" spans="2:11" x14ac:dyDescent="0.3">
      <c r="B60" s="492" t="s">
        <v>479</v>
      </c>
      <c r="C60" s="508">
        <f t="shared" si="9"/>
        <v>767775624.92854476</v>
      </c>
      <c r="D60" s="509">
        <f t="shared" si="9"/>
        <v>89975000</v>
      </c>
      <c r="E60" s="509">
        <f t="shared" ref="E60:J60" si="13">E47-E54</f>
        <v>146159999.99999997</v>
      </c>
      <c r="F60" s="509">
        <f t="shared" si="13"/>
        <v>148352399.99999997</v>
      </c>
      <c r="G60" s="509">
        <f t="shared" si="13"/>
        <v>150577685.99999997</v>
      </c>
      <c r="H60" s="509">
        <f t="shared" si="13"/>
        <v>76418175.644999936</v>
      </c>
      <c r="I60" s="509">
        <f t="shared" si="13"/>
        <v>77564448.279674947</v>
      </c>
      <c r="J60" s="509">
        <f t="shared" si="13"/>
        <v>78727915.00387007</v>
      </c>
      <c r="K60" s="493"/>
    </row>
    <row r="61" spans="2:11" x14ac:dyDescent="0.3">
      <c r="B61" s="94"/>
      <c r="C61" s="494"/>
      <c r="D61" s="494"/>
      <c r="E61" s="494"/>
      <c r="F61" s="494"/>
      <c r="G61" s="494"/>
      <c r="H61" s="494"/>
      <c r="I61" s="494"/>
      <c r="J61" s="494"/>
      <c r="K61" s="494"/>
    </row>
    <row r="62" spans="2:11" x14ac:dyDescent="0.3">
      <c r="B62" s="94"/>
      <c r="C62" s="494"/>
      <c r="D62" s="494"/>
      <c r="E62" s="494"/>
      <c r="F62" s="494"/>
      <c r="G62" s="494"/>
      <c r="H62" s="494"/>
      <c r="I62" s="494"/>
      <c r="J62" s="494"/>
      <c r="K62" s="494"/>
    </row>
    <row r="63" spans="2:11" x14ac:dyDescent="0.3">
      <c r="B63" s="94"/>
      <c r="C63" s="494"/>
      <c r="D63" s="494"/>
      <c r="E63" s="494"/>
      <c r="F63" s="494"/>
      <c r="G63" s="494"/>
      <c r="H63" s="494"/>
      <c r="I63" s="494"/>
      <c r="J63" s="494"/>
      <c r="K63" s="494"/>
    </row>
    <row r="64" spans="2:11" x14ac:dyDescent="0.3">
      <c r="B64" s="94"/>
      <c r="C64" s="494"/>
      <c r="D64" s="494"/>
      <c r="E64" s="494"/>
      <c r="F64" s="494"/>
      <c r="G64" s="494"/>
      <c r="H64" s="494"/>
      <c r="I64" s="494"/>
      <c r="J64" s="494"/>
      <c r="K64" s="494"/>
    </row>
    <row r="65" spans="2:11" x14ac:dyDescent="0.3">
      <c r="B65" s="94"/>
      <c r="C65" s="494"/>
      <c r="D65" s="494"/>
      <c r="E65" s="494"/>
      <c r="F65" s="494"/>
      <c r="G65" s="494"/>
      <c r="H65" s="494"/>
      <c r="I65" s="494"/>
      <c r="J65" s="494"/>
      <c r="K65" s="494"/>
    </row>
    <row r="66" spans="2:11" x14ac:dyDescent="0.3">
      <c r="B66" s="94"/>
      <c r="C66" s="494"/>
      <c r="D66" s="494"/>
      <c r="E66" s="494"/>
      <c r="F66" s="494"/>
      <c r="G66" s="494"/>
      <c r="H66" s="494"/>
      <c r="I66" s="494"/>
      <c r="J66" s="494"/>
      <c r="K66" s="494"/>
    </row>
    <row r="67" spans="2:11" x14ac:dyDescent="0.3">
      <c r="B67" s="94"/>
      <c r="C67" s="494"/>
      <c r="D67" s="494"/>
      <c r="E67" s="494"/>
      <c r="F67" s="494"/>
      <c r="G67" s="494"/>
      <c r="H67" s="494"/>
      <c r="I67" s="494"/>
      <c r="J67" s="494"/>
      <c r="K67" s="494"/>
    </row>
    <row r="68" spans="2:11" x14ac:dyDescent="0.3">
      <c r="B68" s="94"/>
      <c r="C68" s="494"/>
      <c r="D68" s="495"/>
      <c r="E68" s="496"/>
      <c r="F68" s="495"/>
      <c r="G68" s="495"/>
      <c r="H68" s="495"/>
      <c r="I68" s="495"/>
      <c r="J68" s="495"/>
      <c r="K68" s="494"/>
    </row>
    <row r="69" spans="2:11" x14ac:dyDescent="0.3">
      <c r="B69" s="94"/>
      <c r="C69" s="494"/>
      <c r="D69" s="494"/>
      <c r="E69" s="494"/>
      <c r="F69" s="494"/>
      <c r="G69" s="494"/>
      <c r="H69" s="494"/>
      <c r="I69" s="494"/>
      <c r="J69" s="494"/>
      <c r="K69" s="494"/>
    </row>
    <row r="70" spans="2:11" x14ac:dyDescent="0.3">
      <c r="B70" s="94"/>
      <c r="C70" s="494"/>
      <c r="D70" s="494"/>
      <c r="E70" s="494"/>
      <c r="F70" s="494"/>
      <c r="G70" s="494"/>
      <c r="H70" s="494"/>
      <c r="I70" s="494"/>
      <c r="J70" s="494"/>
      <c r="K70" s="494"/>
    </row>
    <row r="71" spans="2:11" x14ac:dyDescent="0.3">
      <c r="B71" s="94"/>
      <c r="C71" s="494"/>
      <c r="D71" s="494"/>
      <c r="E71" s="494"/>
      <c r="F71" s="494"/>
      <c r="G71" s="494"/>
      <c r="H71" s="494"/>
      <c r="I71" s="494"/>
      <c r="J71" s="494"/>
      <c r="K71" s="494"/>
    </row>
    <row r="72" spans="2:11" x14ac:dyDescent="0.3">
      <c r="B72" s="94"/>
      <c r="C72" s="494"/>
      <c r="D72" s="494"/>
      <c r="E72" s="494"/>
      <c r="F72" s="494"/>
      <c r="G72" s="494"/>
      <c r="H72" s="494"/>
      <c r="I72" s="494"/>
      <c r="J72" s="494"/>
      <c r="K72" s="494"/>
    </row>
    <row r="73" spans="2:11" x14ac:dyDescent="0.3">
      <c r="B73" s="94"/>
      <c r="C73" s="494"/>
      <c r="D73" s="494"/>
      <c r="E73" s="494"/>
      <c r="F73" s="494"/>
      <c r="G73" s="494"/>
      <c r="H73" s="494"/>
      <c r="I73" s="494"/>
      <c r="J73" s="494"/>
      <c r="K73" s="494"/>
    </row>
    <row r="74" spans="2:11" x14ac:dyDescent="0.3">
      <c r="B74" s="497"/>
      <c r="C74" s="497"/>
      <c r="D74" s="497"/>
      <c r="E74" s="497"/>
      <c r="F74" s="497"/>
      <c r="G74" s="497"/>
      <c r="H74" s="497"/>
      <c r="I74" s="497"/>
      <c r="J74" s="497"/>
      <c r="K74" s="498"/>
    </row>
    <row r="75" spans="2:11" x14ac:dyDescent="0.3">
      <c r="B75" s="94"/>
      <c r="C75" s="494"/>
      <c r="D75" s="494"/>
      <c r="E75" s="494"/>
      <c r="F75" s="494"/>
      <c r="G75" s="494"/>
      <c r="H75" s="494"/>
      <c r="I75" s="494"/>
      <c r="J75" s="494"/>
      <c r="K75" s="499"/>
    </row>
    <row r="76" spans="2:11" x14ac:dyDescent="0.3">
      <c r="B76" s="500"/>
      <c r="C76" s="494"/>
      <c r="D76" s="494"/>
      <c r="E76" s="499"/>
      <c r="F76" s="499"/>
      <c r="G76" s="499"/>
      <c r="H76" s="499"/>
      <c r="I76" s="499"/>
      <c r="J76" s="499"/>
      <c r="K76" s="499"/>
    </row>
    <row r="77" spans="2:11" x14ac:dyDescent="0.3">
      <c r="B77" s="501"/>
      <c r="C77" s="494"/>
      <c r="D77" s="494"/>
      <c r="E77" s="494"/>
      <c r="F77" s="494"/>
      <c r="G77" s="494"/>
      <c r="H77" s="494"/>
      <c r="I77" s="494"/>
      <c r="J77" s="494"/>
      <c r="K77" s="499"/>
    </row>
    <row r="78" spans="2:11" x14ac:dyDescent="0.3">
      <c r="B78" s="500"/>
      <c r="C78" s="494"/>
      <c r="D78" s="494"/>
      <c r="E78" s="494"/>
      <c r="F78" s="494"/>
      <c r="G78" s="494"/>
      <c r="H78" s="494"/>
      <c r="I78" s="494"/>
      <c r="J78" s="494"/>
      <c r="K78" s="495"/>
    </row>
    <row r="79" spans="2:11" x14ac:dyDescent="0.3">
      <c r="B79" s="500"/>
      <c r="C79" s="494"/>
      <c r="D79" s="494"/>
      <c r="E79" s="495"/>
      <c r="F79" s="495"/>
      <c r="G79" s="495"/>
      <c r="H79" s="495"/>
      <c r="I79" s="495"/>
      <c r="J79" s="495"/>
      <c r="K79" s="495"/>
    </row>
    <row r="80" spans="2:11" x14ac:dyDescent="0.3">
      <c r="B80" s="500"/>
      <c r="C80" s="494"/>
      <c r="D80" s="494"/>
      <c r="E80" s="494"/>
      <c r="F80" s="494"/>
      <c r="G80" s="494"/>
      <c r="H80" s="494"/>
      <c r="I80" s="494"/>
      <c r="J80" s="494"/>
      <c r="K80" s="495"/>
    </row>
    <row r="81" spans="2:11" x14ac:dyDescent="0.3">
      <c r="B81" s="500"/>
      <c r="C81" s="494"/>
      <c r="D81" s="494"/>
      <c r="E81" s="495"/>
      <c r="F81" s="495"/>
      <c r="G81" s="495"/>
      <c r="H81" s="495"/>
      <c r="I81" s="495"/>
      <c r="J81" s="495"/>
      <c r="K81" s="495"/>
    </row>
    <row r="82" spans="2:11" x14ac:dyDescent="0.3">
      <c r="B82" s="500"/>
      <c r="C82" s="494"/>
      <c r="D82" s="494"/>
      <c r="E82" s="494"/>
      <c r="F82" s="494"/>
      <c r="G82" s="494"/>
      <c r="H82" s="494"/>
      <c r="I82" s="494"/>
      <c r="J82" s="494"/>
      <c r="K82" s="495"/>
    </row>
    <row r="83" spans="2:11" x14ac:dyDescent="0.3">
      <c r="B83" s="500"/>
      <c r="C83" s="494"/>
      <c r="D83" s="494"/>
      <c r="E83" s="495"/>
      <c r="F83" s="495"/>
      <c r="G83" s="495"/>
      <c r="H83" s="495"/>
      <c r="I83" s="495"/>
      <c r="J83" s="495"/>
      <c r="K83" s="495"/>
    </row>
    <row r="84" spans="2:11" x14ac:dyDescent="0.3">
      <c r="B84" s="94"/>
      <c r="C84" s="494"/>
      <c r="D84" s="494"/>
      <c r="E84" s="495"/>
      <c r="F84" s="495"/>
      <c r="G84" s="495"/>
      <c r="H84" s="495"/>
      <c r="I84" s="495"/>
      <c r="J84" s="495"/>
      <c r="K84" s="495"/>
    </row>
    <row r="85" spans="2:11" x14ac:dyDescent="0.3">
      <c r="B85" s="502"/>
      <c r="C85" s="503"/>
      <c r="D85" s="503"/>
      <c r="E85" s="503"/>
      <c r="F85" s="503"/>
      <c r="G85" s="503"/>
      <c r="H85" s="503"/>
      <c r="I85" s="503"/>
      <c r="J85" s="503"/>
      <c r="K85" s="495"/>
    </row>
    <row r="86" spans="2:11" x14ac:dyDescent="0.3">
      <c r="B86" s="500"/>
      <c r="C86" s="503"/>
      <c r="D86" s="503"/>
      <c r="E86" s="503"/>
      <c r="F86" s="503"/>
      <c r="G86" s="503"/>
      <c r="H86" s="503"/>
      <c r="I86" s="503"/>
      <c r="J86" s="503"/>
      <c r="K86" s="495"/>
    </row>
    <row r="87" spans="2:11" x14ac:dyDescent="0.3">
      <c r="B87" s="500"/>
      <c r="C87" s="503"/>
      <c r="D87" s="503"/>
      <c r="E87" s="503"/>
      <c r="F87" s="503"/>
      <c r="G87" s="503"/>
      <c r="H87" s="503"/>
      <c r="I87" s="503"/>
      <c r="J87" s="503"/>
      <c r="K87" s="495"/>
    </row>
  </sheetData>
  <phoneticPr fontId="1" type="noConversion"/>
  <dataValidations count="1">
    <dataValidation type="list" allowBlank="1" showInputMessage="1" showErrorMessage="1" sqref="C3" xr:uid="{00000000-0002-0000-0100-000000000000}">
      <formula1>$S$5:$S$7</formula1>
    </dataValidation>
  </dataValidations>
  <hyperlinks>
    <hyperlink ref="A1" location="HOME!A1" display="HOME" xr:uid="{7F75292B-957F-4EF2-9661-7342FA3758D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2_Sheet">
    <tabColor rgb="FFFF0000"/>
  </sheetPr>
  <dimension ref="A1:AA58"/>
  <sheetViews>
    <sheetView showGridLines="0" zoomScale="70" zoomScaleNormal="70" workbookViewId="0">
      <selection activeCell="C20" sqref="C20"/>
    </sheetView>
  </sheetViews>
  <sheetFormatPr defaultColWidth="11.5" defaultRowHeight="22.15" customHeight="1" x14ac:dyDescent="0.3"/>
  <cols>
    <col min="1" max="1" width="7.25" style="378" bestFit="1" customWidth="1"/>
    <col min="2" max="2" width="15.5" style="381" bestFit="1" customWidth="1"/>
    <col min="3" max="3" width="20" style="78" bestFit="1" customWidth="1"/>
    <col min="4" max="4" width="19.75" style="78" customWidth="1"/>
    <col min="5" max="5" width="28.125" style="78" hidden="1" customWidth="1"/>
    <col min="6" max="6" width="40.125" style="78" bestFit="1" customWidth="1"/>
    <col min="7" max="7" width="22.625" style="78" customWidth="1"/>
    <col min="8" max="8" width="8.25" style="78" hidden="1" customWidth="1"/>
    <col min="9" max="10" width="9.25" style="78" hidden="1" customWidth="1"/>
    <col min="11" max="11" width="15" style="78" bestFit="1" customWidth="1"/>
    <col min="12" max="12" width="7.25" style="78" hidden="1" customWidth="1"/>
    <col min="13" max="13" width="5.25" style="78" hidden="1" customWidth="1"/>
    <col min="14" max="14" width="5.375" style="78" hidden="1" customWidth="1"/>
    <col min="15" max="15" width="2.75" style="78" customWidth="1"/>
    <col min="16" max="16" width="16.125" style="78" bestFit="1" customWidth="1"/>
    <col min="17" max="17" width="15.75" style="78" customWidth="1"/>
    <col min="18" max="23" width="15.75" style="78" bestFit="1" customWidth="1"/>
    <col min="24" max="25" width="4.125" style="78" bestFit="1" customWidth="1"/>
    <col min="26" max="27" width="4.75" style="78" bestFit="1" customWidth="1"/>
    <col min="28" max="16384" width="11.5" style="78"/>
  </cols>
  <sheetData>
    <row r="1" spans="1:27" ht="21.75" customHeight="1" thickBot="1" x14ac:dyDescent="0.35">
      <c r="A1" s="377" t="s">
        <v>325</v>
      </c>
      <c r="B1" s="125" t="s">
        <v>578</v>
      </c>
      <c r="C1" s="125"/>
      <c r="D1" s="125"/>
      <c r="E1" s="125"/>
      <c r="F1" s="125"/>
      <c r="G1" s="125"/>
      <c r="H1" s="125"/>
      <c r="I1" s="125"/>
      <c r="J1" s="125"/>
      <c r="K1" s="125"/>
      <c r="L1" s="125"/>
      <c r="M1" s="125"/>
      <c r="N1" s="125"/>
      <c r="O1" s="125"/>
      <c r="P1" s="125"/>
    </row>
    <row r="2" spans="1:27" ht="22.15" customHeight="1" thickTop="1" thickBot="1" x14ac:dyDescent="0.35">
      <c r="A2" s="377"/>
      <c r="B2" s="443"/>
    </row>
    <row r="3" spans="1:27" ht="16.149999999999999" customHeight="1" thickBot="1" x14ac:dyDescent="0.35">
      <c r="A3" s="377"/>
      <c r="B3" s="659" t="s">
        <v>598</v>
      </c>
    </row>
    <row r="4" spans="1:27" ht="5.45" customHeight="1" x14ac:dyDescent="0.3">
      <c r="A4" s="377"/>
      <c r="B4" s="443"/>
    </row>
    <row r="5" spans="1:27" ht="16.149999999999999" customHeight="1" x14ac:dyDescent="0.3">
      <c r="B5" s="463" t="s">
        <v>586</v>
      </c>
      <c r="C5" s="463" t="s">
        <v>2</v>
      </c>
      <c r="D5" s="463" t="s">
        <v>3</v>
      </c>
      <c r="E5" s="463" t="s">
        <v>594</v>
      </c>
      <c r="F5" s="463" t="s">
        <v>595</v>
      </c>
      <c r="G5" s="463" t="s">
        <v>596</v>
      </c>
      <c r="H5" s="463" t="s">
        <v>597</v>
      </c>
      <c r="I5" s="463" t="s">
        <v>580</v>
      </c>
      <c r="J5" s="463" t="s">
        <v>583</v>
      </c>
      <c r="K5" s="464" t="s">
        <v>581</v>
      </c>
      <c r="L5" s="463" t="s">
        <v>582</v>
      </c>
      <c r="M5" s="463" t="s">
        <v>584</v>
      </c>
      <c r="N5" s="463" t="s">
        <v>16</v>
      </c>
      <c r="P5" s="456" t="s">
        <v>257</v>
      </c>
      <c r="Q5" s="379" t="s">
        <v>41</v>
      </c>
      <c r="R5" s="379" t="s">
        <v>139</v>
      </c>
      <c r="S5" s="379" t="s">
        <v>140</v>
      </c>
      <c r="T5" s="379" t="s">
        <v>141</v>
      </c>
      <c r="U5" s="379" t="s">
        <v>142</v>
      </c>
      <c r="V5" s="379" t="s">
        <v>143</v>
      </c>
      <c r="W5" s="379" t="s">
        <v>144</v>
      </c>
      <c r="X5" s="379" t="s">
        <v>145</v>
      </c>
      <c r="Y5" s="379" t="s">
        <v>146</v>
      </c>
      <c r="Z5" s="379" t="s">
        <v>147</v>
      </c>
      <c r="AA5" s="379" t="s">
        <v>183</v>
      </c>
    </row>
    <row r="6" spans="1:27" ht="16.149999999999999" customHeight="1" x14ac:dyDescent="0.3">
      <c r="B6" s="354" t="s">
        <v>1038</v>
      </c>
      <c r="C6" s="354" t="s">
        <v>391</v>
      </c>
      <c r="D6" s="354" t="s">
        <v>1035</v>
      </c>
      <c r="E6" s="380"/>
      <c r="F6" s="380" t="s">
        <v>1033</v>
      </c>
      <c r="G6" s="380"/>
      <c r="H6" s="380"/>
      <c r="I6" s="380"/>
      <c r="J6" s="380"/>
      <c r="K6" s="389">
        <f>P6</f>
        <v>37404739607.371994</v>
      </c>
      <c r="L6" s="380"/>
      <c r="M6" s="380"/>
      <c r="N6" s="380"/>
      <c r="P6" s="455">
        <f>SUM(Q6:AA6)</f>
        <v>37404739607.371994</v>
      </c>
      <c r="Q6" s="389">
        <f>'1.인건비_요약'!H17</f>
        <v>4716632788.483593</v>
      </c>
      <c r="R6" s="389">
        <f>'1.인건비_요약'!I17</f>
        <v>4912225654.4310207</v>
      </c>
      <c r="S6" s="389">
        <f>'1.인건비_요약'!J17</f>
        <v>5115542674.2679186</v>
      </c>
      <c r="T6" s="389">
        <f>'1.인건비_요약'!K17</f>
        <v>5326865069.0442047</v>
      </c>
      <c r="U6" s="389">
        <f>'1.인건비_요약'!L17</f>
        <v>5546482759.1651173</v>
      </c>
      <c r="V6" s="389">
        <f>'1.인건비_요약'!M17</f>
        <v>5774694525.5668268</v>
      </c>
      <c r="W6" s="389">
        <f>'1.인건비_요약'!N17</f>
        <v>6012296136.4133139</v>
      </c>
      <c r="X6" s="389">
        <f>'1.인건비_요약'!O17</f>
        <v>0</v>
      </c>
      <c r="Y6" s="389">
        <f>'1.인건비_요약'!P17</f>
        <v>0</v>
      </c>
      <c r="Z6" s="389">
        <f>'1.인건비_요약'!Q17</f>
        <v>0</v>
      </c>
      <c r="AA6" s="389">
        <f>'1.인건비_요약'!R17</f>
        <v>0</v>
      </c>
    </row>
    <row r="7" spans="1:27" ht="16.149999999999999" customHeight="1" x14ac:dyDescent="0.3">
      <c r="B7" s="451" t="s">
        <v>1038</v>
      </c>
      <c r="C7" s="451" t="s">
        <v>391</v>
      </c>
      <c r="D7" s="451" t="s">
        <v>1036</v>
      </c>
      <c r="E7" s="392"/>
      <c r="F7" s="491" t="s">
        <v>1166</v>
      </c>
      <c r="G7" s="392"/>
      <c r="H7" s="392"/>
      <c r="I7" s="392"/>
      <c r="J7" s="392"/>
      <c r="K7" s="447">
        <f t="shared" ref="K7:K13" si="0">P7</f>
        <v>463230335.51640838</v>
      </c>
      <c r="L7" s="380"/>
      <c r="M7" s="380"/>
      <c r="N7" s="380"/>
      <c r="P7" s="460">
        <f t="shared" ref="P7:P12" si="1">SUM(Q7:AA7)</f>
        <v>463230335.51640838</v>
      </c>
      <c r="Q7" s="392">
        <v>463230335.51640838</v>
      </c>
      <c r="R7" s="380"/>
      <c r="S7" s="380"/>
      <c r="T7" s="380"/>
      <c r="U7" s="380"/>
      <c r="V7" s="380"/>
      <c r="W7" s="380"/>
      <c r="X7" s="380"/>
      <c r="Y7" s="380"/>
      <c r="Z7" s="380"/>
      <c r="AA7" s="380"/>
    </row>
    <row r="8" spans="1:27" s="381" customFormat="1" ht="16.149999999999999" customHeight="1" x14ac:dyDescent="0.3">
      <c r="A8" s="378"/>
      <c r="B8" s="354" t="s">
        <v>1038</v>
      </c>
      <c r="C8" s="354" t="s">
        <v>392</v>
      </c>
      <c r="D8" s="354" t="s">
        <v>1035</v>
      </c>
      <c r="E8" s="380"/>
      <c r="F8" s="380" t="s">
        <v>1034</v>
      </c>
      <c r="G8" s="380"/>
      <c r="H8" s="380"/>
      <c r="I8" s="354"/>
      <c r="J8" s="354"/>
      <c r="K8" s="389">
        <f t="shared" si="0"/>
        <v>15794752058.332815</v>
      </c>
      <c r="L8" s="354"/>
      <c r="M8" s="354"/>
      <c r="N8" s="354"/>
      <c r="P8" s="455">
        <f t="shared" si="1"/>
        <v>15794752058.332815</v>
      </c>
      <c r="Q8" s="424">
        <f>'1.인건비_요약'!H18+'1.인건비_요약'!H19</f>
        <v>1980939727.061398</v>
      </c>
      <c r="R8" s="424">
        <f>'1.인건비_요약'!I18+'1.인건비_요약'!I19</f>
        <v>2065975275.6396699</v>
      </c>
      <c r="S8" s="424">
        <f>'1.인건비_요약'!J18+'1.인건비_요약'!J19</f>
        <v>2154800717.4705734</v>
      </c>
      <c r="T8" s="424">
        <f>'1.인건비_요약'!K18+'1.인건비_요약'!K19</f>
        <v>2247587178.6159873</v>
      </c>
      <c r="U8" s="424">
        <f>'1.인건비_요약'!L18+'1.인건비_요약'!L19</f>
        <v>2344513545.9485064</v>
      </c>
      <c r="V8" s="424">
        <f>'1.인건비_요약'!M18+'1.인건비_요약'!M19</f>
        <v>2445766819.627255</v>
      </c>
      <c r="W8" s="424">
        <f>'1.인건비_요약'!N18+'1.인건비_요약'!N19</f>
        <v>2555168793.9694266</v>
      </c>
      <c r="X8" s="424">
        <f>'1.인건비_요약'!O18+'1.인건비_요약'!O19</f>
        <v>0</v>
      </c>
      <c r="Y8" s="424">
        <f>'1.인건비_요약'!P18+'1.인건비_요약'!P19</f>
        <v>0</v>
      </c>
      <c r="Z8" s="424">
        <f>'1.인건비_요약'!Q18+'1.인건비_요약'!Q19</f>
        <v>0</v>
      </c>
      <c r="AA8" s="424">
        <f>'1.인건비_요약'!R18+'1.인건비_요약'!R19</f>
        <v>0</v>
      </c>
    </row>
    <row r="9" spans="1:27" ht="16.149999999999999" customHeight="1" x14ac:dyDescent="0.3">
      <c r="B9" s="451" t="s">
        <v>1038</v>
      </c>
      <c r="C9" s="451" t="s">
        <v>392</v>
      </c>
      <c r="D9" s="451" t="s">
        <v>1036</v>
      </c>
      <c r="E9" s="392"/>
      <c r="F9" s="491" t="s">
        <v>1166</v>
      </c>
      <c r="G9" s="392"/>
      <c r="H9" s="392"/>
      <c r="I9" s="392"/>
      <c r="J9" s="392"/>
      <c r="K9" s="447">
        <f t="shared" si="0"/>
        <v>-86698496.178065181</v>
      </c>
      <c r="L9" s="380"/>
      <c r="M9" s="380"/>
      <c r="N9" s="380"/>
      <c r="P9" s="460">
        <f t="shared" si="1"/>
        <v>-86698496.178065181</v>
      </c>
      <c r="Q9" s="392">
        <v>-86698496.178065181</v>
      </c>
      <c r="R9" s="380"/>
      <c r="S9" s="380"/>
      <c r="T9" s="380"/>
      <c r="U9" s="380"/>
      <c r="V9" s="380"/>
      <c r="W9" s="380"/>
      <c r="X9" s="380"/>
      <c r="Y9" s="380"/>
      <c r="Z9" s="380"/>
      <c r="AA9" s="380"/>
    </row>
    <row r="10" spans="1:27" ht="16.149999999999999" customHeight="1" x14ac:dyDescent="0.3">
      <c r="B10" s="354" t="s">
        <v>1038</v>
      </c>
      <c r="C10" s="354" t="s">
        <v>393</v>
      </c>
      <c r="D10" s="354" t="s">
        <v>1035</v>
      </c>
      <c r="E10" s="380"/>
      <c r="F10" s="380" t="s">
        <v>1037</v>
      </c>
      <c r="G10" s="380"/>
      <c r="H10" s="380"/>
      <c r="I10" s="380"/>
      <c r="J10" s="380"/>
      <c r="K10" s="389">
        <f t="shared" si="0"/>
        <v>14685352352.250351</v>
      </c>
      <c r="L10" s="380"/>
      <c r="M10" s="380"/>
      <c r="N10" s="380"/>
      <c r="P10" s="455">
        <f t="shared" si="1"/>
        <v>14685352352.250351</v>
      </c>
      <c r="Q10" s="389">
        <f>'1.인건비_요약'!H20</f>
        <v>2141209208.8496468</v>
      </c>
      <c r="R10" s="389">
        <f>'1.인건비_요약'!I20</f>
        <v>1865439306.1598854</v>
      </c>
      <c r="S10" s="389">
        <f>'1.인건비_요약'!J20</f>
        <v>1950223522.6248522</v>
      </c>
      <c r="T10" s="389">
        <f>'1.인건비_요약'!K20</f>
        <v>2038861181.7281516</v>
      </c>
      <c r="U10" s="389">
        <f>'1.인건비_요약'!L20</f>
        <v>2131527422.4376955</v>
      </c>
      <c r="V10" s="389">
        <f>'1.인건비_요약'!M20</f>
        <v>2228405343.7874885</v>
      </c>
      <c r="W10" s="389">
        <f>'1.인건비_요약'!N20</f>
        <v>2329686366.6626306</v>
      </c>
      <c r="X10" s="389">
        <f>'1.인건비_요약'!O20</f>
        <v>0</v>
      </c>
      <c r="Y10" s="389">
        <f>'1.인건비_요약'!P20</f>
        <v>0</v>
      </c>
      <c r="Z10" s="389">
        <f>'1.인건비_요약'!Q20</f>
        <v>0</v>
      </c>
      <c r="AA10" s="389">
        <f>'1.인건비_요약'!R20</f>
        <v>0</v>
      </c>
    </row>
    <row r="11" spans="1:27" ht="16.149999999999999" customHeight="1" x14ac:dyDescent="0.3">
      <c r="B11" s="451" t="s">
        <v>1038</v>
      </c>
      <c r="C11" s="451" t="s">
        <v>393</v>
      </c>
      <c r="D11" s="451" t="s">
        <v>1036</v>
      </c>
      <c r="E11" s="392"/>
      <c r="F11" s="491" t="s">
        <v>1166</v>
      </c>
      <c r="G11" s="392"/>
      <c r="H11" s="392"/>
      <c r="I11" s="392"/>
      <c r="J11" s="392"/>
      <c r="K11" s="447">
        <f t="shared" si="0"/>
        <v>46398536.31910336</v>
      </c>
      <c r="L11" s="380"/>
      <c r="M11" s="380"/>
      <c r="N11" s="380"/>
      <c r="P11" s="460">
        <f t="shared" si="1"/>
        <v>46398536.31910336</v>
      </c>
      <c r="Q11" s="392">
        <v>46398536.31910336</v>
      </c>
      <c r="R11" s="380">
        <v>0</v>
      </c>
      <c r="S11" s="380">
        <v>0</v>
      </c>
      <c r="T11" s="380">
        <v>0</v>
      </c>
      <c r="U11" s="380">
        <v>0</v>
      </c>
      <c r="V11" s="380">
        <v>0</v>
      </c>
      <c r="W11" s="380">
        <v>0</v>
      </c>
      <c r="X11" s="380">
        <v>0</v>
      </c>
      <c r="Y11" s="380">
        <v>0</v>
      </c>
      <c r="Z11" s="380">
        <v>0</v>
      </c>
      <c r="AA11" s="380">
        <v>0</v>
      </c>
    </row>
    <row r="12" spans="1:27" s="383" customFormat="1" ht="16.149999999999999" customHeight="1" x14ac:dyDescent="0.3">
      <c r="A12" s="378"/>
      <c r="B12" s="354" t="s">
        <v>1038</v>
      </c>
      <c r="C12" s="354" t="s">
        <v>579</v>
      </c>
      <c r="D12" s="354" t="s">
        <v>1039</v>
      </c>
      <c r="E12" s="380"/>
      <c r="F12" s="490" t="s">
        <v>1167</v>
      </c>
      <c r="G12" s="380"/>
      <c r="H12" s="380"/>
      <c r="I12" s="382"/>
      <c r="J12" s="382"/>
      <c r="K12" s="389">
        <f t="shared" si="0"/>
        <v>1262274299.9999998</v>
      </c>
      <c r="L12" s="382"/>
      <c r="M12" s="382"/>
      <c r="N12" s="382"/>
      <c r="P12" s="455">
        <f t="shared" si="1"/>
        <v>1262274299.9999998</v>
      </c>
      <c r="Q12" s="382">
        <v>180324899.99999997</v>
      </c>
      <c r="R12" s="382">
        <v>180324899.99999997</v>
      </c>
      <c r="S12" s="382">
        <v>180324899.99999997</v>
      </c>
      <c r="T12" s="382">
        <v>180324899.99999997</v>
      </c>
      <c r="U12" s="382">
        <v>180324899.99999997</v>
      </c>
      <c r="V12" s="382">
        <v>180324899.99999997</v>
      </c>
      <c r="W12" s="382">
        <v>180324899.99999997</v>
      </c>
      <c r="X12" s="382"/>
      <c r="Y12" s="382"/>
      <c r="Z12" s="382"/>
      <c r="AA12" s="382"/>
    </row>
    <row r="13" spans="1:27" ht="16.149999999999999" customHeight="1" x14ac:dyDescent="0.3">
      <c r="B13" s="453"/>
      <c r="C13" s="454"/>
      <c r="D13" s="454"/>
      <c r="E13" s="454"/>
      <c r="F13" s="454"/>
      <c r="G13" s="454"/>
      <c r="H13" s="454"/>
      <c r="I13" s="454"/>
      <c r="J13" s="454"/>
      <c r="K13" s="459">
        <f t="shared" si="0"/>
        <v>69570048693.61261</v>
      </c>
      <c r="L13" s="454"/>
      <c r="M13" s="454"/>
      <c r="N13" s="454"/>
      <c r="P13" s="457">
        <f>SUM(P6:P12)</f>
        <v>69570048693.61261</v>
      </c>
      <c r="Q13" s="452">
        <f t="shared" ref="Q13:AA13" si="2">SUM(Q6:Q12)</f>
        <v>9442037000.052084</v>
      </c>
      <c r="R13" s="452">
        <f t="shared" si="2"/>
        <v>9023965136.2305756</v>
      </c>
      <c r="S13" s="452">
        <f t="shared" si="2"/>
        <v>9400891814.3633442</v>
      </c>
      <c r="T13" s="452">
        <f t="shared" si="2"/>
        <v>9793638329.3883438</v>
      </c>
      <c r="U13" s="452">
        <f t="shared" si="2"/>
        <v>10202848627.551319</v>
      </c>
      <c r="V13" s="452">
        <f t="shared" si="2"/>
        <v>10629191588.981571</v>
      </c>
      <c r="W13" s="452">
        <f t="shared" si="2"/>
        <v>11077476197.04537</v>
      </c>
      <c r="X13" s="452">
        <f t="shared" si="2"/>
        <v>0</v>
      </c>
      <c r="Y13" s="452">
        <f t="shared" si="2"/>
        <v>0</v>
      </c>
      <c r="Z13" s="452">
        <f t="shared" si="2"/>
        <v>0</v>
      </c>
      <c r="AA13" s="452">
        <f t="shared" si="2"/>
        <v>0</v>
      </c>
    </row>
    <row r="14" spans="1:27" s="386" customFormat="1" ht="16.149999999999999" customHeight="1" thickBot="1" x14ac:dyDescent="0.35">
      <c r="A14" s="378"/>
      <c r="B14" s="384"/>
      <c r="C14" s="384"/>
      <c r="D14" s="384"/>
      <c r="E14" s="385"/>
      <c r="F14" s="385"/>
      <c r="G14" s="385"/>
      <c r="H14" s="385"/>
      <c r="I14" s="385"/>
      <c r="J14" s="385"/>
      <c r="K14" s="385"/>
      <c r="L14" s="385"/>
      <c r="M14" s="385"/>
      <c r="N14" s="385"/>
    </row>
    <row r="15" spans="1:27" s="386" customFormat="1" ht="16.149999999999999" customHeight="1" thickBot="1" x14ac:dyDescent="0.35">
      <c r="A15" s="378"/>
      <c r="B15" s="659" t="s">
        <v>599</v>
      </c>
      <c r="C15" s="78"/>
      <c r="D15" s="387"/>
    </row>
    <row r="16" spans="1:27" s="386" customFormat="1" ht="5.45" customHeight="1" x14ac:dyDescent="0.3">
      <c r="A16" s="378"/>
      <c r="B16" s="444"/>
      <c r="C16" s="388"/>
      <c r="D16" s="388"/>
      <c r="E16" s="388"/>
      <c r="F16" s="388"/>
      <c r="G16" s="388"/>
      <c r="H16" s="388"/>
      <c r="I16" s="388"/>
      <c r="J16" s="388"/>
      <c r="K16" s="388"/>
      <c r="L16" s="388"/>
      <c r="M16" s="388"/>
      <c r="N16" s="388"/>
    </row>
    <row r="17" spans="1:27" s="386" customFormat="1" ht="16.149999999999999" customHeight="1" x14ac:dyDescent="0.3">
      <c r="A17" s="378"/>
      <c r="B17" s="463" t="s">
        <v>586</v>
      </c>
      <c r="C17" s="463" t="s">
        <v>2</v>
      </c>
      <c r="D17" s="463" t="s">
        <v>3</v>
      </c>
      <c r="E17" s="463" t="s">
        <v>594</v>
      </c>
      <c r="F17" s="463" t="s">
        <v>595</v>
      </c>
      <c r="G17" s="463" t="s">
        <v>596</v>
      </c>
      <c r="H17" s="463" t="s">
        <v>597</v>
      </c>
      <c r="I17" s="463" t="s">
        <v>580</v>
      </c>
      <c r="J17" s="463" t="s">
        <v>583</v>
      </c>
      <c r="K17" s="464" t="s">
        <v>581</v>
      </c>
      <c r="L17" s="463" t="s">
        <v>582</v>
      </c>
      <c r="M17" s="463" t="s">
        <v>584</v>
      </c>
      <c r="N17" s="463" t="s">
        <v>16</v>
      </c>
      <c r="P17" s="456" t="s">
        <v>257</v>
      </c>
      <c r="Q17" s="379" t="s">
        <v>41</v>
      </c>
      <c r="R17" s="379" t="s">
        <v>139</v>
      </c>
      <c r="S17" s="379" t="s">
        <v>140</v>
      </c>
      <c r="T17" s="379" t="s">
        <v>141</v>
      </c>
      <c r="U17" s="379" t="s">
        <v>142</v>
      </c>
      <c r="V17" s="379" t="s">
        <v>143</v>
      </c>
      <c r="W17" s="379" t="s">
        <v>144</v>
      </c>
      <c r="X17" s="379" t="s">
        <v>145</v>
      </c>
      <c r="Y17" s="379" t="s">
        <v>146</v>
      </c>
      <c r="Z17" s="379" t="s">
        <v>147</v>
      </c>
      <c r="AA17" s="379" t="s">
        <v>183</v>
      </c>
    </row>
    <row r="18" spans="1:27" ht="16.149999999999999" customHeight="1" x14ac:dyDescent="0.3">
      <c r="B18" s="354" t="s">
        <v>585</v>
      </c>
      <c r="C18" s="392" t="s">
        <v>391</v>
      </c>
      <c r="D18" s="380"/>
      <c r="E18" s="380"/>
      <c r="F18" s="380" t="s">
        <v>930</v>
      </c>
      <c r="G18" s="380"/>
      <c r="H18" s="380"/>
      <c r="I18" s="380"/>
      <c r="J18" s="380"/>
      <c r="K18" s="357">
        <f>P18</f>
        <v>29192593550.740551</v>
      </c>
      <c r="L18" s="380"/>
      <c r="M18" s="380"/>
      <c r="N18" s="380"/>
      <c r="P18" s="389">
        <f>SUM(Q18:AA18)</f>
        <v>29192593550.740551</v>
      </c>
      <c r="Q18" s="389">
        <f>'1.인건비_요약'!H76+'1.인건비_요약'!H80</f>
        <v>5179863124</v>
      </c>
      <c r="R18" s="389">
        <f>'1.인건비_요약'!I76+'1.인건비_요약'!I80</f>
        <v>4435130726.8449993</v>
      </c>
      <c r="S18" s="389">
        <f>'1.인건비_요약'!J76+'1.인건비_요약'!J80</f>
        <v>4132106083.9063234</v>
      </c>
      <c r="T18" s="389">
        <f>'1.인건비_요약'!K76+'1.인건비_요약'!K80</f>
        <v>3973140320.4876475</v>
      </c>
      <c r="U18" s="389">
        <f>'1.인건비_요약'!L76+'1.인건비_요약'!L80</f>
        <v>3876998113.0849218</v>
      </c>
      <c r="V18" s="389">
        <f>'1.인건비_요약'!M76+'1.인건비_요약'!M80</f>
        <v>3770486336.8694983</v>
      </c>
      <c r="W18" s="389">
        <f>'1.인건비_요약'!N76+'1.인건비_요약'!N80</f>
        <v>3824868845.5471587</v>
      </c>
      <c r="X18" s="389">
        <f>'1.인건비_요약'!O76+'1.인건비_요약'!O80</f>
        <v>0</v>
      </c>
      <c r="Y18" s="389">
        <f>'1.인건비_요약'!P76+'1.인건비_요약'!P80</f>
        <v>0</v>
      </c>
      <c r="Z18" s="389">
        <f>'1.인건비_요약'!Q76+'1.인건비_요약'!Q80</f>
        <v>0</v>
      </c>
      <c r="AA18" s="389">
        <f>'1.인건비_요약'!R76+'1.인건비_요약'!R80</f>
        <v>0</v>
      </c>
    </row>
    <row r="19" spans="1:27" ht="16.149999999999999" customHeight="1" x14ac:dyDescent="0.3">
      <c r="B19" s="354" t="s">
        <v>585</v>
      </c>
      <c r="C19" s="380" t="s">
        <v>392</v>
      </c>
      <c r="D19" s="380"/>
      <c r="E19" s="380"/>
      <c r="F19" s="380" t="s">
        <v>930</v>
      </c>
      <c r="G19" s="380"/>
      <c r="H19" s="380"/>
      <c r="I19" s="380"/>
      <c r="J19" s="380"/>
      <c r="K19" s="389">
        <f t="shared" ref="K19:K22" si="3">P19</f>
        <v>9848752306.9327145</v>
      </c>
      <c r="L19" s="380"/>
      <c r="M19" s="380"/>
      <c r="N19" s="380"/>
      <c r="P19" s="389">
        <f t="shared" ref="P19:P50" si="4">SUM(Q19:AA19)</f>
        <v>9848752306.9327145</v>
      </c>
      <c r="Q19" s="389">
        <f>'1.인건비_요약'!H77+'1.인건비_요약'!H81</f>
        <v>1894241230.8833332</v>
      </c>
      <c r="R19" s="389">
        <f>'1.인건비_요약'!I77+'1.인건비_요약'!I81</f>
        <v>1444885317.2464371</v>
      </c>
      <c r="S19" s="389">
        <f>'1.인건비_요약'!J77+'1.인건비_요약'!J81</f>
        <v>1309823426.2088327</v>
      </c>
      <c r="T19" s="389">
        <f>'1.인건비_요약'!K77+'1.인건비_요약'!K81</f>
        <v>1301000926.5580986</v>
      </c>
      <c r="U19" s="389">
        <f>'1.인건비_요약'!L77+'1.인건비_요약'!L81</f>
        <v>1305548554.1848102</v>
      </c>
      <c r="V19" s="389">
        <f>'1.인건비_요약'!M77+'1.인건비_요약'!M81</f>
        <v>1290407145.116117</v>
      </c>
      <c r="W19" s="389">
        <f>'1.인건비_요약'!N77+'1.인건비_요약'!N81</f>
        <v>1302845706.7350838</v>
      </c>
      <c r="X19" s="389">
        <f>'1.인건비_요약'!O77+'1.인건비_요약'!O81</f>
        <v>0</v>
      </c>
      <c r="Y19" s="389">
        <f>'1.인건비_요약'!P77+'1.인건비_요약'!P81</f>
        <v>0</v>
      </c>
      <c r="Z19" s="389">
        <f>'1.인건비_요약'!Q77+'1.인건비_요약'!Q81</f>
        <v>0</v>
      </c>
      <c r="AA19" s="389">
        <f>'1.인건비_요약'!R77+'1.인건비_요약'!R81</f>
        <v>0</v>
      </c>
    </row>
    <row r="20" spans="1:27" ht="16.149999999999999" customHeight="1" x14ac:dyDescent="0.3">
      <c r="B20" s="354" t="s">
        <v>585</v>
      </c>
      <c r="C20" s="380" t="s">
        <v>393</v>
      </c>
      <c r="D20" s="380"/>
      <c r="E20" s="380"/>
      <c r="F20" s="380" t="s">
        <v>930</v>
      </c>
      <c r="G20" s="380"/>
      <c r="H20" s="380"/>
      <c r="I20" s="380"/>
      <c r="J20" s="380"/>
      <c r="K20" s="389">
        <f t="shared" si="3"/>
        <v>9817537043.6611042</v>
      </c>
      <c r="L20" s="380"/>
      <c r="M20" s="380"/>
      <c r="N20" s="380"/>
      <c r="P20" s="389">
        <f t="shared" si="4"/>
        <v>9817537043.6611042</v>
      </c>
      <c r="Q20" s="389">
        <f>'1.인건비_요약'!H78+'1.인건비_요약'!H82</f>
        <v>1864279302.958334</v>
      </c>
      <c r="R20" s="389">
        <f>'1.인건비_요약'!I78+'1.인건비_요약'!I82</f>
        <v>1479374831.4676623</v>
      </c>
      <c r="S20" s="389">
        <f>'1.인건비_요약'!J78+'1.인건비_요약'!J82</f>
        <v>1352485060.8512414</v>
      </c>
      <c r="T20" s="389">
        <f>'1.인건비_요약'!K78+'1.인건비_요약'!K82</f>
        <v>1353442891.6137331</v>
      </c>
      <c r="U20" s="389">
        <f>'1.인건비_요약'!L78+'1.인건비_요약'!L82</f>
        <v>1307477905.9252553</v>
      </c>
      <c r="V20" s="389">
        <f>'1.인건비_요약'!M78+'1.인건비_요약'!M82</f>
        <v>1255473236.0909023</v>
      </c>
      <c r="W20" s="389">
        <f>'1.인건비_요약'!N78+'1.인건비_요약'!N82</f>
        <v>1205003814.7539752</v>
      </c>
      <c r="X20" s="389">
        <f>'1.인건비_요약'!O78+'1.인건비_요약'!O82</f>
        <v>0</v>
      </c>
      <c r="Y20" s="389">
        <f>'1.인건비_요약'!P78+'1.인건비_요약'!P82</f>
        <v>0</v>
      </c>
      <c r="Z20" s="389">
        <f>'1.인건비_요약'!Q78+'1.인건비_요약'!Q82</f>
        <v>0</v>
      </c>
      <c r="AA20" s="389">
        <f>'1.인건비_요약'!R78+'1.인건비_요약'!R82</f>
        <v>0</v>
      </c>
    </row>
    <row r="21" spans="1:27" ht="16.149999999999999" customHeight="1" x14ac:dyDescent="0.3">
      <c r="B21" s="354" t="s">
        <v>585</v>
      </c>
      <c r="C21" s="380" t="s">
        <v>394</v>
      </c>
      <c r="D21" s="380"/>
      <c r="E21" s="380"/>
      <c r="F21" s="380" t="s">
        <v>930</v>
      </c>
      <c r="G21" s="380"/>
      <c r="H21" s="380"/>
      <c r="I21" s="380"/>
      <c r="J21" s="380"/>
      <c r="K21" s="389">
        <f t="shared" si="3"/>
        <v>1664163881.3496034</v>
      </c>
      <c r="L21" s="380"/>
      <c r="M21" s="380"/>
      <c r="N21" s="380"/>
      <c r="P21" s="389">
        <f t="shared" si="4"/>
        <v>1664163881.3496034</v>
      </c>
      <c r="Q21" s="389">
        <f>'1.인건비_요약'!H79+'1.인건비_요약'!H83</f>
        <v>323328442.21041662</v>
      </c>
      <c r="R21" s="389">
        <f>'1.인건비_요약'!I79+'1.인건비_요약'!I83</f>
        <v>247808774.83877078</v>
      </c>
      <c r="S21" s="389">
        <f>'1.인건비_요약'!J79+'1.인건비_요약'!J83</f>
        <v>212144805.39899936</v>
      </c>
      <c r="T21" s="389">
        <f>'1.인건비_요약'!K79+'1.인건비_요약'!K83</f>
        <v>215326977.47998431</v>
      </c>
      <c r="U21" s="389">
        <f>'1.인건비_요약'!L79+'1.인건비_요약'!L83</f>
        <v>218556882.14218405</v>
      </c>
      <c r="V21" s="389">
        <f>'1.인건비_요약'!M79+'1.인건비_요약'!M83</f>
        <v>221835235.37431672</v>
      </c>
      <c r="W21" s="389">
        <f>'1.인건비_요약'!N79+'1.인건비_요약'!N83</f>
        <v>225162763.90493149</v>
      </c>
      <c r="X21" s="389">
        <f>'1.인건비_요약'!O79+'1.인건비_요약'!O83</f>
        <v>0</v>
      </c>
      <c r="Y21" s="389">
        <f>'1.인건비_요약'!P79+'1.인건비_요약'!P83</f>
        <v>0</v>
      </c>
      <c r="Z21" s="389">
        <f>'1.인건비_요약'!Q79+'1.인건비_요약'!Q83</f>
        <v>0</v>
      </c>
      <c r="AA21" s="389">
        <f>'1.인건비_요약'!R79+'1.인건비_요약'!R83</f>
        <v>0</v>
      </c>
    </row>
    <row r="22" spans="1:27" ht="16.149999999999999" customHeight="1" x14ac:dyDescent="0.3">
      <c r="B22" s="354" t="s">
        <v>585</v>
      </c>
      <c r="C22" s="380" t="s">
        <v>587</v>
      </c>
      <c r="D22" s="380"/>
      <c r="E22" s="380"/>
      <c r="F22" s="380" t="s">
        <v>930</v>
      </c>
      <c r="G22" s="380"/>
      <c r="H22" s="380"/>
      <c r="I22" s="380"/>
      <c r="J22" s="380"/>
      <c r="K22" s="389">
        <f t="shared" si="3"/>
        <v>767775624.92854476</v>
      </c>
      <c r="L22" s="380"/>
      <c r="M22" s="380"/>
      <c r="N22" s="380"/>
      <c r="P22" s="389">
        <f t="shared" si="4"/>
        <v>767775624.92854476</v>
      </c>
      <c r="Q22" s="389">
        <f>'1.인건비_요약'!H84+'1.인건비_요약'!H85</f>
        <v>89975000</v>
      </c>
      <c r="R22" s="389">
        <f>'1.인건비_요약'!I84+'1.인건비_요약'!I85</f>
        <v>146159999.99999997</v>
      </c>
      <c r="S22" s="389">
        <f>'1.인건비_요약'!J84+'1.인건비_요약'!J85</f>
        <v>148352399.99999997</v>
      </c>
      <c r="T22" s="389">
        <f>'1.인건비_요약'!K84+'1.인건비_요약'!K85</f>
        <v>150577685.99999997</v>
      </c>
      <c r="U22" s="389">
        <f>'1.인건비_요약'!L84+'1.인건비_요약'!L85</f>
        <v>76418175.644999936</v>
      </c>
      <c r="V22" s="389">
        <f>'1.인건비_요약'!M84+'1.인건비_요약'!M85</f>
        <v>77564448.279674947</v>
      </c>
      <c r="W22" s="389">
        <f>'1.인건비_요약'!N84+'1.인건비_요약'!N85</f>
        <v>78727915.00387007</v>
      </c>
      <c r="X22" s="389">
        <f>'1.인건비_요약'!O84+'1.인건비_요약'!O85</f>
        <v>0</v>
      </c>
      <c r="Y22" s="389">
        <f>'1.인건비_요약'!P84+'1.인건비_요약'!P85</f>
        <v>0</v>
      </c>
      <c r="Z22" s="389">
        <f>'1.인건비_요약'!Q84+'1.인건비_요약'!Q85</f>
        <v>0</v>
      </c>
      <c r="AA22" s="389">
        <f>'1.인건비_요약'!R84+'1.인건비_요약'!R85</f>
        <v>0</v>
      </c>
    </row>
    <row r="23" spans="1:27" ht="16.149999999999999" customHeight="1" x14ac:dyDescent="0.3">
      <c r="B23" s="445"/>
      <c r="C23" s="441"/>
      <c r="D23" s="441"/>
      <c r="E23" s="441"/>
      <c r="F23" s="441"/>
      <c r="G23" s="441"/>
      <c r="H23" s="441"/>
      <c r="I23" s="441"/>
      <c r="J23" s="441"/>
      <c r="K23" s="458">
        <f>SUM(K18:K22)</f>
        <v>51290822407.612511</v>
      </c>
      <c r="L23" s="441"/>
      <c r="M23" s="441"/>
      <c r="N23" s="441"/>
      <c r="P23" s="458">
        <f>SUM(P18:P22)</f>
        <v>51290822407.612511</v>
      </c>
      <c r="Q23" s="442">
        <f t="shared" ref="Q23:AA23" si="5">SUM(Q18:Q22)</f>
        <v>9351687100.052084</v>
      </c>
      <c r="R23" s="442">
        <f t="shared" si="5"/>
        <v>7753359650.3978701</v>
      </c>
      <c r="S23" s="442">
        <f t="shared" si="5"/>
        <v>7154911776.3653965</v>
      </c>
      <c r="T23" s="442">
        <f t="shared" si="5"/>
        <v>6993488802.1394634</v>
      </c>
      <c r="U23" s="442">
        <f t="shared" si="5"/>
        <v>6784999630.9821701</v>
      </c>
      <c r="V23" s="442">
        <f t="shared" si="5"/>
        <v>6615766401.7305088</v>
      </c>
      <c r="W23" s="442">
        <f t="shared" si="5"/>
        <v>6636609045.9450188</v>
      </c>
      <c r="X23" s="442">
        <f t="shared" si="5"/>
        <v>0</v>
      </c>
      <c r="Y23" s="442">
        <f t="shared" si="5"/>
        <v>0</v>
      </c>
      <c r="Z23" s="442">
        <f t="shared" si="5"/>
        <v>0</v>
      </c>
      <c r="AA23" s="442">
        <f t="shared" si="5"/>
        <v>0</v>
      </c>
    </row>
    <row r="24" spans="1:27" ht="16.149999999999999" customHeight="1" x14ac:dyDescent="0.3">
      <c r="B24" s="354" t="s">
        <v>588</v>
      </c>
      <c r="C24" s="380" t="s">
        <v>606</v>
      </c>
      <c r="D24" s="380" t="s">
        <v>279</v>
      </c>
      <c r="E24" s="380"/>
      <c r="F24" s="380" t="s">
        <v>931</v>
      </c>
      <c r="G24" s="380"/>
      <c r="H24" s="380"/>
      <c r="I24" s="380"/>
      <c r="J24" s="380"/>
      <c r="K24" s="389">
        <f>P24</f>
        <v>606478333.33333337</v>
      </c>
      <c r="L24" s="380"/>
      <c r="M24" s="380"/>
      <c r="N24" s="380"/>
      <c r="P24" s="389">
        <f t="shared" si="4"/>
        <v>606478333.33333337</v>
      </c>
      <c r="Q24" s="424">
        <f>'2.구축비_요약'!H10+'2.구축비_요약'!J10</f>
        <v>606478333.33333337</v>
      </c>
      <c r="R24" s="424">
        <f>'2.구축비_요약'!K10</f>
        <v>0</v>
      </c>
      <c r="S24" s="424">
        <f>'2.구축비_요약'!L10</f>
        <v>0</v>
      </c>
      <c r="T24" s="424">
        <f>'2.구축비_요약'!M10</f>
        <v>0</v>
      </c>
      <c r="U24" s="424">
        <f>'2.구축비_요약'!N10</f>
        <v>0</v>
      </c>
      <c r="V24" s="424">
        <f>'2.구축비_요약'!O10</f>
        <v>0</v>
      </c>
      <c r="W24" s="424">
        <f>'2.구축비_요약'!P10</f>
        <v>0</v>
      </c>
      <c r="X24" s="424">
        <f>'2.구축비_요약'!Q10</f>
        <v>0</v>
      </c>
      <c r="Y24" s="424">
        <f>'2.구축비_요약'!R10</f>
        <v>0</v>
      </c>
      <c r="Z24" s="424">
        <f>'2.구축비_요약'!S10</f>
        <v>0</v>
      </c>
      <c r="AA24" s="424">
        <f>'2.구축비_요약'!T10</f>
        <v>0</v>
      </c>
    </row>
    <row r="25" spans="1:27" ht="16.149999999999999" customHeight="1" x14ac:dyDescent="0.3">
      <c r="B25" s="354" t="s">
        <v>588</v>
      </c>
      <c r="C25" s="380" t="s">
        <v>606</v>
      </c>
      <c r="D25" s="380" t="s">
        <v>316</v>
      </c>
      <c r="E25" s="380"/>
      <c r="F25" s="380" t="s">
        <v>932</v>
      </c>
      <c r="G25" s="380"/>
      <c r="H25" s="380"/>
      <c r="I25" s="380"/>
      <c r="J25" s="380"/>
      <c r="K25" s="389">
        <f t="shared" ref="K25:K38" si="6">P25</f>
        <v>192400000</v>
      </c>
      <c r="L25" s="380"/>
      <c r="M25" s="380"/>
      <c r="N25" s="380"/>
      <c r="P25" s="389">
        <f t="shared" si="4"/>
        <v>192400000</v>
      </c>
      <c r="Q25" s="424">
        <f>'2.구축비_요약'!H16+'2.구축비_요약'!J16</f>
        <v>5200000</v>
      </c>
      <c r="R25" s="424">
        <f>'2.구축비_요약'!K16</f>
        <v>31200000</v>
      </c>
      <c r="S25" s="424">
        <f>'2.구축비_요약'!L16</f>
        <v>31200000</v>
      </c>
      <c r="T25" s="424">
        <f>'2.구축비_요약'!M16</f>
        <v>31200000</v>
      </c>
      <c r="U25" s="424">
        <f>'2.구축비_요약'!N16</f>
        <v>31200000</v>
      </c>
      <c r="V25" s="424">
        <f>'2.구축비_요약'!O16</f>
        <v>31200000</v>
      </c>
      <c r="W25" s="424">
        <f>'2.구축비_요약'!P16</f>
        <v>31200000</v>
      </c>
      <c r="X25" s="424">
        <f>'2.구축비_요약'!Q16</f>
        <v>0</v>
      </c>
      <c r="Y25" s="424">
        <f>'2.구축비_요약'!R16</f>
        <v>0</v>
      </c>
      <c r="Z25" s="424">
        <f>'2.구축비_요약'!S16</f>
        <v>0</v>
      </c>
      <c r="AA25" s="424">
        <f>'2.구축비_요약'!T16</f>
        <v>0</v>
      </c>
    </row>
    <row r="26" spans="1:27" ht="16.149999999999999" customHeight="1" x14ac:dyDescent="0.3">
      <c r="B26" s="354" t="s">
        <v>588</v>
      </c>
      <c r="C26" s="380" t="s">
        <v>606</v>
      </c>
      <c r="D26" s="380" t="s">
        <v>317</v>
      </c>
      <c r="E26" s="380"/>
      <c r="F26" s="380" t="s">
        <v>933</v>
      </c>
      <c r="G26" s="380"/>
      <c r="H26" s="380"/>
      <c r="I26" s="380"/>
      <c r="J26" s="380"/>
      <c r="K26" s="389">
        <f t="shared" si="6"/>
        <v>189072500</v>
      </c>
      <c r="L26" s="380"/>
      <c r="M26" s="380"/>
      <c r="N26" s="380"/>
      <c r="P26" s="389">
        <f t="shared" si="4"/>
        <v>189072500</v>
      </c>
      <c r="Q26" s="424">
        <f>'2.구축비_요약'!H22+'2.구축비_요약'!J22</f>
        <v>0</v>
      </c>
      <c r="R26" s="424">
        <f>'2.구축비_요약'!K22</f>
        <v>0</v>
      </c>
      <c r="S26" s="424">
        <f>'2.구축비_요약'!L22</f>
        <v>37814500</v>
      </c>
      <c r="T26" s="424">
        <f>'2.구축비_요약'!M22</f>
        <v>37814500</v>
      </c>
      <c r="U26" s="424">
        <f>'2.구축비_요약'!N22</f>
        <v>37814500</v>
      </c>
      <c r="V26" s="424">
        <f>'2.구축비_요약'!O22</f>
        <v>37814500</v>
      </c>
      <c r="W26" s="424">
        <f>'2.구축비_요약'!P22</f>
        <v>37814500</v>
      </c>
      <c r="X26" s="424">
        <f>'2.구축비_요약'!Q22</f>
        <v>0</v>
      </c>
      <c r="Y26" s="424">
        <f>'2.구축비_요약'!R22</f>
        <v>0</v>
      </c>
      <c r="Z26" s="424">
        <f>'2.구축비_요약'!S22</f>
        <v>0</v>
      </c>
      <c r="AA26" s="424">
        <f>'2.구축비_요약'!T22</f>
        <v>0</v>
      </c>
    </row>
    <row r="27" spans="1:27" ht="16.149999999999999" customHeight="1" x14ac:dyDescent="0.3">
      <c r="B27" s="354" t="s">
        <v>588</v>
      </c>
      <c r="C27" s="380" t="s">
        <v>758</v>
      </c>
      <c r="D27" s="380" t="s">
        <v>279</v>
      </c>
      <c r="E27" s="380"/>
      <c r="F27" s="380" t="s">
        <v>934</v>
      </c>
      <c r="G27" s="380"/>
      <c r="H27" s="380"/>
      <c r="I27" s="380"/>
      <c r="J27" s="380"/>
      <c r="K27" s="389">
        <f t="shared" si="6"/>
        <v>210333333.33333334</v>
      </c>
      <c r="L27" s="380"/>
      <c r="M27" s="380"/>
      <c r="N27" s="380"/>
      <c r="P27" s="389">
        <f t="shared" si="4"/>
        <v>210333333.33333334</v>
      </c>
      <c r="Q27" s="424">
        <f>'2.구축비_요약'!H33+'2.구축비_요약'!J33</f>
        <v>210333333.33333334</v>
      </c>
      <c r="R27" s="424">
        <f>'2.구축비_요약'!K33</f>
        <v>0</v>
      </c>
      <c r="S27" s="424">
        <f>'2.구축비_요약'!L33</f>
        <v>0</v>
      </c>
      <c r="T27" s="424">
        <f>'2.구축비_요약'!M33</f>
        <v>0</v>
      </c>
      <c r="U27" s="424">
        <f>'2.구축비_요약'!N33</f>
        <v>0</v>
      </c>
      <c r="V27" s="424">
        <f>'2.구축비_요약'!O33</f>
        <v>0</v>
      </c>
      <c r="W27" s="424">
        <f>'2.구축비_요약'!P33</f>
        <v>0</v>
      </c>
      <c r="X27" s="424">
        <f>'2.구축비_요약'!Q33</f>
        <v>0</v>
      </c>
      <c r="Y27" s="424">
        <f>'2.구축비_요약'!R33</f>
        <v>0</v>
      </c>
      <c r="Z27" s="424">
        <f>'2.구축비_요약'!S33</f>
        <v>0</v>
      </c>
      <c r="AA27" s="424">
        <f>'2.구축비_요약'!T33</f>
        <v>0</v>
      </c>
    </row>
    <row r="28" spans="1:27" ht="16.149999999999999" customHeight="1" x14ac:dyDescent="0.3">
      <c r="B28" s="354" t="s">
        <v>588</v>
      </c>
      <c r="C28" s="380" t="s">
        <v>758</v>
      </c>
      <c r="D28" s="380" t="s">
        <v>316</v>
      </c>
      <c r="E28" s="380"/>
      <c r="F28" s="380" t="s">
        <v>935</v>
      </c>
      <c r="G28" s="380"/>
      <c r="H28" s="380"/>
      <c r="I28" s="380"/>
      <c r="J28" s="380"/>
      <c r="K28" s="389">
        <f t="shared" si="6"/>
        <v>192400000</v>
      </c>
      <c r="L28" s="380"/>
      <c r="M28" s="380"/>
      <c r="N28" s="380"/>
      <c r="P28" s="389">
        <f t="shared" si="4"/>
        <v>192400000</v>
      </c>
      <c r="Q28" s="424">
        <f>'2.구축비_요약'!H39+'2.구축비_요약'!J39</f>
        <v>5200000</v>
      </c>
      <c r="R28" s="424">
        <f>'2.구축비_요약'!K39</f>
        <v>31200000</v>
      </c>
      <c r="S28" s="424">
        <f>'2.구축비_요약'!L39</f>
        <v>31200000</v>
      </c>
      <c r="T28" s="424">
        <f>'2.구축비_요약'!M39</f>
        <v>31200000</v>
      </c>
      <c r="U28" s="424">
        <f>'2.구축비_요약'!N39</f>
        <v>31200000</v>
      </c>
      <c r="V28" s="424">
        <f>'2.구축비_요약'!O39</f>
        <v>31200000</v>
      </c>
      <c r="W28" s="424">
        <f>'2.구축비_요약'!P39</f>
        <v>31200000</v>
      </c>
      <c r="X28" s="424">
        <f>'2.구축비_요약'!Q39</f>
        <v>0</v>
      </c>
      <c r="Y28" s="424">
        <f>'2.구축비_요약'!R39</f>
        <v>0</v>
      </c>
      <c r="Z28" s="424">
        <f>'2.구축비_요약'!S39</f>
        <v>0</v>
      </c>
      <c r="AA28" s="424">
        <f>'2.구축비_요약'!T39</f>
        <v>0</v>
      </c>
    </row>
    <row r="29" spans="1:27" ht="16.149999999999999" customHeight="1" x14ac:dyDescent="0.3">
      <c r="B29" s="354" t="s">
        <v>588</v>
      </c>
      <c r="C29" s="380" t="s">
        <v>758</v>
      </c>
      <c r="D29" s="380" t="s">
        <v>317</v>
      </c>
      <c r="E29" s="380"/>
      <c r="F29" s="380" t="s">
        <v>936</v>
      </c>
      <c r="G29" s="380"/>
      <c r="H29" s="380"/>
      <c r="I29" s="380"/>
      <c r="J29" s="380"/>
      <c r="K29" s="389">
        <f t="shared" si="6"/>
        <v>0</v>
      </c>
      <c r="L29" s="380"/>
      <c r="M29" s="380"/>
      <c r="N29" s="380"/>
      <c r="P29" s="389">
        <f t="shared" si="4"/>
        <v>0</v>
      </c>
      <c r="Q29" s="424">
        <f>'2.구축비_요약'!H45+'2.구축비_요약'!J45</f>
        <v>0</v>
      </c>
      <c r="R29" s="424">
        <f>'2.구축비_요약'!K45</f>
        <v>0</v>
      </c>
      <c r="S29" s="424">
        <f>'2.구축비_요약'!L45</f>
        <v>0</v>
      </c>
      <c r="T29" s="424">
        <f>'2.구축비_요약'!M45</f>
        <v>0</v>
      </c>
      <c r="U29" s="424">
        <f>'2.구축비_요약'!N45</f>
        <v>0</v>
      </c>
      <c r="V29" s="424">
        <f>'2.구축비_요약'!O45</f>
        <v>0</v>
      </c>
      <c r="W29" s="424">
        <f>'2.구축비_요약'!P45</f>
        <v>0</v>
      </c>
      <c r="X29" s="424">
        <f>'2.구축비_요약'!Q45</f>
        <v>0</v>
      </c>
      <c r="Y29" s="424">
        <f>'2.구축비_요약'!R45</f>
        <v>0</v>
      </c>
      <c r="Z29" s="424">
        <f>'2.구축비_요약'!S45</f>
        <v>0</v>
      </c>
      <c r="AA29" s="424">
        <f>'2.구축비_요약'!T45</f>
        <v>0</v>
      </c>
    </row>
    <row r="30" spans="1:27" ht="16.149999999999999" customHeight="1" x14ac:dyDescent="0.3">
      <c r="B30" s="354" t="s">
        <v>588</v>
      </c>
      <c r="C30" s="380" t="s">
        <v>388</v>
      </c>
      <c r="D30" s="380" t="s">
        <v>279</v>
      </c>
      <c r="E30" s="380"/>
      <c r="F30" s="380" t="s">
        <v>937</v>
      </c>
      <c r="G30" s="380"/>
      <c r="H30" s="380"/>
      <c r="I30" s="380"/>
      <c r="J30" s="380"/>
      <c r="K30" s="389">
        <f t="shared" si="6"/>
        <v>475333333.33333331</v>
      </c>
      <c r="L30" s="380"/>
      <c r="M30" s="380"/>
      <c r="N30" s="380"/>
      <c r="P30" s="389">
        <f t="shared" si="4"/>
        <v>475333333.33333331</v>
      </c>
      <c r="Q30" s="424">
        <f>'2.구축비_요약'!H56+'2.구축비_요약'!J56</f>
        <v>475333333.33333331</v>
      </c>
      <c r="R30" s="424">
        <f>'2.구축비_요약'!K56</f>
        <v>0</v>
      </c>
      <c r="S30" s="424">
        <f>'2.구축비_요약'!L56</f>
        <v>0</v>
      </c>
      <c r="T30" s="424">
        <f>'2.구축비_요약'!M56</f>
        <v>0</v>
      </c>
      <c r="U30" s="424">
        <f>'2.구축비_요약'!N56</f>
        <v>0</v>
      </c>
      <c r="V30" s="424">
        <f>'2.구축비_요약'!O56</f>
        <v>0</v>
      </c>
      <c r="W30" s="424">
        <f>'2.구축비_요약'!P56</f>
        <v>0</v>
      </c>
      <c r="X30" s="424">
        <f>'2.구축비_요약'!Q56</f>
        <v>0</v>
      </c>
      <c r="Y30" s="424">
        <f>'2.구축비_요약'!R56</f>
        <v>0</v>
      </c>
      <c r="Z30" s="424">
        <f>'2.구축비_요약'!S56</f>
        <v>0</v>
      </c>
      <c r="AA30" s="424">
        <f>'2.구축비_요약'!T56</f>
        <v>0</v>
      </c>
    </row>
    <row r="31" spans="1:27" ht="16.149999999999999" customHeight="1" x14ac:dyDescent="0.3">
      <c r="B31" s="354" t="s">
        <v>588</v>
      </c>
      <c r="C31" s="380" t="s">
        <v>388</v>
      </c>
      <c r="D31" s="380" t="s">
        <v>316</v>
      </c>
      <c r="E31" s="380"/>
      <c r="F31" s="380" t="s">
        <v>938</v>
      </c>
      <c r="G31" s="380"/>
      <c r="H31" s="380"/>
      <c r="I31" s="380"/>
      <c r="J31" s="380"/>
      <c r="K31" s="389">
        <f t="shared" si="6"/>
        <v>192400000</v>
      </c>
      <c r="L31" s="380"/>
      <c r="M31" s="380"/>
      <c r="N31" s="380"/>
      <c r="P31" s="389">
        <f t="shared" si="4"/>
        <v>192400000</v>
      </c>
      <c r="Q31" s="424">
        <f>'2.구축비_요약'!H62+'2.구축비_요약'!J62</f>
        <v>5200000</v>
      </c>
      <c r="R31" s="424">
        <f>'2.구축비_요약'!K62</f>
        <v>31200000</v>
      </c>
      <c r="S31" s="424">
        <f>'2.구축비_요약'!L62</f>
        <v>31200000</v>
      </c>
      <c r="T31" s="424">
        <f>'2.구축비_요약'!M62</f>
        <v>31200000</v>
      </c>
      <c r="U31" s="424">
        <f>'2.구축비_요약'!N62</f>
        <v>31200000</v>
      </c>
      <c r="V31" s="424">
        <f>'2.구축비_요약'!O62</f>
        <v>31200000</v>
      </c>
      <c r="W31" s="424">
        <f>'2.구축비_요약'!P62</f>
        <v>31200000</v>
      </c>
      <c r="X31" s="424">
        <f>'2.구축비_요약'!Q62</f>
        <v>0</v>
      </c>
      <c r="Y31" s="424">
        <f>'2.구축비_요약'!R62</f>
        <v>0</v>
      </c>
      <c r="Z31" s="424">
        <f>'2.구축비_요약'!S62</f>
        <v>0</v>
      </c>
      <c r="AA31" s="424">
        <f>'2.구축비_요약'!T62</f>
        <v>0</v>
      </c>
    </row>
    <row r="32" spans="1:27" ht="16.149999999999999" customHeight="1" x14ac:dyDescent="0.3">
      <c r="B32" s="354" t="s">
        <v>588</v>
      </c>
      <c r="C32" s="380" t="s">
        <v>388</v>
      </c>
      <c r="D32" s="380" t="s">
        <v>317</v>
      </c>
      <c r="E32" s="380"/>
      <c r="F32" s="380" t="s">
        <v>939</v>
      </c>
      <c r="G32" s="380"/>
      <c r="H32" s="380"/>
      <c r="I32" s="380"/>
      <c r="J32" s="380"/>
      <c r="K32" s="389">
        <f t="shared" si="6"/>
        <v>0</v>
      </c>
      <c r="L32" s="380"/>
      <c r="M32" s="380"/>
      <c r="N32" s="380"/>
      <c r="P32" s="389">
        <f t="shared" si="4"/>
        <v>0</v>
      </c>
      <c r="Q32" s="424">
        <f>'2.구축비_요약'!H68+'2.구축비_요약'!J68</f>
        <v>0</v>
      </c>
      <c r="R32" s="424">
        <f>'2.구축비_요약'!K68</f>
        <v>0</v>
      </c>
      <c r="S32" s="424">
        <f>'2.구축비_요약'!L68</f>
        <v>0</v>
      </c>
      <c r="T32" s="424">
        <f>'2.구축비_요약'!M68</f>
        <v>0</v>
      </c>
      <c r="U32" s="424">
        <f>'2.구축비_요약'!N68</f>
        <v>0</v>
      </c>
      <c r="V32" s="424">
        <f>'2.구축비_요약'!O68</f>
        <v>0</v>
      </c>
      <c r="W32" s="424">
        <f>'2.구축비_요약'!P68</f>
        <v>0</v>
      </c>
      <c r="X32" s="424">
        <f>'2.구축비_요약'!Q68</f>
        <v>0</v>
      </c>
      <c r="Y32" s="424">
        <f>'2.구축비_요약'!R68</f>
        <v>0</v>
      </c>
      <c r="Z32" s="424">
        <f>'2.구축비_요약'!S68</f>
        <v>0</v>
      </c>
      <c r="AA32" s="424">
        <f>'2.구축비_요약'!T68</f>
        <v>0</v>
      </c>
    </row>
    <row r="33" spans="2:27" ht="16.149999999999999" customHeight="1" x14ac:dyDescent="0.3">
      <c r="B33" s="354" t="s">
        <v>588</v>
      </c>
      <c r="C33" s="380" t="s">
        <v>795</v>
      </c>
      <c r="D33" s="380" t="s">
        <v>279</v>
      </c>
      <c r="E33" s="380"/>
      <c r="F33" s="380" t="s">
        <v>940</v>
      </c>
      <c r="G33" s="380"/>
      <c r="H33" s="380"/>
      <c r="I33" s="380"/>
      <c r="J33" s="380"/>
      <c r="K33" s="389">
        <f t="shared" si="6"/>
        <v>231663514</v>
      </c>
      <c r="L33" s="380"/>
      <c r="M33" s="380"/>
      <c r="N33" s="380"/>
      <c r="P33" s="389">
        <f t="shared" si="4"/>
        <v>231663514</v>
      </c>
      <c r="Q33" s="424">
        <f>'2.구축비_요약'!H79+'2.구축비_요약'!J79</f>
        <v>231663514</v>
      </c>
      <c r="R33" s="424">
        <f>'2.구축비_요약'!K79</f>
        <v>0</v>
      </c>
      <c r="S33" s="424">
        <f>'2.구축비_요약'!L79</f>
        <v>0</v>
      </c>
      <c r="T33" s="424">
        <f>'2.구축비_요약'!M79</f>
        <v>0</v>
      </c>
      <c r="U33" s="424">
        <f>'2.구축비_요약'!N79</f>
        <v>0</v>
      </c>
      <c r="V33" s="424">
        <f>'2.구축비_요약'!O79</f>
        <v>0</v>
      </c>
      <c r="W33" s="424">
        <f>'2.구축비_요약'!P79</f>
        <v>0</v>
      </c>
      <c r="X33" s="424">
        <f>'2.구축비_요약'!Q79</f>
        <v>0</v>
      </c>
      <c r="Y33" s="424">
        <f>'2.구축비_요약'!R79</f>
        <v>0</v>
      </c>
      <c r="Z33" s="424">
        <f>'2.구축비_요약'!S79</f>
        <v>0</v>
      </c>
      <c r="AA33" s="424">
        <f>'2.구축비_요약'!T79</f>
        <v>0</v>
      </c>
    </row>
    <row r="34" spans="2:27" ht="16.149999999999999" customHeight="1" x14ac:dyDescent="0.3">
      <c r="B34" s="354" t="s">
        <v>588</v>
      </c>
      <c r="C34" s="380" t="s">
        <v>795</v>
      </c>
      <c r="D34" s="380" t="s">
        <v>316</v>
      </c>
      <c r="E34" s="380"/>
      <c r="F34" s="380" t="s">
        <v>941</v>
      </c>
      <c r="G34" s="380"/>
      <c r="H34" s="380"/>
      <c r="I34" s="380"/>
      <c r="J34" s="380"/>
      <c r="K34" s="389">
        <f t="shared" si="6"/>
        <v>271323216</v>
      </c>
      <c r="L34" s="380"/>
      <c r="M34" s="380"/>
      <c r="N34" s="380"/>
      <c r="P34" s="389">
        <f t="shared" si="4"/>
        <v>271323216</v>
      </c>
      <c r="Q34" s="424">
        <f>'2.구축비_요약'!H85+'2.구축비_요약'!J85</f>
        <v>0</v>
      </c>
      <c r="R34" s="424">
        <f>'2.구축비_요약'!K85</f>
        <v>45220536</v>
      </c>
      <c r="S34" s="424">
        <f>'2.구축비_요약'!L85</f>
        <v>45220536</v>
      </c>
      <c r="T34" s="424">
        <f>'2.구축비_요약'!M85</f>
        <v>45220536</v>
      </c>
      <c r="U34" s="424">
        <f>'2.구축비_요약'!N85</f>
        <v>45220536</v>
      </c>
      <c r="V34" s="424">
        <f>'2.구축비_요약'!O85</f>
        <v>45220536</v>
      </c>
      <c r="W34" s="424">
        <f>'2.구축비_요약'!P85</f>
        <v>45220536</v>
      </c>
      <c r="X34" s="424">
        <f>'2.구축비_요약'!Q85</f>
        <v>0</v>
      </c>
      <c r="Y34" s="424">
        <f>'2.구축비_요약'!R85</f>
        <v>0</v>
      </c>
      <c r="Z34" s="424">
        <f>'2.구축비_요약'!S85</f>
        <v>0</v>
      </c>
      <c r="AA34" s="424">
        <f>'2.구축비_요약'!T85</f>
        <v>0</v>
      </c>
    </row>
    <row r="35" spans="2:27" ht="16.149999999999999" customHeight="1" x14ac:dyDescent="0.3">
      <c r="B35" s="354" t="s">
        <v>588</v>
      </c>
      <c r="C35" s="380" t="s">
        <v>795</v>
      </c>
      <c r="D35" s="380" t="s">
        <v>317</v>
      </c>
      <c r="E35" s="380"/>
      <c r="F35" s="380" t="s">
        <v>942</v>
      </c>
      <c r="G35" s="380"/>
      <c r="H35" s="380"/>
      <c r="I35" s="380"/>
      <c r="J35" s="380"/>
      <c r="K35" s="389">
        <f t="shared" si="6"/>
        <v>0</v>
      </c>
      <c r="L35" s="380"/>
      <c r="M35" s="380"/>
      <c r="N35" s="380"/>
      <c r="P35" s="389">
        <f t="shared" si="4"/>
        <v>0</v>
      </c>
      <c r="Q35" s="424">
        <f>'2.구축비_요약'!H91+'2.구축비_요약'!J91</f>
        <v>0</v>
      </c>
      <c r="R35" s="424">
        <f>'2.구축비_요약'!K91</f>
        <v>0</v>
      </c>
      <c r="S35" s="424">
        <f>'2.구축비_요약'!L91</f>
        <v>0</v>
      </c>
      <c r="T35" s="424">
        <f>'2.구축비_요약'!M91</f>
        <v>0</v>
      </c>
      <c r="U35" s="424">
        <f>'2.구축비_요약'!N91</f>
        <v>0</v>
      </c>
      <c r="V35" s="424">
        <f>'2.구축비_요약'!O91</f>
        <v>0</v>
      </c>
      <c r="W35" s="424">
        <f>'2.구축비_요약'!P91</f>
        <v>0</v>
      </c>
      <c r="X35" s="424">
        <f>'2.구축비_요약'!Q91</f>
        <v>0</v>
      </c>
      <c r="Y35" s="424">
        <f>'2.구축비_요약'!R91</f>
        <v>0</v>
      </c>
      <c r="Z35" s="424">
        <f>'2.구축비_요약'!S91</f>
        <v>0</v>
      </c>
      <c r="AA35" s="424">
        <f>'2.구축비_요약'!T91</f>
        <v>0</v>
      </c>
    </row>
    <row r="36" spans="2:27" ht="16.149999999999999" customHeight="1" x14ac:dyDescent="0.3">
      <c r="B36" s="451" t="s">
        <v>588</v>
      </c>
      <c r="C36" s="392" t="s">
        <v>925</v>
      </c>
      <c r="D36" s="392" t="s">
        <v>279</v>
      </c>
      <c r="E36" s="392"/>
      <c r="F36" s="392" t="s">
        <v>943</v>
      </c>
      <c r="G36" s="392" t="s">
        <v>1168</v>
      </c>
      <c r="H36" s="380"/>
      <c r="I36" s="380"/>
      <c r="J36" s="380"/>
      <c r="K36" s="389">
        <f t="shared" si="6"/>
        <v>1821032380</v>
      </c>
      <c r="L36" s="380"/>
      <c r="M36" s="380"/>
      <c r="N36" s="380"/>
      <c r="P36" s="389">
        <f t="shared" si="4"/>
        <v>1821032380</v>
      </c>
      <c r="Q36" s="424">
        <f>'2.구축비_요약'!H102+'2.구축비_요약'!J102</f>
        <v>1821032380</v>
      </c>
      <c r="R36" s="424">
        <f>'2.구축비_요약'!K102</f>
        <v>0</v>
      </c>
      <c r="S36" s="424">
        <f>'2.구축비_요약'!L102</f>
        <v>0</v>
      </c>
      <c r="T36" s="424">
        <f>'2.구축비_요약'!M102</f>
        <v>0</v>
      </c>
      <c r="U36" s="424">
        <f>'2.구축비_요약'!N102</f>
        <v>0</v>
      </c>
      <c r="V36" s="424">
        <f>'2.구축비_요약'!O102</f>
        <v>0</v>
      </c>
      <c r="W36" s="424">
        <f>'2.구축비_요약'!P102</f>
        <v>0</v>
      </c>
      <c r="X36" s="424">
        <f>'2.구축비_요약'!Q102</f>
        <v>0</v>
      </c>
      <c r="Y36" s="424">
        <f>'2.구축비_요약'!R102</f>
        <v>0</v>
      </c>
      <c r="Z36" s="424">
        <f>'2.구축비_요약'!S102</f>
        <v>0</v>
      </c>
      <c r="AA36" s="424">
        <f>'2.구축비_요약'!T102</f>
        <v>0</v>
      </c>
    </row>
    <row r="37" spans="2:27" ht="16.149999999999999" customHeight="1" x14ac:dyDescent="0.3">
      <c r="B37" s="354" t="s">
        <v>588</v>
      </c>
      <c r="C37" s="380" t="s">
        <v>925</v>
      </c>
      <c r="D37" s="380" t="s">
        <v>316</v>
      </c>
      <c r="E37" s="380"/>
      <c r="F37" s="380" t="s">
        <v>944</v>
      </c>
      <c r="G37" s="505" t="s">
        <v>1169</v>
      </c>
      <c r="H37" s="380"/>
      <c r="I37" s="380"/>
      <c r="J37" s="380"/>
      <c r="K37" s="389">
        <f t="shared" si="6"/>
        <v>269759999.99999994</v>
      </c>
      <c r="L37" s="380"/>
      <c r="M37" s="380"/>
      <c r="N37" s="380"/>
      <c r="P37" s="389">
        <f t="shared" si="4"/>
        <v>269759999.99999994</v>
      </c>
      <c r="Q37" s="424">
        <f>'2.구축비_요약'!H108+'2.구축비_요약'!J108</f>
        <v>0</v>
      </c>
      <c r="R37" s="424">
        <f>'2.구축비_요약'!K108</f>
        <v>44959999.999999993</v>
      </c>
      <c r="S37" s="424">
        <f>'2.구축비_요약'!L108</f>
        <v>44959999.999999993</v>
      </c>
      <c r="T37" s="424">
        <f>'2.구축비_요약'!M108</f>
        <v>44959999.999999993</v>
      </c>
      <c r="U37" s="424">
        <f>'2.구축비_요약'!N108</f>
        <v>44959999.999999993</v>
      </c>
      <c r="V37" s="424">
        <f>'2.구축비_요약'!O108</f>
        <v>44959999.999999993</v>
      </c>
      <c r="W37" s="424">
        <f>'2.구축비_요약'!P108</f>
        <v>44959999.999999993</v>
      </c>
      <c r="X37" s="424">
        <f>'2.구축비_요약'!Q108</f>
        <v>0</v>
      </c>
      <c r="Y37" s="424">
        <f>'2.구축비_요약'!R108</f>
        <v>0</v>
      </c>
      <c r="Z37" s="424">
        <f>'2.구축비_요약'!S108</f>
        <v>0</v>
      </c>
      <c r="AA37" s="424">
        <f>'2.구축비_요약'!T108</f>
        <v>0</v>
      </c>
    </row>
    <row r="38" spans="2:27" ht="16.149999999999999" customHeight="1" x14ac:dyDescent="0.3">
      <c r="B38" s="354" t="s">
        <v>588</v>
      </c>
      <c r="C38" s="380" t="s">
        <v>925</v>
      </c>
      <c r="D38" s="380" t="s">
        <v>317</v>
      </c>
      <c r="E38" s="380"/>
      <c r="F38" s="380" t="s">
        <v>945</v>
      </c>
      <c r="G38" s="380"/>
      <c r="H38" s="380"/>
      <c r="I38" s="380"/>
      <c r="J38" s="380"/>
      <c r="K38" s="389">
        <f t="shared" si="6"/>
        <v>264731053.59999996</v>
      </c>
      <c r="L38" s="380"/>
      <c r="M38" s="380"/>
      <c r="N38" s="380"/>
      <c r="P38" s="389">
        <f t="shared" si="4"/>
        <v>264731053.59999996</v>
      </c>
      <c r="Q38" s="424">
        <f>'2.구축비_요약'!H114+'2.구축비_요약'!J114</f>
        <v>5148000</v>
      </c>
      <c r="R38" s="424">
        <f>'2.구축비_요약'!K114</f>
        <v>10296000</v>
      </c>
      <c r="S38" s="424">
        <f>'2.구축비_요약'!L114</f>
        <v>38620034</v>
      </c>
      <c r="T38" s="424">
        <f>'2.구축비_요약'!M114</f>
        <v>38620034</v>
      </c>
      <c r="U38" s="424">
        <f>'2.구축비_요약'!N114</f>
        <v>57348995.200000003</v>
      </c>
      <c r="V38" s="424">
        <f>'2.구축비_요약'!O114</f>
        <v>57348995.200000003</v>
      </c>
      <c r="W38" s="424">
        <f>'2.구축비_요약'!P114</f>
        <v>57348995.200000003</v>
      </c>
      <c r="X38" s="424">
        <f>'2.구축비_요약'!Q114</f>
        <v>0</v>
      </c>
      <c r="Y38" s="424">
        <f>'2.구축비_요약'!R114</f>
        <v>0</v>
      </c>
      <c r="Z38" s="424">
        <f>'2.구축비_요약'!S114</f>
        <v>0</v>
      </c>
      <c r="AA38" s="424">
        <f>'2.구축비_요약'!T114</f>
        <v>0</v>
      </c>
    </row>
    <row r="39" spans="2:27" ht="16.149999999999999" customHeight="1" x14ac:dyDescent="0.3">
      <c r="B39" s="445"/>
      <c r="C39" s="441"/>
      <c r="D39" s="441"/>
      <c r="E39" s="441"/>
      <c r="F39" s="441"/>
      <c r="G39" s="441"/>
      <c r="H39" s="441"/>
      <c r="I39" s="441"/>
      <c r="J39" s="441"/>
      <c r="K39" s="458">
        <f>SUM(K24:K38)</f>
        <v>4916927663.6000004</v>
      </c>
      <c r="L39" s="441"/>
      <c r="M39" s="441"/>
      <c r="N39" s="441"/>
      <c r="P39" s="458">
        <f>SUM(P24:P38)</f>
        <v>4916927663.6000004</v>
      </c>
      <c r="Q39" s="442">
        <f t="shared" ref="Q39:AA39" si="7">SUM(Q24:Q38)</f>
        <v>3365588894</v>
      </c>
      <c r="R39" s="442">
        <f t="shared" si="7"/>
        <v>194076536</v>
      </c>
      <c r="S39" s="442">
        <f t="shared" si="7"/>
        <v>260215070</v>
      </c>
      <c r="T39" s="442">
        <f t="shared" si="7"/>
        <v>260215070</v>
      </c>
      <c r="U39" s="442">
        <f t="shared" si="7"/>
        <v>278944031.19999999</v>
      </c>
      <c r="V39" s="442">
        <f t="shared" si="7"/>
        <v>278944031.19999999</v>
      </c>
      <c r="W39" s="442">
        <f t="shared" si="7"/>
        <v>278944031.19999999</v>
      </c>
      <c r="X39" s="442">
        <f t="shared" si="7"/>
        <v>0</v>
      </c>
      <c r="Y39" s="442">
        <f t="shared" si="7"/>
        <v>0</v>
      </c>
      <c r="Z39" s="442">
        <f t="shared" si="7"/>
        <v>0</v>
      </c>
      <c r="AA39" s="442">
        <f t="shared" si="7"/>
        <v>0</v>
      </c>
    </row>
    <row r="40" spans="2:27" ht="16.149999999999999" customHeight="1" x14ac:dyDescent="0.3">
      <c r="B40" s="354" t="s">
        <v>278</v>
      </c>
      <c r="C40" s="380" t="s">
        <v>974</v>
      </c>
      <c r="D40" s="380" t="s">
        <v>280</v>
      </c>
      <c r="E40" s="390"/>
      <c r="F40" s="390" t="s">
        <v>1000</v>
      </c>
      <c r="G40" s="380"/>
      <c r="H40" s="380"/>
      <c r="I40" s="380"/>
      <c r="J40" s="380"/>
      <c r="K40" s="389">
        <f>P40</f>
        <v>193350000</v>
      </c>
      <c r="L40" s="380"/>
      <c r="M40" s="380"/>
      <c r="N40" s="380"/>
      <c r="P40" s="389">
        <f t="shared" si="4"/>
        <v>193350000</v>
      </c>
      <c r="Q40" s="424">
        <f>'3.수행비_요약'!H5</f>
        <v>110750000</v>
      </c>
      <c r="R40" s="424">
        <f>'3.수행비_요약'!I5</f>
        <v>16600000</v>
      </c>
      <c r="S40" s="424">
        <f>'3.수행비_요약'!J5</f>
        <v>13200000</v>
      </c>
      <c r="T40" s="424">
        <f>'3.수행비_요약'!K5</f>
        <v>13200000</v>
      </c>
      <c r="U40" s="424">
        <f>'3.수행비_요약'!L5</f>
        <v>13200000</v>
      </c>
      <c r="V40" s="424">
        <f>'3.수행비_요약'!M5</f>
        <v>13200000</v>
      </c>
      <c r="W40" s="424">
        <f>'3.수행비_요약'!N5</f>
        <v>13200000</v>
      </c>
      <c r="X40" s="424">
        <f>'3.수행비_요약'!O5</f>
        <v>0</v>
      </c>
      <c r="Y40" s="424">
        <f>'3.수행비_요약'!P5</f>
        <v>0</v>
      </c>
      <c r="Z40" s="424">
        <f>'3.수행비_요약'!Q5</f>
        <v>0</v>
      </c>
      <c r="AA40" s="424">
        <f>'3.수행비_요약'!R5</f>
        <v>0</v>
      </c>
    </row>
    <row r="41" spans="2:27" ht="16.149999999999999" customHeight="1" x14ac:dyDescent="0.3">
      <c r="B41" s="451" t="s">
        <v>278</v>
      </c>
      <c r="C41" s="392" t="s">
        <v>974</v>
      </c>
      <c r="D41" s="392" t="s">
        <v>289</v>
      </c>
      <c r="E41" s="504"/>
      <c r="F41" s="504" t="s">
        <v>1001</v>
      </c>
      <c r="G41" s="392"/>
      <c r="H41" s="392"/>
      <c r="I41" s="392"/>
      <c r="J41" s="392"/>
      <c r="K41" s="447">
        <f t="shared" ref="K41:K50" si="8">P41</f>
        <v>449502800</v>
      </c>
      <c r="L41" s="380"/>
      <c r="M41" s="380"/>
      <c r="N41" s="380"/>
      <c r="P41" s="389">
        <f t="shared" si="4"/>
        <v>449502800</v>
      </c>
      <c r="Q41" s="424">
        <f>'3.수행비_요약'!H6</f>
        <v>78468285.714285702</v>
      </c>
      <c r="R41" s="424">
        <f>'3.수행비_요약'!I6</f>
        <v>64839085.714285709</v>
      </c>
      <c r="S41" s="424">
        <f>'3.수행비_요약'!J6</f>
        <v>61239085.714285709</v>
      </c>
      <c r="T41" s="424">
        <f>'3.수행비_요약'!K6</f>
        <v>61239085.714285709</v>
      </c>
      <c r="U41" s="424">
        <f>'3.수행비_요약'!L6</f>
        <v>61239085.714285709</v>
      </c>
      <c r="V41" s="424">
        <f>'3.수행비_요약'!M6</f>
        <v>61239085.714285709</v>
      </c>
      <c r="W41" s="424">
        <f>'3.수행비_요약'!N6</f>
        <v>61239085.714285709</v>
      </c>
      <c r="X41" s="424">
        <f>'3.수행비_요약'!O6</f>
        <v>0</v>
      </c>
      <c r="Y41" s="424">
        <f>'3.수행비_요약'!P6</f>
        <v>0</v>
      </c>
      <c r="Z41" s="424">
        <f>'3.수행비_요약'!Q6</f>
        <v>0</v>
      </c>
      <c r="AA41" s="424">
        <f>'3.수행비_요약'!R6</f>
        <v>0</v>
      </c>
    </row>
    <row r="42" spans="2:27" ht="16.149999999999999" customHeight="1" x14ac:dyDescent="0.3">
      <c r="B42" s="354" t="s">
        <v>278</v>
      </c>
      <c r="C42" s="380" t="s">
        <v>974</v>
      </c>
      <c r="D42" s="380" t="s">
        <v>998</v>
      </c>
      <c r="E42" s="390"/>
      <c r="F42" s="390" t="s">
        <v>1002</v>
      </c>
      <c r="G42" s="380"/>
      <c r="H42" s="380"/>
      <c r="I42" s="380"/>
      <c r="J42" s="380"/>
      <c r="K42" s="389">
        <f t="shared" si="8"/>
        <v>0</v>
      </c>
      <c r="L42" s="380"/>
      <c r="M42" s="380"/>
      <c r="N42" s="380"/>
      <c r="P42" s="389">
        <f t="shared" si="4"/>
        <v>0</v>
      </c>
      <c r="Q42" s="424">
        <f>'3.수행비_요약'!H7</f>
        <v>0</v>
      </c>
      <c r="R42" s="424">
        <f>'3.수행비_요약'!I7</f>
        <v>0</v>
      </c>
      <c r="S42" s="424">
        <f>'3.수행비_요약'!J7</f>
        <v>0</v>
      </c>
      <c r="T42" s="424">
        <f>'3.수행비_요약'!K7</f>
        <v>0</v>
      </c>
      <c r="U42" s="424">
        <f>'3.수행비_요약'!L7</f>
        <v>0</v>
      </c>
      <c r="V42" s="424">
        <f>'3.수행비_요약'!M7</f>
        <v>0</v>
      </c>
      <c r="W42" s="424">
        <f>'3.수행비_요약'!N7</f>
        <v>0</v>
      </c>
      <c r="X42" s="424">
        <f>'3.수행비_요약'!O7</f>
        <v>0</v>
      </c>
      <c r="Y42" s="424">
        <f>'3.수행비_요약'!P7</f>
        <v>0</v>
      </c>
      <c r="Z42" s="424">
        <f>'3.수행비_요약'!Q7</f>
        <v>0</v>
      </c>
      <c r="AA42" s="389">
        <f t="shared" ref="AA42:AA50" si="9">SUM(AB42:AL42)</f>
        <v>0</v>
      </c>
    </row>
    <row r="43" spans="2:27" ht="16.149999999999999" customHeight="1" x14ac:dyDescent="0.3">
      <c r="B43" s="354" t="s">
        <v>278</v>
      </c>
      <c r="C43" s="380" t="s">
        <v>448</v>
      </c>
      <c r="D43" s="380">
        <v>0</v>
      </c>
      <c r="E43" s="390"/>
      <c r="F43" s="390" t="s">
        <v>1003</v>
      </c>
      <c r="G43" s="380"/>
      <c r="H43" s="380"/>
      <c r="I43" s="380"/>
      <c r="J43" s="380"/>
      <c r="K43" s="389">
        <f t="shared" si="8"/>
        <v>10000000</v>
      </c>
      <c r="L43" s="380"/>
      <c r="M43" s="380"/>
      <c r="N43" s="380"/>
      <c r="P43" s="389">
        <f t="shared" si="4"/>
        <v>10000000</v>
      </c>
      <c r="Q43" s="424">
        <f>'3.수행비_요약'!H8</f>
        <v>10000000</v>
      </c>
      <c r="R43" s="424">
        <f>'3.수행비_요약'!I8</f>
        <v>0</v>
      </c>
      <c r="S43" s="424">
        <f>'3.수행비_요약'!J8</f>
        <v>0</v>
      </c>
      <c r="T43" s="424">
        <f>'3.수행비_요약'!K8</f>
        <v>0</v>
      </c>
      <c r="U43" s="424">
        <f>'3.수행비_요약'!L8</f>
        <v>0</v>
      </c>
      <c r="V43" s="424">
        <f>'3.수행비_요약'!M8</f>
        <v>0</v>
      </c>
      <c r="W43" s="424">
        <f>'3.수행비_요약'!N8</f>
        <v>0</v>
      </c>
      <c r="X43" s="424">
        <f>'3.수행비_요약'!O8</f>
        <v>0</v>
      </c>
      <c r="Y43" s="424">
        <f>'3.수행비_요약'!P8</f>
        <v>0</v>
      </c>
      <c r="Z43" s="424">
        <f>'3.수행비_요약'!Q8</f>
        <v>0</v>
      </c>
      <c r="AA43" s="389">
        <f t="shared" si="9"/>
        <v>0</v>
      </c>
    </row>
    <row r="44" spans="2:27" ht="16.149999999999999" customHeight="1" x14ac:dyDescent="0.3">
      <c r="B44" s="354" t="s">
        <v>278</v>
      </c>
      <c r="C44" s="380" t="s">
        <v>449</v>
      </c>
      <c r="D44" s="380">
        <v>0</v>
      </c>
      <c r="E44" s="391"/>
      <c r="F44" s="390" t="s">
        <v>1004</v>
      </c>
      <c r="G44" s="380"/>
      <c r="H44" s="380"/>
      <c r="I44" s="380"/>
      <c r="J44" s="380"/>
      <c r="K44" s="389">
        <f t="shared" si="8"/>
        <v>8400000</v>
      </c>
      <c r="L44" s="380"/>
      <c r="M44" s="380"/>
      <c r="N44" s="380"/>
      <c r="P44" s="389">
        <f t="shared" si="4"/>
        <v>8400000</v>
      </c>
      <c r="Q44" s="424">
        <f>'3.수행비_요약'!H9</f>
        <v>1200000</v>
      </c>
      <c r="R44" s="424">
        <f>'3.수행비_요약'!I9</f>
        <v>1200000</v>
      </c>
      <c r="S44" s="424">
        <f>'3.수행비_요약'!J9</f>
        <v>1200000</v>
      </c>
      <c r="T44" s="424">
        <f>'3.수행비_요약'!K9</f>
        <v>1200000</v>
      </c>
      <c r="U44" s="424">
        <f>'3.수행비_요약'!L9</f>
        <v>1200000</v>
      </c>
      <c r="V44" s="424">
        <f>'3.수행비_요약'!M9</f>
        <v>1200000</v>
      </c>
      <c r="W44" s="424">
        <f>'3.수행비_요약'!N9</f>
        <v>1200000</v>
      </c>
      <c r="X44" s="424">
        <f>'3.수행비_요약'!O9</f>
        <v>0</v>
      </c>
      <c r="Y44" s="424">
        <f>'3.수행비_요약'!P9</f>
        <v>0</v>
      </c>
      <c r="Z44" s="424">
        <f>'3.수행비_요약'!Q9</f>
        <v>0</v>
      </c>
      <c r="AA44" s="389">
        <f t="shared" si="9"/>
        <v>0</v>
      </c>
    </row>
    <row r="45" spans="2:27" ht="16.149999999999999" customHeight="1" x14ac:dyDescent="0.3">
      <c r="B45" s="354" t="s">
        <v>278</v>
      </c>
      <c r="C45" s="380" t="s">
        <v>976</v>
      </c>
      <c r="D45" s="380" t="s">
        <v>977</v>
      </c>
      <c r="E45" s="391"/>
      <c r="F45" s="390" t="s">
        <v>1005</v>
      </c>
      <c r="G45" s="380"/>
      <c r="H45" s="380"/>
      <c r="I45" s="380"/>
      <c r="J45" s="380"/>
      <c r="K45" s="389">
        <f t="shared" si="8"/>
        <v>21351408.833333336</v>
      </c>
      <c r="L45" s="380"/>
      <c r="M45" s="380"/>
      <c r="N45" s="380"/>
      <c r="P45" s="389">
        <f t="shared" si="4"/>
        <v>21351408.833333336</v>
      </c>
      <c r="Q45" s="424">
        <f>'3.수행비_요약'!H10</f>
        <v>21351408.833333336</v>
      </c>
      <c r="R45" s="424">
        <f>'3.수행비_요약'!I10</f>
        <v>0</v>
      </c>
      <c r="S45" s="424">
        <f>'3.수행비_요약'!J10</f>
        <v>0</v>
      </c>
      <c r="T45" s="424">
        <f>'3.수행비_요약'!K10</f>
        <v>0</v>
      </c>
      <c r="U45" s="424">
        <f>'3.수행비_요약'!L10</f>
        <v>0</v>
      </c>
      <c r="V45" s="424">
        <f>'3.수행비_요약'!M10</f>
        <v>0</v>
      </c>
      <c r="W45" s="424">
        <f>'3.수행비_요약'!N10</f>
        <v>0</v>
      </c>
      <c r="X45" s="424">
        <f>'3.수행비_요약'!O10</f>
        <v>0</v>
      </c>
      <c r="Y45" s="424">
        <f>'3.수행비_요약'!P10</f>
        <v>0</v>
      </c>
      <c r="Z45" s="424">
        <f>'3.수행비_요약'!Q10</f>
        <v>0</v>
      </c>
      <c r="AA45" s="389">
        <f t="shared" si="9"/>
        <v>0</v>
      </c>
    </row>
    <row r="46" spans="2:27" ht="16.149999999999999" customHeight="1" x14ac:dyDescent="0.3">
      <c r="B46" s="354" t="s">
        <v>278</v>
      </c>
      <c r="C46" s="380" t="s">
        <v>976</v>
      </c>
      <c r="D46" s="380" t="s">
        <v>14</v>
      </c>
      <c r="E46" s="391"/>
      <c r="F46" s="390" t="s">
        <v>1006</v>
      </c>
      <c r="G46" s="380"/>
      <c r="H46" s="380"/>
      <c r="I46" s="380"/>
      <c r="J46" s="380"/>
      <c r="K46" s="389">
        <f t="shared" si="8"/>
        <v>538116200.63467062</v>
      </c>
      <c r="L46" s="380"/>
      <c r="M46" s="380"/>
      <c r="N46" s="380"/>
      <c r="P46" s="389">
        <f t="shared" si="4"/>
        <v>538116200.63467062</v>
      </c>
      <c r="Q46" s="424">
        <f>'3.수행비_요약'!H11</f>
        <v>427408597.2095269</v>
      </c>
      <c r="R46" s="424">
        <f>'3.수행비_요약'!I11</f>
        <v>110707603.42514367</v>
      </c>
      <c r="S46" s="424">
        <f>'3.수행비_요약'!J11</f>
        <v>0</v>
      </c>
      <c r="T46" s="424">
        <f>'3.수행비_요약'!K11</f>
        <v>0</v>
      </c>
      <c r="U46" s="424">
        <f>'3.수행비_요약'!L11</f>
        <v>0</v>
      </c>
      <c r="V46" s="424">
        <f>'3.수행비_요약'!M11</f>
        <v>0</v>
      </c>
      <c r="W46" s="424">
        <f>'3.수행비_요약'!N11</f>
        <v>0</v>
      </c>
      <c r="X46" s="424">
        <f>'3.수행비_요약'!O11</f>
        <v>0</v>
      </c>
      <c r="Y46" s="424">
        <f>'3.수행비_요약'!P11</f>
        <v>0</v>
      </c>
      <c r="Z46" s="424">
        <f>'3.수행비_요약'!Q11</f>
        <v>0</v>
      </c>
      <c r="AA46" s="389">
        <f t="shared" si="9"/>
        <v>0</v>
      </c>
    </row>
    <row r="47" spans="2:27" ht="16.149999999999999" customHeight="1" x14ac:dyDescent="0.3">
      <c r="B47" s="354" t="s">
        <v>278</v>
      </c>
      <c r="C47" s="380" t="s">
        <v>976</v>
      </c>
      <c r="D47" s="380" t="s">
        <v>152</v>
      </c>
      <c r="E47" s="390"/>
      <c r="F47" s="390" t="s">
        <v>1007</v>
      </c>
      <c r="G47" s="380"/>
      <c r="H47" s="380"/>
      <c r="I47" s="380"/>
      <c r="J47" s="380"/>
      <c r="K47" s="389">
        <f t="shared" si="8"/>
        <v>1506702383.5402379</v>
      </c>
      <c r="L47" s="380"/>
      <c r="M47" s="380"/>
      <c r="N47" s="380"/>
      <c r="P47" s="389">
        <f t="shared" si="4"/>
        <v>1506702383.5402379</v>
      </c>
      <c r="Q47" s="424">
        <f>'3.수행비_요약'!H12</f>
        <v>131625300.55178569</v>
      </c>
      <c r="R47" s="424">
        <f>'3.수행비_요약'!I12</f>
        <v>229179513.83140868</v>
      </c>
      <c r="S47" s="424">
        <f>'3.수행비_요약'!J12</f>
        <v>229179513.83140868</v>
      </c>
      <c r="T47" s="424">
        <f>'3.수행비_요약'!K12</f>
        <v>229179513.83140868</v>
      </c>
      <c r="U47" s="424">
        <f>'3.수행비_요약'!L12</f>
        <v>229179513.83140868</v>
      </c>
      <c r="V47" s="424">
        <f>'3.수행비_요약'!M12</f>
        <v>229179513.83140868</v>
      </c>
      <c r="W47" s="424">
        <f>'3.수행비_요약'!N12</f>
        <v>229179513.83140868</v>
      </c>
      <c r="X47" s="424">
        <f>'3.수행비_요약'!O12</f>
        <v>0</v>
      </c>
      <c r="Y47" s="424">
        <f>'3.수행비_요약'!P12</f>
        <v>0</v>
      </c>
      <c r="Z47" s="424">
        <f>'3.수행비_요약'!Q12</f>
        <v>0</v>
      </c>
      <c r="AA47" s="389">
        <f t="shared" si="9"/>
        <v>0</v>
      </c>
    </row>
    <row r="48" spans="2:27" ht="16.149999999999999" customHeight="1" x14ac:dyDescent="0.3">
      <c r="B48" s="354" t="s">
        <v>278</v>
      </c>
      <c r="C48" s="380" t="s">
        <v>457</v>
      </c>
      <c r="D48" s="380">
        <v>0</v>
      </c>
      <c r="E48" s="390"/>
      <c r="F48" s="390" t="s">
        <v>1008</v>
      </c>
      <c r="G48" s="380"/>
      <c r="H48" s="380"/>
      <c r="I48" s="380"/>
      <c r="J48" s="380"/>
      <c r="K48" s="389">
        <f t="shared" si="8"/>
        <v>3408932385.9870186</v>
      </c>
      <c r="L48" s="380"/>
      <c r="M48" s="380"/>
      <c r="N48" s="380"/>
      <c r="P48" s="389">
        <f t="shared" si="4"/>
        <v>3408932385.9870186</v>
      </c>
      <c r="Q48" s="424">
        <f>'3.수행비_요약'!H13</f>
        <v>486990340.85528833</v>
      </c>
      <c r="R48" s="424">
        <f>'3.수행비_요약'!I13</f>
        <v>486990340.85528833</v>
      </c>
      <c r="S48" s="424">
        <f>'3.수행비_요약'!J13</f>
        <v>486990340.85528833</v>
      </c>
      <c r="T48" s="424">
        <f>'3.수행비_요약'!K13</f>
        <v>486990340.85528833</v>
      </c>
      <c r="U48" s="424">
        <f>'3.수행비_요약'!L13</f>
        <v>486990340.85528833</v>
      </c>
      <c r="V48" s="424">
        <f>'3.수행비_요약'!M13</f>
        <v>486990340.85528833</v>
      </c>
      <c r="W48" s="424">
        <f>'3.수행비_요약'!N13</f>
        <v>486990340.85528833</v>
      </c>
      <c r="X48" s="424">
        <f>'3.수행비_요약'!O13</f>
        <v>0</v>
      </c>
      <c r="Y48" s="424">
        <f>'3.수행비_요약'!P13</f>
        <v>0</v>
      </c>
      <c r="Z48" s="424">
        <f>'3.수행비_요약'!Q13</f>
        <v>0</v>
      </c>
      <c r="AA48" s="389">
        <f t="shared" si="9"/>
        <v>0</v>
      </c>
    </row>
    <row r="49" spans="2:27" ht="16.149999999999999" customHeight="1" x14ac:dyDescent="0.3">
      <c r="B49" s="354" t="s">
        <v>278</v>
      </c>
      <c r="C49" s="380" t="s">
        <v>458</v>
      </c>
      <c r="D49" s="380" t="s">
        <v>459</v>
      </c>
      <c r="E49" s="390"/>
      <c r="F49" s="390" t="s">
        <v>1009</v>
      </c>
      <c r="G49" s="380"/>
      <c r="H49" s="380"/>
      <c r="I49" s="380"/>
      <c r="J49" s="380"/>
      <c r="K49" s="389">
        <f t="shared" si="8"/>
        <v>1574052228.7542739</v>
      </c>
      <c r="L49" s="380"/>
      <c r="M49" s="380"/>
      <c r="N49" s="380"/>
      <c r="P49" s="389">
        <f t="shared" si="4"/>
        <v>1574052228.7542739</v>
      </c>
      <c r="Q49" s="424">
        <f>'3.수행비_요약'!H14</f>
        <v>0</v>
      </c>
      <c r="R49" s="424">
        <f>'3.수행비_요약'!I14</f>
        <v>262342038.12571231</v>
      </c>
      <c r="S49" s="424">
        <f>'3.수행비_요약'!J14</f>
        <v>262342038.12571231</v>
      </c>
      <c r="T49" s="424">
        <f>'3.수행비_요약'!K14</f>
        <v>262342038.12571231</v>
      </c>
      <c r="U49" s="424">
        <f>'3.수행비_요약'!L14</f>
        <v>262342038.12571231</v>
      </c>
      <c r="V49" s="424">
        <f>'3.수행비_요약'!M14</f>
        <v>262342038.12571231</v>
      </c>
      <c r="W49" s="424">
        <f>'3.수행비_요약'!N14</f>
        <v>262342038.12571231</v>
      </c>
      <c r="X49" s="424">
        <f>'3.수행비_요약'!O14</f>
        <v>0</v>
      </c>
      <c r="Y49" s="424">
        <f>'3.수행비_요약'!P14</f>
        <v>0</v>
      </c>
      <c r="Z49" s="424">
        <f>'3.수행비_요약'!Q14</f>
        <v>0</v>
      </c>
      <c r="AA49" s="389">
        <f t="shared" si="9"/>
        <v>0</v>
      </c>
    </row>
    <row r="50" spans="2:27" ht="16.149999999999999" customHeight="1" x14ac:dyDescent="0.3">
      <c r="B50" s="354" t="s">
        <v>278</v>
      </c>
      <c r="C50" s="380" t="s">
        <v>458</v>
      </c>
      <c r="D50" s="380" t="s">
        <v>460</v>
      </c>
      <c r="E50" s="380"/>
      <c r="F50" s="390" t="s">
        <v>1010</v>
      </c>
      <c r="G50" s="380"/>
      <c r="H50" s="380"/>
      <c r="I50" s="380"/>
      <c r="J50" s="380"/>
      <c r="K50" s="389">
        <f t="shared" si="8"/>
        <v>300000000</v>
      </c>
      <c r="L50" s="380"/>
      <c r="M50" s="380"/>
      <c r="N50" s="380"/>
      <c r="P50" s="389">
        <f t="shared" si="4"/>
        <v>300000000</v>
      </c>
      <c r="Q50" s="424">
        <f>'3.수행비_요약'!H15</f>
        <v>300000000</v>
      </c>
      <c r="R50" s="424">
        <f>'3.수행비_요약'!I15</f>
        <v>0</v>
      </c>
      <c r="S50" s="424">
        <f>'3.수행비_요약'!J15</f>
        <v>0</v>
      </c>
      <c r="T50" s="424">
        <f>'3.수행비_요약'!K15</f>
        <v>0</v>
      </c>
      <c r="U50" s="424">
        <f>'3.수행비_요약'!L15</f>
        <v>0</v>
      </c>
      <c r="V50" s="424">
        <f>'3.수행비_요약'!M15</f>
        <v>0</v>
      </c>
      <c r="W50" s="424">
        <f>'3.수행비_요약'!N15</f>
        <v>0</v>
      </c>
      <c r="X50" s="424">
        <f>'3.수행비_요약'!O15</f>
        <v>0</v>
      </c>
      <c r="Y50" s="424">
        <f>'3.수행비_요약'!P15</f>
        <v>0</v>
      </c>
      <c r="Z50" s="424">
        <f>'3.수행비_요약'!Q15</f>
        <v>0</v>
      </c>
      <c r="AA50" s="389">
        <f t="shared" si="9"/>
        <v>0</v>
      </c>
    </row>
    <row r="51" spans="2:27" ht="16.149999999999999" customHeight="1" x14ac:dyDescent="0.3">
      <c r="B51" s="445"/>
      <c r="C51" s="441"/>
      <c r="D51" s="441"/>
      <c r="E51" s="441"/>
      <c r="F51" s="441"/>
      <c r="G51" s="441"/>
      <c r="H51" s="441"/>
      <c r="I51" s="441"/>
      <c r="J51" s="441"/>
      <c r="K51" s="458">
        <f>SUM(K40:K50)</f>
        <v>8010407407.7495346</v>
      </c>
      <c r="L51" s="441"/>
      <c r="M51" s="441"/>
      <c r="N51" s="441"/>
      <c r="P51" s="458">
        <f>SUM(P40:P50)</f>
        <v>8010407407.7495346</v>
      </c>
      <c r="Q51" s="442">
        <f t="shared" ref="Q51:AA51" si="10">SUM(Q40:Q50)</f>
        <v>1567793933.1642199</v>
      </c>
      <c r="R51" s="442">
        <f t="shared" si="10"/>
        <v>1171858581.9518387</v>
      </c>
      <c r="S51" s="442">
        <f t="shared" si="10"/>
        <v>1054150978.5266949</v>
      </c>
      <c r="T51" s="442">
        <f t="shared" si="10"/>
        <v>1054150978.5266949</v>
      </c>
      <c r="U51" s="442">
        <f t="shared" si="10"/>
        <v>1054150978.5266949</v>
      </c>
      <c r="V51" s="442">
        <f t="shared" si="10"/>
        <v>1054150978.5266949</v>
      </c>
      <c r="W51" s="442">
        <f t="shared" si="10"/>
        <v>1054150978.5266949</v>
      </c>
      <c r="X51" s="442">
        <f t="shared" si="10"/>
        <v>0</v>
      </c>
      <c r="Y51" s="442">
        <f t="shared" si="10"/>
        <v>0</v>
      </c>
      <c r="Z51" s="442">
        <f t="shared" si="10"/>
        <v>0</v>
      </c>
      <c r="AA51" s="442">
        <f t="shared" si="10"/>
        <v>0</v>
      </c>
    </row>
    <row r="52" spans="2:27" ht="16.149999999999999" customHeight="1" thickBot="1" x14ac:dyDescent="0.35">
      <c r="P52" s="440"/>
    </row>
    <row r="53" spans="2:27" ht="16.149999999999999" customHeight="1" thickBot="1" x14ac:dyDescent="0.35">
      <c r="B53" s="659" t="s">
        <v>600</v>
      </c>
      <c r="C53" s="387"/>
      <c r="D53" s="387"/>
      <c r="E53" s="386"/>
      <c r="F53" s="386"/>
      <c r="G53" s="386"/>
      <c r="H53" s="386"/>
      <c r="I53" s="386"/>
      <c r="J53" s="386"/>
      <c r="K53" s="386"/>
      <c r="L53" s="386"/>
      <c r="M53" s="386"/>
      <c r="N53" s="386"/>
    </row>
    <row r="54" spans="2:27" ht="5.45" customHeight="1" x14ac:dyDescent="0.3">
      <c r="B54" s="444"/>
      <c r="C54" s="388"/>
      <c r="D54" s="388"/>
      <c r="E54" s="388"/>
      <c r="F54" s="388"/>
      <c r="G54" s="388"/>
      <c r="H54" s="388"/>
      <c r="I54" s="388"/>
      <c r="J54" s="388"/>
      <c r="K54" s="388"/>
      <c r="L54" s="388"/>
      <c r="M54" s="388"/>
      <c r="N54" s="388"/>
    </row>
    <row r="55" spans="2:27" ht="16.149999999999999" customHeight="1" x14ac:dyDescent="0.3">
      <c r="B55" s="379" t="s">
        <v>586</v>
      </c>
      <c r="C55" s="379" t="s">
        <v>2</v>
      </c>
      <c r="D55" s="379" t="s">
        <v>3</v>
      </c>
      <c r="E55" s="379" t="s">
        <v>594</v>
      </c>
      <c r="F55" s="379" t="s">
        <v>595</v>
      </c>
      <c r="G55" s="379" t="s">
        <v>596</v>
      </c>
      <c r="H55" s="379" t="s">
        <v>597</v>
      </c>
      <c r="I55" s="379" t="s">
        <v>580</v>
      </c>
      <c r="J55" s="379" t="s">
        <v>583</v>
      </c>
      <c r="K55" s="462" t="s">
        <v>581</v>
      </c>
      <c r="L55" s="379" t="s">
        <v>582</v>
      </c>
      <c r="M55" s="379" t="s">
        <v>584</v>
      </c>
      <c r="N55" s="379" t="s">
        <v>16</v>
      </c>
      <c r="P55" s="379" t="s">
        <v>257</v>
      </c>
      <c r="Q55" s="379" t="s">
        <v>41</v>
      </c>
      <c r="R55" s="379" t="s">
        <v>139</v>
      </c>
      <c r="S55" s="379" t="s">
        <v>140</v>
      </c>
      <c r="T55" s="379" t="s">
        <v>141</v>
      </c>
      <c r="U55" s="379" t="s">
        <v>142</v>
      </c>
      <c r="V55" s="379" t="s">
        <v>143</v>
      </c>
      <c r="W55" s="379" t="s">
        <v>144</v>
      </c>
      <c r="X55" s="379" t="s">
        <v>145</v>
      </c>
      <c r="Y55" s="379" t="s">
        <v>146</v>
      </c>
      <c r="Z55" s="379" t="s">
        <v>147</v>
      </c>
      <c r="AA55" s="379" t="s">
        <v>183</v>
      </c>
    </row>
    <row r="56" spans="2:27" ht="16.149999999999999" customHeight="1" x14ac:dyDescent="0.3">
      <c r="B56" s="446" t="s">
        <v>601</v>
      </c>
      <c r="C56" s="380" t="s">
        <v>602</v>
      </c>
      <c r="D56" s="380"/>
      <c r="E56" s="380"/>
      <c r="F56" s="380"/>
      <c r="G56" s="380"/>
      <c r="H56" s="380"/>
      <c r="I56" s="380"/>
      <c r="J56" s="380"/>
      <c r="K56" s="389">
        <f>K13-K23-K39-K51</f>
        <v>5351891214.6505642</v>
      </c>
      <c r="L56" s="380"/>
      <c r="M56" s="380"/>
      <c r="N56" s="380"/>
      <c r="P56" s="380"/>
      <c r="Q56" s="380"/>
      <c r="R56" s="380"/>
      <c r="S56" s="380"/>
      <c r="T56" s="380"/>
      <c r="U56" s="380"/>
      <c r="V56" s="380"/>
      <c r="W56" s="380"/>
      <c r="X56" s="380"/>
      <c r="Y56" s="380"/>
      <c r="Z56" s="380"/>
      <c r="AA56" s="380"/>
    </row>
    <row r="57" spans="2:27" ht="16.149999999999999" customHeight="1" x14ac:dyDescent="0.3">
      <c r="B57" s="446" t="s">
        <v>601</v>
      </c>
      <c r="C57" s="380" t="s">
        <v>603</v>
      </c>
      <c r="D57" s="380"/>
      <c r="E57" s="380"/>
      <c r="F57" s="380"/>
      <c r="G57" s="380"/>
      <c r="H57" s="380"/>
      <c r="I57" s="380"/>
      <c r="J57" s="380"/>
      <c r="K57" s="461">
        <f>K56/K13</f>
        <v>7.692809355675978E-2</v>
      </c>
      <c r="L57" s="380"/>
      <c r="M57" s="380"/>
      <c r="N57" s="380"/>
      <c r="P57" s="380"/>
      <c r="Q57" s="380"/>
      <c r="R57" s="380"/>
      <c r="S57" s="380"/>
      <c r="T57" s="380"/>
      <c r="U57" s="380"/>
      <c r="V57" s="380"/>
      <c r="W57" s="380"/>
      <c r="X57" s="380"/>
      <c r="Y57" s="380"/>
      <c r="Z57" s="380"/>
      <c r="AA57" s="380"/>
    </row>
    <row r="58" spans="2:27" ht="16.149999999999999" customHeight="1" x14ac:dyDescent="0.3">
      <c r="B58" s="354" t="s">
        <v>604</v>
      </c>
      <c r="C58" s="380" t="s">
        <v>605</v>
      </c>
      <c r="D58" s="380"/>
      <c r="E58" s="380"/>
      <c r="F58" s="380"/>
      <c r="G58" s="380"/>
      <c r="H58" s="380"/>
      <c r="I58" s="380"/>
      <c r="J58" s="380"/>
      <c r="K58" s="380"/>
      <c r="L58" s="380"/>
      <c r="M58" s="380"/>
      <c r="N58" s="380"/>
      <c r="P58" s="354"/>
      <c r="Q58" s="354"/>
      <c r="R58" s="354"/>
      <c r="S58" s="354"/>
      <c r="T58" s="354"/>
      <c r="U58" s="354"/>
      <c r="V58" s="354"/>
      <c r="W58" s="354"/>
      <c r="X58" s="354"/>
      <c r="Y58" s="354"/>
      <c r="Z58" s="354"/>
      <c r="AA58" s="354"/>
    </row>
  </sheetData>
  <phoneticPr fontId="1" type="noConversion"/>
  <hyperlinks>
    <hyperlink ref="A1" location="HOME!A1" display="HOME" xr:uid="{00000000-0004-0000-0600-000000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2_Sheet">
    <tabColor rgb="FFFFC000"/>
  </sheetPr>
  <dimension ref="A1:AB90"/>
  <sheetViews>
    <sheetView showGridLines="0" topLeftCell="A79" zoomScale="85" zoomScaleNormal="85" workbookViewId="0">
      <selection sqref="A1:XFD1"/>
    </sheetView>
  </sheetViews>
  <sheetFormatPr defaultColWidth="8.75" defaultRowHeight="17.45" customHeight="1" x14ac:dyDescent="0.3"/>
  <cols>
    <col min="1" max="1" width="8.75" style="106" customWidth="1"/>
    <col min="2" max="2" width="3.375" style="2" customWidth="1"/>
    <col min="3" max="5" width="7.125" style="2" customWidth="1"/>
    <col min="6" max="6" width="9.25" style="3" bestFit="1" customWidth="1"/>
    <col min="7" max="7" width="14" style="2" bestFit="1" customWidth="1"/>
    <col min="8" max="17" width="12.875" style="2" bestFit="1" customWidth="1"/>
    <col min="18" max="18" width="4.375" style="2" bestFit="1" customWidth="1"/>
    <col min="19" max="19" width="6.875" style="2" bestFit="1" customWidth="1"/>
    <col min="20" max="16384" width="8.75" style="2"/>
  </cols>
  <sheetData>
    <row r="1" spans="1:18" ht="21.75" customHeight="1" thickBot="1" x14ac:dyDescent="0.35">
      <c r="A1" s="113" t="s">
        <v>325</v>
      </c>
      <c r="C1" s="125" t="s">
        <v>329</v>
      </c>
      <c r="D1" s="108"/>
      <c r="E1" s="108"/>
      <c r="F1" s="164"/>
      <c r="G1" s="107"/>
      <c r="H1" s="107"/>
      <c r="I1" s="107"/>
      <c r="J1" s="107"/>
      <c r="K1" s="107"/>
      <c r="L1" s="107"/>
      <c r="M1" s="107"/>
      <c r="N1" s="107"/>
      <c r="O1" s="107"/>
      <c r="P1" s="107"/>
      <c r="Q1" s="107"/>
      <c r="R1" s="107"/>
    </row>
    <row r="2" spans="1:18" ht="17.45" customHeight="1" thickTop="1" x14ac:dyDescent="0.3">
      <c r="C2" s="65" t="s">
        <v>270</v>
      </c>
      <c r="H2" s="176">
        <f>H4+H8</f>
        <v>138.08060986554548</v>
      </c>
      <c r="I2" s="176">
        <f t="shared" ref="I2:N2" si="0">I4+I8</f>
        <v>141.68141887281507</v>
      </c>
      <c r="J2" s="176">
        <f t="shared" si="0"/>
        <v>145.36513576350822</v>
      </c>
      <c r="K2" s="176">
        <f t="shared" si="0"/>
        <v>149.13315309843074</v>
      </c>
      <c r="L2" s="176">
        <f t="shared" si="0"/>
        <v>152.98685935548755</v>
      </c>
      <c r="M2" s="176">
        <f t="shared" si="0"/>
        <v>156.92763693799273</v>
      </c>
      <c r="N2" s="176">
        <f t="shared" si="0"/>
        <v>160.96992472876158</v>
      </c>
    </row>
    <row r="3" spans="1:18" s="3" customFormat="1" ht="17.45" customHeight="1" x14ac:dyDescent="0.3">
      <c r="A3" s="106"/>
      <c r="C3" s="32" t="s">
        <v>1</v>
      </c>
      <c r="D3" s="32" t="s">
        <v>189</v>
      </c>
      <c r="E3" s="32" t="s">
        <v>267</v>
      </c>
      <c r="F3" s="32" t="s">
        <v>390</v>
      </c>
      <c r="G3" s="32" t="s">
        <v>257</v>
      </c>
      <c r="H3" s="32" t="s">
        <v>41</v>
      </c>
      <c r="I3" s="32" t="s">
        <v>258</v>
      </c>
      <c r="J3" s="32" t="s">
        <v>259</v>
      </c>
      <c r="K3" s="32" t="s">
        <v>260</v>
      </c>
      <c r="L3" s="32" t="s">
        <v>261</v>
      </c>
      <c r="M3" s="32" t="s">
        <v>262</v>
      </c>
      <c r="N3" s="32" t="s">
        <v>263</v>
      </c>
      <c r="O3" s="32" t="s">
        <v>264</v>
      </c>
      <c r="P3" s="32" t="s">
        <v>265</v>
      </c>
      <c r="Q3" s="32" t="s">
        <v>266</v>
      </c>
      <c r="R3" s="32" t="s">
        <v>182</v>
      </c>
    </row>
    <row r="4" spans="1:18" ht="17.45" customHeight="1" x14ac:dyDescent="0.3">
      <c r="C4" s="165" t="s">
        <v>336</v>
      </c>
      <c r="D4" s="165" t="s">
        <v>276</v>
      </c>
      <c r="E4" s="165" t="s">
        <v>255</v>
      </c>
      <c r="F4" s="165" t="s">
        <v>1016</v>
      </c>
      <c r="G4" s="12">
        <f>SUM(H4:R4)</f>
        <v>1045.1447386225414</v>
      </c>
      <c r="H4" s="192">
        <f>SUMIFS(BL_인건비!M$5:M$34,BL_인건비!$B$5:$B$34,'1.인건비_요약'!$C4,BL_인건비!$C$5:$C$34,'1.인건비_요약'!$D4,BL_인건비!$E$5:$E$34,'1.인건비_요약'!$E4,BL_인건비!$F$5:$F$34,'1.인건비_요약'!$F4)</f>
        <v>138.08060986554548</v>
      </c>
      <c r="I4" s="192">
        <f>SUMIFS(BL_인건비!N$5:N$34,BL_인건비!$B$5:$B$34,'1.인건비_요약'!$C4,BL_인건비!$C$5:$C$34,'1.인건비_요약'!$D4,BL_인건비!$E$5:$E$34,'1.인건비_요약'!$E4,BL_인건비!$F$5:$F$34,'1.인건비_요약'!$F4)</f>
        <v>141.68141887281507</v>
      </c>
      <c r="J4" s="192">
        <f>SUMIFS(BL_인건비!O$5:O$34,BL_인건비!$B$5:$B$34,'1.인건비_요약'!$C4,BL_인건비!$C$5:$C$34,'1.인건비_요약'!$D4,BL_인건비!$E$5:$E$34,'1.인건비_요약'!$E4,BL_인건비!$F$5:$F$34,'1.인건비_요약'!$F4)</f>
        <v>145.36513576350822</v>
      </c>
      <c r="K4" s="192">
        <f>SUMIFS(BL_인건비!P$5:P$34,BL_인건비!$B$5:$B$34,'1.인건비_요약'!$C4,BL_인건비!$C$5:$C$34,'1.인건비_요약'!$D4,BL_인건비!$E$5:$E$34,'1.인건비_요약'!$E4,BL_인건비!$F$5:$F$34,'1.인건비_요약'!$F4)</f>
        <v>149.13315309843074</v>
      </c>
      <c r="L4" s="192">
        <f>SUMIFS(BL_인건비!Q$5:Q$34,BL_인건비!$B$5:$B$34,'1.인건비_요약'!$C4,BL_인건비!$C$5:$C$34,'1.인건비_요약'!$D4,BL_인건비!$E$5:$E$34,'1.인건비_요약'!$E4,BL_인건비!$F$5:$F$34,'1.인건비_요약'!$F4)</f>
        <v>152.98685935548755</v>
      </c>
      <c r="M4" s="192">
        <f>SUMIFS(BL_인건비!R$5:R$34,BL_인건비!$B$5:$B$34,'1.인건비_요약'!$C4,BL_인건비!$C$5:$C$34,'1.인건비_요약'!$D4,BL_인건비!$E$5:$E$34,'1.인건비_요약'!$E4,BL_인건비!$F$5:$F$34,'1.인건비_요약'!$F4)</f>
        <v>156.92763693799273</v>
      </c>
      <c r="N4" s="192">
        <f>SUMIFS(BL_인건비!S$5:S$34,BL_인건비!$B$5:$B$34,'1.인건비_요약'!$C4,BL_인건비!$C$5:$C$34,'1.인건비_요약'!$D4,BL_인건비!$E$5:$E$34,'1.인건비_요약'!$E4,BL_인건비!$F$5:$F$34,'1.인건비_요약'!$F4)</f>
        <v>160.96992472876158</v>
      </c>
      <c r="O4" s="192">
        <f>SUMIFS(BL_인건비!T$5:T$34,BL_인건비!$B$5:$B$34,'1.인건비_요약'!$C4,BL_인건비!$C$5:$C$34,'1.인건비_요약'!$D4,BL_인건비!$E$5:$E$34,'1.인건비_요약'!$E4,BL_인건비!$F$5:$F$34,'1.인건비_요약'!$F4)</f>
        <v>0</v>
      </c>
      <c r="P4" s="192">
        <f>SUMIFS(BL_인건비!U$5:U$34,BL_인건비!$B$5:$B$34,'1.인건비_요약'!$C4,BL_인건비!$C$5:$C$34,'1.인건비_요약'!$D4,BL_인건비!$E$5:$E$34,'1.인건비_요약'!$E4,BL_인건비!$F$5:$F$34,'1.인건비_요약'!$F4)</f>
        <v>0</v>
      </c>
      <c r="Q4" s="192">
        <f>SUMIFS(BL_인건비!V$5:V$34,BL_인건비!$B$5:$B$34,'1.인건비_요약'!$C4,BL_인건비!$C$5:$C$34,'1.인건비_요약'!$D4,BL_인건비!$E$5:$E$34,'1.인건비_요약'!$E4,BL_인건비!$F$5:$F$34,'1.인건비_요약'!$F4)</f>
        <v>0</v>
      </c>
      <c r="R4" s="192">
        <f>SUMIFS(BL_인건비!W$5:W$34,BL_인건비!$B$5:$B$34,'1.인건비_요약'!$C4,BL_인건비!$C$5:$C$34,'1.인건비_요약'!$D4,BL_인건비!$E$5:$E$34,'1.인건비_요약'!$E4,BL_인건비!$F$5:$F$34,'1.인건비_요약'!$F4)</f>
        <v>0</v>
      </c>
    </row>
    <row r="5" spans="1:18" ht="17.45" customHeight="1" x14ac:dyDescent="0.3">
      <c r="C5" s="165" t="s">
        <v>336</v>
      </c>
      <c r="D5" s="165" t="s">
        <v>276</v>
      </c>
      <c r="E5" s="165" t="s">
        <v>255</v>
      </c>
      <c r="F5" s="165" t="s">
        <v>1018</v>
      </c>
      <c r="G5" s="12">
        <f t="shared" ref="G5:G7" si="1">SUM(H5:R5)</f>
        <v>250.47466919392929</v>
      </c>
      <c r="H5" s="192">
        <f>SUMIFS(BL_인건비!M$5:M$34,BL_인건비!$B$5:$B$34,'1.인건비_요약'!$C5,BL_인건비!$C$5:$C$34,'1.인건비_요약'!$D5,BL_인건비!$E$5:$E$34,'1.인건비_요약'!$E5,BL_인건비!$F$5:$F$34,'1.인건비_요약'!$F5)</f>
        <v>32.688535784307184</v>
      </c>
      <c r="I5" s="192">
        <f>SUMIFS(BL_인건비!N$5:N$34,BL_인건비!$B$5:$B$34,'1.인건비_요약'!$C5,BL_인건비!$C$5:$C$34,'1.인건비_요약'!$D5,BL_인건비!$E$5:$E$34,'1.인건비_요약'!$E5,BL_인건비!$F$5:$F$34,'1.인건비_요약'!$F5)</f>
        <v>33.669191857836402</v>
      </c>
      <c r="J5" s="192">
        <f>SUMIFS(BL_인건비!O$5:O$34,BL_인건비!$B$5:$B$34,'1.인건비_요약'!$C5,BL_인건비!$C$5:$C$34,'1.인건비_요약'!$D5,BL_인건비!$E$5:$E$34,'1.인건비_요약'!$E5,BL_인건비!$F$5:$F$34,'1.인건비_요약'!$F5)</f>
        <v>34.679267613571497</v>
      </c>
      <c r="K5" s="192">
        <f>SUMIFS(BL_인건비!P$5:P$34,BL_인건비!$B$5:$B$34,'1.인건비_요약'!$C5,BL_인건비!$C$5:$C$34,'1.인건비_요약'!$D5,BL_인건비!$E$5:$E$34,'1.인건비_요약'!$E5,BL_인건비!$F$5:$F$34,'1.인건비_요약'!$F5)</f>
        <v>35.719645641978644</v>
      </c>
      <c r="L5" s="192">
        <f>SUMIFS(BL_인건비!Q$5:Q$34,BL_인건비!$B$5:$B$34,'1.인건비_요약'!$C5,BL_인건비!$C$5:$C$34,'1.인건비_요약'!$D5,BL_인건비!$E$5:$E$34,'1.인건비_요약'!$E5,BL_인건비!$F$5:$F$34,'1.인건비_요약'!$F5)</f>
        <v>36.791235011238001</v>
      </c>
      <c r="M5" s="192">
        <f>SUMIFS(BL_인건비!R$5:R$34,BL_인건비!$B$5:$B$34,'1.인건비_요약'!$C5,BL_인건비!$C$5:$C$34,'1.인건비_요약'!$D5,BL_인건비!$E$5:$E$34,'1.인건비_요약'!$E5,BL_인건비!$F$5:$F$34,'1.인건비_요약'!$F5)</f>
        <v>37.894972061575146</v>
      </c>
      <c r="N5" s="192">
        <f>SUMIFS(BL_인건비!S$5:S$34,BL_인건비!$B$5:$B$34,'1.인건비_요약'!$C5,BL_인건비!$C$5:$C$34,'1.인건비_요약'!$D5,BL_인건비!$E$5:$E$34,'1.인건비_요약'!$E5,BL_인건비!$F$5:$F$34,'1.인건비_요약'!$F5)</f>
        <v>39.031821223422405</v>
      </c>
      <c r="O5" s="192">
        <f>SUMIFS(BL_인건비!T$5:T$34,BL_인건비!$B$5:$B$34,'1.인건비_요약'!$C5,BL_인건비!$C$5:$C$34,'1.인건비_요약'!$D5,BL_인건비!$E$5:$E$34,'1.인건비_요약'!$E5,BL_인건비!$F$5:$F$34,'1.인건비_요약'!$F5)</f>
        <v>0</v>
      </c>
      <c r="P5" s="192">
        <f>SUMIFS(BL_인건비!U$5:U$34,BL_인건비!$B$5:$B$34,'1.인건비_요약'!$C5,BL_인건비!$C$5:$C$34,'1.인건비_요약'!$D5,BL_인건비!$E$5:$E$34,'1.인건비_요약'!$E5,BL_인건비!$F$5:$F$34,'1.인건비_요약'!$F5)</f>
        <v>0</v>
      </c>
      <c r="Q5" s="192">
        <f>SUMIFS(BL_인건비!V$5:V$34,BL_인건비!$B$5:$B$34,'1.인건비_요약'!$C5,BL_인건비!$C$5:$C$34,'1.인건비_요약'!$D5,BL_인건비!$E$5:$E$34,'1.인건비_요약'!$E5,BL_인건비!$F$5:$F$34,'1.인건비_요약'!$F5)</f>
        <v>0</v>
      </c>
      <c r="R5" s="192">
        <f>SUMIFS(BL_인건비!W$5:W$34,BL_인건비!$B$5:$B$34,'1.인건비_요약'!$C5,BL_인건비!$C$5:$C$34,'1.인건비_요약'!$D5,BL_인건비!$E$5:$E$34,'1.인건비_요약'!$E5,BL_인건비!$F$5:$F$34,'1.인건비_요약'!$F5)</f>
        <v>0</v>
      </c>
    </row>
    <row r="6" spans="1:18" ht="17.45" customHeight="1" x14ac:dyDescent="0.3">
      <c r="C6" s="165" t="s">
        <v>336</v>
      </c>
      <c r="D6" s="165" t="s">
        <v>276</v>
      </c>
      <c r="E6" s="165" t="s">
        <v>255</v>
      </c>
      <c r="F6" s="165" t="s">
        <v>1020</v>
      </c>
      <c r="G6" s="12">
        <f t="shared" si="1"/>
        <v>181.13144616768327</v>
      </c>
      <c r="H6" s="192">
        <f>SUMIFS(BL_인건비!M$5:M$34,BL_인건비!$B$5:$B$34,'1.인건비_요약'!$C6,BL_인건비!$C$5:$C$34,'1.인건비_요약'!$D6,BL_인건비!$E$5:$E$34,'1.인건비_요약'!$E6,BL_인건비!$F$5:$F$34,'1.인건비_요약'!$F6)</f>
        <v>24.032752579874291</v>
      </c>
      <c r="I6" s="192">
        <f>SUMIFS(BL_인건비!N$5:N$34,BL_인건비!$B$5:$B$34,'1.인건비_요약'!$C6,BL_인건비!$C$5:$C$34,'1.인건비_요약'!$D6,BL_인건비!$E$5:$E$34,'1.인건비_요약'!$E6,BL_인건비!$F$5:$F$34,'1.인건비_요약'!$F6)</f>
        <v>24.612735157270521</v>
      </c>
      <c r="J6" s="192">
        <f>SUMIFS(BL_인건비!O$5:O$34,BL_인건비!$B$5:$B$34,'1.인건비_요약'!$C6,BL_인건비!$C$5:$C$34,'1.인건비_요약'!$D6,BL_인건비!$E$5:$E$34,'1.인건비_요약'!$E6,BL_인건비!$F$5:$F$34,'1.인건비_요약'!$F6)</f>
        <v>25.210117211988635</v>
      </c>
      <c r="K6" s="192">
        <f>SUMIFS(BL_인건비!P$5:P$34,BL_인건비!$B$5:$B$34,'1.인건비_요약'!$C6,BL_인건비!$C$5:$C$34,'1.인건비_요약'!$D6,BL_인건비!$E$5:$E$34,'1.인건비_요약'!$E6,BL_인건비!$F$5:$F$34,'1.인건비_요약'!$F6)</f>
        <v>25.825420728348295</v>
      </c>
      <c r="L6" s="192">
        <f>SUMIFS(BL_인건비!Q$5:Q$34,BL_인건비!$B$5:$B$34,'1.인건비_요약'!$C6,BL_인건비!$C$5:$C$34,'1.인건비_요약'!$D6,BL_인건비!$E$5:$E$34,'1.인건비_요약'!$E6,BL_인건비!$F$5:$F$34,'1.인건비_요약'!$F6)</f>
        <v>26.459183350198746</v>
      </c>
      <c r="M6" s="192">
        <f>SUMIFS(BL_인건비!R$5:R$34,BL_인건비!$B$5:$B$34,'1.인건비_요약'!$C6,BL_인건비!$C$5:$C$34,'1.인건비_요약'!$D6,BL_인건비!$E$5:$E$34,'1.인건비_요약'!$E6,BL_인건비!$F$5:$F$34,'1.인건비_요약'!$F6)</f>
        <v>27.111958850704706</v>
      </c>
      <c r="N6" s="192">
        <f>SUMIFS(BL_인건비!S$5:S$34,BL_인건비!$B$5:$B$34,'1.인건비_요약'!$C6,BL_인건비!$C$5:$C$34,'1.인건비_요약'!$D6,BL_인건비!$E$5:$E$34,'1.인건비_요약'!$E6,BL_인건비!$F$5:$F$34,'1.인건비_요약'!$F6)</f>
        <v>27.879278289298068</v>
      </c>
      <c r="O6" s="192">
        <f>SUMIFS(BL_인건비!T$5:T$34,BL_인건비!$B$5:$B$34,'1.인건비_요약'!$C6,BL_인건비!$C$5:$C$34,'1.인건비_요약'!$D6,BL_인건비!$E$5:$E$34,'1.인건비_요약'!$E6,BL_인건비!$F$5:$F$34,'1.인건비_요약'!$F6)</f>
        <v>0</v>
      </c>
      <c r="P6" s="192">
        <f>SUMIFS(BL_인건비!U$5:U$34,BL_인건비!$B$5:$B$34,'1.인건비_요약'!$C6,BL_인건비!$C$5:$C$34,'1.인건비_요약'!$D6,BL_인건비!$E$5:$E$34,'1.인건비_요약'!$E6,BL_인건비!$F$5:$F$34,'1.인건비_요약'!$F6)</f>
        <v>0</v>
      </c>
      <c r="Q6" s="192">
        <f>SUMIFS(BL_인건비!V$5:V$34,BL_인건비!$B$5:$B$34,'1.인건비_요약'!$C6,BL_인건비!$C$5:$C$34,'1.인건비_요약'!$D6,BL_인건비!$E$5:$E$34,'1.인건비_요약'!$E6,BL_인건비!$F$5:$F$34,'1.인건비_요약'!$F6)</f>
        <v>0</v>
      </c>
      <c r="R6" s="192">
        <f>SUMIFS(BL_인건비!W$5:W$34,BL_인건비!$B$5:$B$34,'1.인건비_요약'!$C6,BL_인건비!$C$5:$C$34,'1.인건비_요약'!$D6,BL_인건비!$E$5:$E$34,'1.인건비_요약'!$E6,BL_인건비!$F$5:$F$34,'1.인건비_요약'!$F6)</f>
        <v>0</v>
      </c>
    </row>
    <row r="7" spans="1:18" ht="17.45" customHeight="1" x14ac:dyDescent="0.3">
      <c r="C7" s="165" t="s">
        <v>336</v>
      </c>
      <c r="D7" s="165" t="s">
        <v>276</v>
      </c>
      <c r="E7" s="165" t="s">
        <v>255</v>
      </c>
      <c r="F7" s="165" t="s">
        <v>393</v>
      </c>
      <c r="G7" s="12">
        <f t="shared" si="1"/>
        <v>413.51996969689577</v>
      </c>
      <c r="H7" s="192">
        <f>SUMIFS(BL_인건비!M$5:M$34,BL_인건비!$B$5:$B$34,'1.인건비_요약'!$C7,BL_인건비!$C$5:$C$34,'1.인건비_요약'!$D7,BL_인건비!$E$5:$E$34,'1.인건비_요약'!$E7,BL_인건비!$F$5:$F$34,'1.인건비_요약'!$F7)</f>
        <v>63.113049350649348</v>
      </c>
      <c r="I7" s="192">
        <f>SUMIFS(BL_인건비!N$5:N$34,BL_인건비!$B$5:$B$34,'1.인건비_요약'!$C7,BL_인건비!$C$5:$C$34,'1.인건비_요약'!$D7,BL_인건비!$E$5:$E$34,'1.인건비_요약'!$E7,BL_인건비!$F$5:$F$34,'1.인건비_요약'!$F7)</f>
        <v>54.172034025974028</v>
      </c>
      <c r="J7" s="192">
        <f>SUMIFS(BL_인건비!O$5:O$34,BL_인건비!$B$5:$B$34,'1.인건비_요약'!$C7,BL_인건비!$C$5:$C$34,'1.인건비_요약'!$D7,BL_인건비!$E$5:$E$34,'1.인건비_요약'!$E7,BL_인건비!$F$5:$F$34,'1.인건비_요약'!$F7)</f>
        <v>55.797195046753252</v>
      </c>
      <c r="K7" s="192">
        <f>SUMIFS(BL_인건비!P$5:P$34,BL_인건비!$B$5:$B$34,'1.인건비_요약'!$C7,BL_인건비!$C$5:$C$34,'1.인건비_요약'!$D7,BL_인건비!$E$5:$E$34,'1.인건비_요약'!$E7,BL_인건비!$F$5:$F$34,'1.인건비_요약'!$F7)</f>
        <v>57.47111089815585</v>
      </c>
      <c r="L7" s="192">
        <f>SUMIFS(BL_인건비!Q$5:Q$34,BL_인건비!$B$5:$B$34,'1.인건비_요약'!$C7,BL_인건비!$C$5:$C$34,'1.인건비_요약'!$D7,BL_인건비!$E$5:$E$34,'1.인건비_요약'!$E7,BL_인건비!$F$5:$F$34,'1.인건비_요약'!$F7)</f>
        <v>59.195244225100531</v>
      </c>
      <c r="M7" s="192">
        <f>SUMIFS(BL_인건비!R$5:R$34,BL_인건비!$B$5:$B$34,'1.인건비_요약'!$C7,BL_인건비!$C$5:$C$34,'1.인건비_요약'!$D7,BL_인건비!$E$5:$E$34,'1.인건비_요약'!$E7,BL_인건비!$F$5:$F$34,'1.인건비_요약'!$F7)</f>
        <v>60.97110155185355</v>
      </c>
      <c r="N7" s="192">
        <f>SUMIFS(BL_인건비!S$5:S$34,BL_인건비!$B$5:$B$34,'1.인건비_요약'!$C7,BL_인건비!$C$5:$C$34,'1.인건비_요약'!$D7,BL_인건비!$E$5:$E$34,'1.인건비_요약'!$E7,BL_인건비!$F$5:$F$34,'1.인건비_요약'!$F7)</f>
        <v>62.800234598409169</v>
      </c>
      <c r="O7" s="192">
        <f>SUMIFS(BL_인건비!T$5:T$34,BL_인건비!$B$5:$B$34,'1.인건비_요약'!$C7,BL_인건비!$C$5:$C$34,'1.인건비_요약'!$D7,BL_인건비!$E$5:$E$34,'1.인건비_요약'!$E7,BL_인건비!$F$5:$F$34,'1.인건비_요약'!$F7)</f>
        <v>0</v>
      </c>
      <c r="P7" s="192">
        <f>SUMIFS(BL_인건비!U$5:U$34,BL_인건비!$B$5:$B$34,'1.인건비_요약'!$C7,BL_인건비!$C$5:$C$34,'1.인건비_요약'!$D7,BL_인건비!$E$5:$E$34,'1.인건비_요약'!$E7,BL_인건비!$F$5:$F$34,'1.인건비_요약'!$F7)</f>
        <v>0</v>
      </c>
      <c r="Q7" s="192">
        <f>SUMIFS(BL_인건비!V$5:V$34,BL_인건비!$B$5:$B$34,'1.인건비_요약'!$C7,BL_인건비!$C$5:$C$34,'1.인건비_요약'!$D7,BL_인건비!$E$5:$E$34,'1.인건비_요약'!$E7,BL_인건비!$F$5:$F$34,'1.인건비_요약'!$F7)</f>
        <v>0</v>
      </c>
      <c r="R7" s="192">
        <f>SUMIFS(BL_인건비!W$5:W$34,BL_인건비!$B$5:$B$34,'1.인건비_요약'!$C7,BL_인건비!$C$5:$C$34,'1.인건비_요약'!$D7,BL_인건비!$E$5:$E$34,'1.인건비_요약'!$E7,BL_인건비!$F$5:$F$34,'1.인건비_요약'!$F7)</f>
        <v>0</v>
      </c>
    </row>
    <row r="8" spans="1:18" ht="17.45" customHeight="1" x14ac:dyDescent="0.3">
      <c r="C8" s="165"/>
      <c r="D8" s="165"/>
      <c r="E8" s="165"/>
      <c r="F8" s="165"/>
      <c r="G8" s="12"/>
      <c r="H8" s="12"/>
      <c r="I8" s="12"/>
      <c r="J8" s="12"/>
      <c r="K8" s="12"/>
      <c r="L8" s="12"/>
      <c r="M8" s="12"/>
      <c r="N8" s="12"/>
      <c r="O8" s="12"/>
      <c r="P8" s="12"/>
      <c r="Q8" s="12"/>
      <c r="R8" s="12"/>
    </row>
    <row r="9" spans="1:18" ht="17.45" customHeight="1" x14ac:dyDescent="0.3">
      <c r="C9" s="165"/>
      <c r="D9" s="165"/>
      <c r="E9" s="165"/>
      <c r="F9" s="165"/>
      <c r="G9" s="12"/>
      <c r="H9" s="12"/>
      <c r="I9" s="12"/>
      <c r="J9" s="12"/>
      <c r="K9" s="12"/>
      <c r="L9" s="12"/>
      <c r="M9" s="12"/>
      <c r="N9" s="12"/>
      <c r="O9" s="12"/>
      <c r="P9" s="12"/>
      <c r="Q9" s="12"/>
      <c r="R9" s="12"/>
    </row>
    <row r="10" spans="1:18" ht="17.45" customHeight="1" x14ac:dyDescent="0.3">
      <c r="C10" s="165"/>
      <c r="D10" s="165"/>
      <c r="E10" s="165"/>
      <c r="F10" s="165"/>
      <c r="G10" s="12"/>
      <c r="H10" s="12"/>
      <c r="I10" s="12"/>
      <c r="J10" s="12"/>
      <c r="K10" s="12"/>
      <c r="L10" s="12"/>
      <c r="M10" s="12"/>
      <c r="N10" s="12"/>
      <c r="O10" s="12"/>
      <c r="P10" s="12"/>
      <c r="Q10" s="12"/>
      <c r="R10" s="12"/>
    </row>
    <row r="11" spans="1:18" ht="17.45" customHeight="1" x14ac:dyDescent="0.3">
      <c r="C11" s="165"/>
      <c r="D11" s="165"/>
      <c r="E11" s="165"/>
      <c r="F11" s="165"/>
      <c r="G11" s="12"/>
      <c r="H11" s="12"/>
      <c r="I11" s="12"/>
      <c r="J11" s="12"/>
      <c r="K11" s="12"/>
      <c r="L11" s="12"/>
      <c r="M11" s="12"/>
      <c r="N11" s="12"/>
      <c r="O11" s="12"/>
      <c r="P11" s="12"/>
      <c r="Q11" s="12"/>
      <c r="R11" s="12"/>
    </row>
    <row r="12" spans="1:18" ht="17.45" customHeight="1" x14ac:dyDescent="0.3">
      <c r="C12" s="165"/>
      <c r="D12" s="165"/>
      <c r="E12" s="165"/>
      <c r="F12" s="165"/>
      <c r="G12" s="12"/>
      <c r="H12" s="12"/>
      <c r="I12" s="12"/>
      <c r="J12" s="12"/>
      <c r="K12" s="12"/>
      <c r="L12" s="12"/>
      <c r="M12" s="12"/>
      <c r="N12" s="12"/>
      <c r="O12" s="12"/>
      <c r="P12" s="12"/>
      <c r="Q12" s="12"/>
      <c r="R12" s="12"/>
    </row>
    <row r="13" spans="1:18" ht="17.45" customHeight="1" x14ac:dyDescent="0.3">
      <c r="C13" s="165"/>
      <c r="D13" s="165"/>
      <c r="E13" s="165"/>
      <c r="F13" s="165"/>
      <c r="G13" s="12"/>
      <c r="H13" s="12"/>
      <c r="I13" s="12"/>
      <c r="J13" s="12"/>
      <c r="K13" s="12"/>
      <c r="L13" s="12"/>
      <c r="M13" s="12"/>
      <c r="N13" s="12"/>
      <c r="O13" s="12"/>
      <c r="P13" s="12"/>
      <c r="Q13" s="12"/>
      <c r="R13" s="12"/>
    </row>
    <row r="14" spans="1:18" ht="17.45" customHeight="1" x14ac:dyDescent="0.3">
      <c r="C14" s="61" t="s">
        <v>257</v>
      </c>
      <c r="D14" s="61"/>
      <c r="E14" s="61"/>
      <c r="F14" s="166"/>
      <c r="G14" s="62">
        <f>SUM(G4:G13)</f>
        <v>1890.2708236810495</v>
      </c>
      <c r="H14" s="62">
        <f t="shared" ref="H14:R14" si="2">SUM(H4:H13)</f>
        <v>257.91494758037629</v>
      </c>
      <c r="I14" s="62">
        <f t="shared" si="2"/>
        <v>254.13537991389603</v>
      </c>
      <c r="J14" s="62">
        <f t="shared" si="2"/>
        <v>261.05171563582161</v>
      </c>
      <c r="K14" s="62">
        <f t="shared" si="2"/>
        <v>268.14933036691355</v>
      </c>
      <c r="L14" s="62">
        <f t="shared" si="2"/>
        <v>275.43252194202483</v>
      </c>
      <c r="M14" s="62">
        <f t="shared" si="2"/>
        <v>282.90566940212614</v>
      </c>
      <c r="N14" s="62">
        <f t="shared" si="2"/>
        <v>290.68125883989126</v>
      </c>
      <c r="O14" s="62">
        <f t="shared" si="2"/>
        <v>0</v>
      </c>
      <c r="P14" s="62">
        <f t="shared" si="2"/>
        <v>0</v>
      </c>
      <c r="Q14" s="62">
        <f t="shared" si="2"/>
        <v>0</v>
      </c>
      <c r="R14" s="62">
        <f t="shared" si="2"/>
        <v>0</v>
      </c>
    </row>
    <row r="15" spans="1:18" s="24" customFormat="1" ht="8.4499999999999993" customHeight="1" x14ac:dyDescent="0.3">
      <c r="A15" s="106"/>
      <c r="C15" s="49"/>
      <c r="D15" s="49"/>
      <c r="E15" s="49"/>
      <c r="F15" s="167"/>
      <c r="G15" s="50"/>
      <c r="H15" s="50"/>
      <c r="I15" s="50"/>
      <c r="J15" s="50"/>
      <c r="K15" s="50"/>
      <c r="L15" s="50"/>
      <c r="M15" s="50"/>
      <c r="N15" s="50"/>
      <c r="O15" s="50"/>
      <c r="P15" s="50"/>
      <c r="Q15" s="50"/>
      <c r="R15" s="50"/>
    </row>
    <row r="16" spans="1:18" ht="17.45" customHeight="1" x14ac:dyDescent="0.3">
      <c r="C16" s="32" t="s">
        <v>1</v>
      </c>
      <c r="D16" s="32" t="s">
        <v>189</v>
      </c>
      <c r="E16" s="32" t="s">
        <v>267</v>
      </c>
      <c r="F16" s="32"/>
      <c r="G16" s="32" t="s">
        <v>257</v>
      </c>
      <c r="H16" s="32" t="s">
        <v>41</v>
      </c>
      <c r="I16" s="32" t="s">
        <v>258</v>
      </c>
      <c r="J16" s="32" t="s">
        <v>259</v>
      </c>
      <c r="K16" s="32" t="s">
        <v>260</v>
      </c>
      <c r="L16" s="32" t="s">
        <v>261</v>
      </c>
      <c r="M16" s="32" t="s">
        <v>262</v>
      </c>
      <c r="N16" s="32" t="s">
        <v>263</v>
      </c>
      <c r="O16" s="32" t="s">
        <v>264</v>
      </c>
      <c r="P16" s="32" t="s">
        <v>265</v>
      </c>
      <c r="Q16" s="32" t="s">
        <v>266</v>
      </c>
      <c r="R16" s="32" t="s">
        <v>182</v>
      </c>
    </row>
    <row r="17" spans="3:27" ht="17.45" customHeight="1" x14ac:dyDescent="0.3">
      <c r="C17" s="165" t="s">
        <v>336</v>
      </c>
      <c r="D17" s="165" t="s">
        <v>276</v>
      </c>
      <c r="E17" s="165" t="s">
        <v>255</v>
      </c>
      <c r="F17" s="165" t="s">
        <v>1016</v>
      </c>
      <c r="G17" s="12">
        <f>SUM(H17:R17)</f>
        <v>37404739607.371994</v>
      </c>
      <c r="H17" s="374">
        <f>SUMIFS(BL_인건비!AY$5:AY$34,BL_인건비!$B$5:$B$34,'1.인건비_요약'!$C17,BL_인건비!$C$5:$C$34,'1.인건비_요약'!$D17,BL_인건비!$E$5:$E$34,'1.인건비_요약'!$E17,BL_인건비!$F$5:$F$34,'1.인건비_요약'!$F17)</f>
        <v>4716632788.483593</v>
      </c>
      <c r="I17" s="374">
        <f>SUMIFS(BL_인건비!AZ$5:AZ$34,BL_인건비!$B$5:$B$34,'1.인건비_요약'!$C17,BL_인건비!$C$5:$C$34,'1.인건비_요약'!$D17,BL_인건비!$E$5:$E$34,'1.인건비_요약'!$E17,BL_인건비!$F$5:$F$34,'1.인건비_요약'!$F17)</f>
        <v>4912225654.4310207</v>
      </c>
      <c r="J17" s="374">
        <f>SUMIFS(BL_인건비!BA$5:BA$34,BL_인건비!$B$5:$B$34,'1.인건비_요약'!$C17,BL_인건비!$C$5:$C$34,'1.인건비_요약'!$D17,BL_인건비!$E$5:$E$34,'1.인건비_요약'!$E17,BL_인건비!$F$5:$F$34,'1.인건비_요약'!$F17)</f>
        <v>5115542674.2679186</v>
      </c>
      <c r="K17" s="374">
        <f>SUMIFS(BL_인건비!BB$5:BB$34,BL_인건비!$B$5:$B$34,'1.인건비_요약'!$C17,BL_인건비!$C$5:$C$34,'1.인건비_요약'!$D17,BL_인건비!$E$5:$E$34,'1.인건비_요약'!$E17,BL_인건비!$F$5:$F$34,'1.인건비_요약'!$F17)</f>
        <v>5326865069.0442047</v>
      </c>
      <c r="L17" s="374">
        <f>SUMIFS(BL_인건비!BC$5:BC$34,BL_인건비!$B$5:$B$34,'1.인건비_요약'!$C17,BL_인건비!$C$5:$C$34,'1.인건비_요약'!$D17,BL_인건비!$E$5:$E$34,'1.인건비_요약'!$E17,BL_인건비!$F$5:$F$34,'1.인건비_요약'!$F17)</f>
        <v>5546482759.1651173</v>
      </c>
      <c r="M17" s="374">
        <f>SUMIFS(BL_인건비!BD$5:BD$34,BL_인건비!$B$5:$B$34,'1.인건비_요약'!$C17,BL_인건비!$C$5:$C$34,'1.인건비_요약'!$D17,BL_인건비!$E$5:$E$34,'1.인건비_요약'!$E17,BL_인건비!$F$5:$F$34,'1.인건비_요약'!$F17)</f>
        <v>5774694525.5668268</v>
      </c>
      <c r="N17" s="374">
        <f>SUMIFS(BL_인건비!BE$5:BE$34,BL_인건비!$B$5:$B$34,'1.인건비_요약'!$C17,BL_인건비!$C$5:$C$34,'1.인건비_요약'!$D17,BL_인건비!$E$5:$E$34,'1.인건비_요약'!$E17,BL_인건비!$F$5:$F$34,'1.인건비_요약'!$F17)</f>
        <v>6012296136.4133139</v>
      </c>
      <c r="O17" s="374">
        <f>SUMIFS(BL_인건비!BF$5:BF$34,BL_인건비!$B$5:$B$34,'1.인건비_요약'!$C17,BL_인건비!$C$5:$C$34,'1.인건비_요약'!$D17,BL_인건비!$E$5:$E$34,'1.인건비_요약'!$E17,BL_인건비!$F$5:$F$34,'1.인건비_요약'!$F17)</f>
        <v>0</v>
      </c>
      <c r="P17" s="374">
        <f>SUMIFS(BL_인건비!BG$5:BG$34,BL_인건비!$B$5:$B$34,'1.인건비_요약'!$C17,BL_인건비!$C$5:$C$34,'1.인건비_요약'!$D17,BL_인건비!$E$5:$E$34,'1.인건비_요약'!$E17,BL_인건비!$F$5:$F$34,'1.인건비_요약'!$F17)</f>
        <v>0</v>
      </c>
      <c r="Q17" s="374">
        <f>SUMIFS(BL_인건비!BH$5:BH$34,BL_인건비!$B$5:$B$34,'1.인건비_요약'!$C17,BL_인건비!$C$5:$C$34,'1.인건비_요약'!$D17,BL_인건비!$E$5:$E$34,'1.인건비_요약'!$E17,BL_인건비!$F$5:$F$34,'1.인건비_요약'!$F17)</f>
        <v>0</v>
      </c>
      <c r="R17" s="374">
        <f>SUMIFS(BL_인건비!BI$5:BI$34,BL_인건비!$B$5:$B$34,'1.인건비_요약'!$C17,BL_인건비!$C$5:$C$34,'1.인건비_요약'!$D17,BL_인건비!$E$5:$E$34,'1.인건비_요약'!$E17,BL_인건비!$F$5:$F$34,'1.인건비_요약'!$F17)</f>
        <v>0</v>
      </c>
    </row>
    <row r="18" spans="3:27" ht="17.45" customHeight="1" x14ac:dyDescent="0.3">
      <c r="C18" s="165" t="s">
        <v>336</v>
      </c>
      <c r="D18" s="165" t="s">
        <v>276</v>
      </c>
      <c r="E18" s="165" t="s">
        <v>255</v>
      </c>
      <c r="F18" s="165" t="s">
        <v>1018</v>
      </c>
      <c r="G18" s="12">
        <f t="shared" ref="G18:G20" si="3">SUM(H18:R18)</f>
        <v>9167333559.5749779</v>
      </c>
      <c r="H18" s="374">
        <f>SUMIFS(BL_인건비!AY$5:AY$34,BL_인건비!$B$5:$B$34,'1.인건비_요약'!$C18,BL_인건비!$C$5:$C$34,'1.인건비_요약'!$D18,BL_인건비!$E$5:$E$34,'1.인건비_요약'!$E18,BL_인건비!$F$5:$F$34,'1.인건비_요약'!$F18)</f>
        <v>1141617565.8572185</v>
      </c>
      <c r="I18" s="374">
        <f>SUMIFS(BL_인건비!AZ$5:AZ$34,BL_인건비!$B$5:$B$34,'1.인건비_요약'!$C18,BL_인건비!$C$5:$C$34,'1.인건비_요약'!$D18,BL_인건비!$E$5:$E$34,'1.인건비_요약'!$E18,BL_인건비!$F$5:$F$34,'1.인건비_요약'!$F18)</f>
        <v>1193504084.2254293</v>
      </c>
      <c r="J18" s="374">
        <f>SUMIFS(BL_인건비!BA$5:BA$34,BL_인건비!$B$5:$B$34,'1.인건비_요약'!$C18,BL_인건비!$C$5:$C$34,'1.인건비_요약'!$D18,BL_인건비!$E$5:$E$34,'1.인건비_요약'!$E18,BL_인건비!$F$5:$F$34,'1.인건비_요약'!$F18)</f>
        <v>1247748844.8534749</v>
      </c>
      <c r="K18" s="374">
        <f>SUMIFS(BL_인건비!BB$5:BB$34,BL_인건비!$B$5:$B$34,'1.인건비_요약'!$C18,BL_인건비!$C$5:$C$34,'1.인건비_요약'!$D18,BL_인건비!$E$5:$E$34,'1.인건비_요약'!$E18,BL_인건비!$F$5:$F$34,'1.인건비_요약'!$F18)</f>
        <v>1304459029.8520651</v>
      </c>
      <c r="L18" s="374">
        <f>SUMIFS(BL_인건비!BC$5:BC$34,BL_인건비!$B$5:$B$34,'1.인건비_요약'!$C18,BL_인건비!$C$5:$C$34,'1.인건비_요약'!$D18,BL_인건비!$E$5:$E$34,'1.인건비_요약'!$E18,BL_인건비!$F$5:$F$34,'1.인건비_요약'!$F18)</f>
        <v>1363746692.7588413</v>
      </c>
      <c r="M18" s="374">
        <f>SUMIFS(BL_인건비!BD$5:BD$34,BL_인건비!$B$5:$B$34,'1.인건비_요약'!$C18,BL_인건비!$C$5:$C$34,'1.인건비_요약'!$D18,BL_인건비!$E$5:$E$34,'1.인건비_요약'!$E18,BL_인건비!$F$5:$F$34,'1.인건비_요약'!$F18)</f>
        <v>1425728979.9447308</v>
      </c>
      <c r="N18" s="374">
        <f>SUMIFS(BL_인건비!BE$5:BE$34,BL_인건비!$B$5:$B$34,'1.인건비_요약'!$C18,BL_인건비!$C$5:$C$34,'1.인건비_요약'!$D18,BL_인건비!$E$5:$E$34,'1.인건비_요약'!$E18,BL_인건비!$F$5:$F$34,'1.인건비_요약'!$F18)</f>
        <v>1490528362.0832186</v>
      </c>
      <c r="O18" s="374">
        <f>SUMIFS(BL_인건비!BF$5:BF$34,BL_인건비!$B$5:$B$34,'1.인건비_요약'!$C18,BL_인건비!$C$5:$C$34,'1.인건비_요약'!$D18,BL_인건비!$E$5:$E$34,'1.인건비_요약'!$E18,BL_인건비!$F$5:$F$34,'1.인건비_요약'!$F18)</f>
        <v>0</v>
      </c>
      <c r="P18" s="374">
        <f>SUMIFS(BL_인건비!BG$5:BG$34,BL_인건비!$B$5:$B$34,'1.인건비_요약'!$C18,BL_인건비!$C$5:$C$34,'1.인건비_요약'!$D18,BL_인건비!$E$5:$E$34,'1.인건비_요약'!$E18,BL_인건비!$F$5:$F$34,'1.인건비_요약'!$F18)</f>
        <v>0</v>
      </c>
      <c r="Q18" s="374">
        <f>SUMIFS(BL_인건비!BH$5:BH$34,BL_인건비!$B$5:$B$34,'1.인건비_요약'!$C18,BL_인건비!$C$5:$C$34,'1.인건비_요약'!$D18,BL_인건비!$E$5:$E$34,'1.인건비_요약'!$E18,BL_인건비!$F$5:$F$34,'1.인건비_요약'!$F18)</f>
        <v>0</v>
      </c>
      <c r="R18" s="374">
        <f>SUMIFS(BL_인건비!BI$5:BI$34,BL_인건비!$B$5:$B$34,'1.인건비_요약'!$C18,BL_인건비!$C$5:$C$34,'1.인건비_요약'!$D18,BL_인건비!$E$5:$E$34,'1.인건비_요약'!$E18,BL_인건비!$F$5:$F$34,'1.인건비_요약'!$F18)</f>
        <v>0</v>
      </c>
    </row>
    <row r="19" spans="3:27" ht="17.45" customHeight="1" x14ac:dyDescent="0.3">
      <c r="C19" s="165" t="s">
        <v>336</v>
      </c>
      <c r="D19" s="165" t="s">
        <v>276</v>
      </c>
      <c r="E19" s="165" t="s">
        <v>255</v>
      </c>
      <c r="F19" s="165" t="s">
        <v>1020</v>
      </c>
      <c r="G19" s="12">
        <f t="shared" si="3"/>
        <v>6627418498.7578392</v>
      </c>
      <c r="H19" s="374">
        <f>SUMIFS(BL_인건비!AY$5:AY$34,BL_인건비!$B$5:$B$34,'1.인건비_요약'!$C19,BL_인건비!$C$5:$C$34,'1.인건비_요약'!$D19,BL_인건비!$E$5:$E$34,'1.인건비_요약'!$E19,BL_인건비!$F$5:$F$34,'1.인건비_요약'!$F19)</f>
        <v>839322161.20417964</v>
      </c>
      <c r="I19" s="374">
        <f>SUMIFS(BL_인건비!AZ$5:AZ$34,BL_인건비!$B$5:$B$34,'1.인건비_요약'!$C19,BL_인건비!$C$5:$C$34,'1.인건비_요약'!$D19,BL_인건비!$E$5:$E$34,'1.인건비_요약'!$E19,BL_인건비!$F$5:$F$34,'1.인건비_요약'!$F19)</f>
        <v>872471191.41424072</v>
      </c>
      <c r="J19" s="374">
        <f>SUMIFS(BL_인건비!BA$5:BA$34,BL_인건비!$B$5:$B$34,'1.인건비_요약'!$C19,BL_인건비!$C$5:$C$34,'1.인건비_요약'!$D19,BL_인건비!$E$5:$E$34,'1.인건비_요약'!$E19,BL_인건비!$F$5:$F$34,'1.인건비_요약'!$F19)</f>
        <v>907051872.61709845</v>
      </c>
      <c r="K19" s="374">
        <f>SUMIFS(BL_인건비!BB$5:BB$34,BL_인건비!$B$5:$B$34,'1.인건비_요약'!$C19,BL_인건비!$C$5:$C$34,'1.인건비_요약'!$D19,BL_인건비!$E$5:$E$34,'1.인건비_요약'!$E19,BL_인건비!$F$5:$F$34,'1.인건비_요약'!$F19)</f>
        <v>943128148.76392233</v>
      </c>
      <c r="L19" s="374">
        <f>SUMIFS(BL_인건비!BC$5:BC$34,BL_인건비!$B$5:$B$34,'1.인건비_요약'!$C19,BL_인건비!$C$5:$C$34,'1.인건비_요약'!$D19,BL_인건비!$E$5:$E$34,'1.인건비_요약'!$E19,BL_인건비!$F$5:$F$34,'1.인건비_요약'!$F19)</f>
        <v>980766853.1896652</v>
      </c>
      <c r="M19" s="374">
        <f>SUMIFS(BL_인건비!BD$5:BD$34,BL_인건비!$B$5:$B$34,'1.인건비_요약'!$C19,BL_인건비!$C$5:$C$34,'1.인건비_요약'!$D19,BL_인건비!$E$5:$E$34,'1.인건비_요약'!$E19,BL_인건비!$F$5:$F$34,'1.인건비_요약'!$F19)</f>
        <v>1020037839.6825243</v>
      </c>
      <c r="N19" s="374">
        <f>SUMIFS(BL_인건비!BE$5:BE$34,BL_인건비!$B$5:$B$34,'1.인건비_요약'!$C19,BL_인건비!$C$5:$C$34,'1.인건비_요약'!$D19,BL_인건비!$E$5:$E$34,'1.인건비_요약'!$E19,BL_인건비!$F$5:$F$34,'1.인건비_요약'!$F19)</f>
        <v>1064640431.8862082</v>
      </c>
      <c r="O19" s="374">
        <f>SUMIFS(BL_인건비!BF$5:BF$34,BL_인건비!$B$5:$B$34,'1.인건비_요약'!$C19,BL_인건비!$C$5:$C$34,'1.인건비_요약'!$D19,BL_인건비!$E$5:$E$34,'1.인건비_요약'!$E19,BL_인건비!$F$5:$F$34,'1.인건비_요약'!$F19)</f>
        <v>0</v>
      </c>
      <c r="P19" s="374">
        <f>SUMIFS(BL_인건비!BG$5:BG$34,BL_인건비!$B$5:$B$34,'1.인건비_요약'!$C19,BL_인건비!$C$5:$C$34,'1.인건비_요약'!$D19,BL_인건비!$E$5:$E$34,'1.인건비_요약'!$E19,BL_인건비!$F$5:$F$34,'1.인건비_요약'!$F19)</f>
        <v>0</v>
      </c>
      <c r="Q19" s="374">
        <f>SUMIFS(BL_인건비!BH$5:BH$34,BL_인건비!$B$5:$B$34,'1.인건비_요약'!$C19,BL_인건비!$C$5:$C$34,'1.인건비_요약'!$D19,BL_인건비!$E$5:$E$34,'1.인건비_요약'!$E19,BL_인건비!$F$5:$F$34,'1.인건비_요약'!$F19)</f>
        <v>0</v>
      </c>
      <c r="R19" s="374">
        <f>SUMIFS(BL_인건비!BI$5:BI$34,BL_인건비!$B$5:$B$34,'1.인건비_요약'!$C19,BL_인건비!$C$5:$C$34,'1.인건비_요약'!$D19,BL_인건비!$E$5:$E$34,'1.인건비_요약'!$E19,BL_인건비!$F$5:$F$34,'1.인건비_요약'!$F19)</f>
        <v>0</v>
      </c>
    </row>
    <row r="20" spans="3:27" ht="17.45" customHeight="1" x14ac:dyDescent="0.3">
      <c r="C20" s="165" t="s">
        <v>336</v>
      </c>
      <c r="D20" s="165" t="s">
        <v>276</v>
      </c>
      <c r="E20" s="165" t="s">
        <v>255</v>
      </c>
      <c r="F20" s="165" t="s">
        <v>393</v>
      </c>
      <c r="G20" s="12">
        <f t="shared" si="3"/>
        <v>14685352352.250351</v>
      </c>
      <c r="H20" s="374">
        <f>SUMIFS(BL_인건비!AY$5:AY$34,BL_인건비!$B$5:$B$34,'1.인건비_요약'!$C20,BL_인건비!$C$5:$C$34,'1.인건비_요약'!$D20,BL_인건비!$E$5:$E$34,'1.인건비_요약'!$E20,BL_인건비!$F$5:$F$34,'1.인건비_요약'!$F20)</f>
        <v>2141209208.8496468</v>
      </c>
      <c r="I20" s="374">
        <f>SUMIFS(BL_인건비!AZ$5:AZ$34,BL_인건비!$B$5:$B$34,'1.인건비_요약'!$C20,BL_인건비!$C$5:$C$34,'1.인건비_요약'!$D20,BL_인건비!$E$5:$E$34,'1.인건비_요약'!$E20,BL_인건비!$F$5:$F$34,'1.인건비_요약'!$F20)</f>
        <v>1865439306.1598854</v>
      </c>
      <c r="J20" s="374">
        <f>SUMIFS(BL_인건비!BA$5:BA$34,BL_인건비!$B$5:$B$34,'1.인건비_요약'!$C20,BL_인건비!$C$5:$C$34,'1.인건비_요약'!$D20,BL_인건비!$E$5:$E$34,'1.인건비_요약'!$E20,BL_인건비!$F$5:$F$34,'1.인건비_요약'!$F20)</f>
        <v>1950223522.6248522</v>
      </c>
      <c r="K20" s="374">
        <f>SUMIFS(BL_인건비!BB$5:BB$34,BL_인건비!$B$5:$B$34,'1.인건비_요약'!$C20,BL_인건비!$C$5:$C$34,'1.인건비_요약'!$D20,BL_인건비!$E$5:$E$34,'1.인건비_요약'!$E20,BL_인건비!$F$5:$F$34,'1.인건비_요약'!$F20)</f>
        <v>2038861181.7281516</v>
      </c>
      <c r="L20" s="374">
        <f>SUMIFS(BL_인건비!BC$5:BC$34,BL_인건비!$B$5:$B$34,'1.인건비_요약'!$C20,BL_인건비!$C$5:$C$34,'1.인건비_요약'!$D20,BL_인건비!$E$5:$E$34,'1.인건비_요약'!$E20,BL_인건비!$F$5:$F$34,'1.인건비_요약'!$F20)</f>
        <v>2131527422.4376955</v>
      </c>
      <c r="M20" s="374">
        <f>SUMIFS(BL_인건비!BD$5:BD$34,BL_인건비!$B$5:$B$34,'1.인건비_요약'!$C20,BL_인건비!$C$5:$C$34,'1.인건비_요약'!$D20,BL_인건비!$E$5:$E$34,'1.인건비_요약'!$E20,BL_인건비!$F$5:$F$34,'1.인건비_요약'!$F20)</f>
        <v>2228405343.7874885</v>
      </c>
      <c r="N20" s="374">
        <f>SUMIFS(BL_인건비!BE$5:BE$34,BL_인건비!$B$5:$B$34,'1.인건비_요약'!$C20,BL_인건비!$C$5:$C$34,'1.인건비_요약'!$D20,BL_인건비!$E$5:$E$34,'1.인건비_요약'!$E20,BL_인건비!$F$5:$F$34,'1.인건비_요약'!$F20)</f>
        <v>2329686366.6626306</v>
      </c>
      <c r="O20" s="374">
        <f>SUMIFS(BL_인건비!BF$5:BF$34,BL_인건비!$B$5:$B$34,'1.인건비_요약'!$C20,BL_인건비!$C$5:$C$34,'1.인건비_요약'!$D20,BL_인건비!$E$5:$E$34,'1.인건비_요약'!$E20,BL_인건비!$F$5:$F$34,'1.인건비_요약'!$F20)</f>
        <v>0</v>
      </c>
      <c r="P20" s="374">
        <f>SUMIFS(BL_인건비!BG$5:BG$34,BL_인건비!$B$5:$B$34,'1.인건비_요약'!$C20,BL_인건비!$C$5:$C$34,'1.인건비_요약'!$D20,BL_인건비!$E$5:$E$34,'1.인건비_요약'!$E20,BL_인건비!$F$5:$F$34,'1.인건비_요약'!$F20)</f>
        <v>0</v>
      </c>
      <c r="Q20" s="374">
        <f>SUMIFS(BL_인건비!BH$5:BH$34,BL_인건비!$B$5:$B$34,'1.인건비_요약'!$C20,BL_인건비!$C$5:$C$34,'1.인건비_요약'!$D20,BL_인건비!$E$5:$E$34,'1.인건비_요약'!$E20,BL_인건비!$F$5:$F$34,'1.인건비_요약'!$F20)</f>
        <v>0</v>
      </c>
      <c r="R20" s="374">
        <f>SUMIFS(BL_인건비!BI$5:BI$34,BL_인건비!$B$5:$B$34,'1.인건비_요약'!$C20,BL_인건비!$C$5:$C$34,'1.인건비_요약'!$D20,BL_인건비!$E$5:$E$34,'1.인건비_요약'!$E20,BL_인건비!$F$5:$F$34,'1.인건비_요약'!$F20)</f>
        <v>0</v>
      </c>
    </row>
    <row r="21" spans="3:27" ht="17.45" customHeight="1" x14ac:dyDescent="0.3">
      <c r="C21" s="165"/>
      <c r="D21" s="165"/>
      <c r="E21" s="165"/>
      <c r="F21" s="165"/>
      <c r="G21" s="12"/>
      <c r="H21" s="12"/>
      <c r="I21" s="12"/>
      <c r="J21" s="12"/>
      <c r="K21" s="12"/>
      <c r="L21" s="12"/>
      <c r="M21" s="12"/>
      <c r="N21" s="12"/>
      <c r="O21" s="12"/>
      <c r="P21" s="12"/>
      <c r="Q21" s="12"/>
      <c r="R21" s="12"/>
    </row>
    <row r="22" spans="3:27" ht="17.45" customHeight="1" x14ac:dyDescent="0.3">
      <c r="C22" s="165"/>
      <c r="D22" s="165"/>
      <c r="E22" s="165"/>
      <c r="F22" s="165"/>
      <c r="G22" s="12"/>
      <c r="H22" s="12"/>
      <c r="I22" s="12"/>
      <c r="J22" s="12"/>
      <c r="K22" s="12"/>
      <c r="L22" s="12"/>
      <c r="M22" s="12"/>
      <c r="N22" s="12"/>
      <c r="O22" s="12"/>
      <c r="P22" s="12"/>
      <c r="Q22" s="12"/>
      <c r="R22" s="12"/>
    </row>
    <row r="23" spans="3:27" ht="17.45" customHeight="1" x14ac:dyDescent="0.3">
      <c r="C23" s="165"/>
      <c r="D23" s="165"/>
      <c r="E23" s="165"/>
      <c r="F23" s="165"/>
      <c r="G23" s="12"/>
      <c r="H23" s="12"/>
      <c r="I23" s="12"/>
      <c r="J23" s="12"/>
      <c r="K23" s="12"/>
      <c r="L23" s="12"/>
      <c r="M23" s="12"/>
      <c r="N23" s="12"/>
      <c r="O23" s="12"/>
      <c r="P23" s="12"/>
      <c r="Q23" s="12"/>
      <c r="R23" s="12"/>
    </row>
    <row r="24" spans="3:27" ht="17.45" customHeight="1" x14ac:dyDescent="0.3">
      <c r="C24" s="165"/>
      <c r="D24" s="165"/>
      <c r="E24" s="165"/>
      <c r="F24" s="165"/>
      <c r="G24" s="12"/>
      <c r="H24" s="12"/>
      <c r="I24" s="12"/>
      <c r="J24" s="12"/>
      <c r="K24" s="12"/>
      <c r="L24" s="12"/>
      <c r="M24" s="12"/>
      <c r="N24" s="12"/>
      <c r="O24" s="12"/>
      <c r="P24" s="12"/>
      <c r="Q24" s="12"/>
      <c r="R24" s="12"/>
    </row>
    <row r="25" spans="3:27" ht="17.45" customHeight="1" x14ac:dyDescent="0.3">
      <c r="C25" s="165"/>
      <c r="D25" s="165"/>
      <c r="E25" s="165"/>
      <c r="F25" s="165"/>
      <c r="G25" s="12"/>
      <c r="H25" s="12"/>
      <c r="I25" s="12"/>
      <c r="J25" s="12"/>
      <c r="K25" s="12"/>
      <c r="L25" s="12"/>
      <c r="M25" s="12"/>
      <c r="N25" s="12"/>
      <c r="O25" s="12"/>
      <c r="P25" s="12"/>
      <c r="Q25" s="12"/>
      <c r="R25" s="12"/>
    </row>
    <row r="26" spans="3:27" ht="17.45" customHeight="1" x14ac:dyDescent="0.3">
      <c r="C26" s="165"/>
      <c r="D26" s="165"/>
      <c r="E26" s="165"/>
      <c r="F26" s="165"/>
      <c r="G26" s="12"/>
      <c r="H26" s="12"/>
      <c r="I26" s="12"/>
      <c r="J26" s="12"/>
      <c r="K26" s="12"/>
      <c r="L26" s="12"/>
      <c r="M26" s="12"/>
      <c r="N26" s="12"/>
      <c r="O26" s="12"/>
      <c r="P26" s="12"/>
      <c r="Q26" s="12"/>
      <c r="R26" s="12"/>
    </row>
    <row r="27" spans="3:27" ht="17.45" customHeight="1" x14ac:dyDescent="0.3">
      <c r="C27" s="61" t="s">
        <v>257</v>
      </c>
      <c r="D27" s="61"/>
      <c r="E27" s="61"/>
      <c r="F27" s="166"/>
      <c r="G27" s="62">
        <f>SUM(G17:G26)</f>
        <v>67884844017.95517</v>
      </c>
      <c r="H27" s="62">
        <f t="shared" ref="H27:R27" si="4">SUM(H17:H26)</f>
        <v>8838781724.3946381</v>
      </c>
      <c r="I27" s="62">
        <f t="shared" si="4"/>
        <v>8843640236.2305756</v>
      </c>
      <c r="J27" s="62">
        <f t="shared" si="4"/>
        <v>9220566914.3633442</v>
      </c>
      <c r="K27" s="62">
        <f t="shared" si="4"/>
        <v>9613313429.3883438</v>
      </c>
      <c r="L27" s="62">
        <f t="shared" si="4"/>
        <v>10022523727.551319</v>
      </c>
      <c r="M27" s="62">
        <f t="shared" si="4"/>
        <v>10448866688.981571</v>
      </c>
      <c r="N27" s="62">
        <f t="shared" si="4"/>
        <v>10897151297.045372</v>
      </c>
      <c r="O27" s="62">
        <f t="shared" si="4"/>
        <v>0</v>
      </c>
      <c r="P27" s="62">
        <f t="shared" si="4"/>
        <v>0</v>
      </c>
      <c r="Q27" s="62">
        <f t="shared" si="4"/>
        <v>0</v>
      </c>
      <c r="R27" s="62">
        <f t="shared" si="4"/>
        <v>0</v>
      </c>
    </row>
    <row r="30" spans="3:27" ht="17.45" customHeight="1" x14ac:dyDescent="0.3">
      <c r="C30" s="65" t="s">
        <v>1021</v>
      </c>
      <c r="H30" s="180">
        <f>H32+H36</f>
        <v>138.08060986554548</v>
      </c>
      <c r="I30" s="180">
        <f t="shared" ref="I30:R30" si="5">I32+I36</f>
        <v>128.45648238157585</v>
      </c>
      <c r="J30" s="180">
        <f t="shared" si="5"/>
        <v>128.91286168254476</v>
      </c>
      <c r="K30" s="180">
        <f t="shared" si="5"/>
        <v>130.31203726617537</v>
      </c>
      <c r="L30" s="180">
        <f t="shared" si="5"/>
        <v>131.67521099421867</v>
      </c>
      <c r="M30" s="180">
        <f t="shared" si="5"/>
        <v>132.99983757989642</v>
      </c>
      <c r="N30" s="180">
        <f t="shared" si="5"/>
        <v>134.29391271082613</v>
      </c>
      <c r="O30" s="180">
        <f t="shared" si="5"/>
        <v>0</v>
      </c>
      <c r="P30" s="180">
        <f t="shared" si="5"/>
        <v>0</v>
      </c>
      <c r="Q30" s="180">
        <f t="shared" si="5"/>
        <v>0</v>
      </c>
      <c r="R30" s="180">
        <f t="shared" si="5"/>
        <v>0</v>
      </c>
    </row>
    <row r="31" spans="3:27" ht="17.45" customHeight="1" x14ac:dyDescent="0.3">
      <c r="C31" s="32" t="s">
        <v>1</v>
      </c>
      <c r="D31" s="32" t="s">
        <v>189</v>
      </c>
      <c r="E31" s="32" t="s">
        <v>267</v>
      </c>
      <c r="F31" s="32"/>
      <c r="G31" s="32" t="s">
        <v>257</v>
      </c>
      <c r="H31" s="32" t="s">
        <v>41</v>
      </c>
      <c r="I31" s="32" t="s">
        <v>258</v>
      </c>
      <c r="J31" s="32" t="s">
        <v>259</v>
      </c>
      <c r="K31" s="32" t="s">
        <v>260</v>
      </c>
      <c r="L31" s="32" t="s">
        <v>261</v>
      </c>
      <c r="M31" s="32" t="s">
        <v>262</v>
      </c>
      <c r="N31" s="32" t="s">
        <v>263</v>
      </c>
      <c r="O31" s="32" t="s">
        <v>264</v>
      </c>
      <c r="P31" s="32" t="s">
        <v>265</v>
      </c>
      <c r="Q31" s="32" t="s">
        <v>266</v>
      </c>
      <c r="R31" s="32" t="s">
        <v>182</v>
      </c>
      <c r="T31" s="2" t="s">
        <v>1025</v>
      </c>
    </row>
    <row r="32" spans="3:27" ht="17.45" customHeight="1" x14ac:dyDescent="0.3">
      <c r="C32" s="165" t="s">
        <v>336</v>
      </c>
      <c r="D32" s="165" t="s">
        <v>276</v>
      </c>
      <c r="E32" s="165" t="s">
        <v>255</v>
      </c>
      <c r="F32" s="165" t="s">
        <v>1016</v>
      </c>
      <c r="G32" s="189">
        <f>SUM(H32:R32)</f>
        <v>924.73095248078266</v>
      </c>
      <c r="H32" s="192">
        <f>H4-U42</f>
        <v>138.08060986554548</v>
      </c>
      <c r="I32" s="192">
        <f t="shared" ref="I32:R32" si="6">I4-V42</f>
        <v>128.45648238157585</v>
      </c>
      <c r="J32" s="192">
        <f t="shared" si="6"/>
        <v>128.91286168254476</v>
      </c>
      <c r="K32" s="192">
        <f t="shared" si="6"/>
        <v>130.31203726617537</v>
      </c>
      <c r="L32" s="192">
        <f t="shared" si="6"/>
        <v>131.67521099421867</v>
      </c>
      <c r="M32" s="192">
        <f t="shared" si="6"/>
        <v>132.99983757989642</v>
      </c>
      <c r="N32" s="192">
        <f t="shared" si="6"/>
        <v>134.29391271082613</v>
      </c>
      <c r="O32" s="192">
        <f t="shared" si="6"/>
        <v>0</v>
      </c>
      <c r="P32" s="192">
        <f t="shared" si="6"/>
        <v>0</v>
      </c>
      <c r="Q32" s="192">
        <f t="shared" si="6"/>
        <v>0</v>
      </c>
      <c r="R32" s="192">
        <f t="shared" si="6"/>
        <v>0</v>
      </c>
      <c r="T32" s="15" t="s">
        <v>391</v>
      </c>
      <c r="U32" s="12">
        <v>120.08060986554548</v>
      </c>
      <c r="V32" s="12">
        <v>123.68141887281507</v>
      </c>
      <c r="W32" s="12">
        <v>127.36513576350822</v>
      </c>
      <c r="X32" s="12">
        <v>131.13315309843074</v>
      </c>
      <c r="Y32" s="12">
        <v>134.98685935548755</v>
      </c>
      <c r="Z32" s="12">
        <v>138.92763693799273</v>
      </c>
      <c r="AA32" s="12">
        <v>142.96992472876158</v>
      </c>
    </row>
    <row r="33" spans="3:28" ht="17.45" customHeight="1" x14ac:dyDescent="0.3">
      <c r="C33" s="165" t="s">
        <v>336</v>
      </c>
      <c r="D33" s="165" t="s">
        <v>276</v>
      </c>
      <c r="E33" s="165" t="s">
        <v>255</v>
      </c>
      <c r="F33" s="165" t="s">
        <v>1018</v>
      </c>
      <c r="G33" s="189">
        <f t="shared" ref="G33:G42" si="7">SUM(H33:R33)</f>
        <v>220.81321554001255</v>
      </c>
      <c r="H33" s="192">
        <f t="shared" ref="H33:H34" si="8">H5-U43</f>
        <v>32.688535784307184</v>
      </c>
      <c r="I33" s="192">
        <f t="shared" ref="I33:I34" si="9">I5-V43</f>
        <v>30.618367593393739</v>
      </c>
      <c r="J33" s="192">
        <f t="shared" ref="J33:J34" si="10">J5-W43</f>
        <v>30.92225365890992</v>
      </c>
      <c r="K33" s="192">
        <f t="shared" ref="K33:K34" si="11">K5-X43</f>
        <v>31.221165031361746</v>
      </c>
      <c r="L33" s="192">
        <f t="shared" ref="L33:L34" si="12">L5-Y43</f>
        <v>31.514494775482426</v>
      </c>
      <c r="M33" s="192">
        <f t="shared" ref="M33:M34" si="13">M5-Z43</f>
        <v>31.801601873821866</v>
      </c>
      <c r="N33" s="192">
        <f t="shared" ref="N33:N34" si="14">N5-AA43</f>
        <v>32.046796822735651</v>
      </c>
      <c r="O33" s="192">
        <f t="shared" ref="O33:O34" si="15">O5-AB43</f>
        <v>0</v>
      </c>
      <c r="P33" s="192">
        <f t="shared" ref="P33:P34" si="16">P5-AC43</f>
        <v>0</v>
      </c>
      <c r="Q33" s="192">
        <f t="shared" ref="Q33:Q34" si="17">Q5-AD43</f>
        <v>0</v>
      </c>
      <c r="R33" s="192">
        <f t="shared" ref="R33:R34" si="18">R5-AE43</f>
        <v>0</v>
      </c>
      <c r="T33" s="15" t="s">
        <v>1024</v>
      </c>
      <c r="U33" s="12">
        <v>35.820101467842427</v>
      </c>
      <c r="V33" s="12">
        <v>36.756918848706803</v>
      </c>
      <c r="W33" s="12">
        <v>37.721023641180487</v>
      </c>
      <c r="X33" s="12">
        <v>38.713258266926822</v>
      </c>
      <c r="Y33" s="12">
        <v>39.734489727075101</v>
      </c>
      <c r="Z33" s="12">
        <v>40.785610359794369</v>
      </c>
      <c r="AA33" s="12">
        <v>42.078460245100914</v>
      </c>
    </row>
    <row r="34" spans="3:28" ht="17.45" customHeight="1" x14ac:dyDescent="0.3">
      <c r="C34" s="165" t="s">
        <v>336</v>
      </c>
      <c r="D34" s="165" t="s">
        <v>276</v>
      </c>
      <c r="E34" s="165" t="s">
        <v>255</v>
      </c>
      <c r="F34" s="165" t="s">
        <v>1020</v>
      </c>
      <c r="G34" s="189">
        <f t="shared" si="7"/>
        <v>169.59604688268334</v>
      </c>
      <c r="H34" s="192">
        <f t="shared" si="8"/>
        <v>24.032752579874291</v>
      </c>
      <c r="I34" s="192">
        <f t="shared" si="9"/>
        <v>23.490159479459312</v>
      </c>
      <c r="J34" s="192">
        <f t="shared" si="10"/>
        <v>23.798948438024421</v>
      </c>
      <c r="K34" s="192">
        <f t="shared" si="11"/>
        <v>24.101964626733203</v>
      </c>
      <c r="L34" s="192">
        <f t="shared" si="12"/>
        <v>24.398668027555519</v>
      </c>
      <c r="M34" s="192">
        <f t="shared" si="13"/>
        <v>24.688493560163373</v>
      </c>
      <c r="N34" s="192">
        <f t="shared" si="14"/>
        <v>25.08506017087322</v>
      </c>
      <c r="O34" s="192">
        <f t="shared" si="15"/>
        <v>0</v>
      </c>
      <c r="P34" s="192">
        <f t="shared" si="16"/>
        <v>0</v>
      </c>
      <c r="Q34" s="192">
        <f t="shared" si="17"/>
        <v>0</v>
      </c>
      <c r="R34" s="192">
        <f t="shared" si="18"/>
        <v>0</v>
      </c>
      <c r="T34" s="15" t="s">
        <v>1024</v>
      </c>
      <c r="U34" s="12">
        <v>12.901186896339047</v>
      </c>
      <c r="V34" s="12">
        <v>13.525008166400118</v>
      </c>
      <c r="W34" s="12">
        <v>14.168361184379641</v>
      </c>
      <c r="X34" s="12">
        <v>14.831808103400112</v>
      </c>
      <c r="Y34" s="12">
        <v>15.515928634361639</v>
      </c>
      <c r="Z34" s="12">
        <v>16.221320552485487</v>
      </c>
      <c r="AA34" s="12">
        <v>16.832639267619559</v>
      </c>
    </row>
    <row r="35" spans="3:28" ht="17.45" customHeight="1" x14ac:dyDescent="0.3">
      <c r="C35" s="165" t="s">
        <v>336</v>
      </c>
      <c r="D35" s="165" t="s">
        <v>276</v>
      </c>
      <c r="E35" s="165" t="s">
        <v>255</v>
      </c>
      <c r="F35" s="165" t="s">
        <v>393</v>
      </c>
      <c r="G35" s="189">
        <f t="shared" si="7"/>
        <v>413.51996969689577</v>
      </c>
      <c r="H35" s="192">
        <f>H7</f>
        <v>63.113049350649348</v>
      </c>
      <c r="I35" s="192">
        <f t="shared" ref="I35:R35" si="19">I7</f>
        <v>54.172034025974028</v>
      </c>
      <c r="J35" s="192">
        <f t="shared" si="19"/>
        <v>55.797195046753252</v>
      </c>
      <c r="K35" s="192">
        <f t="shared" si="19"/>
        <v>57.47111089815585</v>
      </c>
      <c r="L35" s="192">
        <f t="shared" si="19"/>
        <v>59.195244225100531</v>
      </c>
      <c r="M35" s="192">
        <f t="shared" si="19"/>
        <v>60.97110155185355</v>
      </c>
      <c r="N35" s="192">
        <f t="shared" si="19"/>
        <v>62.800234598409169</v>
      </c>
      <c r="O35" s="192">
        <f t="shared" si="19"/>
        <v>0</v>
      </c>
      <c r="P35" s="192">
        <f t="shared" si="19"/>
        <v>0</v>
      </c>
      <c r="Q35" s="192">
        <f t="shared" si="19"/>
        <v>0</v>
      </c>
      <c r="R35" s="192">
        <f t="shared" si="19"/>
        <v>0</v>
      </c>
    </row>
    <row r="36" spans="3:28" ht="17.45" customHeight="1" x14ac:dyDescent="0.3">
      <c r="C36" s="165"/>
      <c r="D36" s="165"/>
      <c r="E36" s="165"/>
      <c r="F36" s="165"/>
      <c r="G36" s="189">
        <f t="shared" si="7"/>
        <v>0</v>
      </c>
      <c r="H36" s="192"/>
      <c r="I36" s="192"/>
      <c r="J36" s="192"/>
      <c r="K36" s="192"/>
      <c r="L36" s="192"/>
      <c r="M36" s="192"/>
      <c r="N36" s="192"/>
      <c r="O36" s="192"/>
      <c r="P36" s="192"/>
      <c r="Q36" s="192"/>
      <c r="R36" s="192"/>
      <c r="T36" s="2" t="s">
        <v>1026</v>
      </c>
      <c r="V36" s="2" t="s">
        <v>1023</v>
      </c>
      <c r="W36" s="2">
        <v>0.71763377100098835</v>
      </c>
    </row>
    <row r="37" spans="3:28" ht="17.45" customHeight="1" x14ac:dyDescent="0.3">
      <c r="C37" s="165"/>
      <c r="D37" s="165"/>
      <c r="E37" s="165"/>
      <c r="F37" s="165"/>
      <c r="G37" s="189">
        <f t="shared" si="7"/>
        <v>0</v>
      </c>
      <c r="H37" s="192"/>
      <c r="I37" s="192"/>
      <c r="J37" s="192"/>
      <c r="K37" s="192"/>
      <c r="L37" s="192"/>
      <c r="M37" s="192"/>
      <c r="N37" s="192"/>
      <c r="O37" s="192"/>
      <c r="P37" s="192"/>
      <c r="Q37" s="192"/>
      <c r="R37" s="192"/>
      <c r="T37" s="15" t="s">
        <v>391</v>
      </c>
      <c r="U37" s="12">
        <f>U32*$W$36</f>
        <v>86.173900881909887</v>
      </c>
      <c r="V37" s="12">
        <f t="shared" ref="V37:AA37" si="20">V32*$W$36</f>
        <v>88.757963028451087</v>
      </c>
      <c r="W37" s="12">
        <f t="shared" si="20"/>
        <v>91.401522672019254</v>
      </c>
      <c r="X37" s="12">
        <f t="shared" si="20"/>
        <v>94.105579161276793</v>
      </c>
      <c r="Y37" s="12">
        <f t="shared" si="20"/>
        <v>96.871128914858573</v>
      </c>
      <c r="Z37" s="12">
        <f t="shared" si="20"/>
        <v>99.699163992067923</v>
      </c>
      <c r="AA37" s="12">
        <f t="shared" si="20"/>
        <v>102.60004622282864</v>
      </c>
    </row>
    <row r="38" spans="3:28" ht="17.45" customHeight="1" x14ac:dyDescent="0.3">
      <c r="C38" s="165"/>
      <c r="D38" s="165"/>
      <c r="E38" s="165"/>
      <c r="F38" s="165"/>
      <c r="G38" s="189">
        <f t="shared" si="7"/>
        <v>0</v>
      </c>
      <c r="H38" s="192"/>
      <c r="I38" s="192"/>
      <c r="J38" s="192"/>
      <c r="K38" s="192"/>
      <c r="L38" s="192"/>
      <c r="M38" s="192"/>
      <c r="N38" s="192"/>
      <c r="O38" s="192"/>
      <c r="P38" s="192"/>
      <c r="Q38" s="192"/>
      <c r="R38" s="192"/>
      <c r="T38" s="15" t="s">
        <v>1024</v>
      </c>
      <c r="U38" s="12">
        <f>U33</f>
        <v>35.820101467842427</v>
      </c>
      <c r="V38" s="12">
        <f t="shared" ref="V38:AA38" si="21">V33</f>
        <v>36.756918848706803</v>
      </c>
      <c r="W38" s="12">
        <f t="shared" si="21"/>
        <v>37.721023641180487</v>
      </c>
      <c r="X38" s="12">
        <f t="shared" si="21"/>
        <v>38.713258266926822</v>
      </c>
      <c r="Y38" s="12">
        <f t="shared" si="21"/>
        <v>39.734489727075101</v>
      </c>
      <c r="Z38" s="12">
        <f t="shared" si="21"/>
        <v>40.785610359794369</v>
      </c>
      <c r="AA38" s="12">
        <f t="shared" si="21"/>
        <v>42.078460245100914</v>
      </c>
    </row>
    <row r="39" spans="3:28" ht="17.45" customHeight="1" x14ac:dyDescent="0.3">
      <c r="C39" s="165"/>
      <c r="D39" s="165"/>
      <c r="E39" s="165"/>
      <c r="F39" s="165"/>
      <c r="G39" s="189">
        <f t="shared" si="7"/>
        <v>0</v>
      </c>
      <c r="H39" s="192"/>
      <c r="I39" s="192"/>
      <c r="J39" s="192"/>
      <c r="K39" s="192"/>
      <c r="L39" s="192"/>
      <c r="M39" s="192"/>
      <c r="N39" s="192"/>
      <c r="O39" s="192"/>
      <c r="P39" s="192"/>
      <c r="Q39" s="192"/>
      <c r="R39" s="192"/>
      <c r="T39" s="15" t="s">
        <v>1024</v>
      </c>
      <c r="U39" s="12">
        <f>U34</f>
        <v>12.901186896339047</v>
      </c>
      <c r="V39" s="12">
        <f t="shared" ref="V39:AA39" si="22">V34</f>
        <v>13.525008166400118</v>
      </c>
      <c r="W39" s="12">
        <f t="shared" si="22"/>
        <v>14.168361184379641</v>
      </c>
      <c r="X39" s="12">
        <f t="shared" si="22"/>
        <v>14.831808103400112</v>
      </c>
      <c r="Y39" s="12">
        <f t="shared" si="22"/>
        <v>15.515928634361639</v>
      </c>
      <c r="Z39" s="12">
        <f t="shared" si="22"/>
        <v>16.221320552485487</v>
      </c>
      <c r="AA39" s="12">
        <f t="shared" si="22"/>
        <v>16.832639267619559</v>
      </c>
    </row>
    <row r="40" spans="3:28" ht="17.45" customHeight="1" x14ac:dyDescent="0.3">
      <c r="C40" s="165"/>
      <c r="D40" s="165"/>
      <c r="E40" s="165"/>
      <c r="F40" s="165"/>
      <c r="G40" s="189">
        <f t="shared" si="7"/>
        <v>0</v>
      </c>
      <c r="H40" s="192"/>
      <c r="I40" s="192"/>
      <c r="J40" s="192"/>
      <c r="K40" s="192"/>
      <c r="L40" s="192"/>
      <c r="M40" s="192"/>
      <c r="N40" s="192"/>
      <c r="O40" s="192"/>
      <c r="P40" s="192"/>
      <c r="Q40" s="192"/>
      <c r="R40" s="192"/>
    </row>
    <row r="41" spans="3:28" ht="17.45" customHeight="1" x14ac:dyDescent="0.3">
      <c r="C41" s="165"/>
      <c r="D41" s="165"/>
      <c r="E41" s="165"/>
      <c r="F41" s="165"/>
      <c r="G41" s="189">
        <f t="shared" si="7"/>
        <v>0</v>
      </c>
      <c r="H41" s="192"/>
      <c r="I41" s="192"/>
      <c r="J41" s="192"/>
      <c r="K41" s="192"/>
      <c r="L41" s="192"/>
      <c r="M41" s="192"/>
      <c r="N41" s="192"/>
      <c r="O41" s="192"/>
      <c r="P41" s="192"/>
      <c r="Q41" s="192"/>
      <c r="R41" s="192"/>
      <c r="T41" s="2" t="s">
        <v>1027</v>
      </c>
    </row>
    <row r="42" spans="3:28" ht="17.45" customHeight="1" x14ac:dyDescent="0.3">
      <c r="C42" s="165"/>
      <c r="D42" s="165"/>
      <c r="E42" s="165"/>
      <c r="F42" s="165"/>
      <c r="G42" s="12">
        <f t="shared" si="7"/>
        <v>0</v>
      </c>
      <c r="H42" s="192"/>
      <c r="I42" s="192"/>
      <c r="J42" s="192"/>
      <c r="K42" s="192"/>
      <c r="L42" s="192"/>
      <c r="M42" s="192"/>
      <c r="N42" s="192"/>
      <c r="O42" s="192"/>
      <c r="P42" s="192"/>
      <c r="Q42" s="192"/>
      <c r="R42" s="192"/>
      <c r="T42" s="15" t="s">
        <v>391</v>
      </c>
      <c r="U42" s="12">
        <f>U37*'(참조)솔루션효과'!C3+U37*'(참조)솔루션효과'!C4</f>
        <v>0</v>
      </c>
      <c r="V42" s="12">
        <f>V37*'(참조)솔루션효과'!D3+V37*'(참조)솔루션효과'!D4</f>
        <v>13.224936491239212</v>
      </c>
      <c r="W42" s="12">
        <f>W37*'(참조)솔루션효과'!E3+W37*'(참조)솔루션효과'!E4</f>
        <v>16.452274080963466</v>
      </c>
      <c r="X42" s="12">
        <f>X37*'(참조)솔루션효과'!F3+X37*'(참조)솔루션효과'!F4</f>
        <v>18.821115832255359</v>
      </c>
      <c r="Y42" s="12">
        <f>Y37*'(참조)솔루션효과'!G3+Y37*'(참조)솔루션효과'!G4</f>
        <v>21.311648361268887</v>
      </c>
      <c r="Z42" s="12">
        <f>Z37*'(참조)솔루션효과'!H3+Z37*'(참조)솔루션효과'!H4</f>
        <v>23.927799358096301</v>
      </c>
      <c r="AA42" s="12">
        <f>AA37*'(참조)솔루션효과'!I3+AA37*'(참조)솔루션효과'!I4</f>
        <v>26.676012017935445</v>
      </c>
    </row>
    <row r="43" spans="3:28" ht="17.45" customHeight="1" x14ac:dyDescent="0.3">
      <c r="C43" s="61" t="s">
        <v>257</v>
      </c>
      <c r="D43" s="61"/>
      <c r="E43" s="61"/>
      <c r="F43" s="166"/>
      <c r="G43" s="190">
        <f>SUM(G32:G41)</f>
        <v>1728.6601846003744</v>
      </c>
      <c r="H43" s="175">
        <f t="shared" ref="H43:R43" si="23">SUM(H32:H41)</f>
        <v>257.91494758037629</v>
      </c>
      <c r="I43" s="175">
        <f t="shared" si="23"/>
        <v>236.73704348040295</v>
      </c>
      <c r="J43" s="175">
        <f t="shared" si="23"/>
        <v>239.43125882623232</v>
      </c>
      <c r="K43" s="175">
        <f t="shared" si="23"/>
        <v>243.10627782242616</v>
      </c>
      <c r="L43" s="175">
        <f t="shared" si="23"/>
        <v>246.78361802235716</v>
      </c>
      <c r="M43" s="175">
        <f t="shared" si="23"/>
        <v>250.46103456573519</v>
      </c>
      <c r="N43" s="175">
        <f t="shared" si="23"/>
        <v>254.22600430284416</v>
      </c>
      <c r="O43" s="175">
        <f t="shared" si="23"/>
        <v>0</v>
      </c>
      <c r="P43" s="175">
        <f t="shared" si="23"/>
        <v>0</v>
      </c>
      <c r="Q43" s="175">
        <f t="shared" si="23"/>
        <v>0</v>
      </c>
      <c r="R43" s="175">
        <f t="shared" si="23"/>
        <v>0</v>
      </c>
      <c r="T43" s="15" t="s">
        <v>1024</v>
      </c>
      <c r="U43" s="12">
        <f>U38*'(참조)솔루션효과'!C4*(1-'(참조)솔루션효과'!C11)</f>
        <v>0</v>
      </c>
      <c r="V43" s="12">
        <f>V38*'(참조)솔루션효과'!D4*(1-'(참조)솔루션효과'!D11)</f>
        <v>3.0508242644426651</v>
      </c>
      <c r="W43" s="12">
        <f>W38*'(참조)솔루션효과'!E4*(1-'(참조)솔루션효과'!E11)</f>
        <v>3.7570139546615775</v>
      </c>
      <c r="X43" s="12">
        <f>X38*'(참조)솔루션효과'!F4*(1-'(참조)솔루션효과'!F11)</f>
        <v>4.4984806106168973</v>
      </c>
      <c r="Y43" s="12">
        <f>Y38*'(참조)솔루션효과'!G4*(1-'(참조)솔루션효과'!G11)</f>
        <v>5.2767402357555735</v>
      </c>
      <c r="Z43" s="12">
        <f>Z38*'(참조)솔루션효과'!H4*(1-'(참조)솔루션효과'!H11)</f>
        <v>6.0933701877532789</v>
      </c>
      <c r="AA43" s="12">
        <f>AA38*'(참조)솔루션효과'!I4*(1-'(참조)솔루션효과'!I11)</f>
        <v>6.9850244006867515</v>
      </c>
    </row>
    <row r="44" spans="3:28" ht="8.4499999999999993" customHeight="1" x14ac:dyDescent="0.3">
      <c r="C44" s="49"/>
      <c r="D44" s="49"/>
      <c r="E44" s="49"/>
      <c r="F44" s="167"/>
      <c r="G44" s="50"/>
      <c r="H44" s="50"/>
      <c r="I44" s="50"/>
      <c r="J44" s="50"/>
      <c r="K44" s="50"/>
      <c r="L44" s="50"/>
      <c r="M44" s="50"/>
      <c r="N44" s="50"/>
      <c r="O44" s="50"/>
      <c r="P44" s="50"/>
      <c r="Q44" s="50"/>
      <c r="R44" s="50"/>
      <c r="T44" s="15" t="s">
        <v>1024</v>
      </c>
      <c r="U44" s="12">
        <f>U39*'(참조)솔루션효과'!C4*(1-'(참조)솔루션효과'!C11)</f>
        <v>0</v>
      </c>
      <c r="V44" s="12">
        <f>V39*'(참조)솔루션효과'!D4*(1-'(참조)솔루션효과'!D11)</f>
        <v>1.1225756778112099</v>
      </c>
      <c r="W44" s="12">
        <f>W39*'(참조)솔루션효과'!E4*(1-'(참조)솔루션효과'!E11)</f>
        <v>1.4111687739642125</v>
      </c>
      <c r="X44" s="12">
        <f>X39*'(참조)솔루션효과'!F4*(1-'(참조)솔루션효과'!F11)</f>
        <v>1.7234561016150933</v>
      </c>
      <c r="Y44" s="12">
        <f>Y39*'(참조)솔루션효과'!G4*(1-'(참조)솔루션효과'!G11)</f>
        <v>2.060515322643226</v>
      </c>
      <c r="Z44" s="12">
        <f>Z39*'(참조)솔루션효과'!H4*(1-'(참조)솔루션효과'!H11)</f>
        <v>2.4234652905413316</v>
      </c>
      <c r="AA44" s="12">
        <f>AA39*'(참조)솔루션효과'!I4*(1-'(참조)솔루션효과'!I11)</f>
        <v>2.7942181184248467</v>
      </c>
    </row>
    <row r="45" spans="3:28" ht="17.45" customHeight="1" x14ac:dyDescent="0.3">
      <c r="C45" s="32" t="s">
        <v>1</v>
      </c>
      <c r="D45" s="32" t="s">
        <v>189</v>
      </c>
      <c r="E45" s="32" t="s">
        <v>267</v>
      </c>
      <c r="F45" s="32"/>
      <c r="G45" s="32" t="s">
        <v>257</v>
      </c>
      <c r="H45" s="32" t="s">
        <v>41</v>
      </c>
      <c r="I45" s="32" t="s">
        <v>258</v>
      </c>
      <c r="J45" s="32" t="s">
        <v>259</v>
      </c>
      <c r="K45" s="32" t="s">
        <v>260</v>
      </c>
      <c r="L45" s="32" t="s">
        <v>261</v>
      </c>
      <c r="M45" s="32" t="s">
        <v>262</v>
      </c>
      <c r="N45" s="32" t="s">
        <v>263</v>
      </c>
      <c r="O45" s="32" t="s">
        <v>264</v>
      </c>
      <c r="P45" s="32" t="s">
        <v>265</v>
      </c>
      <c r="Q45" s="32" t="s">
        <v>266</v>
      </c>
      <c r="R45" s="32" t="s">
        <v>182</v>
      </c>
    </row>
    <row r="46" spans="3:28" ht="17.45" customHeight="1" x14ac:dyDescent="0.3">
      <c r="C46" s="165" t="s">
        <v>336</v>
      </c>
      <c r="D46" s="165" t="s">
        <v>276</v>
      </c>
      <c r="E46" s="165" t="s">
        <v>255</v>
      </c>
      <c r="F46" s="165" t="s">
        <v>1016</v>
      </c>
      <c r="G46" s="374">
        <f>SUM(H46:R46)</f>
        <v>32224594912.43914</v>
      </c>
      <c r="H46" s="374">
        <f>H32*V48</f>
        <v>4599468560.8990955</v>
      </c>
      <c r="I46" s="374">
        <f t="shared" ref="I46:R46" si="24">I32*W48</f>
        <v>4343071963.7178497</v>
      </c>
      <c r="J46" s="374">
        <f t="shared" si="24"/>
        <v>4423879529.7079124</v>
      </c>
      <c r="K46" s="374">
        <f t="shared" si="24"/>
        <v>4538973208.8124323</v>
      </c>
      <c r="L46" s="374">
        <f t="shared" si="24"/>
        <v>4655251514.1243753</v>
      </c>
      <c r="M46" s="374">
        <f t="shared" si="24"/>
        <v>4772613660.2035322</v>
      </c>
      <c r="N46" s="374">
        <f t="shared" si="24"/>
        <v>4891336474.9739437</v>
      </c>
      <c r="O46" s="374">
        <f t="shared" si="24"/>
        <v>0</v>
      </c>
      <c r="P46" s="374">
        <f t="shared" si="24"/>
        <v>0</v>
      </c>
      <c r="Q46" s="374">
        <f t="shared" si="24"/>
        <v>0</v>
      </c>
      <c r="R46" s="374">
        <f t="shared" si="24"/>
        <v>0</v>
      </c>
      <c r="T46" s="2" t="s">
        <v>1031</v>
      </c>
    </row>
    <row r="47" spans="3:28" ht="17.45" customHeight="1" x14ac:dyDescent="0.3">
      <c r="C47" s="165" t="s">
        <v>336</v>
      </c>
      <c r="D47" s="165" t="s">
        <v>276</v>
      </c>
      <c r="E47" s="165" t="s">
        <v>255</v>
      </c>
      <c r="F47" s="165" t="s">
        <v>1018</v>
      </c>
      <c r="G47" s="374">
        <f t="shared" ref="G47:G49" si="25">SUM(H47:R47)</f>
        <v>7523793206.7219982</v>
      </c>
      <c r="H47" s="374">
        <f t="shared" ref="H47:H50" si="26">H33*V49</f>
        <v>1064593628.8348207</v>
      </c>
      <c r="I47" s="374">
        <f t="shared" ref="I47:I50" si="27">I33*W49</f>
        <v>1012130401.6043273</v>
      </c>
      <c r="J47" s="374">
        <f t="shared" ref="J47:J50" si="28">J33*X49</f>
        <v>1037508391.4131327</v>
      </c>
      <c r="K47" s="374">
        <f t="shared" ref="K47:K50" si="29">K33*Y49</f>
        <v>1063250576.204512</v>
      </c>
      <c r="L47" s="374">
        <f t="shared" ref="L47:L50" si="30">L33*Z49</f>
        <v>1089338651.0591321</v>
      </c>
      <c r="M47" s="374">
        <f t="shared" ref="M47:M50" si="31">M33*AA49</f>
        <v>1115751816.6975484</v>
      </c>
      <c r="N47" s="374">
        <f t="shared" ref="N47:N50" si="32">N33*AB49</f>
        <v>1141219740.9085259</v>
      </c>
      <c r="O47" s="374">
        <f t="shared" ref="O47:O50" si="33">O33*AC49</f>
        <v>0</v>
      </c>
      <c r="P47" s="374">
        <f t="shared" ref="P47:P50" si="34">P33*AD49</f>
        <v>0</v>
      </c>
      <c r="Q47" s="374">
        <f t="shared" ref="Q47:Q50" si="35">Q33*AE49</f>
        <v>0</v>
      </c>
      <c r="R47" s="374">
        <f t="shared" ref="R47:R50" si="36">R33*AF49</f>
        <v>0</v>
      </c>
      <c r="T47" s="450" t="s">
        <v>2</v>
      </c>
      <c r="U47" s="450" t="s">
        <v>3</v>
      </c>
      <c r="V47" s="450" t="s">
        <v>41</v>
      </c>
      <c r="W47" s="450" t="s">
        <v>258</v>
      </c>
      <c r="X47" s="450" t="s">
        <v>259</v>
      </c>
      <c r="Y47" s="450" t="s">
        <v>260</v>
      </c>
      <c r="Z47" s="450" t="s">
        <v>261</v>
      </c>
      <c r="AA47" s="450" t="s">
        <v>262</v>
      </c>
      <c r="AB47" s="450" t="s">
        <v>263</v>
      </c>
    </row>
    <row r="48" spans="3:28" ht="17.45" customHeight="1" x14ac:dyDescent="0.3">
      <c r="C48" s="165" t="s">
        <v>336</v>
      </c>
      <c r="D48" s="165" t="s">
        <v>276</v>
      </c>
      <c r="E48" s="165" t="s">
        <v>255</v>
      </c>
      <c r="F48" s="165" t="s">
        <v>1020</v>
      </c>
      <c r="G48" s="374">
        <f t="shared" si="25"/>
        <v>5781367279.581337</v>
      </c>
      <c r="H48" s="374">
        <f t="shared" si="26"/>
        <v>782693830.29938114</v>
      </c>
      <c r="I48" s="374">
        <f t="shared" si="27"/>
        <v>776498109.351349</v>
      </c>
      <c r="J48" s="374">
        <f t="shared" si="28"/>
        <v>798506117.42667007</v>
      </c>
      <c r="K48" s="374">
        <f t="shared" si="29"/>
        <v>820803059.44038367</v>
      </c>
      <c r="L48" s="374">
        <f t="shared" si="30"/>
        <v>843371036.2843678</v>
      </c>
      <c r="M48" s="374">
        <f t="shared" si="31"/>
        <v>866190063.33618832</v>
      </c>
      <c r="N48" s="374">
        <f t="shared" si="32"/>
        <v>893305063.44299746</v>
      </c>
      <c r="O48" s="374">
        <f t="shared" si="33"/>
        <v>0</v>
      </c>
      <c r="P48" s="374">
        <f t="shared" si="34"/>
        <v>0</v>
      </c>
      <c r="Q48" s="374">
        <f t="shared" si="35"/>
        <v>0</v>
      </c>
      <c r="R48" s="374">
        <f t="shared" si="36"/>
        <v>0</v>
      </c>
      <c r="T48" s="165" t="s">
        <v>391</v>
      </c>
      <c r="U48" s="165" t="s">
        <v>1016</v>
      </c>
      <c r="V48" s="12">
        <v>33310024.958448395</v>
      </c>
      <c r="W48" s="12">
        <v>33809675.332825117</v>
      </c>
      <c r="X48" s="12">
        <v>34316820.46281749</v>
      </c>
      <c r="Y48" s="12">
        <v>34831572.769759752</v>
      </c>
      <c r="Z48" s="12">
        <v>35354046.361306146</v>
      </c>
      <c r="AA48" s="12">
        <v>35884357.056725733</v>
      </c>
      <c r="AB48" s="12">
        <v>36422622.412576616</v>
      </c>
    </row>
    <row r="49" spans="3:28" ht="17.45" customHeight="1" x14ac:dyDescent="0.3">
      <c r="C49" s="165" t="s">
        <v>336</v>
      </c>
      <c r="D49" s="165" t="s">
        <v>276</v>
      </c>
      <c r="E49" s="165" t="s">
        <v>255</v>
      </c>
      <c r="F49" s="165" t="s">
        <v>393</v>
      </c>
      <c r="G49" s="374">
        <f t="shared" si="25"/>
        <v>13358236946.335682</v>
      </c>
      <c r="H49" s="374">
        <f t="shared" si="26"/>
        <v>1947708116.0471106</v>
      </c>
      <c r="I49" s="374">
        <f t="shared" si="27"/>
        <v>1696859541.6012096</v>
      </c>
      <c r="J49" s="374">
        <f t="shared" si="28"/>
        <v>1773981807.7669847</v>
      </c>
      <c r="K49" s="374">
        <f t="shared" si="29"/>
        <v>1854609280.9299939</v>
      </c>
      <c r="L49" s="374">
        <f t="shared" si="30"/>
        <v>1938901272.7482622</v>
      </c>
      <c r="M49" s="374">
        <f t="shared" si="31"/>
        <v>2027024335.5946705</v>
      </c>
      <c r="N49" s="374">
        <f t="shared" si="32"/>
        <v>2119152591.6474485</v>
      </c>
      <c r="O49" s="374">
        <f t="shared" si="33"/>
        <v>0</v>
      </c>
      <c r="P49" s="374">
        <f t="shared" si="34"/>
        <v>0</v>
      </c>
      <c r="Q49" s="374">
        <f t="shared" si="35"/>
        <v>0</v>
      </c>
      <c r="R49" s="374">
        <f t="shared" si="36"/>
        <v>0</v>
      </c>
      <c r="T49" s="165" t="s">
        <v>392</v>
      </c>
      <c r="U49" s="165" t="s">
        <v>1028</v>
      </c>
      <c r="V49" s="12">
        <v>32567797.953981813</v>
      </c>
      <c r="W49" s="12">
        <v>33056314.923291534</v>
      </c>
      <c r="X49" s="12">
        <v>33552159.647140905</v>
      </c>
      <c r="Y49" s="12">
        <v>34055442.041848019</v>
      </c>
      <c r="Z49" s="12">
        <v>34566273.672475733</v>
      </c>
      <c r="AA49" s="12">
        <v>35084767.777562872</v>
      </c>
      <c r="AB49" s="12">
        <v>35611039.294226304</v>
      </c>
    </row>
    <row r="50" spans="3:28" ht="17.45" customHeight="1" x14ac:dyDescent="0.3">
      <c r="C50" s="165"/>
      <c r="D50" s="165"/>
      <c r="E50" s="165"/>
      <c r="F50" s="165"/>
      <c r="G50" s="374"/>
      <c r="H50" s="374">
        <f t="shared" si="26"/>
        <v>0</v>
      </c>
      <c r="I50" s="374">
        <f t="shared" si="27"/>
        <v>0</v>
      </c>
      <c r="J50" s="374">
        <f t="shared" si="28"/>
        <v>0</v>
      </c>
      <c r="K50" s="374">
        <f t="shared" si="29"/>
        <v>0</v>
      </c>
      <c r="L50" s="374">
        <f t="shared" si="30"/>
        <v>0</v>
      </c>
      <c r="M50" s="374">
        <f t="shared" si="31"/>
        <v>0</v>
      </c>
      <c r="N50" s="374">
        <f t="shared" si="32"/>
        <v>0</v>
      </c>
      <c r="O50" s="374">
        <f t="shared" si="33"/>
        <v>0</v>
      </c>
      <c r="P50" s="374">
        <f t="shared" si="34"/>
        <v>0</v>
      </c>
      <c r="Q50" s="374">
        <f t="shared" si="35"/>
        <v>0</v>
      </c>
      <c r="R50" s="374">
        <f t="shared" si="36"/>
        <v>0</v>
      </c>
      <c r="T50" s="165" t="s">
        <v>392</v>
      </c>
      <c r="U50" s="165" t="s">
        <v>1029</v>
      </c>
      <c r="V50" s="12">
        <v>32567797.953981813</v>
      </c>
      <c r="W50" s="12">
        <v>33056314.923291534</v>
      </c>
      <c r="X50" s="12">
        <v>33552159.647140905</v>
      </c>
      <c r="Y50" s="12">
        <v>34055442.041848019</v>
      </c>
      <c r="Z50" s="12">
        <v>34566273.672475733</v>
      </c>
      <c r="AA50" s="12">
        <v>35084767.777562872</v>
      </c>
      <c r="AB50" s="12">
        <v>35611039.294226304</v>
      </c>
    </row>
    <row r="51" spans="3:28" ht="17.45" customHeight="1" x14ac:dyDescent="0.3">
      <c r="C51" s="165"/>
      <c r="D51" s="165"/>
      <c r="E51" s="165"/>
      <c r="F51" s="165"/>
      <c r="G51" s="374"/>
      <c r="H51" s="374"/>
      <c r="I51" s="374"/>
      <c r="J51" s="374"/>
      <c r="K51" s="374"/>
      <c r="L51" s="374"/>
      <c r="M51" s="374"/>
      <c r="N51" s="374"/>
      <c r="O51" s="374"/>
      <c r="P51" s="374"/>
      <c r="Q51" s="374"/>
      <c r="R51" s="374"/>
      <c r="T51" s="165" t="s">
        <v>393</v>
      </c>
      <c r="U51" s="165" t="s">
        <v>1030</v>
      </c>
      <c r="V51" s="12">
        <v>30860624.483945511</v>
      </c>
      <c r="W51" s="12">
        <v>31323533.85120469</v>
      </c>
      <c r="X51" s="12">
        <v>31793386.858972758</v>
      </c>
      <c r="Y51" s="12">
        <v>32270287.661857344</v>
      </c>
      <c r="Z51" s="12">
        <v>32754341.976785202</v>
      </c>
      <c r="AA51" s="12">
        <v>33245657.106436975</v>
      </c>
      <c r="AB51" s="12">
        <v>33744341.963033527</v>
      </c>
    </row>
    <row r="52" spans="3:28" ht="17.45" customHeight="1" x14ac:dyDescent="0.3">
      <c r="C52" s="165"/>
      <c r="D52" s="165"/>
      <c r="E52" s="165"/>
      <c r="F52" s="165"/>
      <c r="G52" s="12"/>
      <c r="H52" s="374"/>
      <c r="I52" s="374"/>
      <c r="J52" s="374"/>
      <c r="K52" s="374"/>
      <c r="L52" s="374"/>
      <c r="M52" s="374"/>
      <c r="N52" s="374"/>
      <c r="O52" s="374"/>
      <c r="P52" s="374"/>
      <c r="Q52" s="374"/>
      <c r="R52" s="374"/>
    </row>
    <row r="53" spans="3:28" ht="17.45" customHeight="1" x14ac:dyDescent="0.3">
      <c r="C53" s="165"/>
      <c r="D53" s="165"/>
      <c r="E53" s="165"/>
      <c r="F53" s="165"/>
      <c r="G53" s="12"/>
      <c r="H53" s="374"/>
      <c r="I53" s="374"/>
      <c r="J53" s="374"/>
      <c r="K53" s="374"/>
      <c r="L53" s="374"/>
      <c r="M53" s="374"/>
      <c r="N53" s="374"/>
      <c r="O53" s="374"/>
      <c r="P53" s="374"/>
      <c r="Q53" s="374"/>
      <c r="R53" s="374"/>
    </row>
    <row r="54" spans="3:28" ht="17.45" customHeight="1" x14ac:dyDescent="0.3">
      <c r="C54" s="165"/>
      <c r="D54" s="165"/>
      <c r="E54" s="165"/>
      <c r="F54" s="165"/>
      <c r="G54" s="12"/>
      <c r="H54" s="374"/>
      <c r="I54" s="374"/>
      <c r="J54" s="374"/>
      <c r="K54" s="374"/>
      <c r="L54" s="374"/>
      <c r="M54" s="374"/>
      <c r="N54" s="374"/>
      <c r="O54" s="374"/>
      <c r="P54" s="374"/>
      <c r="Q54" s="374"/>
      <c r="R54" s="374"/>
    </row>
    <row r="55" spans="3:28" ht="17.45" customHeight="1" x14ac:dyDescent="0.3">
      <c r="C55" s="165"/>
      <c r="D55" s="165"/>
      <c r="E55" s="165"/>
      <c r="F55" s="165"/>
      <c r="G55" s="12"/>
      <c r="H55" s="374"/>
      <c r="I55" s="374"/>
      <c r="J55" s="374"/>
      <c r="K55" s="374"/>
      <c r="L55" s="374"/>
      <c r="M55" s="374"/>
      <c r="N55" s="374"/>
      <c r="O55" s="374"/>
      <c r="P55" s="374"/>
      <c r="Q55" s="374"/>
      <c r="R55" s="374"/>
    </row>
    <row r="56" spans="3:28" ht="17.45" customHeight="1" x14ac:dyDescent="0.3">
      <c r="C56" s="165"/>
      <c r="D56" s="165"/>
      <c r="E56" s="165"/>
      <c r="F56" s="165"/>
      <c r="G56" s="12"/>
      <c r="H56" s="374"/>
      <c r="I56" s="374"/>
      <c r="J56" s="374"/>
      <c r="K56" s="374"/>
      <c r="L56" s="374"/>
      <c r="M56" s="374"/>
      <c r="N56" s="374"/>
      <c r="O56" s="374"/>
      <c r="P56" s="374"/>
      <c r="Q56" s="374"/>
      <c r="R56" s="374"/>
    </row>
    <row r="57" spans="3:28" ht="17.45" customHeight="1" x14ac:dyDescent="0.3">
      <c r="C57" s="61" t="s">
        <v>257</v>
      </c>
      <c r="D57" s="61"/>
      <c r="E57" s="61"/>
      <c r="F57" s="166"/>
      <c r="G57" s="175">
        <f>SUM(G46:G56)</f>
        <v>58887992345.078156</v>
      </c>
      <c r="H57" s="175">
        <f t="shared" ref="H57:R57" si="37">SUM(H46:H56)</f>
        <v>8394464136.0804081</v>
      </c>
      <c r="I57" s="175">
        <f t="shared" si="37"/>
        <v>7828560016.2747355</v>
      </c>
      <c r="J57" s="175">
        <f t="shared" si="37"/>
        <v>8033875846.3147001</v>
      </c>
      <c r="K57" s="175">
        <f t="shared" si="37"/>
        <v>8277636125.3873215</v>
      </c>
      <c r="L57" s="175">
        <f t="shared" si="37"/>
        <v>8526862474.2161379</v>
      </c>
      <c r="M57" s="175">
        <f t="shared" si="37"/>
        <v>8781579875.8319397</v>
      </c>
      <c r="N57" s="175">
        <f t="shared" si="37"/>
        <v>9045013870.9729156</v>
      </c>
      <c r="O57" s="175">
        <f t="shared" si="37"/>
        <v>0</v>
      </c>
      <c r="P57" s="175">
        <f t="shared" si="37"/>
        <v>0</v>
      </c>
      <c r="Q57" s="175">
        <f t="shared" si="37"/>
        <v>0</v>
      </c>
      <c r="R57" s="175">
        <f t="shared" si="37"/>
        <v>0</v>
      </c>
    </row>
    <row r="59" spans="3:28" ht="17.45" customHeight="1" x14ac:dyDescent="0.3">
      <c r="H59" s="176"/>
    </row>
    <row r="60" spans="3:28" ht="17.45" customHeight="1" x14ac:dyDescent="0.3">
      <c r="C60" s="120" t="s">
        <v>1032</v>
      </c>
      <c r="D60" s="121"/>
      <c r="E60" s="121"/>
      <c r="F60" s="168"/>
      <c r="G60" s="121"/>
    </row>
    <row r="61" spans="3:28" ht="17.45" customHeight="1" x14ac:dyDescent="0.3">
      <c r="C61" s="122" t="s">
        <v>1</v>
      </c>
      <c r="D61" s="122" t="s">
        <v>189</v>
      </c>
      <c r="E61" s="122" t="s">
        <v>267</v>
      </c>
      <c r="F61" s="122"/>
      <c r="G61" s="122" t="s">
        <v>257</v>
      </c>
      <c r="H61" s="122" t="s">
        <v>41</v>
      </c>
      <c r="I61" s="122" t="s">
        <v>258</v>
      </c>
      <c r="J61" s="122" t="s">
        <v>259</v>
      </c>
      <c r="K61" s="122" t="s">
        <v>260</v>
      </c>
      <c r="L61" s="122" t="s">
        <v>261</v>
      </c>
      <c r="M61" s="122" t="s">
        <v>262</v>
      </c>
      <c r="N61" s="122" t="s">
        <v>263</v>
      </c>
      <c r="O61" s="122" t="s">
        <v>264</v>
      </c>
      <c r="P61" s="122" t="s">
        <v>265</v>
      </c>
      <c r="Q61" s="122" t="s">
        <v>266</v>
      </c>
      <c r="R61" s="122" t="s">
        <v>182</v>
      </c>
    </row>
    <row r="62" spans="3:28" ht="17.45" customHeight="1" x14ac:dyDescent="0.3">
      <c r="C62" s="165" t="s">
        <v>336</v>
      </c>
      <c r="D62" s="165" t="s">
        <v>277</v>
      </c>
      <c r="E62" s="165" t="s">
        <v>255</v>
      </c>
      <c r="F62" s="165" t="s">
        <v>391</v>
      </c>
      <c r="G62" s="189">
        <f>SUM(H62:R62)</f>
        <v>647.97500000000002</v>
      </c>
      <c r="H62" s="192">
        <f>SUMIFS(CS_인건비!M$5:M$34,CS_인건비!$B$5:$B$34,'1.인건비_요약'!$C62,CS_인건비!$C$5:$C$34,'1.인건비_요약'!$D62,CS_인건비!$E$5:$E$34,'1.인건비_요약'!$E62,CS_인건비!$F$5:$F$34,'1.인건비_요약'!$F62)</f>
        <v>117.78333333333333</v>
      </c>
      <c r="I62" s="192">
        <f>SUMIFS(CS_인건비!N$5:N$34,CS_인건비!$B$5:$B$34,'1.인건비_요약'!$C62,CS_인건비!$C$5:$C$34,'1.인건비_요약'!$D62,CS_인건비!$E$5:$E$34,'1.인건비_요약'!$E62,CS_인건비!$F$5:$F$34,'1.인건비_요약'!$F62)</f>
        <v>101.5</v>
      </c>
      <c r="J62" s="192">
        <f>SUMIFS(CS_인건비!O$5:O$34,CS_인건비!$B$5:$B$34,'1.인건비_요약'!$C62,CS_인건비!$C$5:$C$34,'1.인건비_요약'!$D62,CS_인건비!$E$5:$E$34,'1.인건비_요약'!$E62,CS_인건비!$F$5:$F$34,'1.인건비_요약'!$F62)</f>
        <v>93.083333333333329</v>
      </c>
      <c r="K62" s="192">
        <f>SUMIFS(CS_인건비!P$5:P$34,CS_인건비!$B$5:$B$34,'1.인건비_요약'!$C62,CS_인건비!$C$5:$C$34,'1.인건비_요약'!$D62,CS_인건비!$E$5:$E$34,'1.인건비_요약'!$E62,CS_인건비!$F$5:$F$34,'1.인건비_요약'!$F62)</f>
        <v>87.583333333333343</v>
      </c>
      <c r="L62" s="192">
        <f>SUMIFS(CS_인건비!Q$5:Q$34,CS_인건비!$B$5:$B$34,'1.인건비_요약'!$C62,CS_인건비!$C$5:$C$34,'1.인건비_요약'!$D62,CS_인건비!$E$5:$E$34,'1.인건비_요약'!$E62,CS_인건비!$F$5:$F$34,'1.인건비_요약'!$F62)</f>
        <v>84.5</v>
      </c>
      <c r="M62" s="192">
        <f>SUMIFS(CS_인건비!R$5:R$34,CS_인건비!$B$5:$B$34,'1.인건비_요약'!$C62,CS_인건비!$C$5:$C$34,'1.인건비_요약'!$D62,CS_인건비!$E$5:$E$34,'1.인건비_요약'!$E62,CS_인건비!$F$5:$F$34,'1.인건비_요약'!$F62)</f>
        <v>81.75</v>
      </c>
      <c r="N62" s="192">
        <f>SUMIFS(CS_인건비!S$5:S$34,CS_인건비!$B$5:$B$34,'1.인건비_요약'!$C62,CS_인건비!$C$5:$C$34,'1.인건비_요약'!$D62,CS_인건비!$E$5:$E$34,'1.인건비_요약'!$E62,CS_인건비!$F$5:$F$34,'1.인건비_요약'!$F62)</f>
        <v>81.775000000000006</v>
      </c>
      <c r="O62" s="192">
        <f>SUMIFS(CS_인건비!T$5:T$34,CS_인건비!$B$5:$B$34,'1.인건비_요약'!$C62,CS_인건비!$C$5:$C$34,'1.인건비_요약'!$D62,CS_인건비!$E$5:$E$34,'1.인건비_요약'!$E62,CS_인건비!$F$5:$F$34,'1.인건비_요약'!$F62)</f>
        <v>0</v>
      </c>
      <c r="P62" s="192">
        <f>SUMIFS(CS_인건비!U$5:U$34,CS_인건비!$B$5:$B$34,'1.인건비_요약'!$C62,CS_인건비!$C$5:$C$34,'1.인건비_요약'!$D62,CS_인건비!$E$5:$E$34,'1.인건비_요약'!$E62,CS_인건비!$F$5:$F$34,'1.인건비_요약'!$F62)</f>
        <v>0</v>
      </c>
      <c r="Q62" s="192">
        <f>SUMIFS(CS_인건비!V$5:V$34,CS_인건비!$B$5:$B$34,'1.인건비_요약'!$C62,CS_인건비!$C$5:$C$34,'1.인건비_요약'!$D62,CS_인건비!$E$5:$E$34,'1.인건비_요약'!$E62,CS_인건비!$F$5:$F$34,'1.인건비_요약'!$F62)</f>
        <v>0</v>
      </c>
      <c r="R62" s="192">
        <f>SUMIFS(CS_인건비!W$5:W$34,CS_인건비!$B$5:$B$34,'1.인건비_요약'!$C62,CS_인건비!$C$5:$C$34,'1.인건비_요약'!$D62,CS_인건비!$E$5:$E$34,'1.인건비_요약'!$E62,CS_인건비!$F$5:$F$34,'1.인건비_요약'!$F62)</f>
        <v>0</v>
      </c>
    </row>
    <row r="63" spans="3:28" ht="17.45" customHeight="1" x14ac:dyDescent="0.3">
      <c r="C63" s="165" t="s">
        <v>336</v>
      </c>
      <c r="D63" s="165" t="s">
        <v>277</v>
      </c>
      <c r="E63" s="165" t="s">
        <v>255</v>
      </c>
      <c r="F63" s="165" t="s">
        <v>392</v>
      </c>
      <c r="G63" s="189">
        <f t="shared" ref="G63:G72" si="38">SUM(H63:R63)</f>
        <v>245.65464375262286</v>
      </c>
      <c r="H63" s="192">
        <f>SUMIFS(CS_인건비!M$5:M$34,CS_인건비!$B$5:$B$34,'1.인건비_요약'!$C63,CS_인건비!$C$5:$C$34,'1.인건비_요약'!$D63,CS_인건비!$E$5:$E$34,'1.인건비_요약'!$E63,CS_인건비!$F$5:$F$34,'1.인건비_요약'!$F63)</f>
        <v>49.833333333333329</v>
      </c>
      <c r="I63" s="192">
        <f>SUMIFS(CS_인건비!N$5:N$34,CS_인건비!$B$5:$B$34,'1.인건비_요약'!$C63,CS_인건비!$C$5:$C$34,'1.인건비_요약'!$D63,CS_인건비!$E$5:$E$34,'1.인건비_요약'!$E63,CS_인건비!$F$5:$F$34,'1.인건비_요약'!$F63)</f>
        <v>37.583333333333329</v>
      </c>
      <c r="J63" s="192">
        <f>SUMIFS(CS_인건비!O$5:O$34,CS_인건비!$B$5:$B$34,'1.인건비_요약'!$C63,CS_인건비!$C$5:$C$34,'1.인건비_요약'!$D63,CS_인건비!$E$5:$E$34,'1.인건비_요약'!$E63,CS_인건비!$F$5:$F$34,'1.인건비_요약'!$F63)</f>
        <v>32.836046293254086</v>
      </c>
      <c r="K63" s="192">
        <f>SUMIFS(CS_인건비!P$5:P$34,CS_인건비!$B$5:$B$34,'1.인건비_요약'!$C63,CS_인건비!$C$5:$C$34,'1.인건비_요약'!$D63,CS_인건비!$E$5:$E$34,'1.인건비_요약'!$E63,CS_인건비!$F$5:$F$34,'1.인건비_요약'!$F63)</f>
        <v>31.986478220798283</v>
      </c>
      <c r="L63" s="192">
        <f>SUMIFS(CS_인건비!Q$5:Q$34,CS_인건비!$B$5:$B$34,'1.인건비_요약'!$C63,CS_인건비!$C$5:$C$34,'1.인건비_요약'!$D63,CS_인건비!$E$5:$E$34,'1.인건비_요약'!$E63,CS_인건비!$F$5:$F$34,'1.인건비_요약'!$F63)</f>
        <v>31.54643745419795</v>
      </c>
      <c r="M63" s="192">
        <f>SUMIFS(CS_인건비!R$5:R$34,CS_인건비!$B$5:$B$34,'1.인건비_요약'!$C63,CS_인건비!$C$5:$C$34,'1.인건비_요약'!$D63,CS_인건비!$E$5:$E$34,'1.인건비_요약'!$E63,CS_인건비!$F$5:$F$34,'1.인건비_요약'!$F63)</f>
        <v>30.869015117705892</v>
      </c>
      <c r="N63" s="192">
        <f>SUMIFS(CS_인건비!S$5:S$34,CS_인건비!$B$5:$B$34,'1.인건비_요약'!$C63,CS_인건비!$C$5:$C$34,'1.인건비_요약'!$D63,CS_인건비!$E$5:$E$34,'1.인건비_요약'!$E63,CS_인건비!$F$5:$F$34,'1.인건비_요약'!$F63)</f>
        <v>31</v>
      </c>
      <c r="O63" s="192">
        <f>SUMIFS(CS_인건비!T$5:T$34,CS_인건비!$B$5:$B$34,'1.인건비_요약'!$C63,CS_인건비!$C$5:$C$34,'1.인건비_요약'!$D63,CS_인건비!$E$5:$E$34,'1.인건비_요약'!$E63,CS_인건비!$F$5:$F$34,'1.인건비_요약'!$F63)</f>
        <v>0</v>
      </c>
      <c r="P63" s="192">
        <f>SUMIFS(CS_인건비!U$5:U$34,CS_인건비!$B$5:$B$34,'1.인건비_요약'!$C63,CS_인건비!$C$5:$C$34,'1.인건비_요약'!$D63,CS_인건비!$E$5:$E$34,'1.인건비_요약'!$E63,CS_인건비!$F$5:$F$34,'1.인건비_요약'!$F63)</f>
        <v>0</v>
      </c>
      <c r="Q63" s="192">
        <f>SUMIFS(CS_인건비!V$5:V$34,CS_인건비!$B$5:$B$34,'1.인건비_요약'!$C63,CS_인건비!$C$5:$C$34,'1.인건비_요약'!$D63,CS_인건비!$E$5:$E$34,'1.인건비_요약'!$E63,CS_인건비!$F$5:$F$34,'1.인건비_요약'!$F63)</f>
        <v>0</v>
      </c>
      <c r="R63" s="192">
        <f>SUMIFS(CS_인건비!W$5:W$34,CS_인건비!$B$5:$B$34,'1.인건비_요약'!$C63,CS_인건비!$C$5:$C$34,'1.인건비_요약'!$D63,CS_인건비!$E$5:$E$34,'1.인건비_요약'!$E63,CS_인건비!$F$5:$F$34,'1.인건비_요약'!$F63)</f>
        <v>0</v>
      </c>
    </row>
    <row r="64" spans="3:28" ht="17.45" customHeight="1" x14ac:dyDescent="0.3">
      <c r="C64" s="165" t="s">
        <v>336</v>
      </c>
      <c r="D64" s="165" t="s">
        <v>277</v>
      </c>
      <c r="E64" s="165" t="s">
        <v>255</v>
      </c>
      <c r="F64" s="165" t="s">
        <v>393</v>
      </c>
      <c r="G64" s="189">
        <f t="shared" si="38"/>
        <v>229.1029930084861</v>
      </c>
      <c r="H64" s="192">
        <f>SUMIFS(CS_인건비!M$5:M$34,CS_인건비!$B$5:$B$34,'1.인건비_요약'!$C64,CS_인건비!$C$5:$C$34,'1.인건비_요약'!$D64,CS_인건비!$E$5:$E$34,'1.인건비_요약'!$E64,CS_인건비!$F$5:$F$34,'1.인건비_요약'!$F64)</f>
        <v>45.083333333333336</v>
      </c>
      <c r="I64" s="192">
        <f>SUMIFS(CS_인건비!N$5:N$34,CS_인건비!$B$5:$B$34,'1.인건비_요약'!$C64,CS_인건비!$C$5:$C$34,'1.인건비_요약'!$D64,CS_인건비!$E$5:$E$34,'1.인건비_요약'!$E64,CS_인건비!$F$5:$F$34,'1.인건비_요약'!$F64)</f>
        <v>35.11584896810507</v>
      </c>
      <c r="J64" s="192">
        <f>SUMIFS(CS_인건비!O$5:O$34,CS_인건비!$B$5:$B$34,'1.인건비_요약'!$C64,CS_인건비!$C$5:$C$34,'1.인건비_요약'!$D64,CS_인건비!$E$5:$E$34,'1.인건비_요약'!$E64,CS_인건비!$F$5:$F$34,'1.인건비_요약'!$F64)</f>
        <v>31.366666666666664</v>
      </c>
      <c r="K64" s="192">
        <f>SUMIFS(CS_인건비!P$5:P$34,CS_인건비!$B$5:$B$34,'1.인건비_요약'!$C64,CS_인건비!$C$5:$C$34,'1.인건비_요약'!$D64,CS_인건비!$E$5:$E$34,'1.인건비_요약'!$E64,CS_인건비!$F$5:$F$34,'1.인건비_요약'!$F64)</f>
        <v>31.337180297094893</v>
      </c>
      <c r="L64" s="192">
        <f>SUMIFS(CS_인건비!Q$5:Q$34,CS_인건비!$B$5:$B$34,'1.인건비_요약'!$C64,CS_인건비!$C$5:$C$34,'1.인건비_요약'!$D64,CS_인건비!$E$5:$E$34,'1.인건비_요약'!$E64,CS_인건비!$F$5:$F$34,'1.인건비_요약'!$F64)</f>
        <v>30.155195457503964</v>
      </c>
      <c r="M64" s="192">
        <f>SUMIFS(CS_인건비!R$5:R$34,CS_인건비!$B$5:$B$34,'1.인건비_요약'!$C64,CS_인건비!$C$5:$C$34,'1.인건비_요약'!$D64,CS_인건비!$E$5:$E$34,'1.인건비_요약'!$E64,CS_인건비!$F$5:$F$34,'1.인건비_요약'!$F64)</f>
        <v>28.628101619115508</v>
      </c>
      <c r="N64" s="192">
        <f>SUMIFS(CS_인건비!S$5:S$34,CS_인건비!$B$5:$B$34,'1.인건비_요약'!$C64,CS_인건비!$C$5:$C$34,'1.인건비_요약'!$D64,CS_인건비!$E$5:$E$34,'1.인건비_요약'!$E64,CS_인건비!$F$5:$F$34,'1.인건비_요약'!$F64)</f>
        <v>27.416666666666668</v>
      </c>
      <c r="O64" s="192">
        <f>SUMIFS(CS_인건비!T$5:T$34,CS_인건비!$B$5:$B$34,'1.인건비_요약'!$C64,CS_인건비!$C$5:$C$34,'1.인건비_요약'!$D64,CS_인건비!$E$5:$E$34,'1.인건비_요약'!$E64,CS_인건비!$F$5:$F$34,'1.인건비_요약'!$F64)</f>
        <v>0</v>
      </c>
      <c r="P64" s="192">
        <f>SUMIFS(CS_인건비!U$5:U$34,CS_인건비!$B$5:$B$34,'1.인건비_요약'!$C64,CS_인건비!$C$5:$C$34,'1.인건비_요약'!$D64,CS_인건비!$E$5:$E$34,'1.인건비_요약'!$E64,CS_인건비!$F$5:$F$34,'1.인건비_요약'!$F64)</f>
        <v>0</v>
      </c>
      <c r="Q64" s="192">
        <f>SUMIFS(CS_인건비!V$5:V$34,CS_인건비!$B$5:$B$34,'1.인건비_요약'!$C64,CS_인건비!$C$5:$C$34,'1.인건비_요약'!$D64,CS_인건비!$E$5:$E$34,'1.인건비_요약'!$E64,CS_인건비!$F$5:$F$34,'1.인건비_요약'!$F64)</f>
        <v>0</v>
      </c>
      <c r="R64" s="192">
        <f>SUMIFS(CS_인건비!W$5:W$34,CS_인건비!$B$5:$B$34,'1.인건비_요약'!$C64,CS_인건비!$C$5:$C$34,'1.인건비_요약'!$D64,CS_인건비!$E$5:$E$34,'1.인건비_요약'!$E64,CS_인건비!$F$5:$F$34,'1.인건비_요약'!$F64)</f>
        <v>0</v>
      </c>
    </row>
    <row r="65" spans="3:18" ht="17.45" customHeight="1" x14ac:dyDescent="0.3">
      <c r="C65" s="165" t="s">
        <v>336</v>
      </c>
      <c r="D65" s="165" t="s">
        <v>277</v>
      </c>
      <c r="E65" s="165" t="s">
        <v>255</v>
      </c>
      <c r="F65" s="165" t="s">
        <v>394</v>
      </c>
      <c r="G65" s="189">
        <f t="shared" si="38"/>
        <v>39.75</v>
      </c>
      <c r="H65" s="192">
        <f>SUMIFS(CS_인건비!M$5:M$34,CS_인건비!$B$5:$B$34,'1.인건비_요약'!$C65,CS_인건비!$C$5:$C$34,'1.인건비_요약'!$D65,CS_인건비!$E$5:$E$34,'1.인건비_요약'!$E65,CS_인건비!$F$5:$F$34,'1.인건비_요약'!$F65)</f>
        <v>8.5833333333333339</v>
      </c>
      <c r="I65" s="192">
        <f>SUMIFS(CS_인건비!N$5:N$34,CS_인건비!$B$5:$B$34,'1.인건비_요약'!$C65,CS_인건비!$C$5:$C$34,'1.인건비_요약'!$D65,CS_인건비!$E$5:$E$34,'1.인건비_요약'!$E65,CS_인건비!$F$5:$F$34,'1.인건비_요약'!$F65)</f>
        <v>6.166666666666667</v>
      </c>
      <c r="J65" s="192">
        <f>SUMIFS(CS_인건비!O$5:O$34,CS_인건비!$B$5:$B$34,'1.인건비_요약'!$C65,CS_인건비!$C$5:$C$34,'1.인건비_요약'!$D65,CS_인건비!$E$5:$E$34,'1.인건비_요약'!$E65,CS_인건비!$F$5:$F$34,'1.인건비_요약'!$F65)</f>
        <v>5</v>
      </c>
      <c r="K65" s="192">
        <f>SUMIFS(CS_인건비!P$5:P$34,CS_인건비!$B$5:$B$34,'1.인건비_요약'!$C65,CS_인건비!$C$5:$C$34,'1.인건비_요약'!$D65,CS_인건비!$E$5:$E$34,'1.인건비_요약'!$E65,CS_인건비!$F$5:$F$34,'1.인건비_요약'!$F65)</f>
        <v>5</v>
      </c>
      <c r="L65" s="192">
        <f>SUMIFS(CS_인건비!Q$5:Q$34,CS_인건비!$B$5:$B$34,'1.인건비_요약'!$C65,CS_인건비!$C$5:$C$34,'1.인건비_요약'!$D65,CS_인건비!$E$5:$E$34,'1.인건비_요약'!$E65,CS_인건비!$F$5:$F$34,'1.인건비_요약'!$F65)</f>
        <v>5</v>
      </c>
      <c r="M65" s="192">
        <f>SUMIFS(CS_인건비!R$5:R$34,CS_인건비!$B$5:$B$34,'1.인건비_요약'!$C65,CS_인건비!$C$5:$C$34,'1.인건비_요약'!$D65,CS_인건비!$E$5:$E$34,'1.인건비_요약'!$E65,CS_인건비!$F$5:$F$34,'1.인건비_요약'!$F65)</f>
        <v>5</v>
      </c>
      <c r="N65" s="192">
        <f>SUMIFS(CS_인건비!S$5:S$34,CS_인건비!$B$5:$B$34,'1.인건비_요약'!$C65,CS_인건비!$C$5:$C$34,'1.인건비_요약'!$D65,CS_인건비!$E$5:$E$34,'1.인건비_요약'!$E65,CS_인건비!$F$5:$F$34,'1.인건비_요약'!$F65)</f>
        <v>5</v>
      </c>
      <c r="O65" s="192">
        <f>SUMIFS(CS_인건비!T$5:T$34,CS_인건비!$B$5:$B$34,'1.인건비_요약'!$C65,CS_인건비!$C$5:$C$34,'1.인건비_요약'!$D65,CS_인건비!$E$5:$E$34,'1.인건비_요약'!$E65,CS_인건비!$F$5:$F$34,'1.인건비_요약'!$F65)</f>
        <v>0</v>
      </c>
      <c r="P65" s="192">
        <f>SUMIFS(CS_인건비!U$5:U$34,CS_인건비!$B$5:$B$34,'1.인건비_요약'!$C65,CS_인건비!$C$5:$C$34,'1.인건비_요약'!$D65,CS_인건비!$E$5:$E$34,'1.인건비_요약'!$E65,CS_인건비!$F$5:$F$34,'1.인건비_요약'!$F65)</f>
        <v>0</v>
      </c>
      <c r="Q65" s="192">
        <f>SUMIFS(CS_인건비!V$5:V$34,CS_인건비!$B$5:$B$34,'1.인건비_요약'!$C65,CS_인건비!$C$5:$C$34,'1.인건비_요약'!$D65,CS_인건비!$E$5:$E$34,'1.인건비_요약'!$E65,CS_인건비!$F$5:$F$34,'1.인건비_요약'!$F65)</f>
        <v>0</v>
      </c>
      <c r="R65" s="192">
        <f>SUMIFS(CS_인건비!W$5:W$34,CS_인건비!$B$5:$B$34,'1.인건비_요약'!$C65,CS_인건비!$C$5:$C$34,'1.인건비_요약'!$D65,CS_인건비!$E$5:$E$34,'1.인건비_요약'!$E65,CS_인건비!$F$5:$F$34,'1.인건비_요약'!$F65)</f>
        <v>0</v>
      </c>
    </row>
    <row r="66" spans="3:18" ht="17.45" customHeight="1" x14ac:dyDescent="0.3">
      <c r="C66" s="165" t="s">
        <v>336</v>
      </c>
      <c r="D66" s="165" t="s">
        <v>277</v>
      </c>
      <c r="E66" s="165" t="s">
        <v>256</v>
      </c>
      <c r="F66" s="165" t="s">
        <v>391</v>
      </c>
      <c r="G66" s="189">
        <f t="shared" si="38"/>
        <v>96</v>
      </c>
      <c r="H66" s="192">
        <f>SUMIFS(CS_인건비!M$5:M$34,CS_인건비!$B$5:$B$34,'1.인건비_요약'!$C66,CS_인건비!$C$5:$C$34,'1.인건비_요약'!$D66,CS_인건비!$E$5:$E$34,'1.인건비_요약'!$E66,CS_인건비!$F$5:$F$34,'1.인건비_요약'!$F66)</f>
        <v>20</v>
      </c>
      <c r="I66" s="192">
        <f>SUMIFS(CS_인건비!N$5:N$34,CS_인건비!$B$5:$B$34,'1.인건비_요약'!$C66,CS_인건비!$C$5:$C$34,'1.인건비_요약'!$D66,CS_인건비!$E$5:$E$34,'1.인건비_요약'!$E66,CS_인건비!$F$5:$F$34,'1.인건비_요약'!$F66)</f>
        <v>15.25</v>
      </c>
      <c r="J66" s="192">
        <f>SUMIFS(CS_인건비!O$5:O$34,CS_인건비!$B$5:$B$34,'1.인건비_요약'!$C66,CS_인건비!$C$5:$C$34,'1.인건비_요약'!$D66,CS_인건비!$E$5:$E$34,'1.인건비_요약'!$E66,CS_인건비!$F$5:$F$34,'1.인건비_요약'!$F66)</f>
        <v>13.583333333333334</v>
      </c>
      <c r="K66" s="192">
        <f>SUMIFS(CS_인건비!P$5:P$34,CS_인건비!$B$5:$B$34,'1.인건비_요약'!$C66,CS_인건비!$C$5:$C$34,'1.인건비_요약'!$D66,CS_인건비!$E$5:$E$34,'1.인건비_요약'!$E66,CS_인건비!$F$5:$F$34,'1.인건비_요약'!$F66)</f>
        <v>13</v>
      </c>
      <c r="L66" s="192">
        <f>SUMIFS(CS_인건비!Q$5:Q$34,CS_인건비!$B$5:$B$34,'1.인건비_요약'!$C66,CS_인건비!$C$5:$C$34,'1.인건비_요약'!$D66,CS_인건비!$E$5:$E$34,'1.인건비_요약'!$E66,CS_인건비!$F$5:$F$34,'1.인건비_요약'!$F66)</f>
        <v>12.166666666666666</v>
      </c>
      <c r="M66" s="192">
        <f>SUMIFS(CS_인건비!R$5:R$34,CS_인건비!$B$5:$B$34,'1.인건비_요약'!$C66,CS_인건비!$C$5:$C$34,'1.인건비_요약'!$D66,CS_인건비!$E$5:$E$34,'1.인건비_요약'!$E66,CS_인건비!$F$5:$F$34,'1.인건비_요약'!$F66)</f>
        <v>11</v>
      </c>
      <c r="N66" s="192">
        <f>SUMIFS(CS_인건비!S$5:S$34,CS_인건비!$B$5:$B$34,'1.인건비_요약'!$C66,CS_인건비!$C$5:$C$34,'1.인건비_요약'!$D66,CS_인건비!$E$5:$E$34,'1.인건비_요약'!$E66,CS_인건비!$F$5:$F$34,'1.인건비_요약'!$F66)</f>
        <v>11</v>
      </c>
      <c r="O66" s="192">
        <f>SUMIFS(CS_인건비!T$5:T$34,CS_인건비!$B$5:$B$34,'1.인건비_요약'!$C66,CS_인건비!$C$5:$C$34,'1.인건비_요약'!$D66,CS_인건비!$E$5:$E$34,'1.인건비_요약'!$E66,CS_인건비!$F$5:$F$34,'1.인건비_요약'!$F66)</f>
        <v>0</v>
      </c>
      <c r="P66" s="192">
        <f>SUMIFS(CS_인건비!U$5:U$34,CS_인건비!$B$5:$B$34,'1.인건비_요약'!$C66,CS_인건비!$C$5:$C$34,'1.인건비_요약'!$D66,CS_인건비!$E$5:$E$34,'1.인건비_요약'!$E66,CS_인건비!$F$5:$F$34,'1.인건비_요약'!$F66)</f>
        <v>0</v>
      </c>
      <c r="Q66" s="192">
        <f>SUMIFS(CS_인건비!V$5:V$34,CS_인건비!$B$5:$B$34,'1.인건비_요약'!$C66,CS_인건비!$C$5:$C$34,'1.인건비_요약'!$D66,CS_인건비!$E$5:$E$34,'1.인건비_요약'!$E66,CS_인건비!$F$5:$F$34,'1.인건비_요약'!$F66)</f>
        <v>0</v>
      </c>
      <c r="R66" s="192">
        <f>SUMIFS(CS_인건비!W$5:W$34,CS_인건비!$B$5:$B$34,'1.인건비_요약'!$C66,CS_인건비!$C$5:$C$34,'1.인건비_요약'!$D66,CS_인건비!$E$5:$E$34,'1.인건비_요약'!$E66,CS_인건비!$F$5:$F$34,'1.인건비_요약'!$F66)</f>
        <v>0</v>
      </c>
    </row>
    <row r="67" spans="3:18" ht="17.45" customHeight="1" x14ac:dyDescent="0.3">
      <c r="C67" s="165" t="s">
        <v>336</v>
      </c>
      <c r="D67" s="165" t="s">
        <v>277</v>
      </c>
      <c r="E67" s="165" t="s">
        <v>256</v>
      </c>
      <c r="F67" s="165" t="s">
        <v>392</v>
      </c>
      <c r="G67" s="189">
        <f t="shared" si="38"/>
        <v>36.208333333333336</v>
      </c>
      <c r="H67" s="192">
        <f>SUMIFS(CS_인건비!M$5:M$34,CS_인건비!$B$5:$B$34,'1.인건비_요약'!$C67,CS_인건비!$C$5:$C$34,'1.인건비_요약'!$D67,CS_인건비!$E$5:$E$34,'1.인건비_요약'!$E67,CS_인건비!$F$5:$F$34,'1.인건비_요약'!$F67)</f>
        <v>6.9583333333333339</v>
      </c>
      <c r="I67" s="192">
        <f>SUMIFS(CS_인건비!N$5:N$34,CS_인건비!$B$5:$B$34,'1.인건비_요약'!$C67,CS_인건비!$C$5:$C$34,'1.인건비_요약'!$D67,CS_인건비!$E$5:$E$34,'1.인건비_요약'!$E67,CS_인건비!$F$5:$F$34,'1.인건비_요약'!$F67)</f>
        <v>5</v>
      </c>
      <c r="J67" s="192">
        <f>SUMIFS(CS_인건비!O$5:O$34,CS_인건비!$B$5:$B$34,'1.인건비_요약'!$C67,CS_인건비!$C$5:$C$34,'1.인건비_요약'!$D67,CS_인건비!$E$5:$E$34,'1.인건비_요약'!$E67,CS_인건비!$F$5:$F$34,'1.인건비_요약'!$F67)</f>
        <v>5</v>
      </c>
      <c r="K67" s="192">
        <f>SUMIFS(CS_인건비!P$5:P$34,CS_인건비!$B$5:$B$34,'1.인건비_요약'!$C67,CS_인건비!$C$5:$C$34,'1.인건비_요약'!$D67,CS_인건비!$E$5:$E$34,'1.인건비_요약'!$E67,CS_인건비!$F$5:$F$34,'1.인건비_요약'!$F67)</f>
        <v>5</v>
      </c>
      <c r="L67" s="192">
        <f>SUMIFS(CS_인건비!Q$5:Q$34,CS_인건비!$B$5:$B$34,'1.인건비_요약'!$C67,CS_인건비!$C$5:$C$34,'1.인건비_요약'!$D67,CS_인건비!$E$5:$E$34,'1.인건비_요약'!$E67,CS_인건비!$F$5:$F$34,'1.인건비_요약'!$F67)</f>
        <v>5</v>
      </c>
      <c r="M67" s="192">
        <f>SUMIFS(CS_인건비!R$5:R$34,CS_인건비!$B$5:$B$34,'1.인건비_요약'!$C67,CS_인건비!$C$5:$C$34,'1.인건비_요약'!$D67,CS_인건비!$E$5:$E$34,'1.인건비_요약'!$E67,CS_인건비!$F$5:$F$34,'1.인건비_요약'!$F67)</f>
        <v>4.75</v>
      </c>
      <c r="N67" s="192">
        <f>SUMIFS(CS_인건비!S$5:S$34,CS_인건비!$B$5:$B$34,'1.인건비_요약'!$C67,CS_인건비!$C$5:$C$34,'1.인건비_요약'!$D67,CS_인건비!$E$5:$E$34,'1.인건비_요약'!$E67,CS_인건비!$F$5:$F$34,'1.인건비_요약'!$F67)</f>
        <v>4.5</v>
      </c>
      <c r="O67" s="192">
        <f>SUMIFS(CS_인건비!T$5:T$34,CS_인건비!$B$5:$B$34,'1.인건비_요약'!$C67,CS_인건비!$C$5:$C$34,'1.인건비_요약'!$D67,CS_인건비!$E$5:$E$34,'1.인건비_요약'!$E67,CS_인건비!$F$5:$F$34,'1.인건비_요약'!$F67)</f>
        <v>0</v>
      </c>
      <c r="P67" s="192">
        <f>SUMIFS(CS_인건비!U$5:U$34,CS_인건비!$B$5:$B$34,'1.인건비_요약'!$C67,CS_인건비!$C$5:$C$34,'1.인건비_요약'!$D67,CS_인건비!$E$5:$E$34,'1.인건비_요약'!$E67,CS_인건비!$F$5:$F$34,'1.인건비_요약'!$F67)</f>
        <v>0</v>
      </c>
      <c r="Q67" s="192">
        <f>SUMIFS(CS_인건비!V$5:V$34,CS_인건비!$B$5:$B$34,'1.인건비_요약'!$C67,CS_인건비!$C$5:$C$34,'1.인건비_요약'!$D67,CS_인건비!$E$5:$E$34,'1.인건비_요약'!$E67,CS_인건비!$F$5:$F$34,'1.인건비_요약'!$F67)</f>
        <v>0</v>
      </c>
      <c r="R67" s="192">
        <f>SUMIFS(CS_인건비!W$5:W$34,CS_인건비!$B$5:$B$34,'1.인건비_요약'!$C67,CS_인건비!$C$5:$C$34,'1.인건비_요약'!$D67,CS_인건비!$E$5:$E$34,'1.인건비_요약'!$E67,CS_인건비!$F$5:$F$34,'1.인건비_요약'!$F67)</f>
        <v>0</v>
      </c>
    </row>
    <row r="68" spans="3:18" ht="17.45" customHeight="1" x14ac:dyDescent="0.3">
      <c r="C68" s="165" t="s">
        <v>336</v>
      </c>
      <c r="D68" s="165" t="s">
        <v>277</v>
      </c>
      <c r="E68" s="165" t="s">
        <v>256</v>
      </c>
      <c r="F68" s="165" t="s">
        <v>393</v>
      </c>
      <c r="G68" s="189">
        <f t="shared" si="38"/>
        <v>47.666666666666671</v>
      </c>
      <c r="H68" s="192">
        <f>SUMIFS(CS_인건비!M$5:M$34,CS_인건비!$B$5:$B$34,'1.인건비_요약'!$C68,CS_인건비!$C$5:$C$34,'1.인건비_요약'!$D68,CS_인건비!$E$5:$E$34,'1.인건비_요약'!$E68,CS_인건비!$F$5:$F$34,'1.인건비_요약'!$F68)</f>
        <v>9.9166666666666661</v>
      </c>
      <c r="I68" s="192">
        <f>SUMIFS(CS_인건비!N$5:N$34,CS_인건비!$B$5:$B$34,'1.인건비_요약'!$C68,CS_인건비!$C$5:$C$34,'1.인건비_요약'!$D68,CS_인건비!$E$5:$E$34,'1.인건비_요약'!$E68,CS_인건비!$F$5:$F$34,'1.인건비_요약'!$F68)</f>
        <v>7.583333333333333</v>
      </c>
      <c r="J68" s="192">
        <f>SUMIFS(CS_인건비!O$5:O$34,CS_인건비!$B$5:$B$34,'1.인건비_요약'!$C68,CS_인건비!$C$5:$C$34,'1.인건비_요약'!$D68,CS_인건비!$E$5:$E$34,'1.인건비_요약'!$E68,CS_인건비!$F$5:$F$34,'1.인건비_요약'!$F68)</f>
        <v>7</v>
      </c>
      <c r="K68" s="192">
        <f>SUMIFS(CS_인건비!P$5:P$34,CS_인건비!$B$5:$B$34,'1.인건비_요약'!$C68,CS_인건비!$C$5:$C$34,'1.인건비_요약'!$D68,CS_인건비!$E$5:$E$34,'1.인건비_요약'!$E68,CS_인건비!$F$5:$F$34,'1.인건비_요약'!$F68)</f>
        <v>6.5833333333333339</v>
      </c>
      <c r="L68" s="192">
        <f>SUMIFS(CS_인건비!Q$5:Q$34,CS_인건비!$B$5:$B$34,'1.인건비_요약'!$C68,CS_인건비!$C$5:$C$34,'1.인건비_요약'!$D68,CS_인건비!$E$5:$E$34,'1.인건비_요약'!$E68,CS_인건비!$F$5:$F$34,'1.인건비_요약'!$F68)</f>
        <v>6</v>
      </c>
      <c r="M68" s="192">
        <f>SUMIFS(CS_인건비!R$5:R$34,CS_인건비!$B$5:$B$34,'1.인건비_요약'!$C68,CS_인건비!$C$5:$C$34,'1.인건비_요약'!$D68,CS_인건비!$E$5:$E$34,'1.인건비_요약'!$E68,CS_인건비!$F$5:$F$34,'1.인건비_요약'!$F68)</f>
        <v>5.5833333333333339</v>
      </c>
      <c r="N68" s="192">
        <f>SUMIFS(CS_인건비!S$5:S$34,CS_인건비!$B$5:$B$34,'1.인건비_요약'!$C68,CS_인건비!$C$5:$C$34,'1.인건비_요약'!$D68,CS_인건비!$E$5:$E$34,'1.인건비_요약'!$E68,CS_인건비!$F$5:$F$34,'1.인건비_요약'!$F68)</f>
        <v>5</v>
      </c>
      <c r="O68" s="192">
        <f>SUMIFS(CS_인건비!T$5:T$34,CS_인건비!$B$5:$B$34,'1.인건비_요약'!$C68,CS_인건비!$C$5:$C$34,'1.인건비_요약'!$D68,CS_인건비!$E$5:$E$34,'1.인건비_요약'!$E68,CS_인건비!$F$5:$F$34,'1.인건비_요약'!$F68)</f>
        <v>0</v>
      </c>
      <c r="P68" s="192">
        <f>SUMIFS(CS_인건비!U$5:U$34,CS_인건비!$B$5:$B$34,'1.인건비_요약'!$C68,CS_인건비!$C$5:$C$34,'1.인건비_요약'!$D68,CS_인건비!$E$5:$E$34,'1.인건비_요약'!$E68,CS_인건비!$F$5:$F$34,'1.인건비_요약'!$F68)</f>
        <v>0</v>
      </c>
      <c r="Q68" s="192">
        <f>SUMIFS(CS_인건비!V$5:V$34,CS_인건비!$B$5:$B$34,'1.인건비_요약'!$C68,CS_인건비!$C$5:$C$34,'1.인건비_요약'!$D68,CS_인건비!$E$5:$E$34,'1.인건비_요약'!$E68,CS_인건비!$F$5:$F$34,'1.인건비_요약'!$F68)</f>
        <v>0</v>
      </c>
      <c r="R68" s="192">
        <f>SUMIFS(CS_인건비!W$5:W$34,CS_인건비!$B$5:$B$34,'1.인건비_요약'!$C68,CS_인건비!$C$5:$C$34,'1.인건비_요약'!$D68,CS_인건비!$E$5:$E$34,'1.인건비_요약'!$E68,CS_인건비!$F$5:$F$34,'1.인건비_요약'!$F68)</f>
        <v>0</v>
      </c>
    </row>
    <row r="69" spans="3:18" ht="17.45" customHeight="1" x14ac:dyDescent="0.3">
      <c r="C69" s="165" t="s">
        <v>336</v>
      </c>
      <c r="D69" s="165" t="s">
        <v>277</v>
      </c>
      <c r="E69" s="165" t="s">
        <v>256</v>
      </c>
      <c r="F69" s="165" t="s">
        <v>394</v>
      </c>
      <c r="G69" s="189">
        <f t="shared" si="38"/>
        <v>7</v>
      </c>
      <c r="H69" s="192">
        <f>SUMIFS(CS_인건비!M$5:M$34,CS_인건비!$B$5:$B$34,'1.인건비_요약'!$C69,CS_인건비!$C$5:$C$34,'1.인건비_요약'!$D69,CS_인건비!$E$5:$E$34,'1.인건비_요약'!$E69,CS_인건비!$F$5:$F$34,'1.인건비_요약'!$F69)</f>
        <v>1</v>
      </c>
      <c r="I69" s="192">
        <f>SUMIFS(CS_인건비!N$5:N$34,CS_인건비!$B$5:$B$34,'1.인건비_요약'!$C69,CS_인건비!$C$5:$C$34,'1.인건비_요약'!$D69,CS_인건비!$E$5:$E$34,'1.인건비_요약'!$E69,CS_인건비!$F$5:$F$34,'1.인건비_요약'!$F69)</f>
        <v>1</v>
      </c>
      <c r="J69" s="192">
        <f>SUMIFS(CS_인건비!O$5:O$34,CS_인건비!$B$5:$B$34,'1.인건비_요약'!$C69,CS_인건비!$C$5:$C$34,'1.인건비_요약'!$D69,CS_인건비!$E$5:$E$34,'1.인건비_요약'!$E69,CS_인건비!$F$5:$F$34,'1.인건비_요약'!$F69)</f>
        <v>1</v>
      </c>
      <c r="K69" s="192">
        <f>SUMIFS(CS_인건비!P$5:P$34,CS_인건비!$B$5:$B$34,'1.인건비_요약'!$C69,CS_인건비!$C$5:$C$34,'1.인건비_요약'!$D69,CS_인건비!$E$5:$E$34,'1.인건비_요약'!$E69,CS_인건비!$F$5:$F$34,'1.인건비_요약'!$F69)</f>
        <v>1</v>
      </c>
      <c r="L69" s="192">
        <f>SUMIFS(CS_인건비!Q$5:Q$34,CS_인건비!$B$5:$B$34,'1.인건비_요약'!$C69,CS_인건비!$C$5:$C$34,'1.인건비_요약'!$D69,CS_인건비!$E$5:$E$34,'1.인건비_요약'!$E69,CS_인건비!$F$5:$F$34,'1.인건비_요약'!$F69)</f>
        <v>1</v>
      </c>
      <c r="M69" s="192">
        <f>SUMIFS(CS_인건비!R$5:R$34,CS_인건비!$B$5:$B$34,'1.인건비_요약'!$C69,CS_인건비!$C$5:$C$34,'1.인건비_요약'!$D69,CS_인건비!$E$5:$E$34,'1.인건비_요약'!$E69,CS_인건비!$F$5:$F$34,'1.인건비_요약'!$F69)</f>
        <v>1</v>
      </c>
      <c r="N69" s="192">
        <f>SUMIFS(CS_인건비!S$5:S$34,CS_인건비!$B$5:$B$34,'1.인건비_요약'!$C69,CS_인건비!$C$5:$C$34,'1.인건비_요약'!$D69,CS_인건비!$E$5:$E$34,'1.인건비_요약'!$E69,CS_인건비!$F$5:$F$34,'1.인건비_요약'!$F69)</f>
        <v>1</v>
      </c>
      <c r="O69" s="192">
        <f>SUMIFS(CS_인건비!T$5:T$34,CS_인건비!$B$5:$B$34,'1.인건비_요약'!$C69,CS_인건비!$C$5:$C$34,'1.인건비_요약'!$D69,CS_인건비!$E$5:$E$34,'1.인건비_요약'!$E69,CS_인건비!$F$5:$F$34,'1.인건비_요약'!$F69)</f>
        <v>0</v>
      </c>
      <c r="P69" s="192">
        <f>SUMIFS(CS_인건비!U$5:U$34,CS_인건비!$B$5:$B$34,'1.인건비_요약'!$C69,CS_인건비!$C$5:$C$34,'1.인건비_요약'!$D69,CS_인건비!$E$5:$E$34,'1.인건비_요약'!$E69,CS_인건비!$F$5:$F$34,'1.인건비_요약'!$F69)</f>
        <v>0</v>
      </c>
      <c r="Q69" s="192">
        <f>SUMIFS(CS_인건비!V$5:V$34,CS_인건비!$B$5:$B$34,'1.인건비_요약'!$C69,CS_인건비!$C$5:$C$34,'1.인건비_요약'!$D69,CS_인건비!$E$5:$E$34,'1.인건비_요약'!$E69,CS_인건비!$F$5:$F$34,'1.인건비_요약'!$F69)</f>
        <v>0</v>
      </c>
      <c r="R69" s="192">
        <f>SUMIFS(CS_인건비!W$5:W$34,CS_인건비!$B$5:$B$34,'1.인건비_요약'!$C69,CS_인건비!$C$5:$C$34,'1.인건비_요약'!$D69,CS_인건비!$E$5:$E$34,'1.인건비_요약'!$E69,CS_인건비!$F$5:$F$34,'1.인건비_요약'!$F69)</f>
        <v>0</v>
      </c>
    </row>
    <row r="70" spans="3:18" ht="17.45" customHeight="1" x14ac:dyDescent="0.3">
      <c r="C70" s="165" t="s">
        <v>336</v>
      </c>
      <c r="D70" s="165" t="s">
        <v>277</v>
      </c>
      <c r="E70" s="165" t="s">
        <v>427</v>
      </c>
      <c r="F70" s="165" t="s">
        <v>440</v>
      </c>
      <c r="G70" s="189">
        <f t="shared" si="38"/>
        <v>0.83333333333333337</v>
      </c>
      <c r="H70" s="192">
        <f>SUMIFS(CS_인건비!M$5:M$34,CS_인건비!$B$5:$B$34,'1.인건비_요약'!$C70,CS_인건비!$C$5:$C$34,'1.인건비_요약'!$D70,CS_인건비!$E$5:$E$34,'1.인건비_요약'!$E70,CS_인건비!$F$5:$F$34,'1.인건비_요약'!$F70)</f>
        <v>0.83333333333333337</v>
      </c>
      <c r="I70" s="192">
        <f>SUMIFS(CS_인건비!N$5:N$34,CS_인건비!$B$5:$B$34,'1.인건비_요약'!$C70,CS_인건비!$C$5:$C$34,'1.인건비_요약'!$D70,CS_인건비!$E$5:$E$34,'1.인건비_요약'!$E70,CS_인건비!$F$5:$F$34,'1.인건비_요약'!$F70)</f>
        <v>0</v>
      </c>
      <c r="J70" s="192">
        <f>SUMIFS(CS_인건비!O$5:O$34,CS_인건비!$B$5:$B$34,'1.인건비_요약'!$C70,CS_인건비!$C$5:$C$34,'1.인건비_요약'!$D70,CS_인건비!$E$5:$E$34,'1.인건비_요약'!$E70,CS_인건비!$F$5:$F$34,'1.인건비_요약'!$F70)</f>
        <v>0</v>
      </c>
      <c r="K70" s="192">
        <f>SUMIFS(CS_인건비!P$5:P$34,CS_인건비!$B$5:$B$34,'1.인건비_요약'!$C70,CS_인건비!$C$5:$C$34,'1.인건비_요약'!$D70,CS_인건비!$E$5:$E$34,'1.인건비_요약'!$E70,CS_인건비!$F$5:$F$34,'1.인건비_요약'!$F70)</f>
        <v>0</v>
      </c>
      <c r="L70" s="192">
        <f>SUMIFS(CS_인건비!Q$5:Q$34,CS_인건비!$B$5:$B$34,'1.인건비_요약'!$C70,CS_인건비!$C$5:$C$34,'1.인건비_요약'!$D70,CS_인건비!$E$5:$E$34,'1.인건비_요약'!$E70,CS_인건비!$F$5:$F$34,'1.인건비_요약'!$F70)</f>
        <v>0</v>
      </c>
      <c r="M70" s="192">
        <f>SUMIFS(CS_인건비!R$5:R$34,CS_인건비!$B$5:$B$34,'1.인건비_요약'!$C70,CS_인건비!$C$5:$C$34,'1.인건비_요약'!$D70,CS_인건비!$E$5:$E$34,'1.인건비_요약'!$E70,CS_인건비!$F$5:$F$34,'1.인건비_요약'!$F70)</f>
        <v>0</v>
      </c>
      <c r="N70" s="192">
        <f>SUMIFS(CS_인건비!S$5:S$34,CS_인건비!$B$5:$B$34,'1.인건비_요약'!$C70,CS_인건비!$C$5:$C$34,'1.인건비_요약'!$D70,CS_인건비!$E$5:$E$34,'1.인건비_요약'!$E70,CS_인건비!$F$5:$F$34,'1.인건비_요약'!$F70)</f>
        <v>0</v>
      </c>
      <c r="O70" s="192">
        <f>SUMIFS(CS_인건비!T$5:T$34,CS_인건비!$B$5:$B$34,'1.인건비_요약'!$C70,CS_인건비!$C$5:$C$34,'1.인건비_요약'!$D70,CS_인건비!$E$5:$E$34,'1.인건비_요약'!$E70,CS_인건비!$F$5:$F$34,'1.인건비_요약'!$F70)</f>
        <v>0</v>
      </c>
      <c r="P70" s="192">
        <f>SUMIFS(CS_인건비!U$5:U$34,CS_인건비!$B$5:$B$34,'1.인건비_요약'!$C70,CS_인건비!$C$5:$C$34,'1.인건비_요약'!$D70,CS_인건비!$E$5:$E$34,'1.인건비_요약'!$E70,CS_인건비!$F$5:$F$34,'1.인건비_요약'!$F70)</f>
        <v>0</v>
      </c>
      <c r="Q70" s="192">
        <f>SUMIFS(CS_인건비!V$5:V$34,CS_인건비!$B$5:$B$34,'1.인건비_요약'!$C70,CS_인건비!$C$5:$C$34,'1.인건비_요약'!$D70,CS_인건비!$E$5:$E$34,'1.인건비_요약'!$E70,CS_인건비!$F$5:$F$34,'1.인건비_요약'!$F70)</f>
        <v>0</v>
      </c>
      <c r="R70" s="192">
        <f>SUMIFS(CS_인건비!W$5:W$34,CS_인건비!$B$5:$B$34,'1.인건비_요약'!$C70,CS_인건비!$C$5:$C$34,'1.인건비_요약'!$D70,CS_인건비!$E$5:$E$34,'1.인건비_요약'!$E70,CS_인건비!$F$5:$F$34,'1.인건비_요약'!$F70)</f>
        <v>0</v>
      </c>
    </row>
    <row r="71" spans="3:18" ht="17.45" customHeight="1" x14ac:dyDescent="0.3">
      <c r="C71" s="165" t="s">
        <v>336</v>
      </c>
      <c r="D71" s="165" t="s">
        <v>277</v>
      </c>
      <c r="E71" s="165" t="s">
        <v>427</v>
      </c>
      <c r="F71" s="165" t="s">
        <v>419</v>
      </c>
      <c r="G71" s="189">
        <f t="shared" si="38"/>
        <v>9.3333333333333339</v>
      </c>
      <c r="H71" s="192">
        <f>SUMIFS(CS_인건비!M$5:M$34,CS_인건비!$B$5:$B$34,'1.인건비_요약'!$C71,CS_인건비!$C$5:$C$34,'1.인건비_요약'!$D71,CS_인건비!$E$5:$E$34,'1.인건비_요약'!$E71,CS_인건비!$F$5:$F$34,'1.인건비_요약'!$F71)</f>
        <v>0.33333333333333331</v>
      </c>
      <c r="I71" s="192">
        <f>SUMIFS(CS_인건비!N$5:N$34,CS_인건비!$B$5:$B$34,'1.인건비_요약'!$C71,CS_인건비!$C$5:$C$34,'1.인건비_요약'!$D71,CS_인건비!$E$5:$E$34,'1.인건비_요약'!$E71,CS_인건비!$F$5:$F$34,'1.인건비_요약'!$F71)</f>
        <v>2</v>
      </c>
      <c r="J71" s="192">
        <f>SUMIFS(CS_인건비!O$5:O$34,CS_인건비!$B$5:$B$34,'1.인건비_요약'!$C71,CS_인건비!$C$5:$C$34,'1.인건비_요약'!$D71,CS_인건비!$E$5:$E$34,'1.인건비_요약'!$E71,CS_인건비!$F$5:$F$34,'1.인건비_요약'!$F71)</f>
        <v>2</v>
      </c>
      <c r="K71" s="192">
        <f>SUMIFS(CS_인건비!P$5:P$34,CS_인건비!$B$5:$B$34,'1.인건비_요약'!$C71,CS_인건비!$C$5:$C$34,'1.인건비_요약'!$D71,CS_인건비!$E$5:$E$34,'1.인건비_요약'!$E71,CS_인건비!$F$5:$F$34,'1.인건비_요약'!$F71)</f>
        <v>2</v>
      </c>
      <c r="L71" s="192">
        <f>SUMIFS(CS_인건비!Q$5:Q$34,CS_인건비!$B$5:$B$34,'1.인건비_요약'!$C71,CS_인건비!$C$5:$C$34,'1.인건비_요약'!$D71,CS_인건비!$E$5:$E$34,'1.인건비_요약'!$E71,CS_인건비!$F$5:$F$34,'1.인건비_요약'!$F71)</f>
        <v>1</v>
      </c>
      <c r="M71" s="192">
        <f>SUMIFS(CS_인건비!R$5:R$34,CS_인건비!$B$5:$B$34,'1.인건비_요약'!$C71,CS_인건비!$C$5:$C$34,'1.인건비_요약'!$D71,CS_인건비!$E$5:$E$34,'1.인건비_요약'!$E71,CS_인건비!$F$5:$F$34,'1.인건비_요약'!$F71)</f>
        <v>1</v>
      </c>
      <c r="N71" s="192">
        <f>SUMIFS(CS_인건비!S$5:S$34,CS_인건비!$B$5:$B$34,'1.인건비_요약'!$C71,CS_인건비!$C$5:$C$34,'1.인건비_요약'!$D71,CS_인건비!$E$5:$E$34,'1.인건비_요약'!$E71,CS_인건비!$F$5:$F$34,'1.인건비_요약'!$F71)</f>
        <v>1</v>
      </c>
      <c r="O71" s="192">
        <f>SUMIFS(CS_인건비!T$5:T$34,CS_인건비!$B$5:$B$34,'1.인건비_요약'!$C71,CS_인건비!$C$5:$C$34,'1.인건비_요약'!$D71,CS_인건비!$E$5:$E$34,'1.인건비_요약'!$E71,CS_인건비!$F$5:$F$34,'1.인건비_요약'!$F71)</f>
        <v>0</v>
      </c>
      <c r="P71" s="192">
        <f>SUMIFS(CS_인건비!U$5:U$34,CS_인건비!$B$5:$B$34,'1.인건비_요약'!$C71,CS_인건비!$C$5:$C$34,'1.인건비_요약'!$D71,CS_인건비!$E$5:$E$34,'1.인건비_요약'!$E71,CS_인건비!$F$5:$F$34,'1.인건비_요약'!$F71)</f>
        <v>0</v>
      </c>
      <c r="Q71" s="192">
        <f>SUMIFS(CS_인건비!V$5:V$34,CS_인건비!$B$5:$B$34,'1.인건비_요약'!$C71,CS_인건비!$C$5:$C$34,'1.인건비_요약'!$D71,CS_인건비!$E$5:$E$34,'1.인건비_요약'!$E71,CS_인건비!$F$5:$F$34,'1.인건비_요약'!$F71)</f>
        <v>0</v>
      </c>
      <c r="R71" s="192">
        <f>SUMIFS(CS_인건비!W$5:W$34,CS_인건비!$B$5:$B$34,'1.인건비_요약'!$C71,CS_인건비!$C$5:$C$34,'1.인건비_요약'!$D71,CS_인건비!$E$5:$E$34,'1.인건비_요약'!$E71,CS_인건비!$F$5:$F$34,'1.인건비_요약'!$F71)</f>
        <v>0</v>
      </c>
    </row>
    <row r="72" spans="3:18" ht="17.45" customHeight="1" x14ac:dyDescent="0.3">
      <c r="C72" s="165" t="s">
        <v>336</v>
      </c>
      <c r="D72" s="165" t="s">
        <v>277</v>
      </c>
      <c r="E72" s="165" t="s">
        <v>275</v>
      </c>
      <c r="F72" s="165"/>
      <c r="G72" s="189">
        <f t="shared" si="38"/>
        <v>0</v>
      </c>
      <c r="H72" s="192">
        <f>SUMIFS(CS_인건비!M$5:M$34,CS_인건비!$B$5:$B$34,'1.인건비_요약'!$C72,CS_인건비!$C$5:$C$34,'1.인건비_요약'!$D72,CS_인건비!$E$5:$E$34,'1.인건비_요약'!$E72,CS_인건비!$F$5:$F$34,'1.인건비_요약'!$F72)</f>
        <v>0</v>
      </c>
      <c r="I72" s="192">
        <f>SUMIFS(CS_인건비!N$5:N$34,CS_인건비!$B$5:$B$34,'1.인건비_요약'!$C72,CS_인건비!$C$5:$C$34,'1.인건비_요약'!$D72,CS_인건비!$E$5:$E$34,'1.인건비_요약'!$E72,CS_인건비!$F$5:$F$34,'1.인건비_요약'!$F72)</f>
        <v>0</v>
      </c>
      <c r="J72" s="192">
        <f>SUMIFS(CS_인건비!O$5:O$34,CS_인건비!$B$5:$B$34,'1.인건비_요약'!$C72,CS_인건비!$C$5:$C$34,'1.인건비_요약'!$D72,CS_인건비!$E$5:$E$34,'1.인건비_요약'!$E72,CS_인건비!$F$5:$F$34,'1.인건비_요약'!$F72)</f>
        <v>0</v>
      </c>
      <c r="K72" s="192">
        <f>SUMIFS(CS_인건비!P$5:P$34,CS_인건비!$B$5:$B$34,'1.인건비_요약'!$C72,CS_인건비!$C$5:$C$34,'1.인건비_요약'!$D72,CS_인건비!$E$5:$E$34,'1.인건비_요약'!$E72,CS_인건비!$F$5:$F$34,'1.인건비_요약'!$F72)</f>
        <v>0</v>
      </c>
      <c r="L72" s="192">
        <f>SUMIFS(CS_인건비!Q$5:Q$34,CS_인건비!$B$5:$B$34,'1.인건비_요약'!$C72,CS_인건비!$C$5:$C$34,'1.인건비_요약'!$D72,CS_인건비!$E$5:$E$34,'1.인건비_요약'!$E72,CS_인건비!$F$5:$F$34,'1.인건비_요약'!$F72)</f>
        <v>0</v>
      </c>
      <c r="M72" s="192">
        <f>SUMIFS(CS_인건비!R$5:R$34,CS_인건비!$B$5:$B$34,'1.인건비_요약'!$C72,CS_인건비!$C$5:$C$34,'1.인건비_요약'!$D72,CS_인건비!$E$5:$E$34,'1.인건비_요약'!$E72,CS_인건비!$F$5:$F$34,'1.인건비_요약'!$F72)</f>
        <v>0</v>
      </c>
      <c r="N72" s="192">
        <f>SUMIFS(CS_인건비!S$5:S$34,CS_인건비!$B$5:$B$34,'1.인건비_요약'!$C72,CS_인건비!$C$5:$C$34,'1.인건비_요약'!$D72,CS_인건비!$E$5:$E$34,'1.인건비_요약'!$E72,CS_인건비!$F$5:$F$34,'1.인건비_요약'!$F72)</f>
        <v>0</v>
      </c>
      <c r="O72" s="192">
        <f>SUMIFS(CS_인건비!T$5:T$34,CS_인건비!$B$5:$B$34,'1.인건비_요약'!$C72,CS_인건비!$C$5:$C$34,'1.인건비_요약'!$D72,CS_인건비!$E$5:$E$34,'1.인건비_요약'!$E72,CS_인건비!$F$5:$F$34,'1.인건비_요약'!$F72)</f>
        <v>0</v>
      </c>
      <c r="P72" s="192">
        <f>SUMIFS(CS_인건비!U$5:U$34,CS_인건비!$B$5:$B$34,'1.인건비_요약'!$C72,CS_인건비!$C$5:$C$34,'1.인건비_요약'!$D72,CS_인건비!$E$5:$E$34,'1.인건비_요약'!$E72,CS_인건비!$F$5:$F$34,'1.인건비_요약'!$F72)</f>
        <v>0</v>
      </c>
      <c r="Q72" s="192">
        <f>SUMIFS(CS_인건비!V$5:V$34,CS_인건비!$B$5:$B$34,'1.인건비_요약'!$C72,CS_인건비!$C$5:$C$34,'1.인건비_요약'!$D72,CS_인건비!$E$5:$E$34,'1.인건비_요약'!$E72,CS_인건비!$F$5:$F$34,'1.인건비_요약'!$F72)</f>
        <v>0</v>
      </c>
      <c r="R72" s="192">
        <f>SUMIFS(CS_인건비!W$5:W$34,CS_인건비!$B$5:$B$34,'1.인건비_요약'!$C72,CS_인건비!$C$5:$C$34,'1.인건비_요약'!$D72,CS_인건비!$E$5:$E$34,'1.인건비_요약'!$E72,CS_인건비!$F$5:$F$34,'1.인건비_요약'!$F72)</f>
        <v>0</v>
      </c>
    </row>
    <row r="73" spans="3:18" ht="17.45" customHeight="1" x14ac:dyDescent="0.3">
      <c r="C73" s="61" t="s">
        <v>257</v>
      </c>
      <c r="D73" s="123"/>
      <c r="E73" s="123"/>
      <c r="F73" s="169"/>
      <c r="G73" s="449">
        <f t="shared" ref="G73:R73" si="39">SUM(G62:G72)</f>
        <v>1359.5243034277755</v>
      </c>
      <c r="H73" s="449">
        <f t="shared" si="39"/>
        <v>260.32499999999999</v>
      </c>
      <c r="I73" s="449">
        <f t="shared" si="39"/>
        <v>211.19918230143838</v>
      </c>
      <c r="J73" s="449">
        <f t="shared" si="39"/>
        <v>190.86937962658743</v>
      </c>
      <c r="K73" s="449">
        <f t="shared" si="39"/>
        <v>183.49032518455988</v>
      </c>
      <c r="L73" s="449">
        <f t="shared" si="39"/>
        <v>176.36829957836858</v>
      </c>
      <c r="M73" s="449">
        <f t="shared" si="39"/>
        <v>169.58045007015474</v>
      </c>
      <c r="N73" s="449">
        <f t="shared" si="39"/>
        <v>167.69166666666666</v>
      </c>
      <c r="O73" s="449">
        <f t="shared" si="39"/>
        <v>0</v>
      </c>
      <c r="P73" s="449">
        <f t="shared" si="39"/>
        <v>0</v>
      </c>
      <c r="Q73" s="449">
        <f t="shared" si="39"/>
        <v>0</v>
      </c>
      <c r="R73" s="449">
        <f t="shared" si="39"/>
        <v>0</v>
      </c>
    </row>
    <row r="74" spans="3:18" ht="8.4499999999999993" customHeight="1" x14ac:dyDescent="0.3">
      <c r="C74" s="49"/>
      <c r="D74" s="49"/>
      <c r="E74" s="49"/>
      <c r="F74" s="167"/>
      <c r="G74" s="50"/>
      <c r="H74" s="50"/>
      <c r="I74" s="50"/>
      <c r="J74" s="50"/>
      <c r="K74" s="50"/>
      <c r="L74" s="50"/>
      <c r="M74" s="50"/>
      <c r="N74" s="50"/>
      <c r="O74" s="50"/>
      <c r="P74" s="50"/>
      <c r="Q74" s="50"/>
      <c r="R74" s="50"/>
    </row>
    <row r="75" spans="3:18" ht="17.45" customHeight="1" x14ac:dyDescent="0.3">
      <c r="C75" s="122" t="s">
        <v>1</v>
      </c>
      <c r="D75" s="122" t="s">
        <v>189</v>
      </c>
      <c r="E75" s="122" t="s">
        <v>267</v>
      </c>
      <c r="F75" s="122"/>
      <c r="G75" s="122" t="s">
        <v>257</v>
      </c>
      <c r="H75" s="122" t="s">
        <v>41</v>
      </c>
      <c r="I75" s="122" t="s">
        <v>258</v>
      </c>
      <c r="J75" s="122" t="s">
        <v>259</v>
      </c>
      <c r="K75" s="122" t="s">
        <v>260</v>
      </c>
      <c r="L75" s="122" t="s">
        <v>261</v>
      </c>
      <c r="M75" s="122" t="s">
        <v>262</v>
      </c>
      <c r="N75" s="122" t="s">
        <v>263</v>
      </c>
      <c r="O75" s="122" t="s">
        <v>264</v>
      </c>
      <c r="P75" s="122" t="s">
        <v>265</v>
      </c>
      <c r="Q75" s="122" t="s">
        <v>266</v>
      </c>
      <c r="R75" s="122" t="s">
        <v>182</v>
      </c>
    </row>
    <row r="76" spans="3:18" ht="17.45" customHeight="1" x14ac:dyDescent="0.3">
      <c r="C76" s="165" t="s">
        <v>336</v>
      </c>
      <c r="D76" s="165" t="s">
        <v>277</v>
      </c>
      <c r="E76" s="165" t="s">
        <v>255</v>
      </c>
      <c r="F76" s="165" t="s">
        <v>391</v>
      </c>
      <c r="G76" s="376">
        <f>SUM(H76:R76)</f>
        <v>24221502336.130222</v>
      </c>
      <c r="H76" s="376">
        <f>SUMIFS(CS_인건비!AY$5:AY$34,CS_인건비!$B$5:$B$34,'1.인건비_요약'!$C76,CS_인건비!$C$5:$C$34,'1.인건비_요약'!$D76,CS_인건비!$E$5:$E$34,'1.인건비_요약'!$E76,CS_인건비!$F$5:$F$34,'1.인건비_요약'!$F76)</f>
        <v>4241605936</v>
      </c>
      <c r="I76" s="376">
        <f>SUMIFS(CS_인건비!AZ$5:AZ$34,CS_인건비!$B$5:$B$34,'1.인건비_요약'!$C76,CS_인건비!$C$5:$C$34,'1.인건비_요약'!$D76,CS_인건비!$E$5:$E$34,'1.인건비_요약'!$E76,CS_인건비!$F$5:$F$34,'1.인건비_요약'!$F76)</f>
        <v>3679504779.9299994</v>
      </c>
      <c r="J76" s="376">
        <f>SUMIFS(CS_인건비!BA$5:BA$34,CS_인건비!$B$5:$B$34,'1.인건비_요약'!$C76,CS_인건비!$C$5:$C$34,'1.인건비_요약'!$D76,CS_인건비!$E$5:$E$34,'1.인건비_요약'!$E76,CS_인건비!$F$5:$F$34,'1.인건비_요약'!$F76)</f>
        <v>3432452981.3229237</v>
      </c>
      <c r="K76" s="376">
        <f>SUMIFS(CS_인건비!BB$5:BB$34,CS_인건비!$B$5:$B$34,'1.인건비_요약'!$C76,CS_인건비!$C$5:$C$34,'1.인건비_요약'!$D76,CS_인건비!$E$5:$E$34,'1.인건비_요약'!$E76,CS_인건비!$F$5:$F$34,'1.인건비_요약'!$F76)</f>
        <v>3286562011.9379969</v>
      </c>
      <c r="L76" s="376">
        <f>SUMIFS(CS_인건비!BC$5:BC$34,CS_인건비!$B$5:$B$34,'1.인건비_요약'!$C76,CS_인건비!$C$5:$C$34,'1.인건비_요약'!$D76,CS_인건비!$E$5:$E$34,'1.인건비_요약'!$E76,CS_인건비!$F$5:$F$34,'1.인건비_요약'!$F76)</f>
        <v>3219245946.2805524</v>
      </c>
      <c r="M76" s="376">
        <f>SUMIFS(CS_인건비!BD$5:BD$34,CS_인건비!$B$5:$B$34,'1.인건비_요약'!$C76,CS_인건비!$C$5:$C$34,'1.인건비_요약'!$D76,CS_인건비!$E$5:$E$34,'1.인건비_요약'!$E76,CS_인건비!$F$5:$F$34,'1.인건비_요약'!$F76)</f>
        <v>3158464251.6298437</v>
      </c>
      <c r="N76" s="376">
        <f>SUMIFS(CS_인건비!BE$5:BE$34,CS_인건비!$B$5:$B$34,'1.인건비_요약'!$C76,CS_인건비!$C$5:$C$34,'1.인건비_요약'!$D76,CS_인건비!$E$5:$E$34,'1.인건비_요약'!$E76,CS_인건비!$F$5:$F$34,'1.인건비_요약'!$F76)</f>
        <v>3203666429.0289092</v>
      </c>
      <c r="O76" s="374">
        <f>SUMIFS(CS_인건비!BF$5:BF$34,CS_인건비!$B$5:$B$34,'1.인건비_요약'!$C76,CS_인건비!$C$5:$C$34,'1.인건비_요약'!$D76,CS_인건비!$E$5:$E$34,'1.인건비_요약'!$E76,CS_인건비!$F$5:$F$34,'1.인건비_요약'!$F76)</f>
        <v>0</v>
      </c>
      <c r="P76" s="374">
        <f>SUMIFS(CS_인건비!BG$5:BG$34,CS_인건비!$B$5:$B$34,'1.인건비_요약'!$C76,CS_인건비!$C$5:$C$34,'1.인건비_요약'!$D76,CS_인건비!$E$5:$E$34,'1.인건비_요약'!$E76,CS_인건비!$F$5:$F$34,'1.인건비_요약'!$F76)</f>
        <v>0</v>
      </c>
      <c r="Q76" s="374">
        <f>SUMIFS(CS_인건비!BH$5:BH$34,CS_인건비!$B$5:$B$34,'1.인건비_요약'!$C76,CS_인건비!$C$5:$C$34,'1.인건비_요약'!$D76,CS_인건비!$E$5:$E$34,'1.인건비_요약'!$E76,CS_인건비!$F$5:$F$34,'1.인건비_요약'!$F76)</f>
        <v>0</v>
      </c>
      <c r="R76" s="374">
        <f>SUMIFS(CS_인건비!BI$5:BI$34,CS_인건비!$B$5:$B$34,'1.인건비_요약'!$C76,CS_인건비!$C$5:$C$34,'1.인건비_요약'!$D76,CS_인건비!$E$5:$E$34,'1.인건비_요약'!$E76,CS_인건비!$F$5:$F$34,'1.인건비_요약'!$F76)</f>
        <v>0</v>
      </c>
    </row>
    <row r="77" spans="3:18" ht="17.45" customHeight="1" x14ac:dyDescent="0.3">
      <c r="C77" s="165" t="s">
        <v>336</v>
      </c>
      <c r="D77" s="165" t="s">
        <v>277</v>
      </c>
      <c r="E77" s="165" t="s">
        <v>255</v>
      </c>
      <c r="F77" s="165" t="s">
        <v>392</v>
      </c>
      <c r="G77" s="12">
        <f t="shared" ref="G77:G86" si="40">SUM(H77:R77)</f>
        <v>8200540927.8059721</v>
      </c>
      <c r="H77" s="374">
        <f>SUMIFS(CS_인건비!AY$5:AY$34,CS_인건비!$B$5:$B$34,'1.인건비_요약'!$C77,CS_인건비!$C$5:$C$34,'1.인건비_요약'!$D77,CS_인건비!$E$5:$E$34,'1.인건비_요약'!$E77,CS_인건비!$F$5:$F$34,'1.인건비_요약'!$F77)</f>
        <v>1597014367.3249998</v>
      </c>
      <c r="I77" s="374">
        <f>SUMIFS(CS_인건비!AZ$5:AZ$34,CS_인건비!$B$5:$B$34,'1.인건비_요약'!$C77,CS_인건비!$C$5:$C$34,'1.인건비_요약'!$D77,CS_인건비!$E$5:$E$34,'1.인건비_요약'!$E77,CS_인건비!$F$5:$F$34,'1.인건비_요약'!$F77)</f>
        <v>1222503815.8169372</v>
      </c>
      <c r="J77" s="374">
        <f>SUMIFS(CS_인건비!BA$5:BA$34,CS_인건비!$B$5:$B$34,'1.인건비_요약'!$C77,CS_인건비!$C$5:$C$34,'1.인건비_요약'!$D77,CS_인건비!$E$5:$E$34,'1.인건비_요약'!$E77,CS_인건비!$F$5:$F$34,'1.인건비_요약'!$F77)</f>
        <v>1084106202.2578905</v>
      </c>
      <c r="K77" s="374">
        <f>SUMIFS(CS_인건비!BB$5:BB$34,CS_인건비!$B$5:$B$34,'1.인건비_요약'!$C77,CS_인건비!$C$5:$C$34,'1.인건비_요약'!$D77,CS_인건비!$E$5:$E$34,'1.인건비_요약'!$E77,CS_인건비!$F$5:$F$34,'1.인건비_요약'!$F77)</f>
        <v>1071897944.2478921</v>
      </c>
      <c r="L77" s="374">
        <f>SUMIFS(CS_인건비!BC$5:BC$34,CS_인건비!$B$5:$B$34,'1.인건비_요약'!$C77,CS_인건비!$C$5:$C$34,'1.인건비_요약'!$D77,CS_인건비!$E$5:$E$34,'1.인건비_요약'!$E77,CS_인건비!$F$5:$F$34,'1.인건비_요약'!$F77)</f>
        <v>1073009027.1399505</v>
      </c>
      <c r="M77" s="374">
        <f>SUMIFS(CS_인건비!BD$5:BD$34,CS_인건비!$B$5:$B$34,'1.인건비_요약'!$C77,CS_인건비!$C$5:$C$34,'1.인건비_요약'!$D77,CS_인건비!$E$5:$E$34,'1.인건비_요약'!$E77,CS_인건비!$F$5:$F$34,'1.인건비_요약'!$F77)</f>
        <v>1065716942.1185293</v>
      </c>
      <c r="N77" s="374">
        <f>SUMIFS(CS_인건비!BE$5:BE$34,CS_인건비!$B$5:$B$34,'1.인건비_요약'!$C77,CS_인건비!$C$5:$C$34,'1.인건비_요약'!$D77,CS_인건비!$E$5:$E$34,'1.인건비_요약'!$E77,CS_인건비!$F$5:$F$34,'1.인건비_요약'!$F77)</f>
        <v>1086292628.8997715</v>
      </c>
      <c r="O77" s="374">
        <f>SUMIFS(CS_인건비!BF$5:BF$34,CS_인건비!$B$5:$B$34,'1.인건비_요약'!$C77,CS_인건비!$C$5:$C$34,'1.인건비_요약'!$D77,CS_인건비!$E$5:$E$34,'1.인건비_요약'!$E77,CS_인건비!$F$5:$F$34,'1.인건비_요약'!$F77)</f>
        <v>0</v>
      </c>
      <c r="P77" s="374">
        <f>SUMIFS(CS_인건비!BG$5:BG$34,CS_인건비!$B$5:$B$34,'1.인건비_요약'!$C77,CS_인건비!$C$5:$C$34,'1.인건비_요약'!$D77,CS_인건비!$E$5:$E$34,'1.인건비_요약'!$E77,CS_인건비!$F$5:$F$34,'1.인건비_요약'!$F77)</f>
        <v>0</v>
      </c>
      <c r="Q77" s="374">
        <f>SUMIFS(CS_인건비!BH$5:BH$34,CS_인건비!$B$5:$B$34,'1.인건비_요약'!$C77,CS_인건비!$C$5:$C$34,'1.인건비_요약'!$D77,CS_인건비!$E$5:$E$34,'1.인건비_요약'!$E77,CS_인건비!$F$5:$F$34,'1.인건비_요약'!$F77)</f>
        <v>0</v>
      </c>
      <c r="R77" s="374">
        <f>SUMIFS(CS_인건비!BI$5:BI$34,CS_인건비!$B$5:$B$34,'1.인건비_요약'!$C77,CS_인건비!$C$5:$C$34,'1.인건비_요약'!$D77,CS_인건비!$E$5:$E$34,'1.인건비_요약'!$E77,CS_인건비!$F$5:$F$34,'1.인건비_요약'!$F77)</f>
        <v>0</v>
      </c>
    </row>
    <row r="78" spans="3:18" ht="17.45" customHeight="1" x14ac:dyDescent="0.3">
      <c r="C78" s="165" t="s">
        <v>336</v>
      </c>
      <c r="D78" s="165" t="s">
        <v>277</v>
      </c>
      <c r="E78" s="165" t="s">
        <v>255</v>
      </c>
      <c r="F78" s="165" t="s">
        <v>393</v>
      </c>
      <c r="G78" s="12">
        <f t="shared" si="40"/>
        <v>7647531795.4063282</v>
      </c>
      <c r="H78" s="374">
        <f>SUMIFS(CS_인건비!AY$5:AY$34,CS_인건비!$B$5:$B$34,'1.인건비_요약'!$C78,CS_인건비!$C$5:$C$34,'1.인건비_요약'!$D78,CS_인건비!$E$5:$E$34,'1.인건비_요약'!$E78,CS_인건비!$F$5:$F$34,'1.인건비_요약'!$F78)</f>
        <v>1444790589.8375006</v>
      </c>
      <c r="I78" s="374">
        <f>SUMIFS(CS_인건비!AZ$5:AZ$34,CS_인건비!$B$5:$B$34,'1.인건비_요약'!$C78,CS_인건비!$C$5:$C$34,'1.인건비_요약'!$D78,CS_인건비!$E$5:$E$34,'1.인건비_요약'!$E78,CS_인건비!$F$5:$F$34,'1.인건비_요약'!$F78)</f>
        <v>1142241934.168329</v>
      </c>
      <c r="J78" s="374">
        <f>SUMIFS(CS_인건비!BA$5:BA$34,CS_인건비!$B$5:$B$34,'1.인건비_요약'!$C78,CS_인건비!$C$5:$C$34,'1.인건비_요약'!$D78,CS_인건비!$E$5:$E$34,'1.인건비_요약'!$E78,CS_인건비!$F$5:$F$34,'1.인건비_요약'!$F78)</f>
        <v>1035593553.9192852</v>
      </c>
      <c r="K78" s="374">
        <f>SUMIFS(CS_인건비!BB$5:BB$34,CS_인건비!$B$5:$B$34,'1.인건비_요약'!$C78,CS_인건비!$C$5:$C$34,'1.인건비_요약'!$D78,CS_인건비!$E$5:$E$34,'1.인건비_요약'!$E78,CS_인건비!$F$5:$F$34,'1.인건비_요약'!$F78)</f>
        <v>1050139340.3522762</v>
      </c>
      <c r="L78" s="374">
        <f>SUMIFS(CS_인건비!BC$5:BC$34,CS_인건비!$B$5:$B$34,'1.인건비_요약'!$C78,CS_인건비!$C$5:$C$34,'1.인건비_요약'!$D78,CS_인건비!$E$5:$E$34,'1.인건비_요약'!$E78,CS_인건비!$F$5:$F$34,'1.인건비_요약'!$F78)</f>
        <v>1025687828.8729109</v>
      </c>
      <c r="M78" s="374">
        <f>SUMIFS(CS_인건비!BD$5:BD$34,CS_인건비!$B$5:$B$34,'1.인건비_요약'!$C78,CS_인건비!$C$5:$C$34,'1.인건비_요약'!$D78,CS_인건비!$E$5:$E$34,'1.인건비_요약'!$E78,CS_인건비!$F$5:$F$34,'1.인건비_요약'!$F78)</f>
        <v>988352002.8043474</v>
      </c>
      <c r="N78" s="374">
        <f>SUMIFS(CS_인건비!BE$5:BE$34,CS_인건비!$B$5:$B$34,'1.인건비_요약'!$C78,CS_인건비!$C$5:$C$34,'1.인건비_요약'!$D78,CS_인건비!$E$5:$E$34,'1.인건비_요약'!$E78,CS_인건비!$F$5:$F$34,'1.인건비_요약'!$F78)</f>
        <v>960726545.45167959</v>
      </c>
      <c r="O78" s="374">
        <f>SUMIFS(CS_인건비!BF$5:BF$34,CS_인건비!$B$5:$B$34,'1.인건비_요약'!$C78,CS_인건비!$C$5:$C$34,'1.인건비_요약'!$D78,CS_인건비!$E$5:$E$34,'1.인건비_요약'!$E78,CS_인건비!$F$5:$F$34,'1.인건비_요약'!$F78)</f>
        <v>0</v>
      </c>
      <c r="P78" s="374">
        <f>SUMIFS(CS_인건비!BG$5:BG$34,CS_인건비!$B$5:$B$34,'1.인건비_요약'!$C78,CS_인건비!$C$5:$C$34,'1.인건비_요약'!$D78,CS_인건비!$E$5:$E$34,'1.인건비_요약'!$E78,CS_인건비!$F$5:$F$34,'1.인건비_요약'!$F78)</f>
        <v>0</v>
      </c>
      <c r="Q78" s="374">
        <f>SUMIFS(CS_인건비!BH$5:BH$34,CS_인건비!$B$5:$B$34,'1.인건비_요약'!$C78,CS_인건비!$C$5:$C$34,'1.인건비_요약'!$D78,CS_인건비!$E$5:$E$34,'1.인건비_요약'!$E78,CS_인건비!$F$5:$F$34,'1.인건비_요약'!$F78)</f>
        <v>0</v>
      </c>
      <c r="R78" s="374">
        <f>SUMIFS(CS_인건비!BI$5:BI$34,CS_인건비!$B$5:$B$34,'1.인건비_요약'!$C78,CS_인건비!$C$5:$C$34,'1.인건비_요약'!$D78,CS_인건비!$E$5:$E$34,'1.인건비_요약'!$E78,CS_인건비!$F$5:$F$34,'1.인건비_요약'!$F78)</f>
        <v>0</v>
      </c>
    </row>
    <row r="79" spans="3:18" ht="17.45" customHeight="1" x14ac:dyDescent="0.3">
      <c r="C79" s="165" t="s">
        <v>336</v>
      </c>
      <c r="D79" s="165" t="s">
        <v>277</v>
      </c>
      <c r="E79" s="165" t="s">
        <v>255</v>
      </c>
      <c r="F79" s="165" t="s">
        <v>394</v>
      </c>
      <c r="G79" s="12">
        <f t="shared" si="40"/>
        <v>1355892939.9235742</v>
      </c>
      <c r="H79" s="374">
        <f>SUMIFS(CS_인건비!AY$5:AY$34,CS_인건비!$B$5:$B$34,'1.인건비_요약'!$C79,CS_인건비!$C$5:$C$34,'1.인건비_요약'!$D79,CS_인건비!$E$5:$E$34,'1.인건비_요약'!$E79,CS_인건비!$F$5:$F$34,'1.인건비_요약'!$F79)</f>
        <v>281232144.81041664</v>
      </c>
      <c r="I79" s="374">
        <f>SUMIFS(CS_인건비!AZ$5:AZ$34,CS_인건비!$B$5:$B$34,'1.인건비_요약'!$C79,CS_인건비!$C$5:$C$34,'1.인건비_요약'!$D79,CS_인건비!$E$5:$E$34,'1.인건비_요약'!$E79,CS_인건비!$F$5:$F$34,'1.인건비_요약'!$F79)</f>
        <v>205081032.97777078</v>
      </c>
      <c r="J79" s="374">
        <f>SUMIFS(CS_인건비!BA$5:BA$34,CS_인건비!$B$5:$B$34,'1.인건비_요약'!$C79,CS_인건비!$C$5:$C$34,'1.인건비_요약'!$D79,CS_인건비!$E$5:$E$34,'1.인건비_요약'!$E79,CS_인건비!$F$5:$F$34,'1.인건비_요약'!$F79)</f>
        <v>168776147.41008437</v>
      </c>
      <c r="K79" s="374">
        <f>SUMIFS(CS_인건비!BB$5:BB$34,CS_인건비!$B$5:$B$34,'1.인건비_요약'!$C79,CS_인건비!$C$5:$C$34,'1.인건비_요약'!$D79,CS_인건비!$E$5:$E$34,'1.인건비_요약'!$E79,CS_인건비!$F$5:$F$34,'1.인건비_요약'!$F79)</f>
        <v>171307789.62123561</v>
      </c>
      <c r="L79" s="374">
        <f>SUMIFS(CS_인건비!BC$5:BC$34,CS_인건비!$B$5:$B$34,'1.인건비_요약'!$C79,CS_인건비!$C$5:$C$34,'1.인건비_요약'!$D79,CS_인건비!$E$5:$E$34,'1.인건비_요약'!$E79,CS_인건비!$F$5:$F$34,'1.인건비_요약'!$F79)</f>
        <v>173877406.46555412</v>
      </c>
      <c r="M79" s="374">
        <f>SUMIFS(CS_인건비!BD$5:BD$34,CS_인건비!$B$5:$B$34,'1.인건비_요약'!$C79,CS_인건비!$C$5:$C$34,'1.인건비_요약'!$D79,CS_인건비!$E$5:$E$34,'1.인건비_요약'!$E79,CS_인건비!$F$5:$F$34,'1.인건비_요약'!$F79)</f>
        <v>176485567.56253734</v>
      </c>
      <c r="N79" s="374">
        <f>SUMIFS(CS_인건비!BE$5:BE$34,CS_인건비!$B$5:$B$34,'1.인건비_요약'!$C79,CS_인건비!$C$5:$C$34,'1.인건비_요약'!$D79,CS_인건비!$E$5:$E$34,'1.인건비_요약'!$E79,CS_인건비!$F$5:$F$34,'1.인건비_요약'!$F79)</f>
        <v>179132851.07597542</v>
      </c>
      <c r="O79" s="374">
        <f>SUMIFS(CS_인건비!BF$5:BF$34,CS_인건비!$B$5:$B$34,'1.인건비_요약'!$C79,CS_인건비!$C$5:$C$34,'1.인건비_요약'!$D79,CS_인건비!$E$5:$E$34,'1.인건비_요약'!$E79,CS_인건비!$F$5:$F$34,'1.인건비_요약'!$F79)</f>
        <v>0</v>
      </c>
      <c r="P79" s="374">
        <f>SUMIFS(CS_인건비!BG$5:BG$34,CS_인건비!$B$5:$B$34,'1.인건비_요약'!$C79,CS_인건비!$C$5:$C$34,'1.인건비_요약'!$D79,CS_인건비!$E$5:$E$34,'1.인건비_요약'!$E79,CS_인건비!$F$5:$F$34,'1.인건비_요약'!$F79)</f>
        <v>0</v>
      </c>
      <c r="Q79" s="374">
        <f>SUMIFS(CS_인건비!BH$5:BH$34,CS_인건비!$B$5:$B$34,'1.인건비_요약'!$C79,CS_인건비!$C$5:$C$34,'1.인건비_요약'!$D79,CS_인건비!$E$5:$E$34,'1.인건비_요약'!$E79,CS_인건비!$F$5:$F$34,'1.인건비_요약'!$F79)</f>
        <v>0</v>
      </c>
      <c r="R79" s="374">
        <f>SUMIFS(CS_인건비!BI$5:BI$34,CS_인건비!$B$5:$B$34,'1.인건비_요약'!$C79,CS_인건비!$C$5:$C$34,'1.인건비_요약'!$D79,CS_인건비!$E$5:$E$34,'1.인건비_요약'!$E79,CS_인건비!$F$5:$F$34,'1.인건비_요약'!$F79)</f>
        <v>0</v>
      </c>
    </row>
    <row r="80" spans="3:18" ht="17.45" customHeight="1" x14ac:dyDescent="0.3">
      <c r="C80" s="165" t="s">
        <v>336</v>
      </c>
      <c r="D80" s="165" t="s">
        <v>277</v>
      </c>
      <c r="E80" s="165" t="s">
        <v>256</v>
      </c>
      <c r="F80" s="165" t="s">
        <v>391</v>
      </c>
      <c r="G80" s="376">
        <f t="shared" si="40"/>
        <v>4971091214.6103239</v>
      </c>
      <c r="H80" s="376">
        <f>SUMIFS(CS_인건비!AY$5:AY$34,CS_인건비!$B$5:$B$34,'1.인건비_요약'!$C80,CS_인건비!$C$5:$C$34,'1.인건비_요약'!$D80,CS_인건비!$E$5:$E$34,'1.인건비_요약'!$E80,CS_인건비!$F$5:$F$34,'1.인건비_요약'!$F80)</f>
        <v>938257188</v>
      </c>
      <c r="I80" s="376">
        <f>SUMIFS(CS_인건비!AZ$5:AZ$34,CS_인건비!$B$5:$B$34,'1.인건비_요약'!$C80,CS_인건비!$C$5:$C$34,'1.인건비_요약'!$D80,CS_인건비!$E$5:$E$34,'1.인건비_요약'!$E80,CS_인건비!$F$5:$F$34,'1.인건비_요약'!$F80)</f>
        <v>755625946.91499984</v>
      </c>
      <c r="J80" s="376">
        <f>SUMIFS(CS_인건비!BA$5:BA$34,CS_인건비!$B$5:$B$34,'1.인건비_요약'!$C80,CS_인건비!$C$5:$C$34,'1.인건비_요약'!$D80,CS_인건비!$E$5:$E$34,'1.인건비_요약'!$E80,CS_인건비!$F$5:$F$34,'1.인건비_요약'!$F80)</f>
        <v>699653102.58340001</v>
      </c>
      <c r="K80" s="376">
        <f>SUMIFS(CS_인건비!BB$5:BB$34,CS_인건비!$B$5:$B$34,'1.인건비_요약'!$C80,CS_인건비!$C$5:$C$34,'1.인건비_요약'!$D80,CS_인건비!$E$5:$E$34,'1.인건비_요약'!$E80,CS_인건비!$F$5:$F$34,'1.인건비_요약'!$F80)</f>
        <v>686578308.54965067</v>
      </c>
      <c r="L80" s="376">
        <f>SUMIFS(CS_인건비!BC$5:BC$34,CS_인건비!$B$5:$B$34,'1.인건비_요약'!$C80,CS_인건비!$C$5:$C$34,'1.인건비_요약'!$D80,CS_인건비!$E$5:$E$34,'1.인건비_요약'!$E80,CS_인건비!$F$5:$F$34,'1.인건비_요약'!$F80)</f>
        <v>657752166.80436945</v>
      </c>
      <c r="M80" s="376">
        <f>SUMIFS(CS_인건비!BD$5:BD$34,CS_인건비!$B$5:$B$34,'1.인건비_요약'!$C80,CS_인건비!$C$5:$C$34,'1.인건비_요약'!$D80,CS_인건비!$E$5:$E$34,'1.인건비_요약'!$E80,CS_인건비!$F$5:$F$34,'1.인건비_요약'!$F80)</f>
        <v>612022085.23965466</v>
      </c>
      <c r="N80" s="376">
        <f>SUMIFS(CS_인건비!BE$5:BE$34,CS_인건비!$B$5:$B$34,'1.인건비_요약'!$C80,CS_인건비!$C$5:$C$34,'1.인건비_요약'!$D80,CS_인건비!$E$5:$E$34,'1.인건비_요약'!$E80,CS_인건비!$F$5:$F$34,'1.인건비_요약'!$F80)</f>
        <v>621202416.51824939</v>
      </c>
      <c r="O80" s="374">
        <f>SUMIFS(CS_인건비!BF$5:BF$34,CS_인건비!$B$5:$B$34,'1.인건비_요약'!$C80,CS_인건비!$C$5:$C$34,'1.인건비_요약'!$D80,CS_인건비!$E$5:$E$34,'1.인건비_요약'!$E80,CS_인건비!$F$5:$F$34,'1.인건비_요약'!$F80)</f>
        <v>0</v>
      </c>
      <c r="P80" s="374">
        <f>SUMIFS(CS_인건비!BG$5:BG$34,CS_인건비!$B$5:$B$34,'1.인건비_요약'!$C80,CS_인건비!$C$5:$C$34,'1.인건비_요약'!$D80,CS_인건비!$E$5:$E$34,'1.인건비_요약'!$E80,CS_인건비!$F$5:$F$34,'1.인건비_요약'!$F80)</f>
        <v>0</v>
      </c>
      <c r="Q80" s="374">
        <f>SUMIFS(CS_인건비!BH$5:BH$34,CS_인건비!$B$5:$B$34,'1.인건비_요약'!$C80,CS_인건비!$C$5:$C$34,'1.인건비_요약'!$D80,CS_인건비!$E$5:$E$34,'1.인건비_요약'!$E80,CS_인건비!$F$5:$F$34,'1.인건비_요약'!$F80)</f>
        <v>0</v>
      </c>
      <c r="R80" s="374">
        <f>SUMIFS(CS_인건비!BI$5:BI$34,CS_인건비!$B$5:$B$34,'1.인건비_요약'!$C80,CS_인건비!$C$5:$C$34,'1.인건비_요약'!$D80,CS_인건비!$E$5:$E$34,'1.인건비_요약'!$E80,CS_인건비!$F$5:$F$34,'1.인건비_요약'!$F80)</f>
        <v>0</v>
      </c>
    </row>
    <row r="81" spans="3:18" ht="17.45" customHeight="1" x14ac:dyDescent="0.3">
      <c r="C81" s="165" t="s">
        <v>336</v>
      </c>
      <c r="D81" s="165" t="s">
        <v>277</v>
      </c>
      <c r="E81" s="165" t="s">
        <v>256</v>
      </c>
      <c r="F81" s="165" t="s">
        <v>392</v>
      </c>
      <c r="G81" s="12">
        <f t="shared" si="40"/>
        <v>1648211379.1267419</v>
      </c>
      <c r="H81" s="374">
        <f>SUMIFS(CS_인건비!AY$5:AY$34,CS_인건비!$B$5:$B$34,'1.인건비_요약'!$C81,CS_인건비!$C$5:$C$34,'1.인건비_요약'!$D81,CS_인건비!$E$5:$E$34,'1.인건비_요약'!$E81,CS_인건비!$F$5:$F$34,'1.인건비_요약'!$F81)</f>
        <v>297226863.55833334</v>
      </c>
      <c r="I81" s="374">
        <f>SUMIFS(CS_인건비!AZ$5:AZ$34,CS_인건비!$B$5:$B$34,'1.인건비_요약'!$C81,CS_인건비!$C$5:$C$34,'1.인건비_요약'!$D81,CS_인건비!$E$5:$E$34,'1.인건비_요약'!$E81,CS_인건비!$F$5:$F$34,'1.인건비_요약'!$F81)</f>
        <v>222381501.42949992</v>
      </c>
      <c r="J81" s="374">
        <f>SUMIFS(CS_인건비!BA$5:BA$34,CS_인건비!$B$5:$B$34,'1.인건비_요약'!$C81,CS_인건비!$C$5:$C$34,'1.인건비_요약'!$D81,CS_인건비!$E$5:$E$34,'1.인건비_요약'!$E81,CS_인건비!$F$5:$F$34,'1.인건비_요약'!$F81)</f>
        <v>225717223.95094237</v>
      </c>
      <c r="K81" s="374">
        <f>SUMIFS(CS_인건비!BB$5:BB$34,CS_인건비!$B$5:$B$34,'1.인건비_요약'!$C81,CS_인건비!$C$5:$C$34,'1.인건비_요약'!$D81,CS_인건비!$E$5:$E$34,'1.인건비_요약'!$E81,CS_인건비!$F$5:$F$34,'1.인건비_요약'!$F81)</f>
        <v>229102982.3102065</v>
      </c>
      <c r="L81" s="374">
        <f>SUMIFS(CS_인건비!BC$5:BC$34,CS_인건비!$B$5:$B$34,'1.인건비_요약'!$C81,CS_인건비!$C$5:$C$34,'1.인건비_요약'!$D81,CS_인건비!$E$5:$E$34,'1.인건비_요약'!$E81,CS_인건비!$F$5:$F$34,'1.인건비_요약'!$F81)</f>
        <v>232539527.04485959</v>
      </c>
      <c r="M81" s="374">
        <f>SUMIFS(CS_인건비!BD$5:BD$34,CS_인건비!$B$5:$B$34,'1.인건비_요약'!$C81,CS_인건비!$C$5:$C$34,'1.인건비_요약'!$D81,CS_인건비!$E$5:$E$34,'1.인건비_요약'!$E81,CS_인건비!$F$5:$F$34,'1.인건비_요약'!$F81)</f>
        <v>224690202.99758768</v>
      </c>
      <c r="N81" s="374">
        <f>SUMIFS(CS_인건비!BE$5:BE$34,CS_인건비!$B$5:$B$34,'1.인건비_요약'!$C81,CS_인건비!$C$5:$C$34,'1.인건비_요약'!$D81,CS_인건비!$E$5:$E$34,'1.인건비_요약'!$E81,CS_인건비!$F$5:$F$34,'1.인건비_요약'!$F81)</f>
        <v>216553077.83531243</v>
      </c>
      <c r="O81" s="374">
        <f>SUMIFS(CS_인건비!BF$5:BF$34,CS_인건비!$B$5:$B$34,'1.인건비_요약'!$C81,CS_인건비!$C$5:$C$34,'1.인건비_요약'!$D81,CS_인건비!$E$5:$E$34,'1.인건비_요약'!$E81,CS_인건비!$F$5:$F$34,'1.인건비_요약'!$F81)</f>
        <v>0</v>
      </c>
      <c r="P81" s="374">
        <f>SUMIFS(CS_인건비!BG$5:BG$34,CS_인건비!$B$5:$B$34,'1.인건비_요약'!$C81,CS_인건비!$C$5:$C$34,'1.인건비_요약'!$D81,CS_인건비!$E$5:$E$34,'1.인건비_요약'!$E81,CS_인건비!$F$5:$F$34,'1.인건비_요약'!$F81)</f>
        <v>0</v>
      </c>
      <c r="Q81" s="374">
        <f>SUMIFS(CS_인건비!BH$5:BH$34,CS_인건비!$B$5:$B$34,'1.인건비_요약'!$C81,CS_인건비!$C$5:$C$34,'1.인건비_요약'!$D81,CS_인건비!$E$5:$E$34,'1.인건비_요약'!$E81,CS_인건비!$F$5:$F$34,'1.인건비_요약'!$F81)</f>
        <v>0</v>
      </c>
      <c r="R81" s="374">
        <f>SUMIFS(CS_인건비!BI$5:BI$34,CS_인건비!$B$5:$B$34,'1.인건비_요약'!$C81,CS_인건비!$C$5:$C$34,'1.인건비_요약'!$D81,CS_인건비!$E$5:$E$34,'1.인건비_요약'!$E81,CS_인건비!$F$5:$F$34,'1.인건비_요약'!$F81)</f>
        <v>0</v>
      </c>
    </row>
    <row r="82" spans="3:18" ht="17.45" customHeight="1" x14ac:dyDescent="0.3">
      <c r="C82" s="165" t="s">
        <v>336</v>
      </c>
      <c r="D82" s="165" t="s">
        <v>277</v>
      </c>
      <c r="E82" s="165" t="s">
        <v>256</v>
      </c>
      <c r="F82" s="165" t="s">
        <v>393</v>
      </c>
      <c r="G82" s="12">
        <f t="shared" si="40"/>
        <v>2170005248.254775</v>
      </c>
      <c r="H82" s="374">
        <f>SUMIFS(CS_인건비!AY$5:AY$34,CS_인건비!$B$5:$B$34,'1.인건비_요약'!$C82,CS_인건비!$C$5:$C$34,'1.인건비_요약'!$D82,CS_인건비!$E$5:$E$34,'1.인건비_요약'!$E82,CS_인건비!$F$5:$F$34,'1.인건비_요약'!$F82)</f>
        <v>419488713.1208334</v>
      </c>
      <c r="I82" s="374">
        <f>SUMIFS(CS_인건비!AZ$5:AZ$34,CS_인건비!$B$5:$B$34,'1.인건비_요약'!$C82,CS_인건비!$C$5:$C$34,'1.인건비_요약'!$D82,CS_인건비!$E$5:$E$34,'1.인건비_요약'!$E82,CS_인건비!$F$5:$F$34,'1.인건비_요약'!$F82)</f>
        <v>337132897.29933327</v>
      </c>
      <c r="J82" s="374">
        <f>SUMIFS(CS_인건비!BA$5:BA$34,CS_인건비!$B$5:$B$34,'1.인건비_요약'!$C82,CS_인건비!$C$5:$C$34,'1.인건비_요약'!$D82,CS_인건비!$E$5:$E$34,'1.인건비_요약'!$E82,CS_인건비!$F$5:$F$34,'1.인건비_요약'!$F82)</f>
        <v>316891506.93195617</v>
      </c>
      <c r="K82" s="374">
        <f>SUMIFS(CS_인건비!BB$5:BB$34,CS_인건비!$B$5:$B$34,'1.인건비_요약'!$C82,CS_인건비!$C$5:$C$34,'1.인건비_요약'!$D82,CS_인건비!$E$5:$E$34,'1.인건비_요약'!$E82,CS_인건비!$F$5:$F$34,'1.인건비_요약'!$F82)</f>
        <v>303303551.26145685</v>
      </c>
      <c r="L82" s="374">
        <f>SUMIFS(CS_인건비!BC$5:BC$34,CS_인건비!$B$5:$B$34,'1.인건비_요약'!$C82,CS_인건비!$C$5:$C$34,'1.인건비_요약'!$D82,CS_인건비!$E$5:$E$34,'1.인건비_요약'!$E82,CS_인건비!$F$5:$F$34,'1.인건비_요약'!$F82)</f>
        <v>281790077.0523445</v>
      </c>
      <c r="M82" s="374">
        <f>SUMIFS(CS_인건비!BD$5:BD$34,CS_인건비!$B$5:$B$34,'1.인건비_요약'!$C82,CS_인건비!$C$5:$C$34,'1.인건비_요약'!$D82,CS_인건비!$E$5:$E$34,'1.인건비_요약'!$E82,CS_인건비!$F$5:$F$34,'1.인건비_요약'!$F82)</f>
        <v>267121233.28655493</v>
      </c>
      <c r="N82" s="374">
        <f>SUMIFS(CS_인건비!BE$5:BE$34,CS_인건비!$B$5:$B$34,'1.인건비_요약'!$C82,CS_인건비!$C$5:$C$34,'1.인건비_요약'!$D82,CS_인건비!$E$5:$E$34,'1.인건비_요약'!$E82,CS_인건비!$F$5:$F$34,'1.인건비_요약'!$F82)</f>
        <v>244277269.30229554</v>
      </c>
      <c r="O82" s="374">
        <f>SUMIFS(CS_인건비!BF$5:BF$34,CS_인건비!$B$5:$B$34,'1.인건비_요약'!$C82,CS_인건비!$C$5:$C$34,'1.인건비_요약'!$D82,CS_인건비!$E$5:$E$34,'1.인건비_요약'!$E82,CS_인건비!$F$5:$F$34,'1.인건비_요약'!$F82)</f>
        <v>0</v>
      </c>
      <c r="P82" s="374">
        <f>SUMIFS(CS_인건비!BG$5:BG$34,CS_인건비!$B$5:$B$34,'1.인건비_요약'!$C82,CS_인건비!$C$5:$C$34,'1.인건비_요약'!$D82,CS_인건비!$E$5:$E$34,'1.인건비_요약'!$E82,CS_인건비!$F$5:$F$34,'1.인건비_요약'!$F82)</f>
        <v>0</v>
      </c>
      <c r="Q82" s="374">
        <f>SUMIFS(CS_인건비!BH$5:BH$34,CS_인건비!$B$5:$B$34,'1.인건비_요약'!$C82,CS_인건비!$C$5:$C$34,'1.인건비_요약'!$D82,CS_인건비!$E$5:$E$34,'1.인건비_요약'!$E82,CS_인건비!$F$5:$F$34,'1.인건비_요약'!$F82)</f>
        <v>0</v>
      </c>
      <c r="R82" s="374">
        <f>SUMIFS(CS_인건비!BI$5:BI$34,CS_인건비!$B$5:$B$34,'1.인건비_요약'!$C82,CS_인건비!$C$5:$C$34,'1.인건비_요약'!$D82,CS_인건비!$E$5:$E$34,'1.인건비_요약'!$E82,CS_인건비!$F$5:$F$34,'1.인건비_요약'!$F82)</f>
        <v>0</v>
      </c>
    </row>
    <row r="83" spans="3:18" ht="17.45" customHeight="1" x14ac:dyDescent="0.3">
      <c r="C83" s="165" t="s">
        <v>336</v>
      </c>
      <c r="D83" s="165" t="s">
        <v>277</v>
      </c>
      <c r="E83" s="165" t="s">
        <v>256</v>
      </c>
      <c r="F83" s="165" t="s">
        <v>394</v>
      </c>
      <c r="G83" s="12">
        <f t="shared" si="40"/>
        <v>308270941.42602909</v>
      </c>
      <c r="H83" s="374">
        <f>SUMIFS(CS_인건비!AY$5:AY$34,CS_인건비!$B$5:$B$34,'1.인건비_요약'!$C83,CS_인건비!$C$5:$C$34,'1.인건비_요약'!$D83,CS_인건비!$E$5:$E$34,'1.인건비_요약'!$E83,CS_인건비!$F$5:$F$34,'1.인건비_요약'!$F83)</f>
        <v>42096297.399999984</v>
      </c>
      <c r="I83" s="374">
        <f>SUMIFS(CS_인건비!AZ$5:AZ$34,CS_인건비!$B$5:$B$34,'1.인건비_요약'!$C83,CS_인건비!$C$5:$C$34,'1.인건비_요약'!$D83,CS_인건비!$E$5:$E$34,'1.인건비_요약'!$E83,CS_인건비!$F$5:$F$34,'1.인건비_요약'!$F83)</f>
        <v>42727741.861000001</v>
      </c>
      <c r="J83" s="374">
        <f>SUMIFS(CS_인건비!BA$5:BA$34,CS_인건비!$B$5:$B$34,'1.인건비_요약'!$C83,CS_인건비!$C$5:$C$34,'1.인건비_요약'!$D83,CS_인건비!$E$5:$E$34,'1.인건비_요약'!$E83,CS_인건비!$F$5:$F$34,'1.인건비_요약'!$F83)</f>
        <v>43368657.988914989</v>
      </c>
      <c r="K83" s="374">
        <f>SUMIFS(CS_인건비!BB$5:BB$34,CS_인건비!$B$5:$B$34,'1.인건비_요약'!$C83,CS_인건비!$C$5:$C$34,'1.인건비_요약'!$D83,CS_인건비!$E$5:$E$34,'1.인건비_요약'!$E83,CS_인건비!$F$5:$F$34,'1.인건비_요약'!$F83)</f>
        <v>44019187.858748704</v>
      </c>
      <c r="L83" s="374">
        <f>SUMIFS(CS_인건비!BC$5:BC$34,CS_인건비!$B$5:$B$34,'1.인건비_요약'!$C83,CS_인건비!$C$5:$C$34,'1.인건비_요약'!$D83,CS_인건비!$E$5:$E$34,'1.인건비_요약'!$E83,CS_인건비!$F$5:$F$34,'1.인건비_요약'!$F83)</f>
        <v>44679475.676629931</v>
      </c>
      <c r="M83" s="374">
        <f>SUMIFS(CS_인건비!BD$5:BD$34,CS_인건비!$B$5:$B$34,'1.인건비_요약'!$C83,CS_인건비!$C$5:$C$34,'1.인건비_요약'!$D83,CS_인건비!$E$5:$E$34,'1.인건비_요약'!$E83,CS_인건비!$F$5:$F$34,'1.인건비_요약'!$F83)</f>
        <v>45349667.81177938</v>
      </c>
      <c r="N83" s="374">
        <f>SUMIFS(CS_인건비!BE$5:BE$34,CS_인건비!$B$5:$B$34,'1.인건비_요약'!$C83,CS_인건비!$C$5:$C$34,'1.인건비_요약'!$D83,CS_인건비!$E$5:$E$34,'1.인건비_요약'!$E83,CS_인건비!$F$5:$F$34,'1.인건비_요약'!$F83)</f>
        <v>46029912.828956068</v>
      </c>
      <c r="O83" s="374">
        <f>SUMIFS(CS_인건비!BF$5:BF$34,CS_인건비!$B$5:$B$34,'1.인건비_요약'!$C83,CS_인건비!$C$5:$C$34,'1.인건비_요약'!$D83,CS_인건비!$E$5:$E$34,'1.인건비_요약'!$E83,CS_인건비!$F$5:$F$34,'1.인건비_요약'!$F83)</f>
        <v>0</v>
      </c>
      <c r="P83" s="374">
        <f>SUMIFS(CS_인건비!BG$5:BG$34,CS_인건비!$B$5:$B$34,'1.인건비_요약'!$C83,CS_인건비!$C$5:$C$34,'1.인건비_요약'!$D83,CS_인건비!$E$5:$E$34,'1.인건비_요약'!$E83,CS_인건비!$F$5:$F$34,'1.인건비_요약'!$F83)</f>
        <v>0</v>
      </c>
      <c r="Q83" s="374">
        <f>SUMIFS(CS_인건비!BH$5:BH$34,CS_인건비!$B$5:$B$34,'1.인건비_요약'!$C83,CS_인건비!$C$5:$C$34,'1.인건비_요약'!$D83,CS_인건비!$E$5:$E$34,'1.인건비_요약'!$E83,CS_인건비!$F$5:$F$34,'1.인건비_요약'!$F83)</f>
        <v>0</v>
      </c>
      <c r="R83" s="374">
        <f>SUMIFS(CS_인건비!BI$5:BI$34,CS_인건비!$B$5:$B$34,'1.인건비_요약'!$C83,CS_인건비!$C$5:$C$34,'1.인건비_요약'!$D83,CS_인건비!$E$5:$E$34,'1.인건비_요약'!$E83,CS_인건비!$F$5:$F$34,'1.인건비_요약'!$F83)</f>
        <v>0</v>
      </c>
    </row>
    <row r="84" spans="3:18" ht="17.45" customHeight="1" x14ac:dyDescent="0.3">
      <c r="C84" s="165" t="s">
        <v>336</v>
      </c>
      <c r="D84" s="165" t="s">
        <v>277</v>
      </c>
      <c r="E84" s="165" t="s">
        <v>427</v>
      </c>
      <c r="F84" s="165" t="s">
        <v>440</v>
      </c>
      <c r="G84" s="12">
        <f t="shared" si="40"/>
        <v>65974999.999999993</v>
      </c>
      <c r="H84" s="374">
        <f>SUMIFS(CS_인건비!AY$5:AY$34,CS_인건비!$B$5:$B$34,'1.인건비_요약'!$C84,CS_인건비!$C$5:$C$34,'1.인건비_요약'!$D84,CS_인건비!$E$5:$E$34,'1.인건비_요약'!$E84,CS_인건비!$F$5:$F$34,'1.인건비_요약'!$F84)</f>
        <v>65974999.999999993</v>
      </c>
      <c r="I84" s="374">
        <f>SUMIFS(CS_인건비!AZ$5:AZ$34,CS_인건비!$B$5:$B$34,'1.인건비_요약'!$C84,CS_인건비!$C$5:$C$34,'1.인건비_요약'!$D84,CS_인건비!$E$5:$E$34,'1.인건비_요약'!$E84,CS_인건비!$F$5:$F$34,'1.인건비_요약'!$F84)</f>
        <v>0</v>
      </c>
      <c r="J84" s="374">
        <f>SUMIFS(CS_인건비!BA$5:BA$34,CS_인건비!$B$5:$B$34,'1.인건비_요약'!$C84,CS_인건비!$C$5:$C$34,'1.인건비_요약'!$D84,CS_인건비!$E$5:$E$34,'1.인건비_요약'!$E84,CS_인건비!$F$5:$F$34,'1.인건비_요약'!$F84)</f>
        <v>0</v>
      </c>
      <c r="K84" s="374">
        <f>SUMIFS(CS_인건비!BB$5:BB$34,CS_인건비!$B$5:$B$34,'1.인건비_요약'!$C84,CS_인건비!$C$5:$C$34,'1.인건비_요약'!$D84,CS_인건비!$E$5:$E$34,'1.인건비_요약'!$E84,CS_인건비!$F$5:$F$34,'1.인건비_요약'!$F84)</f>
        <v>0</v>
      </c>
      <c r="L84" s="374">
        <f>SUMIFS(CS_인건비!BC$5:BC$34,CS_인건비!$B$5:$B$34,'1.인건비_요약'!$C84,CS_인건비!$C$5:$C$34,'1.인건비_요약'!$D84,CS_인건비!$E$5:$E$34,'1.인건비_요약'!$E84,CS_인건비!$F$5:$F$34,'1.인건비_요약'!$F84)</f>
        <v>0</v>
      </c>
      <c r="M84" s="374">
        <f>SUMIFS(CS_인건비!BD$5:BD$34,CS_인건비!$B$5:$B$34,'1.인건비_요약'!$C84,CS_인건비!$C$5:$C$34,'1.인건비_요약'!$D84,CS_인건비!$E$5:$E$34,'1.인건비_요약'!$E84,CS_인건비!$F$5:$F$34,'1.인건비_요약'!$F84)</f>
        <v>0</v>
      </c>
      <c r="N84" s="374">
        <f>SUMIFS(CS_인건비!BE$5:BE$34,CS_인건비!$B$5:$B$34,'1.인건비_요약'!$C84,CS_인건비!$C$5:$C$34,'1.인건비_요약'!$D84,CS_인건비!$E$5:$E$34,'1.인건비_요약'!$E84,CS_인건비!$F$5:$F$34,'1.인건비_요약'!$F84)</f>
        <v>0</v>
      </c>
      <c r="O84" s="374">
        <f>SUMIFS(CS_인건비!BF$5:BF$34,CS_인건비!$B$5:$B$34,'1.인건비_요약'!$C84,CS_인건비!$C$5:$C$34,'1.인건비_요약'!$D84,CS_인건비!$E$5:$E$34,'1.인건비_요약'!$E84,CS_인건비!$F$5:$F$34,'1.인건비_요약'!$F84)</f>
        <v>0</v>
      </c>
      <c r="P84" s="374">
        <f>SUMIFS(CS_인건비!BG$5:BG$34,CS_인건비!$B$5:$B$34,'1.인건비_요약'!$C84,CS_인건비!$C$5:$C$34,'1.인건비_요약'!$D84,CS_인건비!$E$5:$E$34,'1.인건비_요약'!$E84,CS_인건비!$F$5:$F$34,'1.인건비_요약'!$F84)</f>
        <v>0</v>
      </c>
      <c r="Q84" s="374">
        <f>SUMIFS(CS_인건비!BH$5:BH$34,CS_인건비!$B$5:$B$34,'1.인건비_요약'!$C84,CS_인건비!$C$5:$C$34,'1.인건비_요약'!$D84,CS_인건비!$E$5:$E$34,'1.인건비_요약'!$E84,CS_인건비!$F$5:$F$34,'1.인건비_요약'!$F84)</f>
        <v>0</v>
      </c>
      <c r="R84" s="374">
        <f>SUMIFS(CS_인건비!BI$5:BI$34,CS_인건비!$B$5:$B$34,'1.인건비_요약'!$C84,CS_인건비!$C$5:$C$34,'1.인건비_요약'!$D84,CS_인건비!$E$5:$E$34,'1.인건비_요약'!$E84,CS_인건비!$F$5:$F$34,'1.인건비_요약'!$F84)</f>
        <v>0</v>
      </c>
    </row>
    <row r="85" spans="3:18" ht="17.45" customHeight="1" x14ac:dyDescent="0.3">
      <c r="C85" s="165" t="s">
        <v>336</v>
      </c>
      <c r="D85" s="165" t="s">
        <v>277</v>
      </c>
      <c r="E85" s="165" t="s">
        <v>427</v>
      </c>
      <c r="F85" s="165" t="s">
        <v>419</v>
      </c>
      <c r="G85" s="12">
        <f t="shared" si="40"/>
        <v>701800624.92854476</v>
      </c>
      <c r="H85" s="374">
        <f>SUMIFS(CS_인건비!AY$5:AY$34,CS_인건비!$B$5:$B$34,'1.인건비_요약'!$C85,CS_인건비!$C$5:$C$34,'1.인건비_요약'!$D85,CS_인건비!$E$5:$E$34,'1.인건비_요약'!$E85,CS_인건비!$F$5:$F$34,'1.인건비_요약'!$F85)</f>
        <v>24000000</v>
      </c>
      <c r="I85" s="374">
        <f>SUMIFS(CS_인건비!AZ$5:AZ$34,CS_인건비!$B$5:$B$34,'1.인건비_요약'!$C85,CS_인건비!$C$5:$C$34,'1.인건비_요약'!$D85,CS_인건비!$E$5:$E$34,'1.인건비_요약'!$E85,CS_인건비!$F$5:$F$34,'1.인건비_요약'!$F85)</f>
        <v>146159999.99999997</v>
      </c>
      <c r="J85" s="374">
        <f>SUMIFS(CS_인건비!BA$5:BA$34,CS_인건비!$B$5:$B$34,'1.인건비_요약'!$C85,CS_인건비!$C$5:$C$34,'1.인건비_요약'!$D85,CS_인건비!$E$5:$E$34,'1.인건비_요약'!$E85,CS_인건비!$F$5:$F$34,'1.인건비_요약'!$F85)</f>
        <v>148352399.99999997</v>
      </c>
      <c r="K85" s="374">
        <f>SUMIFS(CS_인건비!BB$5:BB$34,CS_인건비!$B$5:$B$34,'1.인건비_요약'!$C85,CS_인건비!$C$5:$C$34,'1.인건비_요약'!$D85,CS_인건비!$E$5:$E$34,'1.인건비_요약'!$E85,CS_인건비!$F$5:$F$34,'1.인건비_요약'!$F85)</f>
        <v>150577685.99999997</v>
      </c>
      <c r="L85" s="374">
        <f>SUMIFS(CS_인건비!BC$5:BC$34,CS_인건비!$B$5:$B$34,'1.인건비_요약'!$C85,CS_인건비!$C$5:$C$34,'1.인건비_요약'!$D85,CS_인건비!$E$5:$E$34,'1.인건비_요약'!$E85,CS_인건비!$F$5:$F$34,'1.인건비_요약'!$F85)</f>
        <v>76418175.644999936</v>
      </c>
      <c r="M85" s="374">
        <f>SUMIFS(CS_인건비!BD$5:BD$34,CS_인건비!$B$5:$B$34,'1.인건비_요약'!$C85,CS_인건비!$C$5:$C$34,'1.인건비_요약'!$D85,CS_인건비!$E$5:$E$34,'1.인건비_요약'!$E85,CS_인건비!$F$5:$F$34,'1.인건비_요약'!$F85)</f>
        <v>77564448.279674947</v>
      </c>
      <c r="N85" s="374">
        <f>SUMIFS(CS_인건비!BE$5:BE$34,CS_인건비!$B$5:$B$34,'1.인건비_요약'!$C85,CS_인건비!$C$5:$C$34,'1.인건비_요약'!$D85,CS_인건비!$E$5:$E$34,'1.인건비_요약'!$E85,CS_인건비!$F$5:$F$34,'1.인건비_요약'!$F85)</f>
        <v>78727915.00387007</v>
      </c>
      <c r="O85" s="374">
        <f>SUMIFS(CS_인건비!BF$5:BF$34,CS_인건비!$B$5:$B$34,'1.인건비_요약'!$C85,CS_인건비!$C$5:$C$34,'1.인건비_요약'!$D85,CS_인건비!$E$5:$E$34,'1.인건비_요약'!$E85,CS_인건비!$F$5:$F$34,'1.인건비_요약'!$F85)</f>
        <v>0</v>
      </c>
      <c r="P85" s="374">
        <f>SUMIFS(CS_인건비!BG$5:BG$34,CS_인건비!$B$5:$B$34,'1.인건비_요약'!$C85,CS_인건비!$C$5:$C$34,'1.인건비_요약'!$D85,CS_인건비!$E$5:$E$34,'1.인건비_요약'!$E85,CS_인건비!$F$5:$F$34,'1.인건비_요약'!$F85)</f>
        <v>0</v>
      </c>
      <c r="Q85" s="374">
        <f>SUMIFS(CS_인건비!BH$5:BH$34,CS_인건비!$B$5:$B$34,'1.인건비_요약'!$C85,CS_인건비!$C$5:$C$34,'1.인건비_요약'!$D85,CS_인건비!$E$5:$E$34,'1.인건비_요약'!$E85,CS_인건비!$F$5:$F$34,'1.인건비_요약'!$F85)</f>
        <v>0</v>
      </c>
      <c r="R85" s="374">
        <f>SUMIFS(CS_인건비!BI$5:BI$34,CS_인건비!$B$5:$B$34,'1.인건비_요약'!$C85,CS_인건비!$C$5:$C$34,'1.인건비_요약'!$D85,CS_인건비!$E$5:$E$34,'1.인건비_요약'!$E85,CS_인건비!$F$5:$F$34,'1.인건비_요약'!$F85)</f>
        <v>0</v>
      </c>
    </row>
    <row r="86" spans="3:18" ht="17.45" customHeight="1" x14ac:dyDescent="0.3">
      <c r="C86" s="165" t="s">
        <v>336</v>
      </c>
      <c r="D86" s="165" t="s">
        <v>277</v>
      </c>
      <c r="E86" s="165" t="s">
        <v>275</v>
      </c>
      <c r="F86" s="165"/>
      <c r="G86" s="12">
        <f t="shared" si="40"/>
        <v>0</v>
      </c>
      <c r="H86" s="374">
        <f>SUMIFS(CS_인건비!AY$5:AY$34,CS_인건비!$B$5:$B$34,'1.인건비_요약'!$C86,CS_인건비!$C$5:$C$34,'1.인건비_요약'!$D86,CS_인건비!$E$5:$E$34,'1.인건비_요약'!$E86,CS_인건비!$F$5:$F$34,'1.인건비_요약'!$F86)</f>
        <v>0</v>
      </c>
      <c r="I86" s="374">
        <f>SUMIFS(CS_인건비!AZ$5:AZ$34,CS_인건비!$B$5:$B$34,'1.인건비_요약'!$C86,CS_인건비!$C$5:$C$34,'1.인건비_요약'!$D86,CS_인건비!$E$5:$E$34,'1.인건비_요약'!$E86,CS_인건비!$F$5:$F$34,'1.인건비_요약'!$F86)</f>
        <v>0</v>
      </c>
      <c r="J86" s="374">
        <f>SUMIFS(CS_인건비!BA$5:BA$34,CS_인건비!$B$5:$B$34,'1.인건비_요약'!$C86,CS_인건비!$C$5:$C$34,'1.인건비_요약'!$D86,CS_인건비!$E$5:$E$34,'1.인건비_요약'!$E86,CS_인건비!$F$5:$F$34,'1.인건비_요약'!$F86)</f>
        <v>0</v>
      </c>
      <c r="K86" s="374">
        <f>SUMIFS(CS_인건비!BB$5:BB$34,CS_인건비!$B$5:$B$34,'1.인건비_요약'!$C86,CS_인건비!$C$5:$C$34,'1.인건비_요약'!$D86,CS_인건비!$E$5:$E$34,'1.인건비_요약'!$E86,CS_인건비!$F$5:$F$34,'1.인건비_요약'!$F86)</f>
        <v>0</v>
      </c>
      <c r="L86" s="374">
        <f>SUMIFS(CS_인건비!BC$5:BC$34,CS_인건비!$B$5:$B$34,'1.인건비_요약'!$C86,CS_인건비!$C$5:$C$34,'1.인건비_요약'!$D86,CS_인건비!$E$5:$E$34,'1.인건비_요약'!$E86,CS_인건비!$F$5:$F$34,'1.인건비_요약'!$F86)</f>
        <v>0</v>
      </c>
      <c r="M86" s="374">
        <f>SUMIFS(CS_인건비!BD$5:BD$34,CS_인건비!$B$5:$B$34,'1.인건비_요약'!$C86,CS_인건비!$C$5:$C$34,'1.인건비_요약'!$D86,CS_인건비!$E$5:$E$34,'1.인건비_요약'!$E86,CS_인건비!$F$5:$F$34,'1.인건비_요약'!$F86)</f>
        <v>0</v>
      </c>
      <c r="N86" s="374">
        <f>SUMIFS(CS_인건비!BE$5:BE$34,CS_인건비!$B$5:$B$34,'1.인건비_요약'!$C86,CS_인건비!$C$5:$C$34,'1.인건비_요약'!$D86,CS_인건비!$E$5:$E$34,'1.인건비_요약'!$E86,CS_인건비!$F$5:$F$34,'1.인건비_요약'!$F86)</f>
        <v>0</v>
      </c>
      <c r="O86" s="374">
        <f>SUMIFS(CS_인건비!BF$5:BF$34,CS_인건비!$B$5:$B$34,'1.인건비_요약'!$C86,CS_인건비!$C$5:$C$34,'1.인건비_요약'!$D86,CS_인건비!$E$5:$E$34,'1.인건비_요약'!$E86,CS_인건비!$F$5:$F$34,'1.인건비_요약'!$F86)</f>
        <v>0</v>
      </c>
      <c r="P86" s="374">
        <f>SUMIFS(CS_인건비!BG$5:BG$34,CS_인건비!$B$5:$B$34,'1.인건비_요약'!$C86,CS_인건비!$C$5:$C$34,'1.인건비_요약'!$D86,CS_인건비!$E$5:$E$34,'1.인건비_요약'!$E86,CS_인건비!$F$5:$F$34,'1.인건비_요약'!$F86)</f>
        <v>0</v>
      </c>
      <c r="Q86" s="374">
        <f>SUMIFS(CS_인건비!BH$5:BH$34,CS_인건비!$B$5:$B$34,'1.인건비_요약'!$C86,CS_인건비!$C$5:$C$34,'1.인건비_요약'!$D86,CS_인건비!$E$5:$E$34,'1.인건비_요약'!$E86,CS_인건비!$F$5:$F$34,'1.인건비_요약'!$F86)</f>
        <v>0</v>
      </c>
      <c r="R86" s="374">
        <f>SUMIFS(CS_인건비!BI$5:BI$34,CS_인건비!$B$5:$B$34,'1.인건비_요약'!$C86,CS_인건비!$C$5:$C$34,'1.인건비_요약'!$D86,CS_인건비!$E$5:$E$34,'1.인건비_요약'!$E86,CS_인건비!$F$5:$F$34,'1.인건비_요약'!$F86)</f>
        <v>0</v>
      </c>
    </row>
    <row r="87" spans="3:18" ht="17.45" customHeight="1" x14ac:dyDescent="0.3">
      <c r="C87" s="61" t="s">
        <v>257</v>
      </c>
      <c r="D87" s="123"/>
      <c r="E87" s="123"/>
      <c r="F87" s="169"/>
      <c r="G87" s="124">
        <f>SUM(G76:G86)</f>
        <v>51290822407.612503</v>
      </c>
      <c r="H87" s="124">
        <f t="shared" ref="H87:R87" si="41">SUM(H76:H86)</f>
        <v>9351687100.052084</v>
      </c>
      <c r="I87" s="124">
        <f t="shared" si="41"/>
        <v>7753359650.3978701</v>
      </c>
      <c r="J87" s="124">
        <f t="shared" si="41"/>
        <v>7154911776.3653975</v>
      </c>
      <c r="K87" s="124">
        <f t="shared" si="41"/>
        <v>6993488802.1394625</v>
      </c>
      <c r="L87" s="124">
        <f t="shared" si="41"/>
        <v>6784999630.9821711</v>
      </c>
      <c r="M87" s="124">
        <f t="shared" si="41"/>
        <v>6615766401.7305079</v>
      </c>
      <c r="N87" s="124">
        <f t="shared" si="41"/>
        <v>6636609045.9450188</v>
      </c>
      <c r="O87" s="124">
        <f t="shared" si="41"/>
        <v>0</v>
      </c>
      <c r="P87" s="124">
        <f t="shared" si="41"/>
        <v>0</v>
      </c>
      <c r="Q87" s="124">
        <f t="shared" si="41"/>
        <v>0</v>
      </c>
      <c r="R87" s="124">
        <f t="shared" si="41"/>
        <v>0</v>
      </c>
    </row>
    <row r="89" spans="3:18" ht="17.45" customHeight="1" x14ac:dyDescent="0.3">
      <c r="C89" s="66"/>
      <c r="D89" s="66"/>
      <c r="E89" s="66"/>
      <c r="F89" s="170"/>
      <c r="G89" s="29">
        <f>G43-G73</f>
        <v>369.13588117259883</v>
      </c>
      <c r="H89" s="29">
        <f t="shared" ref="H89:R89" si="42">H43-H73</f>
        <v>-2.4100524196236961</v>
      </c>
      <c r="I89" s="29">
        <f t="shared" si="42"/>
        <v>25.537861178964562</v>
      </c>
      <c r="J89" s="29">
        <f t="shared" si="42"/>
        <v>48.561879199644892</v>
      </c>
      <c r="K89" s="29">
        <f t="shared" si="42"/>
        <v>59.615952637866286</v>
      </c>
      <c r="L89" s="29">
        <f t="shared" si="42"/>
        <v>70.415318443988582</v>
      </c>
      <c r="M89" s="29">
        <f t="shared" si="42"/>
        <v>80.88058449558045</v>
      </c>
      <c r="N89" s="29">
        <f t="shared" si="42"/>
        <v>86.534337636177497</v>
      </c>
      <c r="O89" s="29">
        <f t="shared" si="42"/>
        <v>0</v>
      </c>
      <c r="P89" s="29">
        <f t="shared" si="42"/>
        <v>0</v>
      </c>
      <c r="Q89" s="29">
        <f t="shared" si="42"/>
        <v>0</v>
      </c>
      <c r="R89" s="29">
        <f t="shared" si="42"/>
        <v>0</v>
      </c>
    </row>
    <row r="90" spans="3:18" ht="17.45" customHeight="1" x14ac:dyDescent="0.3">
      <c r="C90" s="66" t="s">
        <v>271</v>
      </c>
      <c r="D90" s="66"/>
      <c r="E90" s="66"/>
      <c r="F90" s="170"/>
      <c r="G90" s="29">
        <f>G57-G87</f>
        <v>7597169937.4656525</v>
      </c>
      <c r="H90" s="29">
        <f t="shared" ref="H90:R90" si="43">H57-H87</f>
        <v>-957222963.97167587</v>
      </c>
      <c r="I90" s="29">
        <f t="shared" si="43"/>
        <v>75200365.876865387</v>
      </c>
      <c r="J90" s="29">
        <f t="shared" si="43"/>
        <v>878964069.94930267</v>
      </c>
      <c r="K90" s="29">
        <f t="shared" si="43"/>
        <v>1284147323.247859</v>
      </c>
      <c r="L90" s="29">
        <f t="shared" si="43"/>
        <v>1741862843.2339668</v>
      </c>
      <c r="M90" s="29">
        <f t="shared" si="43"/>
        <v>2165813474.1014318</v>
      </c>
      <c r="N90" s="29">
        <f t="shared" si="43"/>
        <v>2408404825.0278969</v>
      </c>
      <c r="O90" s="29">
        <f t="shared" si="43"/>
        <v>0</v>
      </c>
      <c r="P90" s="29">
        <f t="shared" si="43"/>
        <v>0</v>
      </c>
      <c r="Q90" s="29">
        <f t="shared" si="43"/>
        <v>0</v>
      </c>
      <c r="R90" s="29">
        <f t="shared" si="43"/>
        <v>0</v>
      </c>
    </row>
  </sheetData>
  <phoneticPr fontId="1" type="noConversion"/>
  <hyperlinks>
    <hyperlink ref="A1" location="HOME!A1" display="HOME" xr:uid="{00000000-0004-0000-0700-000000000000}"/>
  </hyperlinks>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3_Sheet">
    <tabColor rgb="FFFFC000"/>
  </sheetPr>
  <dimension ref="A1:T262"/>
  <sheetViews>
    <sheetView showGridLines="0" zoomScale="85" zoomScaleNormal="85" workbookViewId="0">
      <selection activeCell="N198" sqref="N198"/>
    </sheetView>
  </sheetViews>
  <sheetFormatPr defaultRowHeight="16.5" x14ac:dyDescent="0.3"/>
  <cols>
    <col min="1" max="1" width="8.75" style="106" customWidth="1"/>
    <col min="2" max="2" width="3.375" style="93" customWidth="1"/>
    <col min="7" max="7" width="15" bestFit="1" customWidth="1"/>
    <col min="8" max="8" width="13.875" bestFit="1" customWidth="1"/>
    <col min="9" max="9" width="12.125" bestFit="1" customWidth="1"/>
    <col min="10" max="19" width="11" bestFit="1" customWidth="1"/>
    <col min="20" max="20" width="9" bestFit="1" customWidth="1"/>
  </cols>
  <sheetData>
    <row r="1" spans="1:20" ht="21.75" customHeight="1" thickBot="1" x14ac:dyDescent="0.35">
      <c r="A1" s="113" t="s">
        <v>325</v>
      </c>
      <c r="C1" s="125" t="s">
        <v>330</v>
      </c>
      <c r="D1" s="108"/>
      <c r="E1" s="108"/>
      <c r="F1" s="107"/>
      <c r="G1" s="107"/>
      <c r="H1" s="107"/>
      <c r="I1" s="107"/>
      <c r="J1" s="107"/>
      <c r="K1" s="107"/>
      <c r="L1" s="107"/>
      <c r="M1" s="107"/>
      <c r="N1" s="107"/>
      <c r="O1" s="107"/>
      <c r="P1" s="107"/>
      <c r="Q1" s="107"/>
      <c r="R1" s="107"/>
      <c r="S1" s="107"/>
      <c r="T1" s="107"/>
    </row>
    <row r="2" spans="1:20" ht="17.25" thickTop="1" x14ac:dyDescent="0.3">
      <c r="C2" s="658" t="s">
        <v>608</v>
      </c>
      <c r="D2" s="2"/>
      <c r="E2" s="2"/>
      <c r="F2" s="2"/>
      <c r="G2" s="663">
        <f>SUM(G10,G16,G22)</f>
        <v>987950833.33333337</v>
      </c>
      <c r="H2" s="80">
        <f t="shared" ref="H2:T2" si="0">SUM(H10,H16,H22)</f>
        <v>606478333.33333337</v>
      </c>
      <c r="I2" s="80">
        <f t="shared" si="0"/>
        <v>381472500</v>
      </c>
      <c r="J2" s="80">
        <f t="shared" si="0"/>
        <v>5200000</v>
      </c>
      <c r="K2" s="80">
        <f t="shared" si="0"/>
        <v>31200000</v>
      </c>
      <c r="L2" s="80">
        <f t="shared" si="0"/>
        <v>69014500</v>
      </c>
      <c r="M2" s="80">
        <f t="shared" si="0"/>
        <v>69014500</v>
      </c>
      <c r="N2" s="80">
        <f t="shared" si="0"/>
        <v>69014500</v>
      </c>
      <c r="O2" s="80">
        <f t="shared" si="0"/>
        <v>69014500</v>
      </c>
      <c r="P2" s="80">
        <f t="shared" si="0"/>
        <v>69014500</v>
      </c>
      <c r="Q2" s="80">
        <f t="shared" si="0"/>
        <v>0</v>
      </c>
      <c r="R2" s="80">
        <f t="shared" si="0"/>
        <v>0</v>
      </c>
      <c r="S2" s="80">
        <f t="shared" si="0"/>
        <v>0</v>
      </c>
      <c r="T2" s="81">
        <f t="shared" si="0"/>
        <v>0</v>
      </c>
    </row>
    <row r="3" spans="1:20" ht="4.9000000000000004" customHeight="1" thickBot="1" x14ac:dyDescent="0.35"/>
    <row r="4" spans="1:20" x14ac:dyDescent="0.3">
      <c r="C4" s="95" t="s">
        <v>1</v>
      </c>
      <c r="D4" s="86" t="s">
        <v>2</v>
      </c>
      <c r="E4" s="86" t="s">
        <v>3</v>
      </c>
      <c r="F4" s="86" t="s">
        <v>4</v>
      </c>
      <c r="G4" s="86" t="s">
        <v>311</v>
      </c>
      <c r="H4" s="86" t="s">
        <v>309</v>
      </c>
      <c r="I4" s="86" t="s">
        <v>310</v>
      </c>
      <c r="J4" s="86" t="s">
        <v>41</v>
      </c>
      <c r="K4" s="86" t="s">
        <v>258</v>
      </c>
      <c r="L4" s="86" t="s">
        <v>259</v>
      </c>
      <c r="M4" s="86" t="s">
        <v>260</v>
      </c>
      <c r="N4" s="86" t="s">
        <v>261</v>
      </c>
      <c r="O4" s="86" t="s">
        <v>262</v>
      </c>
      <c r="P4" s="86" t="s">
        <v>263</v>
      </c>
      <c r="Q4" s="86" t="s">
        <v>264</v>
      </c>
      <c r="R4" s="86" t="s">
        <v>265</v>
      </c>
      <c r="S4" s="86" t="s">
        <v>266</v>
      </c>
      <c r="T4" s="73" t="s">
        <v>182</v>
      </c>
    </row>
    <row r="5" spans="1:20" x14ac:dyDescent="0.3">
      <c r="C5" s="96" t="s">
        <v>609</v>
      </c>
      <c r="D5" s="91" t="str">
        <f>$C$2</f>
        <v>STT</v>
      </c>
      <c r="E5" s="91" t="s">
        <v>279</v>
      </c>
      <c r="F5" s="91" t="s">
        <v>312</v>
      </c>
      <c r="G5" s="407">
        <v>257333333.33333334</v>
      </c>
      <c r="H5" s="407">
        <v>257333333.33333334</v>
      </c>
      <c r="I5" s="408">
        <v>0</v>
      </c>
      <c r="J5" s="408">
        <v>0</v>
      </c>
      <c r="K5" s="408">
        <v>0</v>
      </c>
      <c r="L5" s="408">
        <v>0</v>
      </c>
      <c r="M5" s="408">
        <v>0</v>
      </c>
      <c r="N5" s="408">
        <v>0</v>
      </c>
      <c r="O5" s="408">
        <v>0</v>
      </c>
      <c r="P5" s="408">
        <v>0</v>
      </c>
      <c r="Q5" s="408">
        <v>0</v>
      </c>
      <c r="R5" s="408">
        <v>0</v>
      </c>
      <c r="S5" s="408">
        <v>0</v>
      </c>
      <c r="T5" s="409">
        <v>0</v>
      </c>
    </row>
    <row r="6" spans="1:20" x14ac:dyDescent="0.3">
      <c r="C6" s="97" t="s">
        <v>609</v>
      </c>
      <c r="D6" s="89" t="str">
        <f t="shared" ref="D6:D9" si="1">$C$2</f>
        <v>STT</v>
      </c>
      <c r="E6" s="89" t="s">
        <v>279</v>
      </c>
      <c r="F6" s="89" t="s">
        <v>313</v>
      </c>
      <c r="G6" s="410">
        <v>289145000</v>
      </c>
      <c r="H6" s="410">
        <v>289145000</v>
      </c>
      <c r="I6" s="411">
        <v>0</v>
      </c>
      <c r="J6" s="411">
        <v>0</v>
      </c>
      <c r="K6" s="411">
        <v>0</v>
      </c>
      <c r="L6" s="411">
        <v>0</v>
      </c>
      <c r="M6" s="411">
        <v>0</v>
      </c>
      <c r="N6" s="411">
        <v>0</v>
      </c>
      <c r="O6" s="411">
        <v>0</v>
      </c>
      <c r="P6" s="411">
        <v>0</v>
      </c>
      <c r="Q6" s="411">
        <v>0</v>
      </c>
      <c r="R6" s="411">
        <v>0</v>
      </c>
      <c r="S6" s="411">
        <v>0</v>
      </c>
      <c r="T6" s="412">
        <v>0</v>
      </c>
    </row>
    <row r="7" spans="1:20" x14ac:dyDescent="0.3">
      <c r="C7" s="97" t="s">
        <v>609</v>
      </c>
      <c r="D7" s="89" t="str">
        <f t="shared" si="1"/>
        <v>STT</v>
      </c>
      <c r="E7" s="89" t="s">
        <v>279</v>
      </c>
      <c r="F7" s="89" t="s">
        <v>314</v>
      </c>
      <c r="G7" s="410">
        <v>0</v>
      </c>
      <c r="H7" s="410">
        <v>0</v>
      </c>
      <c r="I7" s="411">
        <v>0</v>
      </c>
      <c r="J7" s="411">
        <v>0</v>
      </c>
      <c r="K7" s="411">
        <v>0</v>
      </c>
      <c r="L7" s="411">
        <v>0</v>
      </c>
      <c r="M7" s="411">
        <v>0</v>
      </c>
      <c r="N7" s="411">
        <v>0</v>
      </c>
      <c r="O7" s="411">
        <v>0</v>
      </c>
      <c r="P7" s="411">
        <v>0</v>
      </c>
      <c r="Q7" s="411">
        <v>0</v>
      </c>
      <c r="R7" s="411">
        <v>0</v>
      </c>
      <c r="S7" s="411">
        <v>0</v>
      </c>
      <c r="T7" s="412">
        <v>0</v>
      </c>
    </row>
    <row r="8" spans="1:20" x14ac:dyDescent="0.3">
      <c r="C8" s="97" t="s">
        <v>610</v>
      </c>
      <c r="D8" s="89" t="str">
        <f t="shared" si="1"/>
        <v>STT</v>
      </c>
      <c r="E8" s="89" t="s">
        <v>279</v>
      </c>
      <c r="F8" s="89" t="s">
        <v>315</v>
      </c>
      <c r="G8" s="410">
        <v>60000000</v>
      </c>
      <c r="H8" s="410">
        <v>60000000</v>
      </c>
      <c r="I8" s="411">
        <v>0</v>
      </c>
      <c r="J8" s="411">
        <v>0</v>
      </c>
      <c r="K8" s="411">
        <v>0</v>
      </c>
      <c r="L8" s="411">
        <v>0</v>
      </c>
      <c r="M8" s="411">
        <v>0</v>
      </c>
      <c r="N8" s="411">
        <v>0</v>
      </c>
      <c r="O8" s="411">
        <v>0</v>
      </c>
      <c r="P8" s="411">
        <v>0</v>
      </c>
      <c r="Q8" s="411">
        <v>0</v>
      </c>
      <c r="R8" s="411">
        <v>0</v>
      </c>
      <c r="S8" s="411">
        <v>0</v>
      </c>
      <c r="T8" s="412">
        <v>0</v>
      </c>
    </row>
    <row r="9" spans="1:20" x14ac:dyDescent="0.3">
      <c r="C9" s="109" t="s">
        <v>157</v>
      </c>
      <c r="D9" s="89" t="str">
        <f t="shared" si="1"/>
        <v>STT</v>
      </c>
      <c r="E9" s="110" t="s">
        <v>279</v>
      </c>
      <c r="F9" s="110" t="s">
        <v>151</v>
      </c>
      <c r="G9" s="410">
        <v>0</v>
      </c>
      <c r="H9" s="410">
        <v>0</v>
      </c>
      <c r="I9" s="411">
        <v>0</v>
      </c>
      <c r="J9" s="411">
        <v>0</v>
      </c>
      <c r="K9" s="411">
        <v>0</v>
      </c>
      <c r="L9" s="411">
        <v>0</v>
      </c>
      <c r="M9" s="411">
        <v>0</v>
      </c>
      <c r="N9" s="411">
        <v>0</v>
      </c>
      <c r="O9" s="411">
        <v>0</v>
      </c>
      <c r="P9" s="411">
        <v>0</v>
      </c>
      <c r="Q9" s="411">
        <v>0</v>
      </c>
      <c r="R9" s="411">
        <v>0</v>
      </c>
      <c r="S9" s="411">
        <v>0</v>
      </c>
      <c r="T9" s="412">
        <v>0</v>
      </c>
    </row>
    <row r="10" spans="1:20" x14ac:dyDescent="0.3">
      <c r="C10" s="98" t="s">
        <v>320</v>
      </c>
      <c r="D10" s="90"/>
      <c r="E10" s="90"/>
      <c r="F10" s="90"/>
      <c r="G10" s="413">
        <f>SUM(G5:G9)</f>
        <v>606478333.33333337</v>
      </c>
      <c r="H10" s="413">
        <f>SUM(H5:H9)</f>
        <v>606478333.33333337</v>
      </c>
      <c r="I10" s="413">
        <f>SUM(I5:I9)</f>
        <v>0</v>
      </c>
      <c r="J10" s="413">
        <f t="shared" ref="J10:T10" si="2">SUM(J5:J9)</f>
        <v>0</v>
      </c>
      <c r="K10" s="413">
        <f t="shared" si="2"/>
        <v>0</v>
      </c>
      <c r="L10" s="413">
        <f t="shared" si="2"/>
        <v>0</v>
      </c>
      <c r="M10" s="413">
        <f t="shared" si="2"/>
        <v>0</v>
      </c>
      <c r="N10" s="413">
        <f t="shared" si="2"/>
        <v>0</v>
      </c>
      <c r="O10" s="413">
        <f t="shared" si="2"/>
        <v>0</v>
      </c>
      <c r="P10" s="413">
        <f t="shared" si="2"/>
        <v>0</v>
      </c>
      <c r="Q10" s="413">
        <f t="shared" si="2"/>
        <v>0</v>
      </c>
      <c r="R10" s="413">
        <f t="shared" si="2"/>
        <v>0</v>
      </c>
      <c r="S10" s="413">
        <f t="shared" si="2"/>
        <v>0</v>
      </c>
      <c r="T10" s="414">
        <f t="shared" si="2"/>
        <v>0</v>
      </c>
    </row>
    <row r="11" spans="1:20" x14ac:dyDescent="0.3">
      <c r="C11" s="97" t="s">
        <v>336</v>
      </c>
      <c r="D11" s="89" t="str">
        <f>$C$2</f>
        <v>STT</v>
      </c>
      <c r="E11" s="89" t="s">
        <v>152</v>
      </c>
      <c r="F11" s="89" t="s">
        <v>153</v>
      </c>
      <c r="G11" s="410">
        <v>192400000</v>
      </c>
      <c r="H11" s="410">
        <v>0</v>
      </c>
      <c r="I11" s="410">
        <v>192400000</v>
      </c>
      <c r="J11" s="410">
        <v>5200000</v>
      </c>
      <c r="K11" s="410">
        <v>31200000</v>
      </c>
      <c r="L11" s="410">
        <v>31200000</v>
      </c>
      <c r="M11" s="410">
        <v>31200000</v>
      </c>
      <c r="N11" s="410">
        <v>31200000</v>
      </c>
      <c r="O11" s="410">
        <v>31200000</v>
      </c>
      <c r="P11" s="410">
        <v>31200000</v>
      </c>
      <c r="Q11" s="410">
        <v>0</v>
      </c>
      <c r="R11" s="410">
        <v>0</v>
      </c>
      <c r="S11" s="410">
        <v>0</v>
      </c>
      <c r="T11" s="415">
        <v>0</v>
      </c>
    </row>
    <row r="12" spans="1:20" x14ac:dyDescent="0.3">
      <c r="C12" s="97" t="s">
        <v>928</v>
      </c>
      <c r="D12" s="89" t="str">
        <f t="shared" ref="D12:D15" si="3">$C$2</f>
        <v>STT</v>
      </c>
      <c r="E12" s="89" t="s">
        <v>316</v>
      </c>
      <c r="F12" s="89" t="s">
        <v>318</v>
      </c>
      <c r="G12" s="410">
        <v>0</v>
      </c>
      <c r="H12" s="410">
        <v>0</v>
      </c>
      <c r="I12" s="410">
        <v>0</v>
      </c>
      <c r="J12" s="410">
        <v>0</v>
      </c>
      <c r="K12" s="410">
        <v>0</v>
      </c>
      <c r="L12" s="410">
        <v>0</v>
      </c>
      <c r="M12" s="410">
        <v>0</v>
      </c>
      <c r="N12" s="410">
        <v>0</v>
      </c>
      <c r="O12" s="410">
        <v>0</v>
      </c>
      <c r="P12" s="410">
        <v>0</v>
      </c>
      <c r="Q12" s="410">
        <v>0</v>
      </c>
      <c r="R12" s="410">
        <v>0</v>
      </c>
      <c r="S12" s="410">
        <v>0</v>
      </c>
      <c r="T12" s="415">
        <v>0</v>
      </c>
    </row>
    <row r="13" spans="1:20" x14ac:dyDescent="0.3">
      <c r="C13" s="97" t="s">
        <v>336</v>
      </c>
      <c r="D13" s="89" t="str">
        <f t="shared" si="3"/>
        <v>STT</v>
      </c>
      <c r="E13" s="110" t="s">
        <v>316</v>
      </c>
      <c r="F13" s="110" t="s">
        <v>151</v>
      </c>
      <c r="G13" s="410">
        <v>0</v>
      </c>
      <c r="H13" s="410">
        <v>0</v>
      </c>
      <c r="I13" s="410">
        <v>0</v>
      </c>
      <c r="J13" s="410">
        <v>0</v>
      </c>
      <c r="K13" s="410">
        <v>0</v>
      </c>
      <c r="L13" s="410">
        <v>0</v>
      </c>
      <c r="M13" s="410">
        <v>0</v>
      </c>
      <c r="N13" s="410">
        <v>0</v>
      </c>
      <c r="O13" s="410">
        <v>0</v>
      </c>
      <c r="P13" s="410">
        <v>0</v>
      </c>
      <c r="Q13" s="410">
        <v>0</v>
      </c>
      <c r="R13" s="410">
        <v>0</v>
      </c>
      <c r="S13" s="410">
        <v>0</v>
      </c>
      <c r="T13" s="415">
        <v>0</v>
      </c>
    </row>
    <row r="14" spans="1:20" x14ac:dyDescent="0.3">
      <c r="C14" s="97" t="s">
        <v>929</v>
      </c>
      <c r="D14" s="89" t="str">
        <f t="shared" si="3"/>
        <v>STT</v>
      </c>
      <c r="E14" s="110" t="s">
        <v>316</v>
      </c>
      <c r="F14" s="110" t="s">
        <v>151</v>
      </c>
      <c r="G14" s="410">
        <v>0</v>
      </c>
      <c r="H14" s="410">
        <v>0</v>
      </c>
      <c r="I14" s="410">
        <v>0</v>
      </c>
      <c r="J14" s="410">
        <v>0</v>
      </c>
      <c r="K14" s="410">
        <v>0</v>
      </c>
      <c r="L14" s="410">
        <v>0</v>
      </c>
      <c r="M14" s="410">
        <v>0</v>
      </c>
      <c r="N14" s="410">
        <v>0</v>
      </c>
      <c r="O14" s="410">
        <v>0</v>
      </c>
      <c r="P14" s="410">
        <v>0</v>
      </c>
      <c r="Q14" s="410">
        <v>0</v>
      </c>
      <c r="R14" s="410">
        <v>0</v>
      </c>
      <c r="S14" s="410">
        <v>0</v>
      </c>
      <c r="T14" s="415">
        <v>0</v>
      </c>
    </row>
    <row r="15" spans="1:20" x14ac:dyDescent="0.3">
      <c r="C15" s="97" t="s">
        <v>336</v>
      </c>
      <c r="D15" s="89" t="str">
        <f t="shared" si="3"/>
        <v>STT</v>
      </c>
      <c r="E15" s="110" t="s">
        <v>316</v>
      </c>
      <c r="F15" s="110" t="s">
        <v>151</v>
      </c>
      <c r="G15" s="410">
        <v>0</v>
      </c>
      <c r="H15" s="410">
        <v>0</v>
      </c>
      <c r="I15" s="410">
        <v>0</v>
      </c>
      <c r="J15" s="410">
        <v>0</v>
      </c>
      <c r="K15" s="410">
        <v>0</v>
      </c>
      <c r="L15" s="410">
        <v>0</v>
      </c>
      <c r="M15" s="410">
        <v>0</v>
      </c>
      <c r="N15" s="410">
        <v>0</v>
      </c>
      <c r="O15" s="410">
        <v>0</v>
      </c>
      <c r="P15" s="410">
        <v>0</v>
      </c>
      <c r="Q15" s="410">
        <v>0</v>
      </c>
      <c r="R15" s="410">
        <v>0</v>
      </c>
      <c r="S15" s="410">
        <v>0</v>
      </c>
      <c r="T15" s="415">
        <v>0</v>
      </c>
    </row>
    <row r="16" spans="1:20" x14ac:dyDescent="0.3">
      <c r="C16" s="98" t="s">
        <v>321</v>
      </c>
      <c r="D16" s="90"/>
      <c r="E16" s="90"/>
      <c r="F16" s="90"/>
      <c r="G16" s="413">
        <f>SUM(G11:G15)</f>
        <v>192400000</v>
      </c>
      <c r="H16" s="413">
        <f>SUM(H11:H15)</f>
        <v>0</v>
      </c>
      <c r="I16" s="413">
        <f>SUM(I11:I15)</f>
        <v>192400000</v>
      </c>
      <c r="J16" s="413">
        <f t="shared" ref="J16" si="4">SUM(J11:J15)</f>
        <v>5200000</v>
      </c>
      <c r="K16" s="413">
        <f t="shared" ref="K16" si="5">SUM(K11:K15)</f>
        <v>31200000</v>
      </c>
      <c r="L16" s="413">
        <f t="shared" ref="L16" si="6">SUM(L11:L15)</f>
        <v>31200000</v>
      </c>
      <c r="M16" s="413">
        <f t="shared" ref="M16" si="7">SUM(M11:M15)</f>
        <v>31200000</v>
      </c>
      <c r="N16" s="413">
        <f t="shared" ref="N16" si="8">SUM(N11:N15)</f>
        <v>31200000</v>
      </c>
      <c r="O16" s="413">
        <f t="shared" ref="O16" si="9">SUM(O11:O15)</f>
        <v>31200000</v>
      </c>
      <c r="P16" s="413">
        <f t="shared" ref="P16" si="10">SUM(P11:P15)</f>
        <v>31200000</v>
      </c>
      <c r="Q16" s="413">
        <f t="shared" ref="Q16" si="11">SUM(Q11:Q15)</f>
        <v>0</v>
      </c>
      <c r="R16" s="413">
        <f t="shared" ref="R16" si="12">SUM(R11:R15)</f>
        <v>0</v>
      </c>
      <c r="S16" s="413">
        <f t="shared" ref="S16" si="13">SUM(S11:S15)</f>
        <v>0</v>
      </c>
      <c r="T16" s="414">
        <f t="shared" ref="T16" si="14">SUM(T11:T15)</f>
        <v>0</v>
      </c>
    </row>
    <row r="17" spans="3:20" x14ac:dyDescent="0.3">
      <c r="C17" s="97" t="s">
        <v>336</v>
      </c>
      <c r="D17" s="89" t="str">
        <f>$C$2</f>
        <v>STT</v>
      </c>
      <c r="E17" s="89" t="s">
        <v>317</v>
      </c>
      <c r="F17" s="89" t="s">
        <v>313</v>
      </c>
      <c r="G17" s="410">
        <v>153072500</v>
      </c>
      <c r="H17" s="410">
        <v>0</v>
      </c>
      <c r="I17" s="410">
        <v>153072500</v>
      </c>
      <c r="J17" s="410">
        <v>0</v>
      </c>
      <c r="K17" s="410">
        <v>0</v>
      </c>
      <c r="L17" s="410">
        <v>30614500</v>
      </c>
      <c r="M17" s="410">
        <v>30614500</v>
      </c>
      <c r="N17" s="410">
        <v>30614500</v>
      </c>
      <c r="O17" s="410">
        <v>30614500</v>
      </c>
      <c r="P17" s="410">
        <v>30614500</v>
      </c>
      <c r="Q17" s="410">
        <v>0</v>
      </c>
      <c r="R17" s="410">
        <v>0</v>
      </c>
      <c r="S17" s="410">
        <v>0</v>
      </c>
      <c r="T17" s="415">
        <v>0</v>
      </c>
    </row>
    <row r="18" spans="3:20" x14ac:dyDescent="0.3">
      <c r="C18" s="97" t="s">
        <v>928</v>
      </c>
      <c r="D18" s="89" t="str">
        <f t="shared" ref="D18:D21" si="15">$C$2</f>
        <v>STT</v>
      </c>
      <c r="E18" s="89" t="s">
        <v>317</v>
      </c>
      <c r="F18" s="89" t="s">
        <v>314</v>
      </c>
      <c r="G18" s="410">
        <v>0</v>
      </c>
      <c r="H18" s="410">
        <v>0</v>
      </c>
      <c r="I18" s="410">
        <v>0</v>
      </c>
      <c r="J18" s="410">
        <v>0</v>
      </c>
      <c r="K18" s="410">
        <v>0</v>
      </c>
      <c r="L18" s="410">
        <v>0</v>
      </c>
      <c r="M18" s="410">
        <v>0</v>
      </c>
      <c r="N18" s="410">
        <v>0</v>
      </c>
      <c r="O18" s="410">
        <v>0</v>
      </c>
      <c r="P18" s="410">
        <v>0</v>
      </c>
      <c r="Q18" s="410">
        <v>0</v>
      </c>
      <c r="R18" s="410">
        <v>0</v>
      </c>
      <c r="S18" s="410">
        <v>0</v>
      </c>
      <c r="T18" s="415">
        <v>0</v>
      </c>
    </row>
    <row r="19" spans="3:20" x14ac:dyDescent="0.3">
      <c r="C19" s="97" t="s">
        <v>336</v>
      </c>
      <c r="D19" s="89" t="str">
        <f t="shared" si="15"/>
        <v>STT</v>
      </c>
      <c r="E19" s="89" t="s">
        <v>317</v>
      </c>
      <c r="F19" s="89" t="s">
        <v>315</v>
      </c>
      <c r="G19" s="410">
        <v>36000000</v>
      </c>
      <c r="H19" s="410">
        <v>0</v>
      </c>
      <c r="I19" s="410">
        <v>36000000</v>
      </c>
      <c r="J19" s="410">
        <v>0</v>
      </c>
      <c r="K19" s="410">
        <v>0</v>
      </c>
      <c r="L19" s="410">
        <v>7200000</v>
      </c>
      <c r="M19" s="410">
        <v>7200000</v>
      </c>
      <c r="N19" s="410">
        <v>7200000</v>
      </c>
      <c r="O19" s="410">
        <v>7200000</v>
      </c>
      <c r="P19" s="410">
        <v>7200000</v>
      </c>
      <c r="Q19" s="410">
        <v>0</v>
      </c>
      <c r="R19" s="410">
        <v>0</v>
      </c>
      <c r="S19" s="410">
        <v>0</v>
      </c>
      <c r="T19" s="415">
        <v>0</v>
      </c>
    </row>
    <row r="20" spans="3:20" x14ac:dyDescent="0.3">
      <c r="C20" s="97" t="s">
        <v>929</v>
      </c>
      <c r="D20" s="89" t="str">
        <f t="shared" si="15"/>
        <v>STT</v>
      </c>
      <c r="E20" s="110" t="s">
        <v>317</v>
      </c>
      <c r="F20" s="110" t="s">
        <v>151</v>
      </c>
      <c r="G20" s="410">
        <v>0</v>
      </c>
      <c r="H20" s="410">
        <v>0</v>
      </c>
      <c r="I20" s="410">
        <v>0</v>
      </c>
      <c r="J20" s="410">
        <v>0</v>
      </c>
      <c r="K20" s="410">
        <v>0</v>
      </c>
      <c r="L20" s="410">
        <v>0</v>
      </c>
      <c r="M20" s="410">
        <v>0</v>
      </c>
      <c r="N20" s="410">
        <v>0</v>
      </c>
      <c r="O20" s="410">
        <v>0</v>
      </c>
      <c r="P20" s="410">
        <v>0</v>
      </c>
      <c r="Q20" s="410">
        <v>0</v>
      </c>
      <c r="R20" s="410">
        <v>0</v>
      </c>
      <c r="S20" s="410">
        <v>0</v>
      </c>
      <c r="T20" s="415">
        <v>0</v>
      </c>
    </row>
    <row r="21" spans="3:20" x14ac:dyDescent="0.3">
      <c r="C21" s="97" t="s">
        <v>336</v>
      </c>
      <c r="D21" s="89" t="str">
        <f t="shared" si="15"/>
        <v>STT</v>
      </c>
      <c r="E21" s="110" t="s">
        <v>317</v>
      </c>
      <c r="F21" s="110" t="s">
        <v>151</v>
      </c>
      <c r="G21" s="410">
        <v>0</v>
      </c>
      <c r="H21" s="410">
        <v>0</v>
      </c>
      <c r="I21" s="410">
        <v>0</v>
      </c>
      <c r="J21" s="410">
        <v>0</v>
      </c>
      <c r="K21" s="410">
        <v>0</v>
      </c>
      <c r="L21" s="410">
        <v>0</v>
      </c>
      <c r="M21" s="410">
        <v>0</v>
      </c>
      <c r="N21" s="410">
        <v>0</v>
      </c>
      <c r="O21" s="410">
        <v>0</v>
      </c>
      <c r="P21" s="410">
        <v>0</v>
      </c>
      <c r="Q21" s="410">
        <v>0</v>
      </c>
      <c r="R21" s="410">
        <v>0</v>
      </c>
      <c r="S21" s="410">
        <v>0</v>
      </c>
      <c r="T21" s="415">
        <v>0</v>
      </c>
    </row>
    <row r="22" spans="3:20" ht="17.25" thickBot="1" x14ac:dyDescent="0.35">
      <c r="C22" s="99" t="s">
        <v>322</v>
      </c>
      <c r="D22" s="87"/>
      <c r="E22" s="87"/>
      <c r="F22" s="87"/>
      <c r="G22" s="416">
        <f>SUM(G17:G21)</f>
        <v>189072500</v>
      </c>
      <c r="H22" s="416">
        <f>SUM(H17:H21)</f>
        <v>0</v>
      </c>
      <c r="I22" s="416">
        <f>SUM(I17:I21)</f>
        <v>189072500</v>
      </c>
      <c r="J22" s="416">
        <f t="shared" ref="J22:T22" si="16">SUM(J17:J21)</f>
        <v>0</v>
      </c>
      <c r="K22" s="416">
        <f t="shared" si="16"/>
        <v>0</v>
      </c>
      <c r="L22" s="416">
        <f t="shared" si="16"/>
        <v>37814500</v>
      </c>
      <c r="M22" s="416">
        <f t="shared" si="16"/>
        <v>37814500</v>
      </c>
      <c r="N22" s="416">
        <f t="shared" si="16"/>
        <v>37814500</v>
      </c>
      <c r="O22" s="416">
        <f t="shared" si="16"/>
        <v>37814500</v>
      </c>
      <c r="P22" s="416">
        <f t="shared" si="16"/>
        <v>37814500</v>
      </c>
      <c r="Q22" s="416">
        <f t="shared" si="16"/>
        <v>0</v>
      </c>
      <c r="R22" s="416">
        <f t="shared" si="16"/>
        <v>0</v>
      </c>
      <c r="S22" s="416">
        <f t="shared" si="16"/>
        <v>0</v>
      </c>
      <c r="T22" s="417">
        <f t="shared" si="16"/>
        <v>0</v>
      </c>
    </row>
    <row r="24" spans="3:20" ht="17.25" thickBot="1" x14ac:dyDescent="0.35"/>
    <row r="25" spans="3:20" x14ac:dyDescent="0.3">
      <c r="C25" s="658" t="s">
        <v>758</v>
      </c>
      <c r="D25" s="2"/>
      <c r="E25" s="2"/>
      <c r="F25" s="2"/>
      <c r="G25" s="663">
        <f>SUM(G33,G39,G45)</f>
        <v>402733333.33333337</v>
      </c>
      <c r="H25" s="80">
        <f t="shared" ref="H25:T25" si="17">SUM(H33,H39,H45)</f>
        <v>210333333.33333334</v>
      </c>
      <c r="I25" s="80">
        <f t="shared" si="17"/>
        <v>192400000</v>
      </c>
      <c r="J25" s="80">
        <f t="shared" si="17"/>
        <v>5200000</v>
      </c>
      <c r="K25" s="80">
        <f t="shared" si="17"/>
        <v>31200000</v>
      </c>
      <c r="L25" s="80">
        <f t="shared" si="17"/>
        <v>31200000</v>
      </c>
      <c r="M25" s="80">
        <f t="shared" si="17"/>
        <v>31200000</v>
      </c>
      <c r="N25" s="80">
        <f t="shared" si="17"/>
        <v>31200000</v>
      </c>
      <c r="O25" s="80">
        <f t="shared" si="17"/>
        <v>31200000</v>
      </c>
      <c r="P25" s="80">
        <f t="shared" si="17"/>
        <v>31200000</v>
      </c>
      <c r="Q25" s="80">
        <f t="shared" si="17"/>
        <v>0</v>
      </c>
      <c r="R25" s="80">
        <f t="shared" si="17"/>
        <v>0</v>
      </c>
      <c r="S25" s="80">
        <f t="shared" si="17"/>
        <v>0</v>
      </c>
      <c r="T25" s="81">
        <f t="shared" si="17"/>
        <v>0</v>
      </c>
    </row>
    <row r="26" spans="3:20" ht="17.25" thickBot="1" x14ac:dyDescent="0.35"/>
    <row r="27" spans="3:20" x14ac:dyDescent="0.3">
      <c r="C27" s="95" t="s">
        <v>1</v>
      </c>
      <c r="D27" s="86" t="s">
        <v>2</v>
      </c>
      <c r="E27" s="86" t="s">
        <v>3</v>
      </c>
      <c r="F27" s="86" t="s">
        <v>4</v>
      </c>
      <c r="G27" s="86" t="s">
        <v>311</v>
      </c>
      <c r="H27" s="86" t="s">
        <v>309</v>
      </c>
      <c r="I27" s="86" t="s">
        <v>310</v>
      </c>
      <c r="J27" s="86" t="s">
        <v>41</v>
      </c>
      <c r="K27" s="86" t="s">
        <v>258</v>
      </c>
      <c r="L27" s="86" t="s">
        <v>259</v>
      </c>
      <c r="M27" s="86" t="s">
        <v>260</v>
      </c>
      <c r="N27" s="86" t="s">
        <v>261</v>
      </c>
      <c r="O27" s="86" t="s">
        <v>262</v>
      </c>
      <c r="P27" s="86" t="s">
        <v>263</v>
      </c>
      <c r="Q27" s="86" t="s">
        <v>264</v>
      </c>
      <c r="R27" s="86" t="s">
        <v>265</v>
      </c>
      <c r="S27" s="86" t="s">
        <v>266</v>
      </c>
      <c r="T27" s="73" t="s">
        <v>182</v>
      </c>
    </row>
    <row r="28" spans="3:20" x14ac:dyDescent="0.3">
      <c r="C28" s="96" t="s">
        <v>336</v>
      </c>
      <c r="D28" s="91" t="str">
        <f>$C$25</f>
        <v>TA</v>
      </c>
      <c r="E28" s="91" t="s">
        <v>279</v>
      </c>
      <c r="F28" s="91" t="s">
        <v>312</v>
      </c>
      <c r="G28" s="100">
        <v>210333333.33333334</v>
      </c>
      <c r="H28" s="100">
        <v>210333333.33333334</v>
      </c>
      <c r="I28" s="101">
        <v>0</v>
      </c>
      <c r="J28" s="101">
        <v>0</v>
      </c>
      <c r="K28" s="101">
        <v>0</v>
      </c>
      <c r="L28" s="101">
        <v>0</v>
      </c>
      <c r="M28" s="101">
        <v>0</v>
      </c>
      <c r="N28" s="101">
        <v>0</v>
      </c>
      <c r="O28" s="101">
        <v>0</v>
      </c>
      <c r="P28" s="101">
        <v>0</v>
      </c>
      <c r="Q28" s="101">
        <v>0</v>
      </c>
      <c r="R28" s="101">
        <v>0</v>
      </c>
      <c r="S28" s="101">
        <v>0</v>
      </c>
      <c r="T28" s="76">
        <v>0</v>
      </c>
    </row>
    <row r="29" spans="3:20" x14ac:dyDescent="0.3">
      <c r="C29" s="97" t="s">
        <v>336</v>
      </c>
      <c r="D29" s="89" t="str">
        <f t="shared" ref="D29:D32" si="18">$C$25</f>
        <v>TA</v>
      </c>
      <c r="E29" s="89" t="s">
        <v>279</v>
      </c>
      <c r="F29" s="89" t="s">
        <v>313</v>
      </c>
      <c r="G29" s="102">
        <v>0</v>
      </c>
      <c r="H29" s="102">
        <v>0</v>
      </c>
      <c r="I29" s="103">
        <v>0</v>
      </c>
      <c r="J29" s="103">
        <v>0</v>
      </c>
      <c r="K29" s="103">
        <v>0</v>
      </c>
      <c r="L29" s="103">
        <v>0</v>
      </c>
      <c r="M29" s="103">
        <v>0</v>
      </c>
      <c r="N29" s="103">
        <v>0</v>
      </c>
      <c r="O29" s="103">
        <v>0</v>
      </c>
      <c r="P29" s="103">
        <v>0</v>
      </c>
      <c r="Q29" s="103">
        <v>0</v>
      </c>
      <c r="R29" s="103">
        <v>0</v>
      </c>
      <c r="S29" s="103">
        <v>0</v>
      </c>
      <c r="T29" s="77">
        <v>0</v>
      </c>
    </row>
    <row r="30" spans="3:20" x14ac:dyDescent="0.3">
      <c r="C30" s="97" t="s">
        <v>336</v>
      </c>
      <c r="D30" s="89" t="str">
        <f t="shared" si="18"/>
        <v>TA</v>
      </c>
      <c r="E30" s="89" t="s">
        <v>279</v>
      </c>
      <c r="F30" s="89" t="s">
        <v>314</v>
      </c>
      <c r="G30" s="102">
        <v>0</v>
      </c>
      <c r="H30" s="102">
        <v>0</v>
      </c>
      <c r="I30" s="103">
        <v>0</v>
      </c>
      <c r="J30" s="103">
        <v>0</v>
      </c>
      <c r="K30" s="103">
        <v>0</v>
      </c>
      <c r="L30" s="103">
        <v>0</v>
      </c>
      <c r="M30" s="103">
        <v>0</v>
      </c>
      <c r="N30" s="103">
        <v>0</v>
      </c>
      <c r="O30" s="103">
        <v>0</v>
      </c>
      <c r="P30" s="103">
        <v>0</v>
      </c>
      <c r="Q30" s="103">
        <v>0</v>
      </c>
      <c r="R30" s="103">
        <v>0</v>
      </c>
      <c r="S30" s="103">
        <v>0</v>
      </c>
      <c r="T30" s="77">
        <v>0</v>
      </c>
    </row>
    <row r="31" spans="3:20" x14ac:dyDescent="0.3">
      <c r="C31" s="97" t="s">
        <v>336</v>
      </c>
      <c r="D31" s="89" t="str">
        <f t="shared" si="18"/>
        <v>TA</v>
      </c>
      <c r="E31" s="89" t="s">
        <v>279</v>
      </c>
      <c r="F31" s="89" t="s">
        <v>315</v>
      </c>
      <c r="G31" s="102">
        <v>0</v>
      </c>
      <c r="H31" s="102">
        <v>0</v>
      </c>
      <c r="I31" s="103">
        <v>0</v>
      </c>
      <c r="J31" s="103">
        <v>0</v>
      </c>
      <c r="K31" s="103">
        <v>0</v>
      </c>
      <c r="L31" s="103">
        <v>0</v>
      </c>
      <c r="M31" s="103">
        <v>0</v>
      </c>
      <c r="N31" s="103">
        <v>0</v>
      </c>
      <c r="O31" s="103">
        <v>0</v>
      </c>
      <c r="P31" s="103">
        <v>0</v>
      </c>
      <c r="Q31" s="103">
        <v>0</v>
      </c>
      <c r="R31" s="103">
        <v>0</v>
      </c>
      <c r="S31" s="103">
        <v>0</v>
      </c>
      <c r="T31" s="77">
        <v>0</v>
      </c>
    </row>
    <row r="32" spans="3:20" x14ac:dyDescent="0.3">
      <c r="C32" s="97" t="s">
        <v>336</v>
      </c>
      <c r="D32" s="89" t="str">
        <f t="shared" si="18"/>
        <v>TA</v>
      </c>
      <c r="E32" s="89" t="s">
        <v>279</v>
      </c>
      <c r="F32" s="89" t="s">
        <v>151</v>
      </c>
      <c r="G32" s="102">
        <v>0</v>
      </c>
      <c r="H32" s="102">
        <v>0</v>
      </c>
      <c r="I32" s="103">
        <v>0</v>
      </c>
      <c r="J32" s="103">
        <v>0</v>
      </c>
      <c r="K32" s="103">
        <v>0</v>
      </c>
      <c r="L32" s="103">
        <v>0</v>
      </c>
      <c r="M32" s="103">
        <v>0</v>
      </c>
      <c r="N32" s="103">
        <v>0</v>
      </c>
      <c r="O32" s="103">
        <v>0</v>
      </c>
      <c r="P32" s="103">
        <v>0</v>
      </c>
      <c r="Q32" s="103">
        <v>0</v>
      </c>
      <c r="R32" s="103">
        <v>0</v>
      </c>
      <c r="S32" s="103">
        <v>0</v>
      </c>
      <c r="T32" s="77">
        <v>0</v>
      </c>
    </row>
    <row r="33" spans="1:20" x14ac:dyDescent="0.3">
      <c r="C33" s="98" t="s">
        <v>320</v>
      </c>
      <c r="D33" s="90"/>
      <c r="E33" s="90"/>
      <c r="F33" s="90"/>
      <c r="G33" s="422">
        <f>SUM(G28:G32)</f>
        <v>210333333.33333334</v>
      </c>
      <c r="H33" s="422">
        <f>SUM(H28:H32)</f>
        <v>210333333.33333334</v>
      </c>
      <c r="I33" s="422">
        <f>SUM(I28:I32)</f>
        <v>0</v>
      </c>
      <c r="J33" s="422">
        <f t="shared" ref="J33:T33" si="19">SUM(J28:J32)</f>
        <v>0</v>
      </c>
      <c r="K33" s="422">
        <f t="shared" si="19"/>
        <v>0</v>
      </c>
      <c r="L33" s="422">
        <f t="shared" si="19"/>
        <v>0</v>
      </c>
      <c r="M33" s="422">
        <f t="shared" si="19"/>
        <v>0</v>
      </c>
      <c r="N33" s="422">
        <f t="shared" si="19"/>
        <v>0</v>
      </c>
      <c r="O33" s="422">
        <f t="shared" si="19"/>
        <v>0</v>
      </c>
      <c r="P33" s="422">
        <f t="shared" si="19"/>
        <v>0</v>
      </c>
      <c r="Q33" s="422">
        <f t="shared" si="19"/>
        <v>0</v>
      </c>
      <c r="R33" s="422">
        <f t="shared" si="19"/>
        <v>0</v>
      </c>
      <c r="S33" s="422">
        <f t="shared" si="19"/>
        <v>0</v>
      </c>
      <c r="T33" s="74">
        <f t="shared" si="19"/>
        <v>0</v>
      </c>
    </row>
    <row r="34" spans="1:20" x14ac:dyDescent="0.3">
      <c r="C34" s="97" t="s">
        <v>336</v>
      </c>
      <c r="D34" s="89" t="str">
        <f>$C$25</f>
        <v>TA</v>
      </c>
      <c r="E34" s="89" t="s">
        <v>152</v>
      </c>
      <c r="F34" s="89" t="s">
        <v>153</v>
      </c>
      <c r="G34" s="102">
        <v>192400000</v>
      </c>
      <c r="H34" s="102">
        <v>0</v>
      </c>
      <c r="I34" s="102">
        <v>192400000</v>
      </c>
      <c r="J34" s="102">
        <v>5200000</v>
      </c>
      <c r="K34" s="102">
        <v>31200000</v>
      </c>
      <c r="L34" s="102">
        <v>31200000</v>
      </c>
      <c r="M34" s="102">
        <v>31200000</v>
      </c>
      <c r="N34" s="102">
        <v>31200000</v>
      </c>
      <c r="O34" s="102">
        <v>31200000</v>
      </c>
      <c r="P34" s="102">
        <v>31200000</v>
      </c>
      <c r="Q34" s="102">
        <v>0</v>
      </c>
      <c r="R34" s="102">
        <v>0</v>
      </c>
      <c r="S34" s="102">
        <v>0</v>
      </c>
      <c r="T34" s="71">
        <v>0</v>
      </c>
    </row>
    <row r="35" spans="1:20" x14ac:dyDescent="0.3">
      <c r="C35" s="97" t="s">
        <v>336</v>
      </c>
      <c r="D35" s="89" t="str">
        <f t="shared" ref="D35:D38" si="20">$C$25</f>
        <v>TA</v>
      </c>
      <c r="E35" s="89" t="s">
        <v>316</v>
      </c>
      <c r="F35" s="89" t="s">
        <v>318</v>
      </c>
      <c r="G35" s="102">
        <v>0</v>
      </c>
      <c r="H35" s="102">
        <v>0</v>
      </c>
      <c r="I35" s="102">
        <v>0</v>
      </c>
      <c r="J35" s="102">
        <v>0</v>
      </c>
      <c r="K35" s="102">
        <v>0</v>
      </c>
      <c r="L35" s="102">
        <v>0</v>
      </c>
      <c r="M35" s="102">
        <v>0</v>
      </c>
      <c r="N35" s="102">
        <v>0</v>
      </c>
      <c r="O35" s="102">
        <v>0</v>
      </c>
      <c r="P35" s="102">
        <v>0</v>
      </c>
      <c r="Q35" s="102">
        <v>0</v>
      </c>
      <c r="R35" s="102">
        <v>0</v>
      </c>
      <c r="S35" s="102">
        <v>0</v>
      </c>
      <c r="T35" s="71">
        <v>0</v>
      </c>
    </row>
    <row r="36" spans="1:20" x14ac:dyDescent="0.3">
      <c r="C36" s="97" t="s">
        <v>336</v>
      </c>
      <c r="D36" s="89" t="str">
        <f t="shared" si="20"/>
        <v>TA</v>
      </c>
      <c r="E36" s="89" t="s">
        <v>316</v>
      </c>
      <c r="F36" s="89" t="s">
        <v>151</v>
      </c>
      <c r="G36" s="102">
        <v>0</v>
      </c>
      <c r="H36" s="102">
        <v>0</v>
      </c>
      <c r="I36" s="102">
        <v>0</v>
      </c>
      <c r="J36" s="102">
        <v>0</v>
      </c>
      <c r="K36" s="102">
        <v>0</v>
      </c>
      <c r="L36" s="102">
        <v>0</v>
      </c>
      <c r="M36" s="102">
        <v>0</v>
      </c>
      <c r="N36" s="102">
        <v>0</v>
      </c>
      <c r="O36" s="102">
        <v>0</v>
      </c>
      <c r="P36" s="102">
        <v>0</v>
      </c>
      <c r="Q36" s="102">
        <v>0</v>
      </c>
      <c r="R36" s="102">
        <v>0</v>
      </c>
      <c r="S36" s="102">
        <v>0</v>
      </c>
      <c r="T36" s="71">
        <v>0</v>
      </c>
    </row>
    <row r="37" spans="1:20" x14ac:dyDescent="0.3">
      <c r="C37" s="97" t="s">
        <v>336</v>
      </c>
      <c r="D37" s="89" t="str">
        <f t="shared" si="20"/>
        <v>TA</v>
      </c>
      <c r="E37" s="89" t="s">
        <v>316</v>
      </c>
      <c r="F37" s="89" t="s">
        <v>151</v>
      </c>
      <c r="G37" s="102">
        <v>0</v>
      </c>
      <c r="H37" s="102">
        <v>0</v>
      </c>
      <c r="I37" s="102">
        <v>0</v>
      </c>
      <c r="J37" s="102">
        <v>0</v>
      </c>
      <c r="K37" s="102">
        <v>0</v>
      </c>
      <c r="L37" s="102">
        <v>0</v>
      </c>
      <c r="M37" s="102">
        <v>0</v>
      </c>
      <c r="N37" s="102">
        <v>0</v>
      </c>
      <c r="O37" s="102">
        <v>0</v>
      </c>
      <c r="P37" s="102">
        <v>0</v>
      </c>
      <c r="Q37" s="102">
        <v>0</v>
      </c>
      <c r="R37" s="102">
        <v>0</v>
      </c>
      <c r="S37" s="102">
        <v>0</v>
      </c>
      <c r="T37" s="71">
        <v>0</v>
      </c>
    </row>
    <row r="38" spans="1:20" x14ac:dyDescent="0.3">
      <c r="C38" s="97" t="s">
        <v>336</v>
      </c>
      <c r="D38" s="89" t="str">
        <f t="shared" si="20"/>
        <v>TA</v>
      </c>
      <c r="E38" s="89" t="s">
        <v>316</v>
      </c>
      <c r="F38" s="89" t="s">
        <v>151</v>
      </c>
      <c r="G38" s="102">
        <v>0</v>
      </c>
      <c r="H38" s="102">
        <v>0</v>
      </c>
      <c r="I38" s="102">
        <v>0</v>
      </c>
      <c r="J38" s="102">
        <v>0</v>
      </c>
      <c r="K38" s="102">
        <v>0</v>
      </c>
      <c r="L38" s="102">
        <v>0</v>
      </c>
      <c r="M38" s="102">
        <v>0</v>
      </c>
      <c r="N38" s="102">
        <v>0</v>
      </c>
      <c r="O38" s="102">
        <v>0</v>
      </c>
      <c r="P38" s="102">
        <v>0</v>
      </c>
      <c r="Q38" s="102">
        <v>0</v>
      </c>
      <c r="R38" s="102">
        <v>0</v>
      </c>
      <c r="S38" s="102">
        <v>0</v>
      </c>
      <c r="T38" s="71">
        <v>0</v>
      </c>
    </row>
    <row r="39" spans="1:20" x14ac:dyDescent="0.3">
      <c r="C39" s="98" t="s">
        <v>321</v>
      </c>
      <c r="D39" s="90"/>
      <c r="E39" s="90"/>
      <c r="F39" s="90"/>
      <c r="G39" s="422">
        <f>SUM(G34:G38)</f>
        <v>192400000</v>
      </c>
      <c r="H39" s="422">
        <f>SUM(H34:H38)</f>
        <v>0</v>
      </c>
      <c r="I39" s="422">
        <f>SUM(I34:I38)</f>
        <v>192400000</v>
      </c>
      <c r="J39" s="422">
        <f t="shared" ref="J39:T39" si="21">SUM(J34:J38)</f>
        <v>5200000</v>
      </c>
      <c r="K39" s="422">
        <f t="shared" si="21"/>
        <v>31200000</v>
      </c>
      <c r="L39" s="422">
        <f t="shared" si="21"/>
        <v>31200000</v>
      </c>
      <c r="M39" s="422">
        <f t="shared" si="21"/>
        <v>31200000</v>
      </c>
      <c r="N39" s="422">
        <f t="shared" si="21"/>
        <v>31200000</v>
      </c>
      <c r="O39" s="422">
        <f t="shared" si="21"/>
        <v>31200000</v>
      </c>
      <c r="P39" s="422">
        <f t="shared" si="21"/>
        <v>31200000</v>
      </c>
      <c r="Q39" s="422">
        <f t="shared" si="21"/>
        <v>0</v>
      </c>
      <c r="R39" s="422">
        <f t="shared" si="21"/>
        <v>0</v>
      </c>
      <c r="S39" s="422">
        <f t="shared" si="21"/>
        <v>0</v>
      </c>
      <c r="T39" s="74">
        <f t="shared" si="21"/>
        <v>0</v>
      </c>
    </row>
    <row r="40" spans="1:20" x14ac:dyDescent="0.3">
      <c r="C40" s="97" t="s">
        <v>336</v>
      </c>
      <c r="D40" s="89" t="str">
        <f>$C$25</f>
        <v>TA</v>
      </c>
      <c r="E40" s="89" t="s">
        <v>317</v>
      </c>
      <c r="F40" s="89" t="s">
        <v>313</v>
      </c>
      <c r="G40" s="102">
        <v>0</v>
      </c>
      <c r="H40" s="102">
        <v>0</v>
      </c>
      <c r="I40" s="102">
        <v>0</v>
      </c>
      <c r="J40" s="102">
        <v>0</v>
      </c>
      <c r="K40" s="102">
        <v>0</v>
      </c>
      <c r="L40" s="102">
        <v>0</v>
      </c>
      <c r="M40" s="102">
        <v>0</v>
      </c>
      <c r="N40" s="102">
        <v>0</v>
      </c>
      <c r="O40" s="102">
        <v>0</v>
      </c>
      <c r="P40" s="102">
        <v>0</v>
      </c>
      <c r="Q40" s="102">
        <v>0</v>
      </c>
      <c r="R40" s="102">
        <v>0</v>
      </c>
      <c r="S40" s="102">
        <v>0</v>
      </c>
      <c r="T40" s="71">
        <v>0</v>
      </c>
    </row>
    <row r="41" spans="1:20" x14ac:dyDescent="0.3">
      <c r="C41" s="97" t="s">
        <v>336</v>
      </c>
      <c r="D41" s="89" t="str">
        <f t="shared" ref="D41:D44" si="22">$C$25</f>
        <v>TA</v>
      </c>
      <c r="E41" s="89" t="s">
        <v>317</v>
      </c>
      <c r="F41" s="89" t="s">
        <v>314</v>
      </c>
      <c r="G41" s="102">
        <v>0</v>
      </c>
      <c r="H41" s="102">
        <v>0</v>
      </c>
      <c r="I41" s="102">
        <v>0</v>
      </c>
      <c r="J41" s="102">
        <v>0</v>
      </c>
      <c r="K41" s="102">
        <v>0</v>
      </c>
      <c r="L41" s="102">
        <v>0</v>
      </c>
      <c r="M41" s="102">
        <v>0</v>
      </c>
      <c r="N41" s="102">
        <v>0</v>
      </c>
      <c r="O41" s="102">
        <v>0</v>
      </c>
      <c r="P41" s="102">
        <v>0</v>
      </c>
      <c r="Q41" s="102">
        <v>0</v>
      </c>
      <c r="R41" s="102">
        <v>0</v>
      </c>
      <c r="S41" s="102">
        <v>0</v>
      </c>
      <c r="T41" s="71">
        <v>0</v>
      </c>
    </row>
    <row r="42" spans="1:20" x14ac:dyDescent="0.3">
      <c r="C42" s="97" t="s">
        <v>336</v>
      </c>
      <c r="D42" s="89" t="str">
        <f t="shared" si="22"/>
        <v>TA</v>
      </c>
      <c r="E42" s="89" t="s">
        <v>317</v>
      </c>
      <c r="F42" s="89" t="s">
        <v>315</v>
      </c>
      <c r="G42" s="102">
        <v>0</v>
      </c>
      <c r="H42" s="102">
        <v>0</v>
      </c>
      <c r="I42" s="102">
        <v>0</v>
      </c>
      <c r="J42" s="102">
        <v>0</v>
      </c>
      <c r="K42" s="102">
        <v>0</v>
      </c>
      <c r="L42" s="102">
        <v>0</v>
      </c>
      <c r="M42" s="102">
        <v>0</v>
      </c>
      <c r="N42" s="102">
        <v>0</v>
      </c>
      <c r="O42" s="102">
        <v>0</v>
      </c>
      <c r="P42" s="102">
        <v>0</v>
      </c>
      <c r="Q42" s="102">
        <v>0</v>
      </c>
      <c r="R42" s="102">
        <v>0</v>
      </c>
      <c r="S42" s="102">
        <v>0</v>
      </c>
      <c r="T42" s="71">
        <v>0</v>
      </c>
    </row>
    <row r="43" spans="1:20" x14ac:dyDescent="0.3">
      <c r="C43" s="97" t="s">
        <v>336</v>
      </c>
      <c r="D43" s="89" t="str">
        <f t="shared" si="22"/>
        <v>TA</v>
      </c>
      <c r="E43" s="89" t="s">
        <v>317</v>
      </c>
      <c r="F43" s="89" t="s">
        <v>151</v>
      </c>
      <c r="G43" s="102">
        <v>0</v>
      </c>
      <c r="H43" s="102">
        <v>0</v>
      </c>
      <c r="I43" s="102">
        <v>0</v>
      </c>
      <c r="J43" s="102">
        <v>0</v>
      </c>
      <c r="K43" s="102">
        <v>0</v>
      </c>
      <c r="L43" s="102">
        <v>0</v>
      </c>
      <c r="M43" s="102">
        <v>0</v>
      </c>
      <c r="N43" s="102">
        <v>0</v>
      </c>
      <c r="O43" s="102">
        <v>0</v>
      </c>
      <c r="P43" s="102">
        <v>0</v>
      </c>
      <c r="Q43" s="102">
        <v>0</v>
      </c>
      <c r="R43" s="102">
        <v>0</v>
      </c>
      <c r="S43" s="102">
        <v>0</v>
      </c>
      <c r="T43" s="71">
        <v>0</v>
      </c>
    </row>
    <row r="44" spans="1:20" x14ac:dyDescent="0.3">
      <c r="C44" s="97" t="s">
        <v>336</v>
      </c>
      <c r="D44" s="89" t="str">
        <f t="shared" si="22"/>
        <v>TA</v>
      </c>
      <c r="E44" s="89" t="s">
        <v>317</v>
      </c>
      <c r="F44" s="89" t="s">
        <v>151</v>
      </c>
      <c r="G44" s="102">
        <v>0</v>
      </c>
      <c r="H44" s="102">
        <v>0</v>
      </c>
      <c r="I44" s="102">
        <v>0</v>
      </c>
      <c r="J44" s="102">
        <v>0</v>
      </c>
      <c r="K44" s="102">
        <v>0</v>
      </c>
      <c r="L44" s="102">
        <v>0</v>
      </c>
      <c r="M44" s="102">
        <v>0</v>
      </c>
      <c r="N44" s="102">
        <v>0</v>
      </c>
      <c r="O44" s="102">
        <v>0</v>
      </c>
      <c r="P44" s="102">
        <v>0</v>
      </c>
      <c r="Q44" s="102">
        <v>0</v>
      </c>
      <c r="R44" s="102">
        <v>0</v>
      </c>
      <c r="S44" s="102">
        <v>0</v>
      </c>
      <c r="T44" s="71">
        <v>0</v>
      </c>
    </row>
    <row r="45" spans="1:20" ht="17.25" thickBot="1" x14ac:dyDescent="0.35">
      <c r="C45" s="99" t="s">
        <v>322</v>
      </c>
      <c r="D45" s="87"/>
      <c r="E45" s="87"/>
      <c r="F45" s="87"/>
      <c r="G45" s="423">
        <f>SUM(G40:G44)</f>
        <v>0</v>
      </c>
      <c r="H45" s="423">
        <f>SUM(H40:H44)</f>
        <v>0</v>
      </c>
      <c r="I45" s="423">
        <f>SUM(I40:I44)</f>
        <v>0</v>
      </c>
      <c r="J45" s="423">
        <f t="shared" ref="J45:T45" si="23">SUM(J40:J44)</f>
        <v>0</v>
      </c>
      <c r="K45" s="423">
        <f t="shared" si="23"/>
        <v>0</v>
      </c>
      <c r="L45" s="423">
        <f t="shared" si="23"/>
        <v>0</v>
      </c>
      <c r="M45" s="423">
        <f t="shared" si="23"/>
        <v>0</v>
      </c>
      <c r="N45" s="423">
        <f t="shared" si="23"/>
        <v>0</v>
      </c>
      <c r="O45" s="423">
        <f t="shared" si="23"/>
        <v>0</v>
      </c>
      <c r="P45" s="423">
        <f t="shared" si="23"/>
        <v>0</v>
      </c>
      <c r="Q45" s="423">
        <f t="shared" si="23"/>
        <v>0</v>
      </c>
      <c r="R45" s="423">
        <f t="shared" si="23"/>
        <v>0</v>
      </c>
      <c r="S45" s="423">
        <f t="shared" si="23"/>
        <v>0</v>
      </c>
      <c r="T45" s="75">
        <f t="shared" si="23"/>
        <v>0</v>
      </c>
    </row>
    <row r="46" spans="1:20" s="84" customFormat="1" x14ac:dyDescent="0.3">
      <c r="A46" s="106"/>
      <c r="B46" s="94"/>
      <c r="C46" s="82"/>
      <c r="D46" s="82"/>
      <c r="E46" s="82"/>
      <c r="F46" s="82"/>
      <c r="G46" s="83"/>
      <c r="H46" s="83"/>
      <c r="I46" s="83"/>
      <c r="J46" s="83"/>
      <c r="K46" s="83"/>
      <c r="L46" s="83"/>
      <c r="M46" s="83"/>
      <c r="N46" s="83"/>
      <c r="O46" s="83"/>
      <c r="P46" s="83"/>
      <c r="Q46" s="83"/>
      <c r="R46" s="83"/>
      <c r="S46" s="83"/>
      <c r="T46" s="83"/>
    </row>
    <row r="47" spans="1:20" s="84" customFormat="1" ht="17.25" thickBot="1" x14ac:dyDescent="0.35">
      <c r="A47" s="106"/>
      <c r="B47" s="94"/>
      <c r="C47" s="82"/>
      <c r="D47" s="82"/>
      <c r="E47" s="82"/>
      <c r="F47" s="82"/>
      <c r="G47" s="83"/>
      <c r="H47" s="83"/>
      <c r="I47" s="83"/>
      <c r="J47" s="83"/>
      <c r="K47" s="83"/>
      <c r="L47" s="83"/>
      <c r="M47" s="83"/>
      <c r="N47" s="83"/>
      <c r="O47" s="83"/>
      <c r="P47" s="83"/>
      <c r="Q47" s="83"/>
      <c r="R47" s="83"/>
      <c r="S47" s="83"/>
      <c r="T47" s="83"/>
    </row>
    <row r="48" spans="1:20" x14ac:dyDescent="0.3">
      <c r="C48" s="658" t="s">
        <v>388</v>
      </c>
      <c r="D48" s="2"/>
      <c r="E48" s="2"/>
      <c r="F48" s="2"/>
      <c r="G48" s="663">
        <f>SUM(G56,G62,G68)</f>
        <v>667733333.33333325</v>
      </c>
      <c r="H48" s="80">
        <f t="shared" ref="H48:T48" si="24">SUM(H56,H62,H68)</f>
        <v>475333333.33333331</v>
      </c>
      <c r="I48" s="80">
        <f t="shared" si="24"/>
        <v>192400000</v>
      </c>
      <c r="J48" s="80">
        <f t="shared" si="24"/>
        <v>5200000</v>
      </c>
      <c r="K48" s="80">
        <f t="shared" si="24"/>
        <v>31200000</v>
      </c>
      <c r="L48" s="80">
        <f t="shared" si="24"/>
        <v>31200000</v>
      </c>
      <c r="M48" s="80">
        <f t="shared" si="24"/>
        <v>31200000</v>
      </c>
      <c r="N48" s="80">
        <f t="shared" si="24"/>
        <v>31200000</v>
      </c>
      <c r="O48" s="80">
        <f t="shared" si="24"/>
        <v>31200000</v>
      </c>
      <c r="P48" s="80">
        <f t="shared" si="24"/>
        <v>31200000</v>
      </c>
      <c r="Q48" s="80">
        <f t="shared" si="24"/>
        <v>0</v>
      </c>
      <c r="R48" s="80">
        <f t="shared" si="24"/>
        <v>0</v>
      </c>
      <c r="S48" s="80">
        <f t="shared" si="24"/>
        <v>0</v>
      </c>
      <c r="T48" s="81">
        <f t="shared" si="24"/>
        <v>0</v>
      </c>
    </row>
    <row r="49" spans="3:20" ht="17.25" thickBot="1" x14ac:dyDescent="0.35"/>
    <row r="50" spans="3:20" x14ac:dyDescent="0.3">
      <c r="C50" s="95" t="s">
        <v>1</v>
      </c>
      <c r="D50" s="86" t="s">
        <v>2</v>
      </c>
      <c r="E50" s="86" t="s">
        <v>3</v>
      </c>
      <c r="F50" s="86" t="s">
        <v>4</v>
      </c>
      <c r="G50" s="86" t="s">
        <v>311</v>
      </c>
      <c r="H50" s="86" t="s">
        <v>309</v>
      </c>
      <c r="I50" s="86" t="s">
        <v>310</v>
      </c>
      <c r="J50" s="86" t="s">
        <v>41</v>
      </c>
      <c r="K50" s="86" t="s">
        <v>258</v>
      </c>
      <c r="L50" s="86" t="s">
        <v>259</v>
      </c>
      <c r="M50" s="86" t="s">
        <v>260</v>
      </c>
      <c r="N50" s="86" t="s">
        <v>261</v>
      </c>
      <c r="O50" s="86" t="s">
        <v>262</v>
      </c>
      <c r="P50" s="86" t="s">
        <v>263</v>
      </c>
      <c r="Q50" s="86" t="s">
        <v>264</v>
      </c>
      <c r="R50" s="86" t="s">
        <v>265</v>
      </c>
      <c r="S50" s="86" t="s">
        <v>266</v>
      </c>
      <c r="T50" s="73" t="s">
        <v>182</v>
      </c>
    </row>
    <row r="51" spans="3:20" x14ac:dyDescent="0.3">
      <c r="C51" s="96" t="s">
        <v>336</v>
      </c>
      <c r="D51" s="91" t="str">
        <f>$C$48</f>
        <v>챗봇</v>
      </c>
      <c r="E51" s="91" t="s">
        <v>279</v>
      </c>
      <c r="F51" s="91" t="s">
        <v>312</v>
      </c>
      <c r="G51" s="100">
        <v>475333333.33333331</v>
      </c>
      <c r="H51" s="100">
        <v>475333333.33333331</v>
      </c>
      <c r="I51" s="101">
        <v>0</v>
      </c>
      <c r="J51" s="101">
        <v>0</v>
      </c>
      <c r="K51" s="101">
        <v>0</v>
      </c>
      <c r="L51" s="101">
        <v>0</v>
      </c>
      <c r="M51" s="101">
        <v>0</v>
      </c>
      <c r="N51" s="101">
        <v>0</v>
      </c>
      <c r="O51" s="101">
        <v>0</v>
      </c>
      <c r="P51" s="101">
        <v>0</v>
      </c>
      <c r="Q51" s="101">
        <v>0</v>
      </c>
      <c r="R51" s="101">
        <v>0</v>
      </c>
      <c r="S51" s="101">
        <v>0</v>
      </c>
      <c r="T51" s="76">
        <v>0</v>
      </c>
    </row>
    <row r="52" spans="3:20" x14ac:dyDescent="0.3">
      <c r="C52" s="97" t="s">
        <v>336</v>
      </c>
      <c r="D52" s="89" t="str">
        <f t="shared" ref="D52:D55" si="25">$C$48</f>
        <v>챗봇</v>
      </c>
      <c r="E52" s="89" t="s">
        <v>279</v>
      </c>
      <c r="F52" s="89" t="s">
        <v>313</v>
      </c>
      <c r="G52" s="102">
        <v>0</v>
      </c>
      <c r="H52" s="102">
        <v>0</v>
      </c>
      <c r="I52" s="103">
        <v>0</v>
      </c>
      <c r="J52" s="103">
        <v>0</v>
      </c>
      <c r="K52" s="103">
        <v>0</v>
      </c>
      <c r="L52" s="103">
        <v>0</v>
      </c>
      <c r="M52" s="103">
        <v>0</v>
      </c>
      <c r="N52" s="103">
        <v>0</v>
      </c>
      <c r="O52" s="103">
        <v>0</v>
      </c>
      <c r="P52" s="103">
        <v>0</v>
      </c>
      <c r="Q52" s="103">
        <v>0</v>
      </c>
      <c r="R52" s="103">
        <v>0</v>
      </c>
      <c r="S52" s="103">
        <v>0</v>
      </c>
      <c r="T52" s="77">
        <v>0</v>
      </c>
    </row>
    <row r="53" spans="3:20" x14ac:dyDescent="0.3">
      <c r="C53" s="97" t="s">
        <v>336</v>
      </c>
      <c r="D53" s="89" t="str">
        <f t="shared" si="25"/>
        <v>챗봇</v>
      </c>
      <c r="E53" s="89" t="s">
        <v>279</v>
      </c>
      <c r="F53" s="89" t="s">
        <v>314</v>
      </c>
      <c r="G53" s="102">
        <v>0</v>
      </c>
      <c r="H53" s="102">
        <v>0</v>
      </c>
      <c r="I53" s="103">
        <v>0</v>
      </c>
      <c r="J53" s="103">
        <v>0</v>
      </c>
      <c r="K53" s="103">
        <v>0</v>
      </c>
      <c r="L53" s="103">
        <v>0</v>
      </c>
      <c r="M53" s="103">
        <v>0</v>
      </c>
      <c r="N53" s="103">
        <v>0</v>
      </c>
      <c r="O53" s="103">
        <v>0</v>
      </c>
      <c r="P53" s="103">
        <v>0</v>
      </c>
      <c r="Q53" s="103">
        <v>0</v>
      </c>
      <c r="R53" s="103">
        <v>0</v>
      </c>
      <c r="S53" s="103">
        <v>0</v>
      </c>
      <c r="T53" s="77">
        <v>0</v>
      </c>
    </row>
    <row r="54" spans="3:20" x14ac:dyDescent="0.3">
      <c r="C54" s="97" t="s">
        <v>336</v>
      </c>
      <c r="D54" s="89" t="str">
        <f t="shared" si="25"/>
        <v>챗봇</v>
      </c>
      <c r="E54" s="89" t="s">
        <v>279</v>
      </c>
      <c r="F54" s="89" t="s">
        <v>315</v>
      </c>
      <c r="G54" s="102">
        <v>0</v>
      </c>
      <c r="H54" s="102">
        <v>0</v>
      </c>
      <c r="I54" s="103">
        <v>0</v>
      </c>
      <c r="J54" s="103">
        <v>0</v>
      </c>
      <c r="K54" s="103">
        <v>0</v>
      </c>
      <c r="L54" s="103">
        <v>0</v>
      </c>
      <c r="M54" s="103">
        <v>0</v>
      </c>
      <c r="N54" s="103">
        <v>0</v>
      </c>
      <c r="O54" s="103">
        <v>0</v>
      </c>
      <c r="P54" s="103">
        <v>0</v>
      </c>
      <c r="Q54" s="103">
        <v>0</v>
      </c>
      <c r="R54" s="103">
        <v>0</v>
      </c>
      <c r="S54" s="103">
        <v>0</v>
      </c>
      <c r="T54" s="77">
        <v>0</v>
      </c>
    </row>
    <row r="55" spans="3:20" x14ac:dyDescent="0.3">
      <c r="C55" s="97" t="s">
        <v>336</v>
      </c>
      <c r="D55" s="89" t="str">
        <f t="shared" si="25"/>
        <v>챗봇</v>
      </c>
      <c r="E55" s="89" t="s">
        <v>279</v>
      </c>
      <c r="F55" s="89" t="s">
        <v>151</v>
      </c>
      <c r="G55" s="102">
        <v>0</v>
      </c>
      <c r="H55" s="102">
        <v>0</v>
      </c>
      <c r="I55" s="103">
        <v>0</v>
      </c>
      <c r="J55" s="103">
        <v>0</v>
      </c>
      <c r="K55" s="103">
        <v>0</v>
      </c>
      <c r="L55" s="103">
        <v>0</v>
      </c>
      <c r="M55" s="103">
        <v>0</v>
      </c>
      <c r="N55" s="103">
        <v>0</v>
      </c>
      <c r="O55" s="103">
        <v>0</v>
      </c>
      <c r="P55" s="103">
        <v>0</v>
      </c>
      <c r="Q55" s="103">
        <v>0</v>
      </c>
      <c r="R55" s="103">
        <v>0</v>
      </c>
      <c r="S55" s="103">
        <v>0</v>
      </c>
      <c r="T55" s="77">
        <v>0</v>
      </c>
    </row>
    <row r="56" spans="3:20" x14ac:dyDescent="0.3">
      <c r="C56" s="98" t="s">
        <v>320</v>
      </c>
      <c r="D56" s="90"/>
      <c r="E56" s="90"/>
      <c r="F56" s="90"/>
      <c r="G56" s="422">
        <f t="shared" ref="G56:H56" si="26">SUM(G51:G55)</f>
        <v>475333333.33333331</v>
      </c>
      <c r="H56" s="422">
        <f t="shared" si="26"/>
        <v>475333333.33333331</v>
      </c>
      <c r="I56" s="422">
        <f>SUM(I51:I55)</f>
        <v>0</v>
      </c>
      <c r="J56" s="422">
        <f t="shared" ref="J56:T56" si="27">SUM(J51:J55)</f>
        <v>0</v>
      </c>
      <c r="K56" s="422">
        <f t="shared" si="27"/>
        <v>0</v>
      </c>
      <c r="L56" s="422">
        <f t="shared" si="27"/>
        <v>0</v>
      </c>
      <c r="M56" s="422">
        <f t="shared" si="27"/>
        <v>0</v>
      </c>
      <c r="N56" s="422">
        <f t="shared" si="27"/>
        <v>0</v>
      </c>
      <c r="O56" s="422">
        <f t="shared" si="27"/>
        <v>0</v>
      </c>
      <c r="P56" s="422">
        <f t="shared" si="27"/>
        <v>0</v>
      </c>
      <c r="Q56" s="422">
        <f t="shared" si="27"/>
        <v>0</v>
      </c>
      <c r="R56" s="422">
        <f t="shared" si="27"/>
        <v>0</v>
      </c>
      <c r="S56" s="422">
        <f t="shared" si="27"/>
        <v>0</v>
      </c>
      <c r="T56" s="74">
        <f t="shared" si="27"/>
        <v>0</v>
      </c>
    </row>
    <row r="57" spans="3:20" x14ac:dyDescent="0.3">
      <c r="C57" s="97" t="s">
        <v>336</v>
      </c>
      <c r="D57" s="89" t="str">
        <f>$C$48</f>
        <v>챗봇</v>
      </c>
      <c r="E57" s="89" t="s">
        <v>152</v>
      </c>
      <c r="F57" s="89" t="s">
        <v>153</v>
      </c>
      <c r="G57" s="102">
        <v>192400000</v>
      </c>
      <c r="H57" s="102">
        <v>0</v>
      </c>
      <c r="I57" s="102">
        <v>192400000</v>
      </c>
      <c r="J57" s="102">
        <v>5200000</v>
      </c>
      <c r="K57" s="102">
        <v>31200000</v>
      </c>
      <c r="L57" s="102">
        <v>31200000</v>
      </c>
      <c r="M57" s="102">
        <v>31200000</v>
      </c>
      <c r="N57" s="102">
        <v>31200000</v>
      </c>
      <c r="O57" s="102">
        <v>31200000</v>
      </c>
      <c r="P57" s="102">
        <v>31200000</v>
      </c>
      <c r="Q57" s="102">
        <v>0</v>
      </c>
      <c r="R57" s="102">
        <v>0</v>
      </c>
      <c r="S57" s="102">
        <v>0</v>
      </c>
      <c r="T57" s="71">
        <v>0</v>
      </c>
    </row>
    <row r="58" spans="3:20" x14ac:dyDescent="0.3">
      <c r="C58" s="97" t="s">
        <v>336</v>
      </c>
      <c r="D58" s="89" t="str">
        <f t="shared" ref="D58:D61" si="28">$C$48</f>
        <v>챗봇</v>
      </c>
      <c r="E58" s="89" t="s">
        <v>316</v>
      </c>
      <c r="F58" s="89" t="s">
        <v>318</v>
      </c>
      <c r="G58" s="102">
        <v>0</v>
      </c>
      <c r="H58" s="102">
        <v>0</v>
      </c>
      <c r="I58" s="102">
        <v>0</v>
      </c>
      <c r="J58" s="102">
        <v>0</v>
      </c>
      <c r="K58" s="102">
        <v>0</v>
      </c>
      <c r="L58" s="102">
        <v>0</v>
      </c>
      <c r="M58" s="102">
        <v>0</v>
      </c>
      <c r="N58" s="102">
        <v>0</v>
      </c>
      <c r="O58" s="102">
        <v>0</v>
      </c>
      <c r="P58" s="102">
        <v>0</v>
      </c>
      <c r="Q58" s="102">
        <v>0</v>
      </c>
      <c r="R58" s="102">
        <v>0</v>
      </c>
      <c r="S58" s="102">
        <v>0</v>
      </c>
      <c r="T58" s="71">
        <v>0</v>
      </c>
    </row>
    <row r="59" spans="3:20" x14ac:dyDescent="0.3">
      <c r="C59" s="97" t="s">
        <v>336</v>
      </c>
      <c r="D59" s="89" t="str">
        <f t="shared" si="28"/>
        <v>챗봇</v>
      </c>
      <c r="E59" s="89" t="s">
        <v>316</v>
      </c>
      <c r="F59" s="89" t="s">
        <v>151</v>
      </c>
      <c r="G59" s="102">
        <v>0</v>
      </c>
      <c r="H59" s="102">
        <v>0</v>
      </c>
      <c r="I59" s="102">
        <v>0</v>
      </c>
      <c r="J59" s="102">
        <v>0</v>
      </c>
      <c r="K59" s="102">
        <v>0</v>
      </c>
      <c r="L59" s="102">
        <v>0</v>
      </c>
      <c r="M59" s="102">
        <v>0</v>
      </c>
      <c r="N59" s="102">
        <v>0</v>
      </c>
      <c r="O59" s="102">
        <v>0</v>
      </c>
      <c r="P59" s="102">
        <v>0</v>
      </c>
      <c r="Q59" s="102">
        <v>0</v>
      </c>
      <c r="R59" s="102">
        <v>0</v>
      </c>
      <c r="S59" s="102">
        <v>0</v>
      </c>
      <c r="T59" s="71">
        <v>0</v>
      </c>
    </row>
    <row r="60" spans="3:20" x14ac:dyDescent="0.3">
      <c r="C60" s="97" t="s">
        <v>336</v>
      </c>
      <c r="D60" s="89" t="str">
        <f t="shared" si="28"/>
        <v>챗봇</v>
      </c>
      <c r="E60" s="89" t="s">
        <v>316</v>
      </c>
      <c r="F60" s="89" t="s">
        <v>151</v>
      </c>
      <c r="G60" s="102">
        <v>0</v>
      </c>
      <c r="H60" s="102">
        <v>0</v>
      </c>
      <c r="I60" s="102">
        <v>0</v>
      </c>
      <c r="J60" s="102">
        <v>0</v>
      </c>
      <c r="K60" s="102">
        <v>0</v>
      </c>
      <c r="L60" s="102">
        <v>0</v>
      </c>
      <c r="M60" s="102">
        <v>0</v>
      </c>
      <c r="N60" s="102">
        <v>0</v>
      </c>
      <c r="O60" s="102">
        <v>0</v>
      </c>
      <c r="P60" s="102">
        <v>0</v>
      </c>
      <c r="Q60" s="102">
        <v>0</v>
      </c>
      <c r="R60" s="102">
        <v>0</v>
      </c>
      <c r="S60" s="102">
        <v>0</v>
      </c>
      <c r="T60" s="71">
        <v>0</v>
      </c>
    </row>
    <row r="61" spans="3:20" x14ac:dyDescent="0.3">
      <c r="C61" s="97" t="s">
        <v>336</v>
      </c>
      <c r="D61" s="89" t="str">
        <f t="shared" si="28"/>
        <v>챗봇</v>
      </c>
      <c r="E61" s="89" t="s">
        <v>316</v>
      </c>
      <c r="F61" s="89" t="s">
        <v>151</v>
      </c>
      <c r="G61" s="102">
        <v>0</v>
      </c>
      <c r="H61" s="102">
        <v>0</v>
      </c>
      <c r="I61" s="102">
        <v>0</v>
      </c>
      <c r="J61" s="102">
        <v>0</v>
      </c>
      <c r="K61" s="102">
        <v>0</v>
      </c>
      <c r="L61" s="102">
        <v>0</v>
      </c>
      <c r="M61" s="102">
        <v>0</v>
      </c>
      <c r="N61" s="102">
        <v>0</v>
      </c>
      <c r="O61" s="102">
        <v>0</v>
      </c>
      <c r="P61" s="102">
        <v>0</v>
      </c>
      <c r="Q61" s="102">
        <v>0</v>
      </c>
      <c r="R61" s="102">
        <v>0</v>
      </c>
      <c r="S61" s="102">
        <v>0</v>
      </c>
      <c r="T61" s="71">
        <v>0</v>
      </c>
    </row>
    <row r="62" spans="3:20" x14ac:dyDescent="0.3">
      <c r="C62" s="98" t="s">
        <v>321</v>
      </c>
      <c r="D62" s="90"/>
      <c r="E62" s="90"/>
      <c r="F62" s="90"/>
      <c r="G62" s="422">
        <f t="shared" ref="G62" si="29">SUM(G57:G61)</f>
        <v>192400000</v>
      </c>
      <c r="H62" s="422">
        <f t="shared" ref="H62" si="30">SUM(H57:H61)</f>
        <v>0</v>
      </c>
      <c r="I62" s="422">
        <f>SUM(I57:I61)</f>
        <v>192400000</v>
      </c>
      <c r="J62" s="422">
        <f t="shared" ref="J62:T62" si="31">SUM(J57:J61)</f>
        <v>5200000</v>
      </c>
      <c r="K62" s="422">
        <f t="shared" si="31"/>
        <v>31200000</v>
      </c>
      <c r="L62" s="422">
        <f t="shared" si="31"/>
        <v>31200000</v>
      </c>
      <c r="M62" s="422">
        <f t="shared" si="31"/>
        <v>31200000</v>
      </c>
      <c r="N62" s="422">
        <f t="shared" si="31"/>
        <v>31200000</v>
      </c>
      <c r="O62" s="422">
        <f t="shared" si="31"/>
        <v>31200000</v>
      </c>
      <c r="P62" s="422">
        <f t="shared" si="31"/>
        <v>31200000</v>
      </c>
      <c r="Q62" s="422">
        <f t="shared" si="31"/>
        <v>0</v>
      </c>
      <c r="R62" s="422">
        <f t="shared" si="31"/>
        <v>0</v>
      </c>
      <c r="S62" s="422">
        <f t="shared" si="31"/>
        <v>0</v>
      </c>
      <c r="T62" s="74">
        <f t="shared" si="31"/>
        <v>0</v>
      </c>
    </row>
    <row r="63" spans="3:20" x14ac:dyDescent="0.3">
      <c r="C63" s="97" t="s">
        <v>336</v>
      </c>
      <c r="D63" s="89" t="str">
        <f>$C$48</f>
        <v>챗봇</v>
      </c>
      <c r="E63" s="89" t="s">
        <v>317</v>
      </c>
      <c r="F63" s="89" t="s">
        <v>313</v>
      </c>
      <c r="G63" s="102">
        <v>0</v>
      </c>
      <c r="H63" s="102">
        <v>0</v>
      </c>
      <c r="I63" s="102">
        <v>0</v>
      </c>
      <c r="J63" s="102">
        <v>0</v>
      </c>
      <c r="K63" s="102">
        <v>0</v>
      </c>
      <c r="L63" s="102">
        <v>0</v>
      </c>
      <c r="M63" s="102">
        <v>0</v>
      </c>
      <c r="N63" s="102">
        <v>0</v>
      </c>
      <c r="O63" s="102">
        <v>0</v>
      </c>
      <c r="P63" s="102">
        <v>0</v>
      </c>
      <c r="Q63" s="102">
        <v>0</v>
      </c>
      <c r="R63" s="102">
        <v>0</v>
      </c>
      <c r="S63" s="102">
        <v>0</v>
      </c>
      <c r="T63" s="71">
        <v>0</v>
      </c>
    </row>
    <row r="64" spans="3:20" x14ac:dyDescent="0.3">
      <c r="C64" s="97" t="s">
        <v>336</v>
      </c>
      <c r="D64" s="89" t="str">
        <f t="shared" ref="D64:D67" si="32">$C$48</f>
        <v>챗봇</v>
      </c>
      <c r="E64" s="89" t="s">
        <v>317</v>
      </c>
      <c r="F64" s="89" t="s">
        <v>314</v>
      </c>
      <c r="G64" s="102">
        <v>0</v>
      </c>
      <c r="H64" s="102">
        <v>0</v>
      </c>
      <c r="I64" s="102">
        <v>0</v>
      </c>
      <c r="J64" s="102">
        <v>0</v>
      </c>
      <c r="K64" s="102">
        <v>0</v>
      </c>
      <c r="L64" s="102">
        <v>0</v>
      </c>
      <c r="M64" s="102">
        <v>0</v>
      </c>
      <c r="N64" s="102">
        <v>0</v>
      </c>
      <c r="O64" s="102">
        <v>0</v>
      </c>
      <c r="P64" s="102">
        <v>0</v>
      </c>
      <c r="Q64" s="102">
        <v>0</v>
      </c>
      <c r="R64" s="102">
        <v>0</v>
      </c>
      <c r="S64" s="102">
        <v>0</v>
      </c>
      <c r="T64" s="71">
        <v>0</v>
      </c>
    </row>
    <row r="65" spans="1:20" x14ac:dyDescent="0.3">
      <c r="C65" s="97" t="s">
        <v>336</v>
      </c>
      <c r="D65" s="89" t="str">
        <f t="shared" si="32"/>
        <v>챗봇</v>
      </c>
      <c r="E65" s="89" t="s">
        <v>317</v>
      </c>
      <c r="F65" s="89" t="s">
        <v>315</v>
      </c>
      <c r="G65" s="102">
        <v>0</v>
      </c>
      <c r="H65" s="102">
        <v>0</v>
      </c>
      <c r="I65" s="102">
        <v>0</v>
      </c>
      <c r="J65" s="102">
        <v>0</v>
      </c>
      <c r="K65" s="102">
        <v>0</v>
      </c>
      <c r="L65" s="102">
        <v>0</v>
      </c>
      <c r="M65" s="102">
        <v>0</v>
      </c>
      <c r="N65" s="102">
        <v>0</v>
      </c>
      <c r="O65" s="102">
        <v>0</v>
      </c>
      <c r="P65" s="102">
        <v>0</v>
      </c>
      <c r="Q65" s="102">
        <v>0</v>
      </c>
      <c r="R65" s="102">
        <v>0</v>
      </c>
      <c r="S65" s="102">
        <v>0</v>
      </c>
      <c r="T65" s="71">
        <v>0</v>
      </c>
    </row>
    <row r="66" spans="1:20" x14ac:dyDescent="0.3">
      <c r="C66" s="97" t="s">
        <v>336</v>
      </c>
      <c r="D66" s="89" t="str">
        <f t="shared" si="32"/>
        <v>챗봇</v>
      </c>
      <c r="E66" s="89" t="s">
        <v>317</v>
      </c>
      <c r="F66" s="89" t="s">
        <v>151</v>
      </c>
      <c r="G66" s="102">
        <v>0</v>
      </c>
      <c r="H66" s="102">
        <v>0</v>
      </c>
      <c r="I66" s="102">
        <v>0</v>
      </c>
      <c r="J66" s="102">
        <v>0</v>
      </c>
      <c r="K66" s="102">
        <v>0</v>
      </c>
      <c r="L66" s="102">
        <v>0</v>
      </c>
      <c r="M66" s="102">
        <v>0</v>
      </c>
      <c r="N66" s="102">
        <v>0</v>
      </c>
      <c r="O66" s="102">
        <v>0</v>
      </c>
      <c r="P66" s="102">
        <v>0</v>
      </c>
      <c r="Q66" s="102">
        <v>0</v>
      </c>
      <c r="R66" s="102">
        <v>0</v>
      </c>
      <c r="S66" s="102">
        <v>0</v>
      </c>
      <c r="T66" s="71">
        <v>0</v>
      </c>
    </row>
    <row r="67" spans="1:20" x14ac:dyDescent="0.3">
      <c r="C67" s="97" t="s">
        <v>336</v>
      </c>
      <c r="D67" s="89" t="str">
        <f t="shared" si="32"/>
        <v>챗봇</v>
      </c>
      <c r="E67" s="89" t="s">
        <v>317</v>
      </c>
      <c r="F67" s="89" t="s">
        <v>151</v>
      </c>
      <c r="G67" s="102">
        <v>0</v>
      </c>
      <c r="H67" s="102">
        <v>0</v>
      </c>
      <c r="I67" s="102">
        <v>0</v>
      </c>
      <c r="J67" s="102">
        <v>0</v>
      </c>
      <c r="K67" s="102">
        <v>0</v>
      </c>
      <c r="L67" s="102">
        <v>0</v>
      </c>
      <c r="M67" s="102">
        <v>0</v>
      </c>
      <c r="N67" s="102">
        <v>0</v>
      </c>
      <c r="O67" s="102">
        <v>0</v>
      </c>
      <c r="P67" s="102">
        <v>0</v>
      </c>
      <c r="Q67" s="102">
        <v>0</v>
      </c>
      <c r="R67" s="102">
        <v>0</v>
      </c>
      <c r="S67" s="102">
        <v>0</v>
      </c>
      <c r="T67" s="71">
        <v>0</v>
      </c>
    </row>
    <row r="68" spans="1:20" ht="17.25" thickBot="1" x14ac:dyDescent="0.35">
      <c r="C68" s="99" t="s">
        <v>322</v>
      </c>
      <c r="D68" s="87"/>
      <c r="E68" s="87"/>
      <c r="F68" s="87"/>
      <c r="G68" s="423">
        <f t="shared" ref="G68" si="33">SUM(G63:G67)</f>
        <v>0</v>
      </c>
      <c r="H68" s="423">
        <f t="shared" ref="H68" si="34">SUM(H63:H67)</f>
        <v>0</v>
      </c>
      <c r="I68" s="423">
        <f>SUM(I63:I67)</f>
        <v>0</v>
      </c>
      <c r="J68" s="423">
        <f t="shared" ref="J68:T68" si="35">SUM(J63:J67)</f>
        <v>0</v>
      </c>
      <c r="K68" s="423">
        <f t="shared" si="35"/>
        <v>0</v>
      </c>
      <c r="L68" s="423">
        <f t="shared" si="35"/>
        <v>0</v>
      </c>
      <c r="M68" s="423">
        <f t="shared" si="35"/>
        <v>0</v>
      </c>
      <c r="N68" s="423">
        <f t="shared" si="35"/>
        <v>0</v>
      </c>
      <c r="O68" s="423">
        <f t="shared" si="35"/>
        <v>0</v>
      </c>
      <c r="P68" s="423">
        <f t="shared" si="35"/>
        <v>0</v>
      </c>
      <c r="Q68" s="423">
        <f t="shared" si="35"/>
        <v>0</v>
      </c>
      <c r="R68" s="423">
        <f t="shared" si="35"/>
        <v>0</v>
      </c>
      <c r="S68" s="423">
        <f t="shared" si="35"/>
        <v>0</v>
      </c>
      <c r="T68" s="75">
        <f t="shared" si="35"/>
        <v>0</v>
      </c>
    </row>
    <row r="69" spans="1:20" s="84" customFormat="1" x14ac:dyDescent="0.3">
      <c r="A69" s="106"/>
      <c r="B69" s="94"/>
      <c r="C69" s="104"/>
      <c r="D69" s="104"/>
      <c r="E69" s="104"/>
      <c r="F69" s="104"/>
      <c r="G69" s="105"/>
      <c r="H69" s="105"/>
      <c r="I69" s="105"/>
      <c r="J69" s="105"/>
      <c r="K69" s="105"/>
      <c r="L69" s="105"/>
      <c r="M69" s="105"/>
      <c r="N69" s="105"/>
      <c r="O69" s="105"/>
      <c r="P69" s="105"/>
      <c r="Q69" s="105"/>
      <c r="R69" s="105"/>
      <c r="S69" s="105"/>
      <c r="T69" s="105"/>
    </row>
    <row r="70" spans="1:20" s="84" customFormat="1" ht="17.25" thickBot="1" x14ac:dyDescent="0.35">
      <c r="A70" s="106"/>
      <c r="B70" s="94"/>
      <c r="C70" s="82"/>
      <c r="D70" s="82"/>
      <c r="E70" s="82"/>
      <c r="F70" s="82"/>
      <c r="G70" s="83"/>
      <c r="H70" s="83"/>
      <c r="I70" s="83"/>
      <c r="J70" s="83"/>
      <c r="K70" s="83"/>
      <c r="L70" s="83"/>
      <c r="M70" s="83"/>
      <c r="N70" s="83"/>
      <c r="O70" s="83"/>
      <c r="P70" s="83"/>
      <c r="Q70" s="83"/>
      <c r="R70" s="83"/>
      <c r="S70" s="83"/>
      <c r="T70" s="83"/>
    </row>
    <row r="71" spans="1:20" s="84" customFormat="1" x14ac:dyDescent="0.3">
      <c r="A71" s="106"/>
      <c r="B71" s="94"/>
      <c r="C71" s="658" t="s">
        <v>795</v>
      </c>
      <c r="D71" s="2"/>
      <c r="E71" s="2"/>
      <c r="F71" s="2"/>
      <c r="G71" s="663">
        <f>SUM(G79,G85,G91)</f>
        <v>502986730</v>
      </c>
      <c r="H71" s="80">
        <f t="shared" ref="H71:T71" si="36">SUM(H79,H85,H91)</f>
        <v>231663514</v>
      </c>
      <c r="I71" s="80">
        <f t="shared" si="36"/>
        <v>271323216</v>
      </c>
      <c r="J71" s="80">
        <f t="shared" si="36"/>
        <v>0</v>
      </c>
      <c r="K71" s="80">
        <f t="shared" si="36"/>
        <v>45220536</v>
      </c>
      <c r="L71" s="80">
        <f t="shared" si="36"/>
        <v>45220536</v>
      </c>
      <c r="M71" s="80">
        <f t="shared" si="36"/>
        <v>45220536</v>
      </c>
      <c r="N71" s="80">
        <f t="shared" si="36"/>
        <v>45220536</v>
      </c>
      <c r="O71" s="80">
        <f t="shared" si="36"/>
        <v>45220536</v>
      </c>
      <c r="P71" s="80">
        <f t="shared" si="36"/>
        <v>45220536</v>
      </c>
      <c r="Q71" s="80">
        <f t="shared" si="36"/>
        <v>0</v>
      </c>
      <c r="R71" s="80">
        <f t="shared" si="36"/>
        <v>0</v>
      </c>
      <c r="S71" s="80">
        <f t="shared" si="36"/>
        <v>0</v>
      </c>
      <c r="T71" s="81">
        <f t="shared" si="36"/>
        <v>0</v>
      </c>
    </row>
    <row r="72" spans="1:20" s="84" customFormat="1" ht="17.25" thickBot="1" x14ac:dyDescent="0.35">
      <c r="A72" s="106"/>
      <c r="B72" s="94"/>
      <c r="C72"/>
      <c r="D72"/>
      <c r="E72"/>
      <c r="F72"/>
      <c r="G72"/>
      <c r="H72"/>
      <c r="I72"/>
      <c r="J72"/>
      <c r="K72"/>
      <c r="L72"/>
      <c r="M72"/>
      <c r="N72"/>
      <c r="O72"/>
      <c r="P72"/>
      <c r="Q72"/>
      <c r="R72"/>
      <c r="S72"/>
      <c r="T72"/>
    </row>
    <row r="73" spans="1:20" s="84" customFormat="1" x14ac:dyDescent="0.3">
      <c r="A73" s="106"/>
      <c r="B73" s="94"/>
      <c r="C73" s="95" t="s">
        <v>1</v>
      </c>
      <c r="D73" s="86" t="s">
        <v>2</v>
      </c>
      <c r="E73" s="86" t="s">
        <v>3</v>
      </c>
      <c r="F73" s="86" t="s">
        <v>4</v>
      </c>
      <c r="G73" s="86" t="s">
        <v>311</v>
      </c>
      <c r="H73" s="86" t="s">
        <v>309</v>
      </c>
      <c r="I73" s="86" t="s">
        <v>310</v>
      </c>
      <c r="J73" s="86" t="s">
        <v>41</v>
      </c>
      <c r="K73" s="86" t="s">
        <v>258</v>
      </c>
      <c r="L73" s="86" t="s">
        <v>259</v>
      </c>
      <c r="M73" s="86" t="s">
        <v>260</v>
      </c>
      <c r="N73" s="86" t="s">
        <v>261</v>
      </c>
      <c r="O73" s="86" t="s">
        <v>262</v>
      </c>
      <c r="P73" s="86" t="s">
        <v>263</v>
      </c>
      <c r="Q73" s="86" t="s">
        <v>264</v>
      </c>
      <c r="R73" s="86" t="s">
        <v>265</v>
      </c>
      <c r="S73" s="86" t="s">
        <v>266</v>
      </c>
      <c r="T73" s="73" t="s">
        <v>182</v>
      </c>
    </row>
    <row r="74" spans="1:20" s="84" customFormat="1" x14ac:dyDescent="0.3">
      <c r="A74" s="106"/>
      <c r="B74" s="94"/>
      <c r="C74" s="96" t="s">
        <v>336</v>
      </c>
      <c r="D74" s="91" t="str">
        <f>$C$71</f>
        <v>KMS</v>
      </c>
      <c r="E74" s="91" t="s">
        <v>279</v>
      </c>
      <c r="F74" s="91" t="s">
        <v>312</v>
      </c>
      <c r="G74" s="100">
        <v>231663514</v>
      </c>
      <c r="H74" s="100">
        <v>231663514</v>
      </c>
      <c r="I74" s="101">
        <v>0</v>
      </c>
      <c r="J74" s="101">
        <v>0</v>
      </c>
      <c r="K74" s="101">
        <v>0</v>
      </c>
      <c r="L74" s="101">
        <v>0</v>
      </c>
      <c r="M74" s="101">
        <v>0</v>
      </c>
      <c r="N74" s="101">
        <v>0</v>
      </c>
      <c r="O74" s="101">
        <v>0</v>
      </c>
      <c r="P74" s="101">
        <v>0</v>
      </c>
      <c r="Q74" s="101">
        <v>0</v>
      </c>
      <c r="R74" s="101">
        <v>0</v>
      </c>
      <c r="S74" s="101">
        <v>0</v>
      </c>
      <c r="T74" s="76">
        <v>0</v>
      </c>
    </row>
    <row r="75" spans="1:20" s="84" customFormat="1" x14ac:dyDescent="0.3">
      <c r="A75" s="106"/>
      <c r="B75" s="94"/>
      <c r="C75" s="97" t="s">
        <v>336</v>
      </c>
      <c r="D75" s="89" t="str">
        <f t="shared" ref="D75:D78" si="37">$C$71</f>
        <v>KMS</v>
      </c>
      <c r="E75" s="89" t="s">
        <v>279</v>
      </c>
      <c r="F75" s="89" t="s">
        <v>313</v>
      </c>
      <c r="G75" s="102">
        <v>0</v>
      </c>
      <c r="H75" s="102">
        <v>0</v>
      </c>
      <c r="I75" s="103">
        <v>0</v>
      </c>
      <c r="J75" s="103">
        <v>0</v>
      </c>
      <c r="K75" s="103">
        <v>0</v>
      </c>
      <c r="L75" s="103">
        <v>0</v>
      </c>
      <c r="M75" s="103">
        <v>0</v>
      </c>
      <c r="N75" s="103">
        <v>0</v>
      </c>
      <c r="O75" s="103">
        <v>0</v>
      </c>
      <c r="P75" s="103">
        <v>0</v>
      </c>
      <c r="Q75" s="103">
        <v>0</v>
      </c>
      <c r="R75" s="103">
        <v>0</v>
      </c>
      <c r="S75" s="103">
        <v>0</v>
      </c>
      <c r="T75" s="77">
        <v>0</v>
      </c>
    </row>
    <row r="76" spans="1:20" s="84" customFormat="1" x14ac:dyDescent="0.3">
      <c r="A76" s="106"/>
      <c r="B76" s="94"/>
      <c r="C76" s="97" t="s">
        <v>336</v>
      </c>
      <c r="D76" s="89" t="str">
        <f t="shared" si="37"/>
        <v>KMS</v>
      </c>
      <c r="E76" s="89" t="s">
        <v>279</v>
      </c>
      <c r="F76" s="89" t="s">
        <v>314</v>
      </c>
      <c r="G76" s="102">
        <v>0</v>
      </c>
      <c r="H76" s="102">
        <v>0</v>
      </c>
      <c r="I76" s="103">
        <v>0</v>
      </c>
      <c r="J76" s="103">
        <v>0</v>
      </c>
      <c r="K76" s="103">
        <v>0</v>
      </c>
      <c r="L76" s="103">
        <v>0</v>
      </c>
      <c r="M76" s="103">
        <v>0</v>
      </c>
      <c r="N76" s="103">
        <v>0</v>
      </c>
      <c r="O76" s="103">
        <v>0</v>
      </c>
      <c r="P76" s="103">
        <v>0</v>
      </c>
      <c r="Q76" s="103">
        <v>0</v>
      </c>
      <c r="R76" s="103">
        <v>0</v>
      </c>
      <c r="S76" s="103">
        <v>0</v>
      </c>
      <c r="T76" s="77">
        <v>0</v>
      </c>
    </row>
    <row r="77" spans="1:20" s="84" customFormat="1" x14ac:dyDescent="0.3">
      <c r="A77" s="106"/>
      <c r="B77" s="94"/>
      <c r="C77" s="97" t="s">
        <v>336</v>
      </c>
      <c r="D77" s="89" t="str">
        <f t="shared" si="37"/>
        <v>KMS</v>
      </c>
      <c r="E77" s="89" t="s">
        <v>279</v>
      </c>
      <c r="F77" s="89" t="s">
        <v>315</v>
      </c>
      <c r="G77" s="102">
        <v>0</v>
      </c>
      <c r="H77" s="102">
        <v>0</v>
      </c>
      <c r="I77" s="103">
        <v>0</v>
      </c>
      <c r="J77" s="103">
        <v>0</v>
      </c>
      <c r="K77" s="103">
        <v>0</v>
      </c>
      <c r="L77" s="103">
        <v>0</v>
      </c>
      <c r="M77" s="103">
        <v>0</v>
      </c>
      <c r="N77" s="103">
        <v>0</v>
      </c>
      <c r="O77" s="103">
        <v>0</v>
      </c>
      <c r="P77" s="103">
        <v>0</v>
      </c>
      <c r="Q77" s="103">
        <v>0</v>
      </c>
      <c r="R77" s="103">
        <v>0</v>
      </c>
      <c r="S77" s="103">
        <v>0</v>
      </c>
      <c r="T77" s="77">
        <v>0</v>
      </c>
    </row>
    <row r="78" spans="1:20" s="84" customFormat="1" x14ac:dyDescent="0.3">
      <c r="A78" s="106"/>
      <c r="B78" s="94"/>
      <c r="C78" s="97" t="s">
        <v>336</v>
      </c>
      <c r="D78" s="89" t="str">
        <f t="shared" si="37"/>
        <v>KMS</v>
      </c>
      <c r="E78" s="89" t="s">
        <v>279</v>
      </c>
      <c r="F78" s="89" t="s">
        <v>151</v>
      </c>
      <c r="G78" s="102">
        <v>0</v>
      </c>
      <c r="H78" s="102">
        <v>0</v>
      </c>
      <c r="I78" s="103">
        <v>0</v>
      </c>
      <c r="J78" s="103">
        <v>0</v>
      </c>
      <c r="K78" s="103">
        <v>0</v>
      </c>
      <c r="L78" s="103">
        <v>0</v>
      </c>
      <c r="M78" s="103">
        <v>0</v>
      </c>
      <c r="N78" s="103">
        <v>0</v>
      </c>
      <c r="O78" s="103">
        <v>0</v>
      </c>
      <c r="P78" s="103">
        <v>0</v>
      </c>
      <c r="Q78" s="103">
        <v>0</v>
      </c>
      <c r="R78" s="103">
        <v>0</v>
      </c>
      <c r="S78" s="103">
        <v>0</v>
      </c>
      <c r="T78" s="77">
        <v>0</v>
      </c>
    </row>
    <row r="79" spans="1:20" s="84" customFormat="1" x14ac:dyDescent="0.3">
      <c r="A79" s="106"/>
      <c r="B79" s="94"/>
      <c r="C79" s="98" t="s">
        <v>320</v>
      </c>
      <c r="D79" s="90"/>
      <c r="E79" s="90"/>
      <c r="F79" s="90"/>
      <c r="G79" s="422">
        <f>SUM(G74:G78)</f>
        <v>231663514</v>
      </c>
      <c r="H79" s="422">
        <f>SUM(H74:H78)</f>
        <v>231663514</v>
      </c>
      <c r="I79" s="422">
        <f>SUM(I74:I78)</f>
        <v>0</v>
      </c>
      <c r="J79" s="422">
        <f t="shared" ref="J79:T79" si="38">SUM(J74:J78)</f>
        <v>0</v>
      </c>
      <c r="K79" s="422">
        <f t="shared" si="38"/>
        <v>0</v>
      </c>
      <c r="L79" s="422">
        <f t="shared" si="38"/>
        <v>0</v>
      </c>
      <c r="M79" s="422">
        <f t="shared" si="38"/>
        <v>0</v>
      </c>
      <c r="N79" s="422">
        <f t="shared" si="38"/>
        <v>0</v>
      </c>
      <c r="O79" s="422">
        <f t="shared" si="38"/>
        <v>0</v>
      </c>
      <c r="P79" s="422">
        <f t="shared" si="38"/>
        <v>0</v>
      </c>
      <c r="Q79" s="422">
        <f t="shared" si="38"/>
        <v>0</v>
      </c>
      <c r="R79" s="422">
        <f t="shared" si="38"/>
        <v>0</v>
      </c>
      <c r="S79" s="422">
        <f t="shared" si="38"/>
        <v>0</v>
      </c>
      <c r="T79" s="74">
        <f t="shared" si="38"/>
        <v>0</v>
      </c>
    </row>
    <row r="80" spans="1:20" s="84" customFormat="1" x14ac:dyDescent="0.3">
      <c r="A80" s="106"/>
      <c r="B80" s="94"/>
      <c r="C80" s="97" t="s">
        <v>336</v>
      </c>
      <c r="D80" s="89" t="str">
        <f>$C$71</f>
        <v>KMS</v>
      </c>
      <c r="E80" s="89" t="s">
        <v>152</v>
      </c>
      <c r="F80" s="89" t="s">
        <v>153</v>
      </c>
      <c r="G80" s="102">
        <v>271323216</v>
      </c>
      <c r="H80" s="102">
        <v>0</v>
      </c>
      <c r="I80" s="102">
        <v>271323216</v>
      </c>
      <c r="J80" s="102">
        <v>0</v>
      </c>
      <c r="K80" s="102">
        <v>45220536</v>
      </c>
      <c r="L80" s="102">
        <v>45220536</v>
      </c>
      <c r="M80" s="102">
        <v>45220536</v>
      </c>
      <c r="N80" s="102">
        <v>45220536</v>
      </c>
      <c r="O80" s="102">
        <v>45220536</v>
      </c>
      <c r="P80" s="102">
        <v>45220536</v>
      </c>
      <c r="Q80" s="102">
        <v>0</v>
      </c>
      <c r="R80" s="102">
        <v>0</v>
      </c>
      <c r="S80" s="102">
        <v>0</v>
      </c>
      <c r="T80" s="71">
        <v>0</v>
      </c>
    </row>
    <row r="81" spans="1:20" s="84" customFormat="1" x14ac:dyDescent="0.3">
      <c r="A81" s="106"/>
      <c r="B81" s="94"/>
      <c r="C81" s="97" t="s">
        <v>336</v>
      </c>
      <c r="D81" s="89" t="str">
        <f t="shared" ref="D81:D84" si="39">$C$71</f>
        <v>KMS</v>
      </c>
      <c r="E81" s="89" t="s">
        <v>316</v>
      </c>
      <c r="F81" s="89" t="s">
        <v>318</v>
      </c>
      <c r="G81" s="102">
        <v>0</v>
      </c>
      <c r="H81" s="102">
        <v>0</v>
      </c>
      <c r="I81" s="102">
        <v>0</v>
      </c>
      <c r="J81" s="102">
        <v>0</v>
      </c>
      <c r="K81" s="102">
        <v>0</v>
      </c>
      <c r="L81" s="102">
        <v>0</v>
      </c>
      <c r="M81" s="102">
        <v>0</v>
      </c>
      <c r="N81" s="102">
        <v>0</v>
      </c>
      <c r="O81" s="102">
        <v>0</v>
      </c>
      <c r="P81" s="102">
        <v>0</v>
      </c>
      <c r="Q81" s="102">
        <v>0</v>
      </c>
      <c r="R81" s="102">
        <v>0</v>
      </c>
      <c r="S81" s="102">
        <v>0</v>
      </c>
      <c r="T81" s="71">
        <v>0</v>
      </c>
    </row>
    <row r="82" spans="1:20" s="84" customFormat="1" x14ac:dyDescent="0.3">
      <c r="A82" s="106"/>
      <c r="B82" s="94"/>
      <c r="C82" s="97" t="s">
        <v>336</v>
      </c>
      <c r="D82" s="89" t="str">
        <f t="shared" si="39"/>
        <v>KMS</v>
      </c>
      <c r="E82" s="89" t="s">
        <v>316</v>
      </c>
      <c r="F82" s="89" t="s">
        <v>151</v>
      </c>
      <c r="G82" s="102">
        <v>0</v>
      </c>
      <c r="H82" s="102">
        <v>0</v>
      </c>
      <c r="I82" s="102">
        <v>0</v>
      </c>
      <c r="J82" s="102">
        <v>0</v>
      </c>
      <c r="K82" s="102">
        <v>0</v>
      </c>
      <c r="L82" s="102">
        <v>0</v>
      </c>
      <c r="M82" s="102">
        <v>0</v>
      </c>
      <c r="N82" s="102">
        <v>0</v>
      </c>
      <c r="O82" s="102">
        <v>0</v>
      </c>
      <c r="P82" s="102">
        <v>0</v>
      </c>
      <c r="Q82" s="102">
        <v>0</v>
      </c>
      <c r="R82" s="102">
        <v>0</v>
      </c>
      <c r="S82" s="102">
        <v>0</v>
      </c>
      <c r="T82" s="71">
        <v>0</v>
      </c>
    </row>
    <row r="83" spans="1:20" s="84" customFormat="1" x14ac:dyDescent="0.3">
      <c r="A83" s="106"/>
      <c r="B83" s="94"/>
      <c r="C83" s="97" t="s">
        <v>336</v>
      </c>
      <c r="D83" s="89" t="str">
        <f t="shared" si="39"/>
        <v>KMS</v>
      </c>
      <c r="E83" s="89" t="s">
        <v>316</v>
      </c>
      <c r="F83" s="89" t="s">
        <v>151</v>
      </c>
      <c r="G83" s="102">
        <v>0</v>
      </c>
      <c r="H83" s="102">
        <v>0</v>
      </c>
      <c r="I83" s="102">
        <v>0</v>
      </c>
      <c r="J83" s="102">
        <v>0</v>
      </c>
      <c r="K83" s="102">
        <v>0</v>
      </c>
      <c r="L83" s="102">
        <v>0</v>
      </c>
      <c r="M83" s="102">
        <v>0</v>
      </c>
      <c r="N83" s="102">
        <v>0</v>
      </c>
      <c r="O83" s="102">
        <v>0</v>
      </c>
      <c r="P83" s="102">
        <v>0</v>
      </c>
      <c r="Q83" s="102">
        <v>0</v>
      </c>
      <c r="R83" s="102">
        <v>0</v>
      </c>
      <c r="S83" s="102">
        <v>0</v>
      </c>
      <c r="T83" s="71">
        <v>0</v>
      </c>
    </row>
    <row r="84" spans="1:20" s="84" customFormat="1" x14ac:dyDescent="0.3">
      <c r="A84" s="106"/>
      <c r="B84" s="94"/>
      <c r="C84" s="97" t="s">
        <v>336</v>
      </c>
      <c r="D84" s="89" t="str">
        <f t="shared" si="39"/>
        <v>KMS</v>
      </c>
      <c r="E84" s="89" t="s">
        <v>316</v>
      </c>
      <c r="F84" s="89" t="s">
        <v>151</v>
      </c>
      <c r="G84" s="102">
        <v>0</v>
      </c>
      <c r="H84" s="102">
        <v>0</v>
      </c>
      <c r="I84" s="102">
        <v>0</v>
      </c>
      <c r="J84" s="102">
        <v>0</v>
      </c>
      <c r="K84" s="102">
        <v>0</v>
      </c>
      <c r="L84" s="102">
        <v>0</v>
      </c>
      <c r="M84" s="102">
        <v>0</v>
      </c>
      <c r="N84" s="102">
        <v>0</v>
      </c>
      <c r="O84" s="102">
        <v>0</v>
      </c>
      <c r="P84" s="102">
        <v>0</v>
      </c>
      <c r="Q84" s="102">
        <v>0</v>
      </c>
      <c r="R84" s="102">
        <v>0</v>
      </c>
      <c r="S84" s="102">
        <v>0</v>
      </c>
      <c r="T84" s="71">
        <v>0</v>
      </c>
    </row>
    <row r="85" spans="1:20" s="84" customFormat="1" x14ac:dyDescent="0.3">
      <c r="A85" s="106"/>
      <c r="B85" s="94"/>
      <c r="C85" s="98" t="s">
        <v>321</v>
      </c>
      <c r="D85" s="90"/>
      <c r="E85" s="90"/>
      <c r="F85" s="90"/>
      <c r="G85" s="422">
        <f>SUM(G80:G84)</f>
        <v>271323216</v>
      </c>
      <c r="H85" s="422">
        <f>SUM(H80:H84)</f>
        <v>0</v>
      </c>
      <c r="I85" s="422">
        <f>SUM(I80:I84)</f>
        <v>271323216</v>
      </c>
      <c r="J85" s="422">
        <f t="shared" ref="J85:T85" si="40">SUM(J80:J84)</f>
        <v>0</v>
      </c>
      <c r="K85" s="422">
        <f t="shared" si="40"/>
        <v>45220536</v>
      </c>
      <c r="L85" s="422">
        <f t="shared" si="40"/>
        <v>45220536</v>
      </c>
      <c r="M85" s="422">
        <f t="shared" si="40"/>
        <v>45220536</v>
      </c>
      <c r="N85" s="422">
        <f t="shared" si="40"/>
        <v>45220536</v>
      </c>
      <c r="O85" s="422">
        <f t="shared" si="40"/>
        <v>45220536</v>
      </c>
      <c r="P85" s="422">
        <f t="shared" si="40"/>
        <v>45220536</v>
      </c>
      <c r="Q85" s="422">
        <f t="shared" si="40"/>
        <v>0</v>
      </c>
      <c r="R85" s="422">
        <f t="shared" si="40"/>
        <v>0</v>
      </c>
      <c r="S85" s="422">
        <f t="shared" si="40"/>
        <v>0</v>
      </c>
      <c r="T85" s="74">
        <f t="shared" si="40"/>
        <v>0</v>
      </c>
    </row>
    <row r="86" spans="1:20" s="84" customFormat="1" x14ac:dyDescent="0.3">
      <c r="A86" s="106"/>
      <c r="B86" s="94"/>
      <c r="C86" s="97" t="s">
        <v>336</v>
      </c>
      <c r="D86" s="89" t="str">
        <f>$C$71</f>
        <v>KMS</v>
      </c>
      <c r="E86" s="89" t="s">
        <v>317</v>
      </c>
      <c r="F86" s="89" t="s">
        <v>313</v>
      </c>
      <c r="G86" s="102">
        <v>0</v>
      </c>
      <c r="H86" s="102">
        <v>0</v>
      </c>
      <c r="I86" s="102">
        <v>0</v>
      </c>
      <c r="J86" s="102">
        <v>0</v>
      </c>
      <c r="K86" s="102">
        <v>0</v>
      </c>
      <c r="L86" s="102">
        <v>0</v>
      </c>
      <c r="M86" s="102">
        <v>0</v>
      </c>
      <c r="N86" s="102">
        <v>0</v>
      </c>
      <c r="O86" s="102">
        <v>0</v>
      </c>
      <c r="P86" s="102">
        <v>0</v>
      </c>
      <c r="Q86" s="102">
        <v>0</v>
      </c>
      <c r="R86" s="102">
        <v>0</v>
      </c>
      <c r="S86" s="102">
        <v>0</v>
      </c>
      <c r="T86" s="71">
        <v>0</v>
      </c>
    </row>
    <row r="87" spans="1:20" s="84" customFormat="1" x14ac:dyDescent="0.3">
      <c r="A87" s="106"/>
      <c r="B87" s="94"/>
      <c r="C87" s="97" t="s">
        <v>336</v>
      </c>
      <c r="D87" s="89" t="str">
        <f t="shared" ref="D87:D90" si="41">$C$71</f>
        <v>KMS</v>
      </c>
      <c r="E87" s="89" t="s">
        <v>317</v>
      </c>
      <c r="F87" s="89" t="s">
        <v>314</v>
      </c>
      <c r="G87" s="102">
        <v>0</v>
      </c>
      <c r="H87" s="102">
        <v>0</v>
      </c>
      <c r="I87" s="102">
        <v>0</v>
      </c>
      <c r="J87" s="102">
        <v>0</v>
      </c>
      <c r="K87" s="102">
        <v>0</v>
      </c>
      <c r="L87" s="102">
        <v>0</v>
      </c>
      <c r="M87" s="102">
        <v>0</v>
      </c>
      <c r="N87" s="102">
        <v>0</v>
      </c>
      <c r="O87" s="102">
        <v>0</v>
      </c>
      <c r="P87" s="102">
        <v>0</v>
      </c>
      <c r="Q87" s="102">
        <v>0</v>
      </c>
      <c r="R87" s="102">
        <v>0</v>
      </c>
      <c r="S87" s="102">
        <v>0</v>
      </c>
      <c r="T87" s="71">
        <v>0</v>
      </c>
    </row>
    <row r="88" spans="1:20" s="84" customFormat="1" x14ac:dyDescent="0.3">
      <c r="A88" s="106"/>
      <c r="B88" s="94"/>
      <c r="C88" s="97" t="s">
        <v>336</v>
      </c>
      <c r="D88" s="89" t="str">
        <f t="shared" si="41"/>
        <v>KMS</v>
      </c>
      <c r="E88" s="89" t="s">
        <v>317</v>
      </c>
      <c r="F88" s="89" t="s">
        <v>315</v>
      </c>
      <c r="G88" s="102">
        <v>0</v>
      </c>
      <c r="H88" s="102">
        <v>0</v>
      </c>
      <c r="I88" s="102">
        <v>0</v>
      </c>
      <c r="J88" s="102">
        <v>0</v>
      </c>
      <c r="K88" s="102">
        <v>0</v>
      </c>
      <c r="L88" s="102">
        <v>0</v>
      </c>
      <c r="M88" s="102">
        <v>0</v>
      </c>
      <c r="N88" s="102">
        <v>0</v>
      </c>
      <c r="O88" s="102">
        <v>0</v>
      </c>
      <c r="P88" s="102">
        <v>0</v>
      </c>
      <c r="Q88" s="102">
        <v>0</v>
      </c>
      <c r="R88" s="102">
        <v>0</v>
      </c>
      <c r="S88" s="102">
        <v>0</v>
      </c>
      <c r="T88" s="71">
        <v>0</v>
      </c>
    </row>
    <row r="89" spans="1:20" s="84" customFormat="1" x14ac:dyDescent="0.3">
      <c r="A89" s="106"/>
      <c r="B89" s="94"/>
      <c r="C89" s="97" t="s">
        <v>336</v>
      </c>
      <c r="D89" s="89" t="str">
        <f t="shared" si="41"/>
        <v>KMS</v>
      </c>
      <c r="E89" s="89" t="s">
        <v>317</v>
      </c>
      <c r="F89" s="89" t="s">
        <v>151</v>
      </c>
      <c r="G89" s="102">
        <v>0</v>
      </c>
      <c r="H89" s="102">
        <v>0</v>
      </c>
      <c r="I89" s="102">
        <v>0</v>
      </c>
      <c r="J89" s="102">
        <v>0</v>
      </c>
      <c r="K89" s="102">
        <v>0</v>
      </c>
      <c r="L89" s="102">
        <v>0</v>
      </c>
      <c r="M89" s="102">
        <v>0</v>
      </c>
      <c r="N89" s="102">
        <v>0</v>
      </c>
      <c r="O89" s="102">
        <v>0</v>
      </c>
      <c r="P89" s="102">
        <v>0</v>
      </c>
      <c r="Q89" s="102">
        <v>0</v>
      </c>
      <c r="R89" s="102">
        <v>0</v>
      </c>
      <c r="S89" s="102">
        <v>0</v>
      </c>
      <c r="T89" s="71">
        <v>0</v>
      </c>
    </row>
    <row r="90" spans="1:20" s="84" customFormat="1" x14ac:dyDescent="0.3">
      <c r="A90" s="106"/>
      <c r="B90" s="94"/>
      <c r="C90" s="97" t="s">
        <v>336</v>
      </c>
      <c r="D90" s="89" t="str">
        <f t="shared" si="41"/>
        <v>KMS</v>
      </c>
      <c r="E90" s="89" t="s">
        <v>317</v>
      </c>
      <c r="F90" s="89" t="s">
        <v>151</v>
      </c>
      <c r="G90" s="102">
        <v>0</v>
      </c>
      <c r="H90" s="102">
        <v>0</v>
      </c>
      <c r="I90" s="102">
        <v>0</v>
      </c>
      <c r="J90" s="102">
        <v>0</v>
      </c>
      <c r="K90" s="102">
        <v>0</v>
      </c>
      <c r="L90" s="102">
        <v>0</v>
      </c>
      <c r="M90" s="102">
        <v>0</v>
      </c>
      <c r="N90" s="102">
        <v>0</v>
      </c>
      <c r="O90" s="102">
        <v>0</v>
      </c>
      <c r="P90" s="102">
        <v>0</v>
      </c>
      <c r="Q90" s="102">
        <v>0</v>
      </c>
      <c r="R90" s="102">
        <v>0</v>
      </c>
      <c r="S90" s="102">
        <v>0</v>
      </c>
      <c r="T90" s="71">
        <v>0</v>
      </c>
    </row>
    <row r="91" spans="1:20" s="84" customFormat="1" ht="17.25" thickBot="1" x14ac:dyDescent="0.35">
      <c r="A91" s="106"/>
      <c r="B91" s="94"/>
      <c r="C91" s="99" t="s">
        <v>322</v>
      </c>
      <c r="D91" s="87"/>
      <c r="E91" s="87"/>
      <c r="F91" s="87"/>
      <c r="G91" s="423">
        <f>SUM(G86:G90)</f>
        <v>0</v>
      </c>
      <c r="H91" s="423">
        <f>SUM(H86:H90)</f>
        <v>0</v>
      </c>
      <c r="I91" s="423">
        <f>SUM(I86:I90)</f>
        <v>0</v>
      </c>
      <c r="J91" s="423">
        <f t="shared" ref="J91:T91" si="42">SUM(J86:J90)</f>
        <v>0</v>
      </c>
      <c r="K91" s="423">
        <f t="shared" si="42"/>
        <v>0</v>
      </c>
      <c r="L91" s="423">
        <f t="shared" si="42"/>
        <v>0</v>
      </c>
      <c r="M91" s="423">
        <f t="shared" si="42"/>
        <v>0</v>
      </c>
      <c r="N91" s="423">
        <f t="shared" si="42"/>
        <v>0</v>
      </c>
      <c r="O91" s="423">
        <f t="shared" si="42"/>
        <v>0</v>
      </c>
      <c r="P91" s="423">
        <f t="shared" si="42"/>
        <v>0</v>
      </c>
      <c r="Q91" s="423">
        <f t="shared" si="42"/>
        <v>0</v>
      </c>
      <c r="R91" s="423">
        <f t="shared" si="42"/>
        <v>0</v>
      </c>
      <c r="S91" s="423">
        <f t="shared" si="42"/>
        <v>0</v>
      </c>
      <c r="T91" s="75">
        <f t="shared" si="42"/>
        <v>0</v>
      </c>
    </row>
    <row r="92" spans="1:20" s="84" customFormat="1" x14ac:dyDescent="0.3">
      <c r="A92" s="106"/>
      <c r="B92" s="94"/>
      <c r="C92" s="82"/>
      <c r="D92" s="82"/>
      <c r="E92" s="82"/>
      <c r="F92" s="82"/>
      <c r="G92" s="83"/>
      <c r="H92" s="83"/>
      <c r="I92" s="83"/>
      <c r="J92" s="83"/>
      <c r="K92" s="83"/>
      <c r="L92" s="83"/>
      <c r="M92" s="83"/>
      <c r="N92" s="83"/>
      <c r="O92" s="83"/>
      <c r="P92" s="83"/>
      <c r="Q92" s="83"/>
      <c r="R92" s="83"/>
      <c r="S92" s="83"/>
      <c r="T92" s="83"/>
    </row>
    <row r="93" spans="1:20" s="84" customFormat="1" ht="17.25" thickBot="1" x14ac:dyDescent="0.35">
      <c r="A93" s="106"/>
      <c r="B93" s="94"/>
      <c r="C93" s="82"/>
      <c r="D93" s="82"/>
      <c r="E93" s="82"/>
      <c r="F93" s="82"/>
      <c r="G93" s="83"/>
      <c r="H93" s="83"/>
      <c r="I93" s="83"/>
      <c r="J93" s="83"/>
      <c r="K93" s="83"/>
      <c r="L93" s="83"/>
      <c r="M93" s="83"/>
      <c r="N93" s="83"/>
      <c r="O93" s="83"/>
      <c r="P93" s="83"/>
      <c r="Q93" s="83"/>
      <c r="R93" s="83"/>
      <c r="S93" s="83"/>
      <c r="T93" s="83"/>
    </row>
    <row r="94" spans="1:20" s="84" customFormat="1" x14ac:dyDescent="0.3">
      <c r="A94" s="106"/>
      <c r="B94" s="94"/>
      <c r="C94" s="658" t="s">
        <v>925</v>
      </c>
      <c r="D94" s="2"/>
      <c r="E94" s="2"/>
      <c r="F94" s="2"/>
      <c r="G94" s="663">
        <f>SUM(G102,G108,G114)</f>
        <v>2355523433.5999999</v>
      </c>
      <c r="H94" s="80">
        <f t="shared" ref="H94:T94" si="43">SUM(H102,H108,H114)</f>
        <v>1821032380</v>
      </c>
      <c r="I94" s="80">
        <f t="shared" si="43"/>
        <v>534491053.5999999</v>
      </c>
      <c r="J94" s="80">
        <f t="shared" si="43"/>
        <v>5148000</v>
      </c>
      <c r="K94" s="80">
        <f t="shared" si="43"/>
        <v>55255999.999999993</v>
      </c>
      <c r="L94" s="80">
        <f t="shared" si="43"/>
        <v>83580034</v>
      </c>
      <c r="M94" s="80">
        <f t="shared" si="43"/>
        <v>83580034</v>
      </c>
      <c r="N94" s="80">
        <f t="shared" si="43"/>
        <v>102308995.19999999</v>
      </c>
      <c r="O94" s="80">
        <f t="shared" si="43"/>
        <v>102308995.19999999</v>
      </c>
      <c r="P94" s="80">
        <f t="shared" si="43"/>
        <v>102308995.19999999</v>
      </c>
      <c r="Q94" s="80">
        <f t="shared" si="43"/>
        <v>0</v>
      </c>
      <c r="R94" s="80">
        <f t="shared" si="43"/>
        <v>0</v>
      </c>
      <c r="S94" s="80">
        <f t="shared" si="43"/>
        <v>0</v>
      </c>
      <c r="T94" s="81">
        <f t="shared" si="43"/>
        <v>0</v>
      </c>
    </row>
    <row r="95" spans="1:20" s="84" customFormat="1" ht="17.25" thickBot="1" x14ac:dyDescent="0.35">
      <c r="A95" s="106"/>
      <c r="B95" s="94"/>
      <c r="C95"/>
      <c r="D95"/>
      <c r="E95"/>
      <c r="F95"/>
      <c r="G95"/>
      <c r="H95"/>
      <c r="I95"/>
      <c r="J95"/>
      <c r="K95"/>
      <c r="L95"/>
      <c r="M95"/>
      <c r="N95"/>
      <c r="O95"/>
      <c r="P95"/>
      <c r="Q95"/>
      <c r="R95"/>
      <c r="S95"/>
      <c r="T95"/>
    </row>
    <row r="96" spans="1:20" s="84" customFormat="1" x14ac:dyDescent="0.3">
      <c r="A96" s="106"/>
      <c r="B96" s="94"/>
      <c r="C96" s="95" t="s">
        <v>1</v>
      </c>
      <c r="D96" s="86" t="s">
        <v>2</v>
      </c>
      <c r="E96" s="86" t="s">
        <v>3</v>
      </c>
      <c r="F96" s="86" t="s">
        <v>4</v>
      </c>
      <c r="G96" s="86" t="s">
        <v>311</v>
      </c>
      <c r="H96" s="86" t="s">
        <v>309</v>
      </c>
      <c r="I96" s="86" t="s">
        <v>310</v>
      </c>
      <c r="J96" s="86" t="s">
        <v>41</v>
      </c>
      <c r="K96" s="86" t="s">
        <v>258</v>
      </c>
      <c r="L96" s="86" t="s">
        <v>259</v>
      </c>
      <c r="M96" s="86" t="s">
        <v>260</v>
      </c>
      <c r="N96" s="86" t="s">
        <v>261</v>
      </c>
      <c r="O96" s="86" t="s">
        <v>262</v>
      </c>
      <c r="P96" s="86" t="s">
        <v>263</v>
      </c>
      <c r="Q96" s="86" t="s">
        <v>264</v>
      </c>
      <c r="R96" s="86" t="s">
        <v>265</v>
      </c>
      <c r="S96" s="86" t="s">
        <v>266</v>
      </c>
      <c r="T96" s="73" t="s">
        <v>182</v>
      </c>
    </row>
    <row r="97" spans="1:20" s="84" customFormat="1" x14ac:dyDescent="0.3">
      <c r="A97" s="106"/>
      <c r="B97" s="94"/>
      <c r="C97" s="96" t="s">
        <v>336</v>
      </c>
      <c r="D97" s="91" t="str">
        <f>$C$94</f>
        <v>공통</v>
      </c>
      <c r="E97" s="91" t="s">
        <v>279</v>
      </c>
      <c r="F97" s="91" t="s">
        <v>312</v>
      </c>
      <c r="G97" s="100">
        <v>225000000</v>
      </c>
      <c r="H97" s="100">
        <v>225000000</v>
      </c>
      <c r="I97" s="101">
        <v>0</v>
      </c>
      <c r="J97" s="101">
        <v>0</v>
      </c>
      <c r="K97" s="101">
        <v>0</v>
      </c>
      <c r="L97" s="101">
        <v>0</v>
      </c>
      <c r="M97" s="101">
        <v>0</v>
      </c>
      <c r="N97" s="101">
        <v>0</v>
      </c>
      <c r="O97" s="101">
        <v>0</v>
      </c>
      <c r="P97" s="101">
        <v>0</v>
      </c>
      <c r="Q97" s="101">
        <v>0</v>
      </c>
      <c r="R97" s="101">
        <v>0</v>
      </c>
      <c r="S97" s="101">
        <v>0</v>
      </c>
      <c r="T97" s="76">
        <v>0</v>
      </c>
    </row>
    <row r="98" spans="1:20" s="84" customFormat="1" x14ac:dyDescent="0.3">
      <c r="A98" s="106"/>
      <c r="B98" s="94"/>
      <c r="C98" s="97" t="s">
        <v>336</v>
      </c>
      <c r="D98" s="89" t="str">
        <f t="shared" ref="D98:D101" si="44">$C$94</f>
        <v>공통</v>
      </c>
      <c r="E98" s="89" t="s">
        <v>279</v>
      </c>
      <c r="F98" s="89" t="s">
        <v>313</v>
      </c>
      <c r="G98" s="102">
        <v>0</v>
      </c>
      <c r="H98" s="102">
        <v>0</v>
      </c>
      <c r="I98" s="103">
        <v>0</v>
      </c>
      <c r="J98" s="103">
        <v>0</v>
      </c>
      <c r="K98" s="103">
        <v>0</v>
      </c>
      <c r="L98" s="103">
        <v>0</v>
      </c>
      <c r="M98" s="103">
        <v>0</v>
      </c>
      <c r="N98" s="103">
        <v>0</v>
      </c>
      <c r="O98" s="103">
        <v>0</v>
      </c>
      <c r="P98" s="103">
        <v>0</v>
      </c>
      <c r="Q98" s="103">
        <v>0</v>
      </c>
      <c r="R98" s="103">
        <v>0</v>
      </c>
      <c r="S98" s="103">
        <v>0</v>
      </c>
      <c r="T98" s="77">
        <v>0</v>
      </c>
    </row>
    <row r="99" spans="1:20" s="84" customFormat="1" x14ac:dyDescent="0.3">
      <c r="A99" s="106"/>
      <c r="B99" s="94"/>
      <c r="C99" s="97" t="s">
        <v>336</v>
      </c>
      <c r="D99" s="89" t="str">
        <f t="shared" si="44"/>
        <v>공통</v>
      </c>
      <c r="E99" s="89" t="s">
        <v>279</v>
      </c>
      <c r="F99" s="89" t="s">
        <v>314</v>
      </c>
      <c r="G99" s="102">
        <v>1456797380</v>
      </c>
      <c r="H99" s="102">
        <v>1456797380</v>
      </c>
      <c r="I99" s="103">
        <v>0</v>
      </c>
      <c r="J99" s="103">
        <v>0</v>
      </c>
      <c r="K99" s="103">
        <v>0</v>
      </c>
      <c r="L99" s="103">
        <v>0</v>
      </c>
      <c r="M99" s="103">
        <v>0</v>
      </c>
      <c r="N99" s="103">
        <v>0</v>
      </c>
      <c r="O99" s="103">
        <v>0</v>
      </c>
      <c r="P99" s="103">
        <v>0</v>
      </c>
      <c r="Q99" s="103">
        <v>0</v>
      </c>
      <c r="R99" s="103">
        <v>0</v>
      </c>
      <c r="S99" s="103">
        <v>0</v>
      </c>
      <c r="T99" s="77">
        <v>0</v>
      </c>
    </row>
    <row r="100" spans="1:20" s="84" customFormat="1" x14ac:dyDescent="0.3">
      <c r="A100" s="106"/>
      <c r="B100" s="94"/>
      <c r="C100" s="97" t="s">
        <v>336</v>
      </c>
      <c r="D100" s="89" t="str">
        <f t="shared" si="44"/>
        <v>공통</v>
      </c>
      <c r="E100" s="89" t="s">
        <v>279</v>
      </c>
      <c r="F100" s="89" t="s">
        <v>315</v>
      </c>
      <c r="G100" s="102">
        <v>139235000</v>
      </c>
      <c r="H100" s="102">
        <v>139235000</v>
      </c>
      <c r="I100" s="103">
        <v>0</v>
      </c>
      <c r="J100" s="103">
        <v>0</v>
      </c>
      <c r="K100" s="103">
        <v>0</v>
      </c>
      <c r="L100" s="103">
        <v>0</v>
      </c>
      <c r="M100" s="103">
        <v>0</v>
      </c>
      <c r="N100" s="103">
        <v>0</v>
      </c>
      <c r="O100" s="103">
        <v>0</v>
      </c>
      <c r="P100" s="103">
        <v>0</v>
      </c>
      <c r="Q100" s="103">
        <v>0</v>
      </c>
      <c r="R100" s="103">
        <v>0</v>
      </c>
      <c r="S100" s="103">
        <v>0</v>
      </c>
      <c r="T100" s="77">
        <v>0</v>
      </c>
    </row>
    <row r="101" spans="1:20" s="84" customFormat="1" x14ac:dyDescent="0.3">
      <c r="A101" s="106"/>
      <c r="B101" s="94"/>
      <c r="C101" s="97" t="s">
        <v>336</v>
      </c>
      <c r="D101" s="89" t="str">
        <f t="shared" si="44"/>
        <v>공통</v>
      </c>
      <c r="E101" s="89" t="s">
        <v>279</v>
      </c>
      <c r="F101" s="89" t="s">
        <v>151</v>
      </c>
      <c r="G101" s="102">
        <v>0</v>
      </c>
      <c r="H101" s="102">
        <v>0</v>
      </c>
      <c r="I101" s="103">
        <v>0</v>
      </c>
      <c r="J101" s="103">
        <v>0</v>
      </c>
      <c r="K101" s="103">
        <v>0</v>
      </c>
      <c r="L101" s="103">
        <v>0</v>
      </c>
      <c r="M101" s="103">
        <v>0</v>
      </c>
      <c r="N101" s="103">
        <v>0</v>
      </c>
      <c r="O101" s="103">
        <v>0</v>
      </c>
      <c r="P101" s="103">
        <v>0</v>
      </c>
      <c r="Q101" s="103">
        <v>0</v>
      </c>
      <c r="R101" s="103">
        <v>0</v>
      </c>
      <c r="S101" s="103">
        <v>0</v>
      </c>
      <c r="T101" s="77">
        <v>0</v>
      </c>
    </row>
    <row r="102" spans="1:20" s="84" customFormat="1" x14ac:dyDescent="0.3">
      <c r="A102" s="106"/>
      <c r="B102" s="94"/>
      <c r="C102" s="98" t="s">
        <v>320</v>
      </c>
      <c r="D102" s="90"/>
      <c r="E102" s="90"/>
      <c r="F102" s="90"/>
      <c r="G102" s="422">
        <f>SUM(G97:G101)</f>
        <v>1821032380</v>
      </c>
      <c r="H102" s="422">
        <f>SUM(H97:H101)</f>
        <v>1821032380</v>
      </c>
      <c r="I102" s="422">
        <f>SUM(I97:I101)</f>
        <v>0</v>
      </c>
      <c r="J102" s="422">
        <f t="shared" ref="J102:T102" si="45">SUM(J97:J101)</f>
        <v>0</v>
      </c>
      <c r="K102" s="422">
        <f t="shared" si="45"/>
        <v>0</v>
      </c>
      <c r="L102" s="422">
        <f t="shared" si="45"/>
        <v>0</v>
      </c>
      <c r="M102" s="422">
        <f t="shared" si="45"/>
        <v>0</v>
      </c>
      <c r="N102" s="422">
        <f t="shared" si="45"/>
        <v>0</v>
      </c>
      <c r="O102" s="422">
        <f t="shared" si="45"/>
        <v>0</v>
      </c>
      <c r="P102" s="422">
        <f t="shared" si="45"/>
        <v>0</v>
      </c>
      <c r="Q102" s="422">
        <f t="shared" si="45"/>
        <v>0</v>
      </c>
      <c r="R102" s="422">
        <f t="shared" si="45"/>
        <v>0</v>
      </c>
      <c r="S102" s="422">
        <f t="shared" si="45"/>
        <v>0</v>
      </c>
      <c r="T102" s="74">
        <f t="shared" si="45"/>
        <v>0</v>
      </c>
    </row>
    <row r="103" spans="1:20" s="84" customFormat="1" x14ac:dyDescent="0.3">
      <c r="A103" s="106"/>
      <c r="B103" s="94"/>
      <c r="C103" s="97" t="s">
        <v>336</v>
      </c>
      <c r="D103" s="89" t="str">
        <f>$C$94</f>
        <v>공통</v>
      </c>
      <c r="E103" s="89" t="s">
        <v>152</v>
      </c>
      <c r="F103" s="89" t="s">
        <v>153</v>
      </c>
      <c r="G103" s="102">
        <v>0</v>
      </c>
      <c r="H103" s="102">
        <v>0</v>
      </c>
      <c r="I103" s="102">
        <v>0</v>
      </c>
      <c r="J103" s="102">
        <v>0</v>
      </c>
      <c r="K103" s="102">
        <v>0</v>
      </c>
      <c r="L103" s="102">
        <v>0</v>
      </c>
      <c r="M103" s="102">
        <v>0</v>
      </c>
      <c r="N103" s="102">
        <v>0</v>
      </c>
      <c r="O103" s="102">
        <v>0</v>
      </c>
      <c r="P103" s="102">
        <v>0</v>
      </c>
      <c r="Q103" s="102">
        <v>0</v>
      </c>
      <c r="R103" s="102">
        <v>0</v>
      </c>
      <c r="S103" s="102">
        <v>0</v>
      </c>
      <c r="T103" s="71">
        <v>0</v>
      </c>
    </row>
    <row r="104" spans="1:20" s="84" customFormat="1" x14ac:dyDescent="0.3">
      <c r="A104" s="106"/>
      <c r="B104" s="94"/>
      <c r="C104" s="97" t="s">
        <v>336</v>
      </c>
      <c r="D104" s="89" t="str">
        <f t="shared" ref="D104:D107" si="46">$C$94</f>
        <v>공통</v>
      </c>
      <c r="E104" s="89" t="s">
        <v>316</v>
      </c>
      <c r="F104" s="89" t="s">
        <v>318</v>
      </c>
      <c r="G104" s="102">
        <v>269759999.99999994</v>
      </c>
      <c r="H104" s="102">
        <v>0</v>
      </c>
      <c r="I104" s="102">
        <v>269759999.99999994</v>
      </c>
      <c r="J104" s="102">
        <v>0</v>
      </c>
      <c r="K104" s="102">
        <v>44959999.999999993</v>
      </c>
      <c r="L104" s="102">
        <v>44959999.999999993</v>
      </c>
      <c r="M104" s="102">
        <v>44959999.999999993</v>
      </c>
      <c r="N104" s="102">
        <v>44959999.999999993</v>
      </c>
      <c r="O104" s="102">
        <v>44959999.999999993</v>
      </c>
      <c r="P104" s="102">
        <v>44959999.999999993</v>
      </c>
      <c r="Q104" s="102">
        <v>0</v>
      </c>
      <c r="R104" s="102">
        <v>0</v>
      </c>
      <c r="S104" s="102">
        <v>0</v>
      </c>
      <c r="T104" s="71">
        <v>0</v>
      </c>
    </row>
    <row r="105" spans="1:20" s="84" customFormat="1" x14ac:dyDescent="0.3">
      <c r="A105" s="106"/>
      <c r="B105" s="94"/>
      <c r="C105" s="97" t="s">
        <v>336</v>
      </c>
      <c r="D105" s="89" t="str">
        <f t="shared" si="46"/>
        <v>공통</v>
      </c>
      <c r="E105" s="89" t="s">
        <v>316</v>
      </c>
      <c r="F105" s="89" t="s">
        <v>151</v>
      </c>
      <c r="G105" s="102">
        <v>0</v>
      </c>
      <c r="H105" s="102">
        <v>0</v>
      </c>
      <c r="I105" s="102">
        <v>0</v>
      </c>
      <c r="J105" s="102">
        <v>0</v>
      </c>
      <c r="K105" s="102">
        <v>0</v>
      </c>
      <c r="L105" s="102">
        <v>0</v>
      </c>
      <c r="M105" s="102">
        <v>0</v>
      </c>
      <c r="N105" s="102">
        <v>0</v>
      </c>
      <c r="O105" s="102">
        <v>0</v>
      </c>
      <c r="P105" s="102">
        <v>0</v>
      </c>
      <c r="Q105" s="102">
        <v>0</v>
      </c>
      <c r="R105" s="102">
        <v>0</v>
      </c>
      <c r="S105" s="102">
        <v>0</v>
      </c>
      <c r="T105" s="71">
        <v>0</v>
      </c>
    </row>
    <row r="106" spans="1:20" s="84" customFormat="1" x14ac:dyDescent="0.3">
      <c r="A106" s="106"/>
      <c r="B106" s="94"/>
      <c r="C106" s="97" t="s">
        <v>336</v>
      </c>
      <c r="D106" s="89" t="str">
        <f t="shared" si="46"/>
        <v>공통</v>
      </c>
      <c r="E106" s="89" t="s">
        <v>316</v>
      </c>
      <c r="F106" s="89" t="s">
        <v>151</v>
      </c>
      <c r="G106" s="102">
        <v>0</v>
      </c>
      <c r="H106" s="102">
        <v>0</v>
      </c>
      <c r="I106" s="102">
        <v>0</v>
      </c>
      <c r="J106" s="102">
        <v>0</v>
      </c>
      <c r="K106" s="102">
        <v>0</v>
      </c>
      <c r="L106" s="102">
        <v>0</v>
      </c>
      <c r="M106" s="102">
        <v>0</v>
      </c>
      <c r="N106" s="102">
        <v>0</v>
      </c>
      <c r="O106" s="102">
        <v>0</v>
      </c>
      <c r="P106" s="102">
        <v>0</v>
      </c>
      <c r="Q106" s="102">
        <v>0</v>
      </c>
      <c r="R106" s="102">
        <v>0</v>
      </c>
      <c r="S106" s="102">
        <v>0</v>
      </c>
      <c r="T106" s="71">
        <v>0</v>
      </c>
    </row>
    <row r="107" spans="1:20" s="84" customFormat="1" x14ac:dyDescent="0.3">
      <c r="A107" s="106"/>
      <c r="B107" s="94"/>
      <c r="C107" s="97" t="s">
        <v>336</v>
      </c>
      <c r="D107" s="89" t="str">
        <f t="shared" si="46"/>
        <v>공통</v>
      </c>
      <c r="E107" s="89" t="s">
        <v>316</v>
      </c>
      <c r="F107" s="89" t="s">
        <v>151</v>
      </c>
      <c r="G107" s="102">
        <v>0</v>
      </c>
      <c r="H107" s="102">
        <v>0</v>
      </c>
      <c r="I107" s="102">
        <v>0</v>
      </c>
      <c r="J107" s="102">
        <v>0</v>
      </c>
      <c r="K107" s="102">
        <v>0</v>
      </c>
      <c r="L107" s="102">
        <v>0</v>
      </c>
      <c r="M107" s="102">
        <v>0</v>
      </c>
      <c r="N107" s="102">
        <v>0</v>
      </c>
      <c r="O107" s="102">
        <v>0</v>
      </c>
      <c r="P107" s="102">
        <v>0</v>
      </c>
      <c r="Q107" s="102">
        <v>0</v>
      </c>
      <c r="R107" s="102">
        <v>0</v>
      </c>
      <c r="S107" s="102">
        <v>0</v>
      </c>
      <c r="T107" s="71">
        <v>0</v>
      </c>
    </row>
    <row r="108" spans="1:20" s="84" customFormat="1" x14ac:dyDescent="0.3">
      <c r="A108" s="106"/>
      <c r="B108" s="94"/>
      <c r="C108" s="98" t="s">
        <v>321</v>
      </c>
      <c r="D108" s="90"/>
      <c r="E108" s="90"/>
      <c r="F108" s="90"/>
      <c r="G108" s="422">
        <f>SUM(G103:G107)</f>
        <v>269759999.99999994</v>
      </c>
      <c r="H108" s="422">
        <f>SUM(H103:H107)</f>
        <v>0</v>
      </c>
      <c r="I108" s="422">
        <f>SUM(I103:I107)</f>
        <v>269759999.99999994</v>
      </c>
      <c r="J108" s="422">
        <f t="shared" ref="J108:T108" si="47">SUM(J103:J107)</f>
        <v>0</v>
      </c>
      <c r="K108" s="422">
        <f t="shared" si="47"/>
        <v>44959999.999999993</v>
      </c>
      <c r="L108" s="422">
        <f t="shared" si="47"/>
        <v>44959999.999999993</v>
      </c>
      <c r="M108" s="422">
        <f t="shared" si="47"/>
        <v>44959999.999999993</v>
      </c>
      <c r="N108" s="422">
        <f t="shared" si="47"/>
        <v>44959999.999999993</v>
      </c>
      <c r="O108" s="422">
        <f t="shared" si="47"/>
        <v>44959999.999999993</v>
      </c>
      <c r="P108" s="422">
        <f t="shared" si="47"/>
        <v>44959999.999999993</v>
      </c>
      <c r="Q108" s="422">
        <f t="shared" si="47"/>
        <v>0</v>
      </c>
      <c r="R108" s="422">
        <f t="shared" si="47"/>
        <v>0</v>
      </c>
      <c r="S108" s="422">
        <f t="shared" si="47"/>
        <v>0</v>
      </c>
      <c r="T108" s="74">
        <f t="shared" si="47"/>
        <v>0</v>
      </c>
    </row>
    <row r="109" spans="1:20" s="84" customFormat="1" x14ac:dyDescent="0.3">
      <c r="A109" s="106"/>
      <c r="B109" s="94"/>
      <c r="C109" s="97" t="s">
        <v>336</v>
      </c>
      <c r="D109" s="89" t="str">
        <f>$C$94</f>
        <v>공통</v>
      </c>
      <c r="E109" s="89" t="s">
        <v>317</v>
      </c>
      <c r="F109" s="89" t="s">
        <v>313</v>
      </c>
      <c r="G109" s="102">
        <v>0</v>
      </c>
      <c r="H109" s="102">
        <v>0</v>
      </c>
      <c r="I109" s="102">
        <v>0</v>
      </c>
      <c r="J109" s="102">
        <v>0</v>
      </c>
      <c r="K109" s="102">
        <v>0</v>
      </c>
      <c r="L109" s="102">
        <v>0</v>
      </c>
      <c r="M109" s="102">
        <v>0</v>
      </c>
      <c r="N109" s="102">
        <v>0</v>
      </c>
      <c r="O109" s="102">
        <v>0</v>
      </c>
      <c r="P109" s="102">
        <v>0</v>
      </c>
      <c r="Q109" s="102">
        <v>0</v>
      </c>
      <c r="R109" s="102">
        <v>0</v>
      </c>
      <c r="S109" s="102">
        <v>0</v>
      </c>
      <c r="T109" s="71">
        <v>0</v>
      </c>
    </row>
    <row r="110" spans="1:20" s="84" customFormat="1" x14ac:dyDescent="0.3">
      <c r="A110" s="106"/>
      <c r="B110" s="94"/>
      <c r="C110" s="97" t="s">
        <v>336</v>
      </c>
      <c r="D110" s="89" t="str">
        <f t="shared" ref="D110:D113" si="48">$C$94</f>
        <v>공통</v>
      </c>
      <c r="E110" s="89" t="s">
        <v>317</v>
      </c>
      <c r="F110" s="89" t="s">
        <v>314</v>
      </c>
      <c r="G110" s="102">
        <v>115911553.59999999</v>
      </c>
      <c r="H110" s="102">
        <v>0</v>
      </c>
      <c r="I110" s="102">
        <v>115911553.59999999</v>
      </c>
      <c r="J110" s="102">
        <v>0</v>
      </c>
      <c r="K110" s="102">
        <v>0</v>
      </c>
      <c r="L110" s="102">
        <v>11944934</v>
      </c>
      <c r="M110" s="102">
        <v>11944934</v>
      </c>
      <c r="N110" s="102">
        <v>30673895.199999999</v>
      </c>
      <c r="O110" s="102">
        <v>30673895.199999999</v>
      </c>
      <c r="P110" s="102">
        <v>30673895.199999999</v>
      </c>
      <c r="Q110" s="102">
        <v>0</v>
      </c>
      <c r="R110" s="102">
        <v>0</v>
      </c>
      <c r="S110" s="102">
        <v>0</v>
      </c>
      <c r="T110" s="71">
        <v>0</v>
      </c>
    </row>
    <row r="111" spans="1:20" s="84" customFormat="1" x14ac:dyDescent="0.3">
      <c r="A111" s="106"/>
      <c r="B111" s="94"/>
      <c r="C111" s="97" t="s">
        <v>336</v>
      </c>
      <c r="D111" s="89" t="str">
        <f t="shared" si="48"/>
        <v>공통</v>
      </c>
      <c r="E111" s="89" t="s">
        <v>317</v>
      </c>
      <c r="F111" s="89" t="s">
        <v>315</v>
      </c>
      <c r="G111" s="102">
        <v>148819500</v>
      </c>
      <c r="H111" s="102">
        <v>0</v>
      </c>
      <c r="I111" s="102">
        <v>148819500</v>
      </c>
      <c r="J111" s="102">
        <v>5148000</v>
      </c>
      <c r="K111" s="102">
        <v>10296000</v>
      </c>
      <c r="L111" s="102">
        <v>26675100</v>
      </c>
      <c r="M111" s="102">
        <v>26675100</v>
      </c>
      <c r="N111" s="102">
        <v>26675100</v>
      </c>
      <c r="O111" s="102">
        <v>26675100</v>
      </c>
      <c r="P111" s="102">
        <v>26675100</v>
      </c>
      <c r="Q111" s="102">
        <v>0</v>
      </c>
      <c r="R111" s="102">
        <v>0</v>
      </c>
      <c r="S111" s="102">
        <v>0</v>
      </c>
      <c r="T111" s="71">
        <v>0</v>
      </c>
    </row>
    <row r="112" spans="1:20" s="84" customFormat="1" x14ac:dyDescent="0.3">
      <c r="A112" s="106"/>
      <c r="B112" s="94"/>
      <c r="C112" s="97" t="s">
        <v>336</v>
      </c>
      <c r="D112" s="89" t="str">
        <f t="shared" si="48"/>
        <v>공통</v>
      </c>
      <c r="E112" s="89" t="s">
        <v>317</v>
      </c>
      <c r="F112" s="89" t="s">
        <v>151</v>
      </c>
      <c r="G112" s="102">
        <v>0</v>
      </c>
      <c r="H112" s="102">
        <v>0</v>
      </c>
      <c r="I112" s="102">
        <v>0</v>
      </c>
      <c r="J112" s="102">
        <v>0</v>
      </c>
      <c r="K112" s="102">
        <v>0</v>
      </c>
      <c r="L112" s="102">
        <v>0</v>
      </c>
      <c r="M112" s="102">
        <v>0</v>
      </c>
      <c r="N112" s="102">
        <v>0</v>
      </c>
      <c r="O112" s="102">
        <v>0</v>
      </c>
      <c r="P112" s="102">
        <v>0</v>
      </c>
      <c r="Q112" s="102">
        <v>0</v>
      </c>
      <c r="R112" s="102">
        <v>0</v>
      </c>
      <c r="S112" s="102">
        <v>0</v>
      </c>
      <c r="T112" s="71">
        <v>0</v>
      </c>
    </row>
    <row r="113" spans="1:20" s="84" customFormat="1" x14ac:dyDescent="0.3">
      <c r="A113" s="106"/>
      <c r="B113" s="94"/>
      <c r="C113" s="97" t="s">
        <v>336</v>
      </c>
      <c r="D113" s="89" t="str">
        <f t="shared" si="48"/>
        <v>공통</v>
      </c>
      <c r="E113" s="89" t="s">
        <v>317</v>
      </c>
      <c r="F113" s="89" t="s">
        <v>151</v>
      </c>
      <c r="G113" s="102">
        <v>0</v>
      </c>
      <c r="H113" s="102">
        <v>0</v>
      </c>
      <c r="I113" s="102">
        <v>0</v>
      </c>
      <c r="J113" s="102">
        <v>0</v>
      </c>
      <c r="K113" s="102">
        <v>0</v>
      </c>
      <c r="L113" s="102">
        <v>0</v>
      </c>
      <c r="M113" s="102">
        <v>0</v>
      </c>
      <c r="N113" s="102">
        <v>0</v>
      </c>
      <c r="O113" s="102">
        <v>0</v>
      </c>
      <c r="P113" s="102">
        <v>0</v>
      </c>
      <c r="Q113" s="102">
        <v>0</v>
      </c>
      <c r="R113" s="102">
        <v>0</v>
      </c>
      <c r="S113" s="102">
        <v>0</v>
      </c>
      <c r="T113" s="71">
        <v>0</v>
      </c>
    </row>
    <row r="114" spans="1:20" s="84" customFormat="1" ht="17.25" thickBot="1" x14ac:dyDescent="0.35">
      <c r="A114" s="106"/>
      <c r="B114" s="94"/>
      <c r="C114" s="99" t="s">
        <v>322</v>
      </c>
      <c r="D114" s="87"/>
      <c r="E114" s="87"/>
      <c r="F114" s="87"/>
      <c r="G114" s="423">
        <f>SUM(G109:G113)</f>
        <v>264731053.59999999</v>
      </c>
      <c r="H114" s="423">
        <f>SUM(H109:H113)</f>
        <v>0</v>
      </c>
      <c r="I114" s="423">
        <f>SUM(I109:I113)</f>
        <v>264731053.59999999</v>
      </c>
      <c r="J114" s="423">
        <f t="shared" ref="J114:T114" si="49">SUM(J109:J113)</f>
        <v>5148000</v>
      </c>
      <c r="K114" s="423">
        <f t="shared" si="49"/>
        <v>10296000</v>
      </c>
      <c r="L114" s="423">
        <f t="shared" si="49"/>
        <v>38620034</v>
      </c>
      <c r="M114" s="423">
        <f t="shared" si="49"/>
        <v>38620034</v>
      </c>
      <c r="N114" s="423">
        <f t="shared" si="49"/>
        <v>57348995.200000003</v>
      </c>
      <c r="O114" s="423">
        <f t="shared" si="49"/>
        <v>57348995.200000003</v>
      </c>
      <c r="P114" s="423">
        <f t="shared" si="49"/>
        <v>57348995.200000003</v>
      </c>
      <c r="Q114" s="423">
        <f t="shared" si="49"/>
        <v>0</v>
      </c>
      <c r="R114" s="423">
        <f t="shared" si="49"/>
        <v>0</v>
      </c>
      <c r="S114" s="423">
        <f t="shared" si="49"/>
        <v>0</v>
      </c>
      <c r="T114" s="75">
        <f t="shared" si="49"/>
        <v>0</v>
      </c>
    </row>
    <row r="115" spans="1:20" s="84" customFormat="1" x14ac:dyDescent="0.3">
      <c r="A115" s="106"/>
      <c r="B115" s="94"/>
      <c r="C115" s="82"/>
      <c r="D115" s="82"/>
      <c r="E115" s="82"/>
      <c r="F115" s="82"/>
      <c r="G115" s="83"/>
      <c r="H115" s="83"/>
      <c r="I115" s="83"/>
      <c r="J115" s="83"/>
      <c r="K115" s="83"/>
      <c r="L115" s="83"/>
      <c r="M115" s="83"/>
      <c r="N115" s="83"/>
      <c r="O115" s="83"/>
      <c r="P115" s="83"/>
      <c r="Q115" s="83"/>
      <c r="R115" s="83"/>
      <c r="S115" s="83"/>
      <c r="T115" s="83"/>
    </row>
    <row r="116" spans="1:20" s="84" customFormat="1" x14ac:dyDescent="0.3">
      <c r="A116" s="106"/>
      <c r="B116" s="94"/>
      <c r="C116" s="82"/>
      <c r="D116" s="82"/>
      <c r="E116" s="82"/>
      <c r="F116" s="82"/>
      <c r="G116" s="83"/>
      <c r="H116" s="83"/>
      <c r="I116" s="83"/>
      <c r="J116" s="83"/>
      <c r="K116" s="83"/>
      <c r="L116" s="83"/>
      <c r="M116" s="83"/>
      <c r="N116" s="83"/>
      <c r="O116" s="83"/>
      <c r="P116" s="83"/>
      <c r="Q116" s="83"/>
      <c r="R116" s="83"/>
      <c r="S116" s="83"/>
      <c r="T116" s="83"/>
    </row>
    <row r="117" spans="1:20" s="84" customFormat="1" x14ac:dyDescent="0.3">
      <c r="A117" s="106"/>
      <c r="B117" s="94"/>
      <c r="C117" s="82"/>
      <c r="D117" s="82"/>
      <c r="E117" s="82"/>
      <c r="F117" s="82" t="s">
        <v>1221</v>
      </c>
      <c r="G117" s="83">
        <f>SUM(G94,G71,G48,G25,G2)</f>
        <v>4916927663.6000004</v>
      </c>
      <c r="H117" s="83"/>
      <c r="I117" s="83"/>
      <c r="J117" s="83"/>
      <c r="K117" s="83"/>
      <c r="L117" s="83"/>
      <c r="M117" s="83"/>
      <c r="N117" s="83"/>
      <c r="O117" s="83"/>
      <c r="P117" s="83"/>
      <c r="Q117" s="83"/>
      <c r="R117" s="83"/>
      <c r="S117" s="83"/>
      <c r="T117" s="83"/>
    </row>
    <row r="118" spans="1:20" s="84" customFormat="1" x14ac:dyDescent="0.3">
      <c r="A118" s="106"/>
      <c r="B118" s="94"/>
      <c r="C118" s="660" t="s">
        <v>1219</v>
      </c>
      <c r="D118" s="661"/>
      <c r="E118" s="661"/>
      <c r="F118" s="661"/>
      <c r="G118" s="662"/>
      <c r="H118" s="85"/>
      <c r="I118" s="85"/>
      <c r="J118" s="85"/>
      <c r="K118" s="85"/>
      <c r="L118" s="85"/>
      <c r="M118" s="85"/>
      <c r="N118" s="85"/>
      <c r="O118" s="85"/>
      <c r="P118" s="85"/>
      <c r="Q118" s="85"/>
      <c r="R118" s="85"/>
      <c r="S118" s="85"/>
      <c r="T118" s="85"/>
    </row>
    <row r="119" spans="1:20" s="84" customFormat="1" x14ac:dyDescent="0.3">
      <c r="A119" s="106"/>
      <c r="B119" s="94"/>
      <c r="C119" s="661"/>
      <c r="D119" s="661"/>
      <c r="E119" s="661"/>
      <c r="F119" s="661"/>
      <c r="G119" s="662"/>
      <c r="H119" s="85"/>
      <c r="I119" s="85"/>
      <c r="J119" s="85"/>
      <c r="K119" s="85"/>
      <c r="L119" s="85"/>
      <c r="M119" s="85"/>
      <c r="N119" s="85"/>
      <c r="O119" s="85"/>
      <c r="P119" s="85"/>
      <c r="Q119" s="85"/>
      <c r="R119" s="85"/>
      <c r="S119" s="85"/>
      <c r="T119" s="85"/>
    </row>
    <row r="120" spans="1:20" s="84" customFormat="1" x14ac:dyDescent="0.3">
      <c r="A120" s="106"/>
      <c r="B120" s="94"/>
      <c r="C120" s="82"/>
      <c r="D120" s="82"/>
      <c r="E120" s="82"/>
      <c r="F120" s="82" t="s">
        <v>1220</v>
      </c>
      <c r="G120" s="83">
        <f>SUM(G122,G146,G170,G194)</f>
        <v>4916927663.6000004</v>
      </c>
      <c r="H120" s="83"/>
      <c r="I120" s="83"/>
      <c r="J120" s="83"/>
      <c r="K120" s="83"/>
      <c r="L120" s="83"/>
      <c r="M120" s="83"/>
      <c r="N120" s="83"/>
      <c r="O120" s="83"/>
      <c r="P120" s="83"/>
      <c r="Q120" s="83"/>
      <c r="R120" s="83"/>
      <c r="S120" s="83"/>
      <c r="T120" s="83"/>
    </row>
    <row r="121" spans="1:20" s="84" customFormat="1" ht="17.25" thickBot="1" x14ac:dyDescent="0.35">
      <c r="A121" s="106"/>
      <c r="B121" s="94"/>
      <c r="C121" s="82"/>
      <c r="D121" s="82"/>
      <c r="E121" s="82"/>
      <c r="F121" s="82"/>
      <c r="G121" s="83"/>
      <c r="H121" s="83"/>
      <c r="I121" s="83"/>
      <c r="J121" s="83"/>
      <c r="K121" s="83"/>
      <c r="L121" s="83"/>
      <c r="M121" s="83"/>
      <c r="N121" s="83"/>
      <c r="O121" s="83"/>
      <c r="P121" s="83"/>
      <c r="Q121" s="83"/>
      <c r="R121" s="83"/>
      <c r="S121" s="83"/>
      <c r="T121" s="83"/>
    </row>
    <row r="122" spans="1:20" x14ac:dyDescent="0.3">
      <c r="C122" s="658" t="s">
        <v>323</v>
      </c>
      <c r="G122" s="663">
        <f>SUM(G130,G136,G142)</f>
        <v>2283417500</v>
      </c>
      <c r="H122" s="80">
        <f t="shared" ref="H122:S122" si="50">SUM(H130,H136,H142)</f>
        <v>1517145000</v>
      </c>
      <c r="I122" s="80">
        <f t="shared" si="50"/>
        <v>766272500</v>
      </c>
      <c r="J122" s="80">
        <f t="shared" si="50"/>
        <v>15600000</v>
      </c>
      <c r="K122" s="80">
        <f t="shared" si="50"/>
        <v>93600000</v>
      </c>
      <c r="L122" s="80">
        <f t="shared" si="50"/>
        <v>131414500</v>
      </c>
      <c r="M122" s="80">
        <f t="shared" si="50"/>
        <v>131414500</v>
      </c>
      <c r="N122" s="80">
        <f t="shared" si="50"/>
        <v>131414500</v>
      </c>
      <c r="O122" s="80">
        <f t="shared" si="50"/>
        <v>131414500</v>
      </c>
      <c r="P122" s="80">
        <f t="shared" si="50"/>
        <v>131414500</v>
      </c>
      <c r="Q122" s="80">
        <f t="shared" si="50"/>
        <v>0</v>
      </c>
      <c r="R122" s="80">
        <f t="shared" si="50"/>
        <v>0</v>
      </c>
      <c r="S122" s="80">
        <f t="shared" si="50"/>
        <v>0</v>
      </c>
      <c r="T122" s="81"/>
    </row>
    <row r="123" spans="1:20" ht="5.45" customHeight="1" thickBot="1" x14ac:dyDescent="0.35"/>
    <row r="124" spans="1:20" x14ac:dyDescent="0.3">
      <c r="C124" s="95" t="s">
        <v>319</v>
      </c>
      <c r="D124" s="86" t="s">
        <v>2</v>
      </c>
      <c r="E124" s="86" t="s">
        <v>3</v>
      </c>
      <c r="F124" s="86" t="s">
        <v>4</v>
      </c>
      <c r="G124" s="86" t="s">
        <v>311</v>
      </c>
      <c r="H124" s="86" t="s">
        <v>309</v>
      </c>
      <c r="I124" s="86" t="s">
        <v>310</v>
      </c>
      <c r="J124" s="86" t="s">
        <v>41</v>
      </c>
      <c r="K124" s="86" t="s">
        <v>258</v>
      </c>
      <c r="L124" s="86" t="s">
        <v>259</v>
      </c>
      <c r="M124" s="86" t="s">
        <v>260</v>
      </c>
      <c r="N124" s="86" t="s">
        <v>261</v>
      </c>
      <c r="O124" s="86" t="s">
        <v>262</v>
      </c>
      <c r="P124" s="86" t="s">
        <v>263</v>
      </c>
      <c r="Q124" s="86" t="s">
        <v>264</v>
      </c>
      <c r="R124" s="86" t="s">
        <v>265</v>
      </c>
      <c r="S124" s="86" t="s">
        <v>266</v>
      </c>
      <c r="T124" s="73" t="s">
        <v>182</v>
      </c>
    </row>
    <row r="125" spans="1:20" x14ac:dyDescent="0.3">
      <c r="C125" s="96" t="s">
        <v>336</v>
      </c>
      <c r="D125" s="91" t="str">
        <f>$C$122</f>
        <v>KTH</v>
      </c>
      <c r="E125" s="91" t="s">
        <v>279</v>
      </c>
      <c r="F125" s="91" t="s">
        <v>312</v>
      </c>
      <c r="G125" s="407">
        <v>1168000000</v>
      </c>
      <c r="H125" s="407">
        <v>1168000000</v>
      </c>
      <c r="I125" s="408">
        <v>0</v>
      </c>
      <c r="J125" s="408">
        <v>0</v>
      </c>
      <c r="K125" s="408">
        <v>0</v>
      </c>
      <c r="L125" s="408">
        <v>0</v>
      </c>
      <c r="M125" s="408">
        <v>0</v>
      </c>
      <c r="N125" s="408">
        <v>0</v>
      </c>
      <c r="O125" s="408">
        <v>0</v>
      </c>
      <c r="P125" s="408">
        <v>0</v>
      </c>
      <c r="Q125" s="408">
        <v>0</v>
      </c>
      <c r="R125" s="408">
        <v>0</v>
      </c>
      <c r="S125" s="408">
        <v>0</v>
      </c>
      <c r="T125" s="409">
        <v>0</v>
      </c>
    </row>
    <row r="126" spans="1:20" x14ac:dyDescent="0.3">
      <c r="C126" s="97" t="s">
        <v>336</v>
      </c>
      <c r="D126" s="89" t="str">
        <f t="shared" ref="D126:D129" si="51">$C$122</f>
        <v>KTH</v>
      </c>
      <c r="E126" s="89" t="s">
        <v>279</v>
      </c>
      <c r="F126" s="89" t="s">
        <v>313</v>
      </c>
      <c r="G126" s="410">
        <v>289145000</v>
      </c>
      <c r="H126" s="410">
        <v>289145000</v>
      </c>
      <c r="I126" s="411">
        <v>0</v>
      </c>
      <c r="J126" s="411">
        <v>0</v>
      </c>
      <c r="K126" s="411">
        <v>0</v>
      </c>
      <c r="L126" s="411">
        <v>0</v>
      </c>
      <c r="M126" s="411">
        <v>0</v>
      </c>
      <c r="N126" s="411">
        <v>0</v>
      </c>
      <c r="O126" s="411">
        <v>0</v>
      </c>
      <c r="P126" s="411">
        <v>0</v>
      </c>
      <c r="Q126" s="411">
        <v>0</v>
      </c>
      <c r="R126" s="411">
        <v>0</v>
      </c>
      <c r="S126" s="411">
        <v>0</v>
      </c>
      <c r="T126" s="412">
        <v>0</v>
      </c>
    </row>
    <row r="127" spans="1:20" x14ac:dyDescent="0.3">
      <c r="C127" s="97" t="s">
        <v>336</v>
      </c>
      <c r="D127" s="89" t="str">
        <f t="shared" si="51"/>
        <v>KTH</v>
      </c>
      <c r="E127" s="89" t="s">
        <v>279</v>
      </c>
      <c r="F127" s="89" t="s">
        <v>314</v>
      </c>
      <c r="G127" s="410">
        <v>0</v>
      </c>
      <c r="H127" s="410">
        <v>0</v>
      </c>
      <c r="I127" s="411">
        <v>0</v>
      </c>
      <c r="J127" s="411">
        <v>0</v>
      </c>
      <c r="K127" s="411">
        <v>0</v>
      </c>
      <c r="L127" s="411">
        <v>0</v>
      </c>
      <c r="M127" s="411">
        <v>0</v>
      </c>
      <c r="N127" s="411">
        <v>0</v>
      </c>
      <c r="O127" s="411">
        <v>0</v>
      </c>
      <c r="P127" s="411">
        <v>0</v>
      </c>
      <c r="Q127" s="411">
        <v>0</v>
      </c>
      <c r="R127" s="411">
        <v>0</v>
      </c>
      <c r="S127" s="411">
        <v>0</v>
      </c>
      <c r="T127" s="412">
        <v>0</v>
      </c>
    </row>
    <row r="128" spans="1:20" x14ac:dyDescent="0.3">
      <c r="C128" s="97" t="s">
        <v>797</v>
      </c>
      <c r="D128" s="89" t="str">
        <f t="shared" si="51"/>
        <v>KTH</v>
      </c>
      <c r="E128" s="89" t="s">
        <v>279</v>
      </c>
      <c r="F128" s="89" t="s">
        <v>315</v>
      </c>
      <c r="G128" s="410">
        <v>60000000</v>
      </c>
      <c r="H128" s="410">
        <v>60000000</v>
      </c>
      <c r="I128" s="411">
        <v>0</v>
      </c>
      <c r="J128" s="411">
        <v>0</v>
      </c>
      <c r="K128" s="411">
        <v>0</v>
      </c>
      <c r="L128" s="411">
        <v>0</v>
      </c>
      <c r="M128" s="411">
        <v>0</v>
      </c>
      <c r="N128" s="411">
        <v>0</v>
      </c>
      <c r="O128" s="411">
        <v>0</v>
      </c>
      <c r="P128" s="411">
        <v>0</v>
      </c>
      <c r="Q128" s="411">
        <v>0</v>
      </c>
      <c r="R128" s="411">
        <v>0</v>
      </c>
      <c r="S128" s="411">
        <v>0</v>
      </c>
      <c r="T128" s="412">
        <v>0</v>
      </c>
    </row>
    <row r="129" spans="3:20" x14ac:dyDescent="0.3">
      <c r="C129" s="109" t="s">
        <v>424</v>
      </c>
      <c r="D129" s="89" t="str">
        <f t="shared" si="51"/>
        <v>KTH</v>
      </c>
      <c r="E129" s="110" t="s">
        <v>279</v>
      </c>
      <c r="F129" s="110" t="s">
        <v>151</v>
      </c>
      <c r="G129" s="410">
        <v>0</v>
      </c>
      <c r="H129" s="410">
        <v>0</v>
      </c>
      <c r="I129" s="411">
        <v>0</v>
      </c>
      <c r="J129" s="411">
        <v>0</v>
      </c>
      <c r="K129" s="411">
        <v>0</v>
      </c>
      <c r="L129" s="411">
        <v>0</v>
      </c>
      <c r="M129" s="411">
        <v>0</v>
      </c>
      <c r="N129" s="411">
        <v>0</v>
      </c>
      <c r="O129" s="411">
        <v>0</v>
      </c>
      <c r="P129" s="411">
        <v>0</v>
      </c>
      <c r="Q129" s="411">
        <v>0</v>
      </c>
      <c r="R129" s="411">
        <v>0</v>
      </c>
      <c r="S129" s="411">
        <v>0</v>
      </c>
      <c r="T129" s="412">
        <v>0</v>
      </c>
    </row>
    <row r="130" spans="3:20" x14ac:dyDescent="0.3">
      <c r="C130" s="98" t="s">
        <v>257</v>
      </c>
      <c r="D130" s="90"/>
      <c r="E130" s="90"/>
      <c r="F130" s="90"/>
      <c r="G130" s="413">
        <f>SUM(G125:G129)</f>
        <v>1517145000</v>
      </c>
      <c r="H130" s="413">
        <f>SUM(H125:H129)</f>
        <v>1517145000</v>
      </c>
      <c r="I130" s="413">
        <f>SUM(I125:I129)</f>
        <v>0</v>
      </c>
      <c r="J130" s="413">
        <f t="shared" ref="J130" si="52">SUM(J125:J129)</f>
        <v>0</v>
      </c>
      <c r="K130" s="413">
        <f t="shared" ref="K130" si="53">SUM(K125:K129)</f>
        <v>0</v>
      </c>
      <c r="L130" s="413">
        <f t="shared" ref="L130" si="54">SUM(L125:L129)</f>
        <v>0</v>
      </c>
      <c r="M130" s="413">
        <f t="shared" ref="M130" si="55">SUM(M125:M129)</f>
        <v>0</v>
      </c>
      <c r="N130" s="413">
        <f t="shared" ref="N130" si="56">SUM(N125:N129)</f>
        <v>0</v>
      </c>
      <c r="O130" s="413">
        <f t="shared" ref="O130" si="57">SUM(O125:O129)</f>
        <v>0</v>
      </c>
      <c r="P130" s="413">
        <f t="shared" ref="P130" si="58">SUM(P125:P129)</f>
        <v>0</v>
      </c>
      <c r="Q130" s="413">
        <f t="shared" ref="Q130" si="59">SUM(Q125:Q129)</f>
        <v>0</v>
      </c>
      <c r="R130" s="413">
        <f t="shared" ref="R130" si="60">SUM(R125:R129)</f>
        <v>0</v>
      </c>
      <c r="S130" s="413">
        <f t="shared" ref="S130" si="61">SUM(S125:S129)</f>
        <v>0</v>
      </c>
      <c r="T130" s="414">
        <f t="shared" ref="T130" si="62">SUM(T125:T129)</f>
        <v>0</v>
      </c>
    </row>
    <row r="131" spans="3:20" ht="20.45" customHeight="1" x14ac:dyDescent="0.3">
      <c r="C131" s="97" t="s">
        <v>336</v>
      </c>
      <c r="D131" s="89" t="str">
        <f>$C$122</f>
        <v>KTH</v>
      </c>
      <c r="E131" s="89" t="s">
        <v>152</v>
      </c>
      <c r="F131" s="89" t="s">
        <v>153</v>
      </c>
      <c r="G131" s="410">
        <v>577200000</v>
      </c>
      <c r="H131" s="410">
        <v>0</v>
      </c>
      <c r="I131" s="410">
        <v>577200000</v>
      </c>
      <c r="J131" s="410">
        <v>15600000</v>
      </c>
      <c r="K131" s="410">
        <v>93600000</v>
      </c>
      <c r="L131" s="410">
        <v>93600000</v>
      </c>
      <c r="M131" s="410">
        <v>93600000</v>
      </c>
      <c r="N131" s="410">
        <v>93600000</v>
      </c>
      <c r="O131" s="410">
        <v>93600000</v>
      </c>
      <c r="P131" s="410">
        <v>93600000</v>
      </c>
      <c r="Q131" s="410">
        <v>0</v>
      </c>
      <c r="R131" s="410">
        <v>0</v>
      </c>
      <c r="S131" s="410">
        <v>0</v>
      </c>
      <c r="T131" s="415">
        <v>0</v>
      </c>
    </row>
    <row r="132" spans="3:20" x14ac:dyDescent="0.3">
      <c r="C132" s="97" t="s">
        <v>798</v>
      </c>
      <c r="D132" s="89" t="str">
        <f t="shared" ref="D132:D135" si="63">$C$122</f>
        <v>KTH</v>
      </c>
      <c r="E132" s="89" t="s">
        <v>316</v>
      </c>
      <c r="F132" s="89" t="s">
        <v>318</v>
      </c>
      <c r="G132" s="410">
        <v>0</v>
      </c>
      <c r="H132" s="410">
        <v>0</v>
      </c>
      <c r="I132" s="410">
        <v>0</v>
      </c>
      <c r="J132" s="410">
        <v>0</v>
      </c>
      <c r="K132" s="410">
        <v>0</v>
      </c>
      <c r="L132" s="410">
        <v>0</v>
      </c>
      <c r="M132" s="410">
        <v>0</v>
      </c>
      <c r="N132" s="410">
        <v>0</v>
      </c>
      <c r="O132" s="410">
        <v>0</v>
      </c>
      <c r="P132" s="410">
        <v>0</v>
      </c>
      <c r="Q132" s="410">
        <v>0</v>
      </c>
      <c r="R132" s="410">
        <v>0</v>
      </c>
      <c r="S132" s="410">
        <v>0</v>
      </c>
      <c r="T132" s="415">
        <v>0</v>
      </c>
    </row>
    <row r="133" spans="3:20" x14ac:dyDescent="0.3">
      <c r="C133" s="97" t="s">
        <v>336</v>
      </c>
      <c r="D133" s="89" t="str">
        <f t="shared" si="63"/>
        <v>KTH</v>
      </c>
      <c r="E133" s="110" t="s">
        <v>316</v>
      </c>
      <c r="F133" s="110" t="s">
        <v>151</v>
      </c>
      <c r="G133" s="410">
        <v>0</v>
      </c>
      <c r="H133" s="410">
        <v>0</v>
      </c>
      <c r="I133" s="410">
        <v>0</v>
      </c>
      <c r="J133" s="410">
        <v>0</v>
      </c>
      <c r="K133" s="410">
        <v>0</v>
      </c>
      <c r="L133" s="410">
        <v>0</v>
      </c>
      <c r="M133" s="410">
        <v>0</v>
      </c>
      <c r="N133" s="410">
        <v>0</v>
      </c>
      <c r="O133" s="410">
        <v>0</v>
      </c>
      <c r="P133" s="410">
        <v>0</v>
      </c>
      <c r="Q133" s="410">
        <v>0</v>
      </c>
      <c r="R133" s="410">
        <v>0</v>
      </c>
      <c r="S133" s="410">
        <v>0</v>
      </c>
      <c r="T133" s="415">
        <v>0</v>
      </c>
    </row>
    <row r="134" spans="3:20" x14ac:dyDescent="0.3">
      <c r="C134" s="97" t="s">
        <v>336</v>
      </c>
      <c r="D134" s="89" t="str">
        <f t="shared" si="63"/>
        <v>KTH</v>
      </c>
      <c r="E134" s="110" t="s">
        <v>316</v>
      </c>
      <c r="F134" s="110" t="s">
        <v>151</v>
      </c>
      <c r="G134" s="410">
        <v>0</v>
      </c>
      <c r="H134" s="410">
        <v>0</v>
      </c>
      <c r="I134" s="410">
        <v>0</v>
      </c>
      <c r="J134" s="410">
        <v>0</v>
      </c>
      <c r="K134" s="410">
        <v>0</v>
      </c>
      <c r="L134" s="410">
        <v>0</v>
      </c>
      <c r="M134" s="410">
        <v>0</v>
      </c>
      <c r="N134" s="410">
        <v>0</v>
      </c>
      <c r="O134" s="410">
        <v>0</v>
      </c>
      <c r="P134" s="410">
        <v>0</v>
      </c>
      <c r="Q134" s="410">
        <v>0</v>
      </c>
      <c r="R134" s="410">
        <v>0</v>
      </c>
      <c r="S134" s="410">
        <v>0</v>
      </c>
      <c r="T134" s="415">
        <v>0</v>
      </c>
    </row>
    <row r="135" spans="3:20" x14ac:dyDescent="0.3">
      <c r="C135" s="97" t="s">
        <v>336</v>
      </c>
      <c r="D135" s="89" t="str">
        <f t="shared" si="63"/>
        <v>KTH</v>
      </c>
      <c r="E135" s="110" t="s">
        <v>316</v>
      </c>
      <c r="F135" s="110" t="s">
        <v>151</v>
      </c>
      <c r="G135" s="410">
        <v>0</v>
      </c>
      <c r="H135" s="410">
        <v>0</v>
      </c>
      <c r="I135" s="410">
        <v>0</v>
      </c>
      <c r="J135" s="410">
        <v>0</v>
      </c>
      <c r="K135" s="410">
        <v>0</v>
      </c>
      <c r="L135" s="410">
        <v>0</v>
      </c>
      <c r="M135" s="410">
        <v>0</v>
      </c>
      <c r="N135" s="410">
        <v>0</v>
      </c>
      <c r="O135" s="410">
        <v>0</v>
      </c>
      <c r="P135" s="410">
        <v>0</v>
      </c>
      <c r="Q135" s="410">
        <v>0</v>
      </c>
      <c r="R135" s="410">
        <v>0</v>
      </c>
      <c r="S135" s="410">
        <v>0</v>
      </c>
      <c r="T135" s="415">
        <v>0</v>
      </c>
    </row>
    <row r="136" spans="3:20" x14ac:dyDescent="0.3">
      <c r="C136" s="98" t="s">
        <v>257</v>
      </c>
      <c r="D136" s="90"/>
      <c r="E136" s="90"/>
      <c r="F136" s="90"/>
      <c r="G136" s="413">
        <f>SUM(G131:G135)</f>
        <v>577200000</v>
      </c>
      <c r="H136" s="413">
        <f>SUM(H131:H135)</f>
        <v>0</v>
      </c>
      <c r="I136" s="413">
        <f>SUM(I131:I135)</f>
        <v>577200000</v>
      </c>
      <c r="J136" s="413">
        <f t="shared" ref="J136" si="64">SUM(J131:J135)</f>
        <v>15600000</v>
      </c>
      <c r="K136" s="413">
        <f t="shared" ref="K136" si="65">SUM(K131:K135)</f>
        <v>93600000</v>
      </c>
      <c r="L136" s="413">
        <f t="shared" ref="L136" si="66">SUM(L131:L135)</f>
        <v>93600000</v>
      </c>
      <c r="M136" s="413">
        <f t="shared" ref="M136" si="67">SUM(M131:M135)</f>
        <v>93600000</v>
      </c>
      <c r="N136" s="413">
        <f t="shared" ref="N136" si="68">SUM(N131:N135)</f>
        <v>93600000</v>
      </c>
      <c r="O136" s="413">
        <f t="shared" ref="O136" si="69">SUM(O131:O135)</f>
        <v>93600000</v>
      </c>
      <c r="P136" s="413">
        <f t="shared" ref="P136" si="70">SUM(P131:P135)</f>
        <v>93600000</v>
      </c>
      <c r="Q136" s="413">
        <f t="shared" ref="Q136" si="71">SUM(Q131:Q135)</f>
        <v>0</v>
      </c>
      <c r="R136" s="413">
        <f t="shared" ref="R136" si="72">SUM(R131:R135)</f>
        <v>0</v>
      </c>
      <c r="S136" s="413">
        <f t="shared" ref="S136" si="73">SUM(S131:S135)</f>
        <v>0</v>
      </c>
      <c r="T136" s="414">
        <f t="shared" ref="T136" si="74">SUM(T131:T135)</f>
        <v>0</v>
      </c>
    </row>
    <row r="137" spans="3:20" x14ac:dyDescent="0.3">
      <c r="C137" s="97" t="s">
        <v>797</v>
      </c>
      <c r="D137" s="89" t="str">
        <f>$C$122</f>
        <v>KTH</v>
      </c>
      <c r="E137" s="89" t="s">
        <v>317</v>
      </c>
      <c r="F137" s="89" t="s">
        <v>313</v>
      </c>
      <c r="G137" s="410">
        <v>153072500</v>
      </c>
      <c r="H137" s="410">
        <v>0</v>
      </c>
      <c r="I137" s="410">
        <v>153072500</v>
      </c>
      <c r="J137" s="410">
        <v>0</v>
      </c>
      <c r="K137" s="410">
        <v>0</v>
      </c>
      <c r="L137" s="410">
        <v>30614500</v>
      </c>
      <c r="M137" s="410">
        <v>30614500</v>
      </c>
      <c r="N137" s="410">
        <v>30614500</v>
      </c>
      <c r="O137" s="410">
        <v>30614500</v>
      </c>
      <c r="P137" s="410">
        <v>30614500</v>
      </c>
      <c r="Q137" s="410">
        <v>0</v>
      </c>
      <c r="R137" s="410">
        <v>0</v>
      </c>
      <c r="S137" s="410">
        <v>0</v>
      </c>
      <c r="T137" s="415">
        <v>0</v>
      </c>
    </row>
    <row r="138" spans="3:20" x14ac:dyDescent="0.3">
      <c r="C138" s="97" t="s">
        <v>797</v>
      </c>
      <c r="D138" s="89" t="str">
        <f t="shared" ref="D138:D141" si="75">$C$122</f>
        <v>KTH</v>
      </c>
      <c r="E138" s="89" t="s">
        <v>317</v>
      </c>
      <c r="F138" s="89" t="s">
        <v>314</v>
      </c>
      <c r="G138" s="410">
        <v>0</v>
      </c>
      <c r="H138" s="410">
        <v>0</v>
      </c>
      <c r="I138" s="410">
        <v>0</v>
      </c>
      <c r="J138" s="410">
        <v>0</v>
      </c>
      <c r="K138" s="410">
        <v>0</v>
      </c>
      <c r="L138" s="410">
        <v>0</v>
      </c>
      <c r="M138" s="410">
        <v>0</v>
      </c>
      <c r="N138" s="410">
        <v>0</v>
      </c>
      <c r="O138" s="410">
        <v>0</v>
      </c>
      <c r="P138" s="410">
        <v>0</v>
      </c>
      <c r="Q138" s="410">
        <v>0</v>
      </c>
      <c r="R138" s="410">
        <v>0</v>
      </c>
      <c r="S138" s="410">
        <v>0</v>
      </c>
      <c r="T138" s="415">
        <v>0</v>
      </c>
    </row>
    <row r="139" spans="3:20" x14ac:dyDescent="0.3">
      <c r="C139" s="97" t="s">
        <v>799</v>
      </c>
      <c r="D139" s="89" t="str">
        <f t="shared" si="75"/>
        <v>KTH</v>
      </c>
      <c r="E139" s="89" t="s">
        <v>317</v>
      </c>
      <c r="F139" s="89" t="s">
        <v>315</v>
      </c>
      <c r="G139" s="410">
        <v>36000000</v>
      </c>
      <c r="H139" s="410">
        <v>0</v>
      </c>
      <c r="I139" s="410">
        <v>36000000</v>
      </c>
      <c r="J139" s="410">
        <v>0</v>
      </c>
      <c r="K139" s="410">
        <v>0</v>
      </c>
      <c r="L139" s="410">
        <v>7200000</v>
      </c>
      <c r="M139" s="410">
        <v>7200000</v>
      </c>
      <c r="N139" s="410">
        <v>7200000</v>
      </c>
      <c r="O139" s="410">
        <v>7200000</v>
      </c>
      <c r="P139" s="410">
        <v>7200000</v>
      </c>
      <c r="Q139" s="410">
        <v>0</v>
      </c>
      <c r="R139" s="410">
        <v>0</v>
      </c>
      <c r="S139" s="410">
        <v>0</v>
      </c>
      <c r="T139" s="415">
        <v>0</v>
      </c>
    </row>
    <row r="140" spans="3:20" x14ac:dyDescent="0.3">
      <c r="C140" s="97" t="s">
        <v>797</v>
      </c>
      <c r="D140" s="89" t="str">
        <f t="shared" si="75"/>
        <v>KTH</v>
      </c>
      <c r="E140" s="110" t="s">
        <v>317</v>
      </c>
      <c r="F140" s="110" t="s">
        <v>151</v>
      </c>
      <c r="G140" s="410">
        <v>0</v>
      </c>
      <c r="H140" s="410">
        <v>0</v>
      </c>
      <c r="I140" s="410">
        <v>0</v>
      </c>
      <c r="J140" s="410">
        <v>0</v>
      </c>
      <c r="K140" s="410">
        <v>0</v>
      </c>
      <c r="L140" s="410">
        <v>0</v>
      </c>
      <c r="M140" s="410">
        <v>0</v>
      </c>
      <c r="N140" s="410">
        <v>0</v>
      </c>
      <c r="O140" s="410">
        <v>0</v>
      </c>
      <c r="P140" s="410">
        <v>0</v>
      </c>
      <c r="Q140" s="410">
        <v>0</v>
      </c>
      <c r="R140" s="410">
        <v>0</v>
      </c>
      <c r="S140" s="410">
        <v>0</v>
      </c>
      <c r="T140" s="415">
        <v>0</v>
      </c>
    </row>
    <row r="141" spans="3:20" x14ac:dyDescent="0.3">
      <c r="C141" s="97" t="s">
        <v>799</v>
      </c>
      <c r="D141" s="89" t="str">
        <f t="shared" si="75"/>
        <v>KTH</v>
      </c>
      <c r="E141" s="110" t="s">
        <v>317</v>
      </c>
      <c r="F141" s="110" t="s">
        <v>151</v>
      </c>
      <c r="G141" s="410">
        <v>0</v>
      </c>
      <c r="H141" s="410">
        <v>0</v>
      </c>
      <c r="I141" s="410">
        <v>0</v>
      </c>
      <c r="J141" s="410">
        <v>0</v>
      </c>
      <c r="K141" s="410">
        <v>0</v>
      </c>
      <c r="L141" s="410">
        <v>0</v>
      </c>
      <c r="M141" s="410">
        <v>0</v>
      </c>
      <c r="N141" s="410">
        <v>0</v>
      </c>
      <c r="O141" s="410">
        <v>0</v>
      </c>
      <c r="P141" s="410">
        <v>0</v>
      </c>
      <c r="Q141" s="410">
        <v>0</v>
      </c>
      <c r="R141" s="410">
        <v>0</v>
      </c>
      <c r="S141" s="410">
        <v>0</v>
      </c>
      <c r="T141" s="415">
        <v>0</v>
      </c>
    </row>
    <row r="142" spans="3:20" ht="17.25" thickBot="1" x14ac:dyDescent="0.35">
      <c r="C142" s="99" t="s">
        <v>257</v>
      </c>
      <c r="D142" s="87"/>
      <c r="E142" s="87"/>
      <c r="F142" s="87"/>
      <c r="G142" s="416">
        <f>SUM(G137:G141)</f>
        <v>189072500</v>
      </c>
      <c r="H142" s="416">
        <f>SUM(H137:H141)</f>
        <v>0</v>
      </c>
      <c r="I142" s="416">
        <f>SUM(I137:I141)</f>
        <v>189072500</v>
      </c>
      <c r="J142" s="416">
        <f t="shared" ref="J142" si="76">SUM(J137:J141)</f>
        <v>0</v>
      </c>
      <c r="K142" s="416">
        <f t="shared" ref="K142" si="77">SUM(K137:K141)</f>
        <v>0</v>
      </c>
      <c r="L142" s="416">
        <f t="shared" ref="L142" si="78">SUM(L137:L141)</f>
        <v>37814500</v>
      </c>
      <c r="M142" s="416">
        <f t="shared" ref="M142" si="79">SUM(M137:M141)</f>
        <v>37814500</v>
      </c>
      <c r="N142" s="416">
        <f t="shared" ref="N142" si="80">SUM(N137:N141)</f>
        <v>37814500</v>
      </c>
      <c r="O142" s="416">
        <f t="shared" ref="O142" si="81">SUM(O137:O141)</f>
        <v>37814500</v>
      </c>
      <c r="P142" s="416">
        <f t="shared" ref="P142" si="82">SUM(P137:P141)</f>
        <v>37814500</v>
      </c>
      <c r="Q142" s="416">
        <f t="shared" ref="Q142" si="83">SUM(Q137:Q141)</f>
        <v>0</v>
      </c>
      <c r="R142" s="416">
        <f t="shared" ref="R142" si="84">SUM(R137:R141)</f>
        <v>0</v>
      </c>
      <c r="S142" s="416">
        <f t="shared" ref="S142" si="85">SUM(S137:S141)</f>
        <v>0</v>
      </c>
      <c r="T142" s="417">
        <f t="shared" ref="T142" si="86">SUM(T137:T141)</f>
        <v>0</v>
      </c>
    </row>
    <row r="143" spans="3:20" x14ac:dyDescent="0.3">
      <c r="G143" s="78"/>
      <c r="H143" s="78"/>
      <c r="I143" s="78"/>
      <c r="J143" s="78"/>
      <c r="K143" s="78"/>
      <c r="L143" s="78"/>
      <c r="M143" s="78"/>
      <c r="N143" s="78"/>
      <c r="O143" s="78"/>
      <c r="P143" s="78"/>
      <c r="Q143" s="78"/>
      <c r="R143" s="78"/>
      <c r="S143" s="78"/>
      <c r="T143" s="78"/>
    </row>
    <row r="144" spans="3:20" x14ac:dyDescent="0.3">
      <c r="G144" s="78"/>
      <c r="H144" s="78"/>
      <c r="I144" s="78"/>
      <c r="J144" s="78"/>
      <c r="K144" s="78"/>
      <c r="L144" s="78"/>
      <c r="M144" s="78"/>
      <c r="N144" s="78"/>
      <c r="O144" s="78"/>
      <c r="P144" s="78"/>
      <c r="Q144" s="78"/>
      <c r="R144" s="78"/>
      <c r="S144" s="78"/>
      <c r="T144" s="78"/>
    </row>
    <row r="145" spans="3:20" ht="17.25" thickBot="1" x14ac:dyDescent="0.35">
      <c r="G145" s="78"/>
      <c r="H145" s="78"/>
      <c r="I145" s="78"/>
      <c r="J145" s="78"/>
      <c r="K145" s="78"/>
      <c r="L145" s="78"/>
      <c r="M145" s="78"/>
      <c r="N145" s="78"/>
      <c r="O145" s="78"/>
      <c r="P145" s="78"/>
      <c r="Q145" s="78"/>
      <c r="R145" s="78"/>
      <c r="S145" s="78"/>
      <c r="T145" s="78"/>
    </row>
    <row r="146" spans="3:20" x14ac:dyDescent="0.3">
      <c r="C146" s="658" t="s">
        <v>324</v>
      </c>
      <c r="G146" s="663">
        <f>SUM(G154,G160,G166)</f>
        <v>1185523433.5999999</v>
      </c>
      <c r="H146" s="80">
        <f t="shared" ref="H146:T146" si="87">SUM(H154,H160,H166)</f>
        <v>651032380</v>
      </c>
      <c r="I146" s="80">
        <f t="shared" si="87"/>
        <v>534491053.5999999</v>
      </c>
      <c r="J146" s="80">
        <f t="shared" si="87"/>
        <v>5148000</v>
      </c>
      <c r="K146" s="80">
        <f t="shared" si="87"/>
        <v>55255999.999999993</v>
      </c>
      <c r="L146" s="80">
        <f t="shared" si="87"/>
        <v>83580034</v>
      </c>
      <c r="M146" s="80">
        <f t="shared" si="87"/>
        <v>83580034</v>
      </c>
      <c r="N146" s="80">
        <f t="shared" si="87"/>
        <v>102308995.19999999</v>
      </c>
      <c r="O146" s="80">
        <f t="shared" si="87"/>
        <v>102308995.19999999</v>
      </c>
      <c r="P146" s="80">
        <f t="shared" si="87"/>
        <v>102308995.19999999</v>
      </c>
      <c r="Q146" s="80">
        <f t="shared" si="87"/>
        <v>0</v>
      </c>
      <c r="R146" s="80">
        <f t="shared" si="87"/>
        <v>0</v>
      </c>
      <c r="S146" s="80">
        <f t="shared" si="87"/>
        <v>0</v>
      </c>
      <c r="T146" s="81">
        <f t="shared" si="87"/>
        <v>0</v>
      </c>
    </row>
    <row r="147" spans="3:20" ht="6" customHeight="1" thickBot="1" x14ac:dyDescent="0.35">
      <c r="G147" s="78"/>
      <c r="H147" s="78"/>
      <c r="I147" s="78"/>
      <c r="J147" s="78"/>
      <c r="K147" s="78"/>
      <c r="L147" s="78"/>
      <c r="M147" s="78"/>
      <c r="N147" s="78"/>
      <c r="O147" s="78"/>
      <c r="P147" s="78"/>
      <c r="Q147" s="78"/>
      <c r="R147" s="78"/>
      <c r="S147" s="78"/>
      <c r="T147" s="78"/>
    </row>
    <row r="148" spans="3:20" x14ac:dyDescent="0.3">
      <c r="C148" s="95" t="s">
        <v>319</v>
      </c>
      <c r="D148" s="86" t="s">
        <v>2</v>
      </c>
      <c r="E148" s="86" t="s">
        <v>3</v>
      </c>
      <c r="F148" s="86" t="s">
        <v>4</v>
      </c>
      <c r="G148" s="88" t="s">
        <v>311</v>
      </c>
      <c r="H148" s="88" t="s">
        <v>309</v>
      </c>
      <c r="I148" s="88" t="s">
        <v>310</v>
      </c>
      <c r="J148" s="88" t="s">
        <v>41</v>
      </c>
      <c r="K148" s="88" t="s">
        <v>258</v>
      </c>
      <c r="L148" s="88" t="s">
        <v>259</v>
      </c>
      <c r="M148" s="88" t="s">
        <v>260</v>
      </c>
      <c r="N148" s="88" t="s">
        <v>261</v>
      </c>
      <c r="O148" s="88" t="s">
        <v>262</v>
      </c>
      <c r="P148" s="88" t="s">
        <v>263</v>
      </c>
      <c r="Q148" s="88" t="s">
        <v>264</v>
      </c>
      <c r="R148" s="88" t="s">
        <v>265</v>
      </c>
      <c r="S148" s="88" t="s">
        <v>266</v>
      </c>
      <c r="T148" s="79" t="s">
        <v>182</v>
      </c>
    </row>
    <row r="149" spans="3:20" x14ac:dyDescent="0.3">
      <c r="C149" s="96" t="s">
        <v>336</v>
      </c>
      <c r="D149" s="91" t="str">
        <f>$C$146</f>
        <v>도연시스템즈</v>
      </c>
      <c r="E149" s="91" t="s">
        <v>279</v>
      </c>
      <c r="F149" s="91" t="s">
        <v>312</v>
      </c>
      <c r="G149" s="407">
        <v>0</v>
      </c>
      <c r="H149" s="407">
        <v>0</v>
      </c>
      <c r="I149" s="408">
        <v>0</v>
      </c>
      <c r="J149" s="408">
        <v>0</v>
      </c>
      <c r="K149" s="408">
        <v>0</v>
      </c>
      <c r="L149" s="408">
        <v>0</v>
      </c>
      <c r="M149" s="408">
        <v>0</v>
      </c>
      <c r="N149" s="408">
        <v>0</v>
      </c>
      <c r="O149" s="408">
        <v>0</v>
      </c>
      <c r="P149" s="408">
        <v>0</v>
      </c>
      <c r="Q149" s="408">
        <v>0</v>
      </c>
      <c r="R149" s="408">
        <v>0</v>
      </c>
      <c r="S149" s="408">
        <v>0</v>
      </c>
      <c r="T149" s="409">
        <v>0</v>
      </c>
    </row>
    <row r="150" spans="3:20" x14ac:dyDescent="0.3">
      <c r="C150" s="97" t="s">
        <v>336</v>
      </c>
      <c r="D150" s="89" t="str">
        <f t="shared" ref="D150:D153" si="88">$C$146</f>
        <v>도연시스템즈</v>
      </c>
      <c r="E150" s="89" t="s">
        <v>279</v>
      </c>
      <c r="F150" s="89" t="s">
        <v>313</v>
      </c>
      <c r="G150" s="410">
        <v>0</v>
      </c>
      <c r="H150" s="410">
        <v>0</v>
      </c>
      <c r="I150" s="411">
        <v>0</v>
      </c>
      <c r="J150" s="411">
        <v>0</v>
      </c>
      <c r="K150" s="411">
        <v>0</v>
      </c>
      <c r="L150" s="411">
        <v>0</v>
      </c>
      <c r="M150" s="411">
        <v>0</v>
      </c>
      <c r="N150" s="411">
        <v>0</v>
      </c>
      <c r="O150" s="411">
        <v>0</v>
      </c>
      <c r="P150" s="411">
        <v>0</v>
      </c>
      <c r="Q150" s="411">
        <v>0</v>
      </c>
      <c r="R150" s="411">
        <v>0</v>
      </c>
      <c r="S150" s="411">
        <v>0</v>
      </c>
      <c r="T150" s="412">
        <v>0</v>
      </c>
    </row>
    <row r="151" spans="3:20" x14ac:dyDescent="0.3">
      <c r="C151" s="97" t="s">
        <v>336</v>
      </c>
      <c r="D151" s="89" t="str">
        <f t="shared" si="88"/>
        <v>도연시스템즈</v>
      </c>
      <c r="E151" s="89" t="s">
        <v>279</v>
      </c>
      <c r="F151" s="89" t="s">
        <v>314</v>
      </c>
      <c r="G151" s="410">
        <v>511797380</v>
      </c>
      <c r="H151" s="410">
        <v>511797380</v>
      </c>
      <c r="I151" s="411">
        <v>0</v>
      </c>
      <c r="J151" s="411">
        <v>0</v>
      </c>
      <c r="K151" s="411">
        <v>0</v>
      </c>
      <c r="L151" s="411">
        <v>0</v>
      </c>
      <c r="M151" s="411">
        <v>0</v>
      </c>
      <c r="N151" s="411">
        <v>0</v>
      </c>
      <c r="O151" s="411">
        <v>0</v>
      </c>
      <c r="P151" s="411">
        <v>0</v>
      </c>
      <c r="Q151" s="411">
        <v>0</v>
      </c>
      <c r="R151" s="411">
        <v>0</v>
      </c>
      <c r="S151" s="411">
        <v>0</v>
      </c>
      <c r="T151" s="412">
        <v>0</v>
      </c>
    </row>
    <row r="152" spans="3:20" x14ac:dyDescent="0.3">
      <c r="C152" s="97" t="s">
        <v>336</v>
      </c>
      <c r="D152" s="89" t="str">
        <f t="shared" si="88"/>
        <v>도연시스템즈</v>
      </c>
      <c r="E152" s="89" t="s">
        <v>279</v>
      </c>
      <c r="F152" s="89" t="s">
        <v>315</v>
      </c>
      <c r="G152" s="410">
        <v>139235000</v>
      </c>
      <c r="H152" s="410">
        <v>139235000</v>
      </c>
      <c r="I152" s="411">
        <v>0</v>
      </c>
      <c r="J152" s="411">
        <v>0</v>
      </c>
      <c r="K152" s="411">
        <v>0</v>
      </c>
      <c r="L152" s="411">
        <v>0</v>
      </c>
      <c r="M152" s="411">
        <v>0</v>
      </c>
      <c r="N152" s="411">
        <v>0</v>
      </c>
      <c r="O152" s="411">
        <v>0</v>
      </c>
      <c r="P152" s="411">
        <v>0</v>
      </c>
      <c r="Q152" s="411">
        <v>0</v>
      </c>
      <c r="R152" s="411">
        <v>0</v>
      </c>
      <c r="S152" s="411">
        <v>0</v>
      </c>
      <c r="T152" s="412">
        <v>0</v>
      </c>
    </row>
    <row r="153" spans="3:20" x14ac:dyDescent="0.3">
      <c r="C153" s="109" t="s">
        <v>336</v>
      </c>
      <c r="D153" s="110" t="str">
        <f t="shared" si="88"/>
        <v>도연시스템즈</v>
      </c>
      <c r="E153" s="110" t="s">
        <v>279</v>
      </c>
      <c r="F153" s="110" t="s">
        <v>151</v>
      </c>
      <c r="G153" s="410">
        <v>0</v>
      </c>
      <c r="H153" s="410">
        <v>0</v>
      </c>
      <c r="I153" s="411">
        <v>0</v>
      </c>
      <c r="J153" s="411">
        <v>0</v>
      </c>
      <c r="K153" s="411">
        <v>0</v>
      </c>
      <c r="L153" s="411">
        <v>0</v>
      </c>
      <c r="M153" s="411">
        <v>0</v>
      </c>
      <c r="N153" s="411">
        <v>0</v>
      </c>
      <c r="O153" s="411">
        <v>0</v>
      </c>
      <c r="P153" s="411">
        <v>0</v>
      </c>
      <c r="Q153" s="411">
        <v>0</v>
      </c>
      <c r="R153" s="411">
        <v>0</v>
      </c>
      <c r="S153" s="411">
        <v>0</v>
      </c>
      <c r="T153" s="412">
        <v>0</v>
      </c>
    </row>
    <row r="154" spans="3:20" x14ac:dyDescent="0.3">
      <c r="C154" s="98" t="s">
        <v>257</v>
      </c>
      <c r="D154" s="90"/>
      <c r="E154" s="90"/>
      <c r="F154" s="90"/>
      <c r="G154" s="413">
        <f>SUM(G149:G153)</f>
        <v>651032380</v>
      </c>
      <c r="H154" s="413">
        <f>SUM(H149:H153)</f>
        <v>651032380</v>
      </c>
      <c r="I154" s="413">
        <f>SUM(I149:I153)</f>
        <v>0</v>
      </c>
      <c r="J154" s="413">
        <f t="shared" ref="J154" si="89">SUM(J149:J153)</f>
        <v>0</v>
      </c>
      <c r="K154" s="413">
        <f t="shared" ref="K154" si="90">SUM(K149:K153)</f>
        <v>0</v>
      </c>
      <c r="L154" s="413">
        <f t="shared" ref="L154" si="91">SUM(L149:L153)</f>
        <v>0</v>
      </c>
      <c r="M154" s="413">
        <f t="shared" ref="M154" si="92">SUM(M149:M153)</f>
        <v>0</v>
      </c>
      <c r="N154" s="413">
        <f t="shared" ref="N154" si="93">SUM(N149:N153)</f>
        <v>0</v>
      </c>
      <c r="O154" s="413">
        <f t="shared" ref="O154" si="94">SUM(O149:O153)</f>
        <v>0</v>
      </c>
      <c r="P154" s="413">
        <f t="shared" ref="P154" si="95">SUM(P149:P153)</f>
        <v>0</v>
      </c>
      <c r="Q154" s="413">
        <f t="shared" ref="Q154" si="96">SUM(Q149:Q153)</f>
        <v>0</v>
      </c>
      <c r="R154" s="413">
        <f t="shared" ref="R154" si="97">SUM(R149:R153)</f>
        <v>0</v>
      </c>
      <c r="S154" s="413">
        <f t="shared" ref="S154" si="98">SUM(S149:S153)</f>
        <v>0</v>
      </c>
      <c r="T154" s="414">
        <f t="shared" ref="T154" si="99">SUM(T149:T153)</f>
        <v>0</v>
      </c>
    </row>
    <row r="155" spans="3:20" x14ac:dyDescent="0.3">
      <c r="C155" s="97" t="s">
        <v>336</v>
      </c>
      <c r="D155" s="89" t="str">
        <f>$C$146</f>
        <v>도연시스템즈</v>
      </c>
      <c r="E155" s="89" t="s">
        <v>152</v>
      </c>
      <c r="F155" s="89" t="s">
        <v>153</v>
      </c>
      <c r="G155" s="410">
        <v>0</v>
      </c>
      <c r="H155" s="410">
        <v>0</v>
      </c>
      <c r="I155" s="410">
        <v>0</v>
      </c>
      <c r="J155" s="410">
        <v>0</v>
      </c>
      <c r="K155" s="410">
        <v>0</v>
      </c>
      <c r="L155" s="410">
        <v>0</v>
      </c>
      <c r="M155" s="410">
        <v>0</v>
      </c>
      <c r="N155" s="410">
        <v>0</v>
      </c>
      <c r="O155" s="410">
        <v>0</v>
      </c>
      <c r="P155" s="410">
        <v>0</v>
      </c>
      <c r="Q155" s="410">
        <v>0</v>
      </c>
      <c r="R155" s="410">
        <v>0</v>
      </c>
      <c r="S155" s="410">
        <v>0</v>
      </c>
      <c r="T155" s="415">
        <v>0</v>
      </c>
    </row>
    <row r="156" spans="3:20" x14ac:dyDescent="0.3">
      <c r="C156" s="97" t="s">
        <v>336</v>
      </c>
      <c r="D156" s="89" t="str">
        <f t="shared" ref="D156:D159" si="100">$C$146</f>
        <v>도연시스템즈</v>
      </c>
      <c r="E156" s="89" t="s">
        <v>316</v>
      </c>
      <c r="F156" s="89" t="s">
        <v>318</v>
      </c>
      <c r="G156" s="410">
        <v>269759999.99999994</v>
      </c>
      <c r="H156" s="410">
        <v>0</v>
      </c>
      <c r="I156" s="410">
        <v>269759999.99999994</v>
      </c>
      <c r="J156" s="410">
        <v>0</v>
      </c>
      <c r="K156" s="410">
        <v>44959999.999999993</v>
      </c>
      <c r="L156" s="410">
        <v>44959999.999999993</v>
      </c>
      <c r="M156" s="410">
        <v>44959999.999999993</v>
      </c>
      <c r="N156" s="410">
        <v>44959999.999999993</v>
      </c>
      <c r="O156" s="410">
        <v>44959999.999999993</v>
      </c>
      <c r="P156" s="410">
        <v>44959999.999999993</v>
      </c>
      <c r="Q156" s="410">
        <v>0</v>
      </c>
      <c r="R156" s="410">
        <v>0</v>
      </c>
      <c r="S156" s="410">
        <v>0</v>
      </c>
      <c r="T156" s="415">
        <v>0</v>
      </c>
    </row>
    <row r="157" spans="3:20" x14ac:dyDescent="0.3">
      <c r="C157" s="97" t="s">
        <v>336</v>
      </c>
      <c r="D157" s="89" t="str">
        <f t="shared" si="100"/>
        <v>도연시스템즈</v>
      </c>
      <c r="E157" s="110" t="s">
        <v>316</v>
      </c>
      <c r="F157" s="110" t="s">
        <v>151</v>
      </c>
      <c r="G157" s="410">
        <v>0</v>
      </c>
      <c r="H157" s="410">
        <v>0</v>
      </c>
      <c r="I157" s="410">
        <v>0</v>
      </c>
      <c r="J157" s="410">
        <v>0</v>
      </c>
      <c r="K157" s="410">
        <v>0</v>
      </c>
      <c r="L157" s="410">
        <v>0</v>
      </c>
      <c r="M157" s="410">
        <v>0</v>
      </c>
      <c r="N157" s="410">
        <v>0</v>
      </c>
      <c r="O157" s="410">
        <v>0</v>
      </c>
      <c r="P157" s="410">
        <v>0</v>
      </c>
      <c r="Q157" s="410">
        <v>0</v>
      </c>
      <c r="R157" s="410">
        <v>0</v>
      </c>
      <c r="S157" s="410">
        <v>0</v>
      </c>
      <c r="T157" s="415">
        <v>0</v>
      </c>
    </row>
    <row r="158" spans="3:20" x14ac:dyDescent="0.3">
      <c r="C158" s="97" t="s">
        <v>336</v>
      </c>
      <c r="D158" s="89" t="str">
        <f t="shared" si="100"/>
        <v>도연시스템즈</v>
      </c>
      <c r="E158" s="110" t="s">
        <v>316</v>
      </c>
      <c r="F158" s="110" t="s">
        <v>151</v>
      </c>
      <c r="G158" s="410">
        <v>0</v>
      </c>
      <c r="H158" s="410">
        <v>0</v>
      </c>
      <c r="I158" s="410">
        <v>0</v>
      </c>
      <c r="J158" s="410">
        <v>0</v>
      </c>
      <c r="K158" s="410">
        <v>0</v>
      </c>
      <c r="L158" s="410">
        <v>0</v>
      </c>
      <c r="M158" s="410">
        <v>0</v>
      </c>
      <c r="N158" s="410">
        <v>0</v>
      </c>
      <c r="O158" s="410">
        <v>0</v>
      </c>
      <c r="P158" s="410">
        <v>0</v>
      </c>
      <c r="Q158" s="410">
        <v>0</v>
      </c>
      <c r="R158" s="410">
        <v>0</v>
      </c>
      <c r="S158" s="410">
        <v>0</v>
      </c>
      <c r="T158" s="415">
        <v>0</v>
      </c>
    </row>
    <row r="159" spans="3:20" x14ac:dyDescent="0.3">
      <c r="C159" s="109" t="s">
        <v>336</v>
      </c>
      <c r="D159" s="89" t="str">
        <f t="shared" si="100"/>
        <v>도연시스템즈</v>
      </c>
      <c r="E159" s="110" t="s">
        <v>316</v>
      </c>
      <c r="F159" s="110" t="s">
        <v>151</v>
      </c>
      <c r="G159" s="410">
        <v>0</v>
      </c>
      <c r="H159" s="410">
        <v>0</v>
      </c>
      <c r="I159" s="410">
        <v>0</v>
      </c>
      <c r="J159" s="410">
        <v>0</v>
      </c>
      <c r="K159" s="410">
        <v>0</v>
      </c>
      <c r="L159" s="410">
        <v>0</v>
      </c>
      <c r="M159" s="410">
        <v>0</v>
      </c>
      <c r="N159" s="410">
        <v>0</v>
      </c>
      <c r="O159" s="410">
        <v>0</v>
      </c>
      <c r="P159" s="410">
        <v>0</v>
      </c>
      <c r="Q159" s="410">
        <v>0</v>
      </c>
      <c r="R159" s="410">
        <v>0</v>
      </c>
      <c r="S159" s="410">
        <v>0</v>
      </c>
      <c r="T159" s="415">
        <v>0</v>
      </c>
    </row>
    <row r="160" spans="3:20" x14ac:dyDescent="0.3">
      <c r="C160" s="98" t="s">
        <v>257</v>
      </c>
      <c r="D160" s="90"/>
      <c r="E160" s="90"/>
      <c r="F160" s="90"/>
      <c r="G160" s="413">
        <f>SUM(G155:G159)</f>
        <v>269759999.99999994</v>
      </c>
      <c r="H160" s="413">
        <f>SUM(H155:H159)</f>
        <v>0</v>
      </c>
      <c r="I160" s="413">
        <f>SUM(I155:I159)</f>
        <v>269759999.99999994</v>
      </c>
      <c r="J160" s="413">
        <f t="shared" ref="J160" si="101">SUM(J155:J159)</f>
        <v>0</v>
      </c>
      <c r="K160" s="413">
        <f t="shared" ref="K160" si="102">SUM(K155:K159)</f>
        <v>44959999.999999993</v>
      </c>
      <c r="L160" s="413">
        <f t="shared" ref="L160" si="103">SUM(L155:L159)</f>
        <v>44959999.999999993</v>
      </c>
      <c r="M160" s="413">
        <f t="shared" ref="M160" si="104">SUM(M155:M159)</f>
        <v>44959999.999999993</v>
      </c>
      <c r="N160" s="413">
        <f t="shared" ref="N160" si="105">SUM(N155:N159)</f>
        <v>44959999.999999993</v>
      </c>
      <c r="O160" s="413">
        <f t="shared" ref="O160" si="106">SUM(O155:O159)</f>
        <v>44959999.999999993</v>
      </c>
      <c r="P160" s="413">
        <f t="shared" ref="P160" si="107">SUM(P155:P159)</f>
        <v>44959999.999999993</v>
      </c>
      <c r="Q160" s="413">
        <f t="shared" ref="Q160" si="108">SUM(Q155:Q159)</f>
        <v>0</v>
      </c>
      <c r="R160" s="413">
        <f t="shared" ref="R160" si="109">SUM(R155:R159)</f>
        <v>0</v>
      </c>
      <c r="S160" s="413">
        <f t="shared" ref="S160" si="110">SUM(S155:S159)</f>
        <v>0</v>
      </c>
      <c r="T160" s="414">
        <f t="shared" ref="T160" si="111">SUM(T155:T159)</f>
        <v>0</v>
      </c>
    </row>
    <row r="161" spans="3:20" x14ac:dyDescent="0.3">
      <c r="C161" s="97" t="s">
        <v>336</v>
      </c>
      <c r="D161" s="89" t="str">
        <f>$C$146</f>
        <v>도연시스템즈</v>
      </c>
      <c r="E161" s="89" t="s">
        <v>317</v>
      </c>
      <c r="F161" s="89" t="s">
        <v>313</v>
      </c>
      <c r="G161" s="410">
        <v>0</v>
      </c>
      <c r="H161" s="410">
        <v>0</v>
      </c>
      <c r="I161" s="410">
        <v>0</v>
      </c>
      <c r="J161" s="410">
        <v>0</v>
      </c>
      <c r="K161" s="410">
        <v>0</v>
      </c>
      <c r="L161" s="410">
        <v>0</v>
      </c>
      <c r="M161" s="410">
        <v>0</v>
      </c>
      <c r="N161" s="410">
        <v>0</v>
      </c>
      <c r="O161" s="410">
        <v>0</v>
      </c>
      <c r="P161" s="410">
        <v>0</v>
      </c>
      <c r="Q161" s="410">
        <v>0</v>
      </c>
      <c r="R161" s="410">
        <v>0</v>
      </c>
      <c r="S161" s="410">
        <v>0</v>
      </c>
      <c r="T161" s="415">
        <v>0</v>
      </c>
    </row>
    <row r="162" spans="3:20" x14ac:dyDescent="0.3">
      <c r="C162" s="97" t="s">
        <v>336</v>
      </c>
      <c r="D162" s="89" t="str">
        <f t="shared" ref="D162:D165" si="112">$C$146</f>
        <v>도연시스템즈</v>
      </c>
      <c r="E162" s="89" t="s">
        <v>317</v>
      </c>
      <c r="F162" s="89" t="s">
        <v>314</v>
      </c>
      <c r="G162" s="410">
        <v>115911553.59999999</v>
      </c>
      <c r="H162" s="410">
        <v>0</v>
      </c>
      <c r="I162" s="410">
        <v>115911553.59999999</v>
      </c>
      <c r="J162" s="410">
        <v>0</v>
      </c>
      <c r="K162" s="410">
        <v>0</v>
      </c>
      <c r="L162" s="410">
        <v>11944934</v>
      </c>
      <c r="M162" s="410">
        <v>11944934</v>
      </c>
      <c r="N162" s="410">
        <v>30673895.199999999</v>
      </c>
      <c r="O162" s="410">
        <v>30673895.199999999</v>
      </c>
      <c r="P162" s="410">
        <v>30673895.199999999</v>
      </c>
      <c r="Q162" s="410">
        <v>0</v>
      </c>
      <c r="R162" s="410">
        <v>0</v>
      </c>
      <c r="S162" s="410">
        <v>0</v>
      </c>
      <c r="T162" s="415">
        <v>0</v>
      </c>
    </row>
    <row r="163" spans="3:20" x14ac:dyDescent="0.3">
      <c r="C163" s="97" t="s">
        <v>336</v>
      </c>
      <c r="D163" s="89" t="str">
        <f t="shared" si="112"/>
        <v>도연시스템즈</v>
      </c>
      <c r="E163" s="89" t="s">
        <v>317</v>
      </c>
      <c r="F163" s="89" t="s">
        <v>315</v>
      </c>
      <c r="G163" s="410">
        <v>148819500</v>
      </c>
      <c r="H163" s="410">
        <v>0</v>
      </c>
      <c r="I163" s="410">
        <v>148819500</v>
      </c>
      <c r="J163" s="410">
        <v>5148000</v>
      </c>
      <c r="K163" s="410">
        <v>10296000</v>
      </c>
      <c r="L163" s="410">
        <v>26675100</v>
      </c>
      <c r="M163" s="410">
        <v>26675100</v>
      </c>
      <c r="N163" s="410">
        <v>26675100</v>
      </c>
      <c r="O163" s="410">
        <v>26675100</v>
      </c>
      <c r="P163" s="410">
        <v>26675100</v>
      </c>
      <c r="Q163" s="410">
        <v>0</v>
      </c>
      <c r="R163" s="410">
        <v>0</v>
      </c>
      <c r="S163" s="410">
        <v>0</v>
      </c>
      <c r="T163" s="415">
        <v>0</v>
      </c>
    </row>
    <row r="164" spans="3:20" x14ac:dyDescent="0.3">
      <c r="C164" s="97" t="s">
        <v>336</v>
      </c>
      <c r="D164" s="89" t="str">
        <f t="shared" si="112"/>
        <v>도연시스템즈</v>
      </c>
      <c r="E164" s="110" t="s">
        <v>317</v>
      </c>
      <c r="F164" s="110" t="s">
        <v>151</v>
      </c>
      <c r="G164" s="410">
        <v>0</v>
      </c>
      <c r="H164" s="410">
        <v>0</v>
      </c>
      <c r="I164" s="410">
        <v>0</v>
      </c>
      <c r="J164" s="410">
        <v>0</v>
      </c>
      <c r="K164" s="410">
        <v>0</v>
      </c>
      <c r="L164" s="410">
        <v>0</v>
      </c>
      <c r="M164" s="410">
        <v>0</v>
      </c>
      <c r="N164" s="410">
        <v>0</v>
      </c>
      <c r="O164" s="410">
        <v>0</v>
      </c>
      <c r="P164" s="410">
        <v>0</v>
      </c>
      <c r="Q164" s="410">
        <v>0</v>
      </c>
      <c r="R164" s="410">
        <v>0</v>
      </c>
      <c r="S164" s="410">
        <v>0</v>
      </c>
      <c r="T164" s="415">
        <v>0</v>
      </c>
    </row>
    <row r="165" spans="3:20" x14ac:dyDescent="0.3">
      <c r="C165" s="109" t="s">
        <v>336</v>
      </c>
      <c r="D165" s="89" t="str">
        <f t="shared" si="112"/>
        <v>도연시스템즈</v>
      </c>
      <c r="E165" s="110" t="s">
        <v>317</v>
      </c>
      <c r="F165" s="110" t="s">
        <v>151</v>
      </c>
      <c r="G165" s="410">
        <v>0</v>
      </c>
      <c r="H165" s="410">
        <v>0</v>
      </c>
      <c r="I165" s="410">
        <v>0</v>
      </c>
      <c r="J165" s="410">
        <v>0</v>
      </c>
      <c r="K165" s="410">
        <v>0</v>
      </c>
      <c r="L165" s="410">
        <v>0</v>
      </c>
      <c r="M165" s="410">
        <v>0</v>
      </c>
      <c r="N165" s="410">
        <v>0</v>
      </c>
      <c r="O165" s="410">
        <v>0</v>
      </c>
      <c r="P165" s="410">
        <v>0</v>
      </c>
      <c r="Q165" s="410">
        <v>0</v>
      </c>
      <c r="R165" s="410">
        <v>0</v>
      </c>
      <c r="S165" s="410">
        <v>0</v>
      </c>
      <c r="T165" s="415">
        <v>0</v>
      </c>
    </row>
    <row r="166" spans="3:20" ht="17.25" thickBot="1" x14ac:dyDescent="0.35">
      <c r="C166" s="99" t="s">
        <v>257</v>
      </c>
      <c r="D166" s="87"/>
      <c r="E166" s="87"/>
      <c r="F166" s="87"/>
      <c r="G166" s="416">
        <f>SUM(G161:G165)</f>
        <v>264731053.59999999</v>
      </c>
      <c r="H166" s="416">
        <f>SUM(H161:H165)</f>
        <v>0</v>
      </c>
      <c r="I166" s="416">
        <f>SUM(I161:I165)</f>
        <v>264731053.59999999</v>
      </c>
      <c r="J166" s="416">
        <f t="shared" ref="J166" si="113">SUM(J161:J165)</f>
        <v>5148000</v>
      </c>
      <c r="K166" s="416">
        <f t="shared" ref="K166" si="114">SUM(K161:K165)</f>
        <v>10296000</v>
      </c>
      <c r="L166" s="416">
        <f t="shared" ref="L166" si="115">SUM(L161:L165)</f>
        <v>38620034</v>
      </c>
      <c r="M166" s="416">
        <f t="shared" ref="M166" si="116">SUM(M161:M165)</f>
        <v>38620034</v>
      </c>
      <c r="N166" s="416">
        <f t="shared" ref="N166" si="117">SUM(N161:N165)</f>
        <v>57348995.200000003</v>
      </c>
      <c r="O166" s="416">
        <f t="shared" ref="O166" si="118">SUM(O161:O165)</f>
        <v>57348995.200000003</v>
      </c>
      <c r="P166" s="416">
        <f t="shared" ref="P166" si="119">SUM(P161:P165)</f>
        <v>57348995.200000003</v>
      </c>
      <c r="Q166" s="416">
        <f t="shared" ref="Q166" si="120">SUM(Q161:Q165)</f>
        <v>0</v>
      </c>
      <c r="R166" s="416">
        <f t="shared" ref="R166" si="121">SUM(R161:R165)</f>
        <v>0</v>
      </c>
      <c r="S166" s="416">
        <f t="shared" ref="S166" si="122">SUM(S161:S165)</f>
        <v>0</v>
      </c>
      <c r="T166" s="417">
        <f t="shared" ref="T166" si="123">SUM(T161:T165)</f>
        <v>0</v>
      </c>
    </row>
    <row r="169" spans="3:20" ht="17.25" thickBot="1" x14ac:dyDescent="0.35"/>
    <row r="170" spans="3:20" x14ac:dyDescent="0.3">
      <c r="C170" s="658" t="s">
        <v>794</v>
      </c>
      <c r="G170" s="663">
        <f>SUM(G178,G184,G190)</f>
        <v>502986730</v>
      </c>
      <c r="H170" s="80">
        <f t="shared" ref="H170:T170" si="124">SUM(H178,H184,H190)</f>
        <v>231663514</v>
      </c>
      <c r="I170" s="80">
        <f t="shared" si="124"/>
        <v>271323216</v>
      </c>
      <c r="J170" s="80">
        <f t="shared" si="124"/>
        <v>0</v>
      </c>
      <c r="K170" s="80">
        <f t="shared" si="124"/>
        <v>45220536</v>
      </c>
      <c r="L170" s="80">
        <f t="shared" si="124"/>
        <v>45220536</v>
      </c>
      <c r="M170" s="80">
        <f t="shared" si="124"/>
        <v>45220536</v>
      </c>
      <c r="N170" s="80">
        <f t="shared" si="124"/>
        <v>45220536</v>
      </c>
      <c r="O170" s="80">
        <f t="shared" si="124"/>
        <v>45220536</v>
      </c>
      <c r="P170" s="80">
        <f t="shared" si="124"/>
        <v>45220536</v>
      </c>
      <c r="Q170" s="80">
        <f t="shared" si="124"/>
        <v>0</v>
      </c>
      <c r="R170" s="80">
        <f t="shared" si="124"/>
        <v>0</v>
      </c>
      <c r="S170" s="80">
        <f t="shared" si="124"/>
        <v>0</v>
      </c>
      <c r="T170" s="81">
        <f t="shared" si="124"/>
        <v>0</v>
      </c>
    </row>
    <row r="171" spans="3:20" ht="17.25" thickBot="1" x14ac:dyDescent="0.35">
      <c r="G171" s="78"/>
      <c r="H171" s="78"/>
      <c r="I171" s="78"/>
      <c r="J171" s="78"/>
      <c r="K171" s="78"/>
      <c r="L171" s="78"/>
      <c r="M171" s="78"/>
      <c r="N171" s="78"/>
      <c r="O171" s="78"/>
      <c r="P171" s="78"/>
      <c r="Q171" s="78"/>
      <c r="R171" s="78"/>
      <c r="S171" s="78"/>
      <c r="T171" s="78"/>
    </row>
    <row r="172" spans="3:20" x14ac:dyDescent="0.3">
      <c r="C172" s="95" t="s">
        <v>319</v>
      </c>
      <c r="D172" s="86" t="s">
        <v>2</v>
      </c>
      <c r="E172" s="86" t="s">
        <v>3</v>
      </c>
      <c r="F172" s="86" t="s">
        <v>4</v>
      </c>
      <c r="G172" s="88" t="s">
        <v>311</v>
      </c>
      <c r="H172" s="88" t="s">
        <v>309</v>
      </c>
      <c r="I172" s="88" t="s">
        <v>310</v>
      </c>
      <c r="J172" s="88" t="s">
        <v>41</v>
      </c>
      <c r="K172" s="88" t="s">
        <v>258</v>
      </c>
      <c r="L172" s="88" t="s">
        <v>259</v>
      </c>
      <c r="M172" s="88" t="s">
        <v>260</v>
      </c>
      <c r="N172" s="88" t="s">
        <v>261</v>
      </c>
      <c r="O172" s="88" t="s">
        <v>262</v>
      </c>
      <c r="P172" s="88" t="s">
        <v>263</v>
      </c>
      <c r="Q172" s="88" t="s">
        <v>264</v>
      </c>
      <c r="R172" s="88" t="s">
        <v>265</v>
      </c>
      <c r="S172" s="88" t="s">
        <v>266</v>
      </c>
      <c r="T172" s="79" t="s">
        <v>182</v>
      </c>
    </row>
    <row r="173" spans="3:20" x14ac:dyDescent="0.3">
      <c r="C173" s="96" t="s">
        <v>336</v>
      </c>
      <c r="D173" s="91" t="str">
        <f>$C$170</f>
        <v>지어소프트</v>
      </c>
      <c r="E173" s="91" t="s">
        <v>279</v>
      </c>
      <c r="F173" s="91" t="s">
        <v>312</v>
      </c>
      <c r="G173" s="407">
        <v>231663514</v>
      </c>
      <c r="H173" s="407">
        <v>231663514</v>
      </c>
      <c r="I173" s="408">
        <v>0</v>
      </c>
      <c r="J173" s="408">
        <v>0</v>
      </c>
      <c r="K173" s="408">
        <v>0</v>
      </c>
      <c r="L173" s="408">
        <v>0</v>
      </c>
      <c r="M173" s="408">
        <v>0</v>
      </c>
      <c r="N173" s="408">
        <v>0</v>
      </c>
      <c r="O173" s="408">
        <v>0</v>
      </c>
      <c r="P173" s="408">
        <v>0</v>
      </c>
      <c r="Q173" s="408">
        <v>0</v>
      </c>
      <c r="R173" s="408">
        <v>0</v>
      </c>
      <c r="S173" s="408">
        <v>0</v>
      </c>
      <c r="T173" s="409">
        <v>0</v>
      </c>
    </row>
    <row r="174" spans="3:20" x14ac:dyDescent="0.3">
      <c r="C174" s="97" t="s">
        <v>336</v>
      </c>
      <c r="D174" s="89" t="str">
        <f t="shared" ref="D174:D177" si="125">$C$170</f>
        <v>지어소프트</v>
      </c>
      <c r="E174" s="89" t="s">
        <v>279</v>
      </c>
      <c r="F174" s="89" t="s">
        <v>313</v>
      </c>
      <c r="G174" s="410">
        <v>0</v>
      </c>
      <c r="H174" s="410">
        <v>0</v>
      </c>
      <c r="I174" s="411">
        <v>0</v>
      </c>
      <c r="J174" s="411">
        <v>0</v>
      </c>
      <c r="K174" s="411">
        <v>0</v>
      </c>
      <c r="L174" s="411">
        <v>0</v>
      </c>
      <c r="M174" s="411">
        <v>0</v>
      </c>
      <c r="N174" s="411">
        <v>0</v>
      </c>
      <c r="O174" s="411">
        <v>0</v>
      </c>
      <c r="P174" s="411">
        <v>0</v>
      </c>
      <c r="Q174" s="411">
        <v>0</v>
      </c>
      <c r="R174" s="411">
        <v>0</v>
      </c>
      <c r="S174" s="411">
        <v>0</v>
      </c>
      <c r="T174" s="412">
        <v>0</v>
      </c>
    </row>
    <row r="175" spans="3:20" x14ac:dyDescent="0.3">
      <c r="C175" s="97" t="s">
        <v>336</v>
      </c>
      <c r="D175" s="89" t="str">
        <f t="shared" si="125"/>
        <v>지어소프트</v>
      </c>
      <c r="E175" s="89" t="s">
        <v>279</v>
      </c>
      <c r="F175" s="89" t="s">
        <v>314</v>
      </c>
      <c r="G175" s="410">
        <v>0</v>
      </c>
      <c r="H175" s="410">
        <v>0</v>
      </c>
      <c r="I175" s="411">
        <v>0</v>
      </c>
      <c r="J175" s="411">
        <v>0</v>
      </c>
      <c r="K175" s="411">
        <v>0</v>
      </c>
      <c r="L175" s="411">
        <v>0</v>
      </c>
      <c r="M175" s="411">
        <v>0</v>
      </c>
      <c r="N175" s="411">
        <v>0</v>
      </c>
      <c r="O175" s="411">
        <v>0</v>
      </c>
      <c r="P175" s="411">
        <v>0</v>
      </c>
      <c r="Q175" s="411">
        <v>0</v>
      </c>
      <c r="R175" s="411">
        <v>0</v>
      </c>
      <c r="S175" s="411">
        <v>0</v>
      </c>
      <c r="T175" s="412">
        <v>0</v>
      </c>
    </row>
    <row r="176" spans="3:20" x14ac:dyDescent="0.3">
      <c r="C176" s="97" t="s">
        <v>336</v>
      </c>
      <c r="D176" s="89" t="str">
        <f t="shared" si="125"/>
        <v>지어소프트</v>
      </c>
      <c r="E176" s="89" t="s">
        <v>279</v>
      </c>
      <c r="F176" s="89" t="s">
        <v>315</v>
      </c>
      <c r="G176" s="410">
        <v>0</v>
      </c>
      <c r="H176" s="410">
        <v>0</v>
      </c>
      <c r="I176" s="411">
        <v>0</v>
      </c>
      <c r="J176" s="411">
        <v>0</v>
      </c>
      <c r="K176" s="411">
        <v>0</v>
      </c>
      <c r="L176" s="411">
        <v>0</v>
      </c>
      <c r="M176" s="411">
        <v>0</v>
      </c>
      <c r="N176" s="411">
        <v>0</v>
      </c>
      <c r="O176" s="411">
        <v>0</v>
      </c>
      <c r="P176" s="411">
        <v>0</v>
      </c>
      <c r="Q176" s="411">
        <v>0</v>
      </c>
      <c r="R176" s="411">
        <v>0</v>
      </c>
      <c r="S176" s="411">
        <v>0</v>
      </c>
      <c r="T176" s="412">
        <v>0</v>
      </c>
    </row>
    <row r="177" spans="3:20" x14ac:dyDescent="0.3">
      <c r="C177" s="109" t="s">
        <v>336</v>
      </c>
      <c r="D177" s="89" t="str">
        <f t="shared" si="125"/>
        <v>지어소프트</v>
      </c>
      <c r="E177" s="110" t="s">
        <v>279</v>
      </c>
      <c r="F177" s="110" t="s">
        <v>151</v>
      </c>
      <c r="G177" s="410">
        <v>0</v>
      </c>
      <c r="H177" s="410">
        <v>0</v>
      </c>
      <c r="I177" s="411">
        <v>0</v>
      </c>
      <c r="J177" s="411">
        <v>0</v>
      </c>
      <c r="K177" s="411">
        <v>0</v>
      </c>
      <c r="L177" s="411">
        <v>0</v>
      </c>
      <c r="M177" s="411">
        <v>0</v>
      </c>
      <c r="N177" s="411">
        <v>0</v>
      </c>
      <c r="O177" s="411">
        <v>0</v>
      </c>
      <c r="P177" s="411">
        <v>0</v>
      </c>
      <c r="Q177" s="411">
        <v>0</v>
      </c>
      <c r="R177" s="411">
        <v>0</v>
      </c>
      <c r="S177" s="411">
        <v>0</v>
      </c>
      <c r="T177" s="412">
        <v>0</v>
      </c>
    </row>
    <row r="178" spans="3:20" x14ac:dyDescent="0.3">
      <c r="C178" s="98" t="s">
        <v>257</v>
      </c>
      <c r="D178" s="90"/>
      <c r="E178" s="90"/>
      <c r="F178" s="90"/>
      <c r="G178" s="413">
        <f>SUM(G173:G177)</f>
        <v>231663514</v>
      </c>
      <c r="H178" s="413">
        <f>SUM(H173:H177)</f>
        <v>231663514</v>
      </c>
      <c r="I178" s="413">
        <f>SUM(I173:I177)</f>
        <v>0</v>
      </c>
      <c r="J178" s="413">
        <f t="shared" ref="J178:T178" si="126">SUM(J173:J177)</f>
        <v>0</v>
      </c>
      <c r="K178" s="413">
        <f t="shared" si="126"/>
        <v>0</v>
      </c>
      <c r="L178" s="413">
        <f t="shared" si="126"/>
        <v>0</v>
      </c>
      <c r="M178" s="413">
        <f t="shared" si="126"/>
        <v>0</v>
      </c>
      <c r="N178" s="413">
        <f t="shared" si="126"/>
        <v>0</v>
      </c>
      <c r="O178" s="413">
        <f t="shared" si="126"/>
        <v>0</v>
      </c>
      <c r="P178" s="413">
        <f t="shared" si="126"/>
        <v>0</v>
      </c>
      <c r="Q178" s="413">
        <f t="shared" si="126"/>
        <v>0</v>
      </c>
      <c r="R178" s="413">
        <f t="shared" si="126"/>
        <v>0</v>
      </c>
      <c r="S178" s="413">
        <f t="shared" si="126"/>
        <v>0</v>
      </c>
      <c r="T178" s="414">
        <f t="shared" si="126"/>
        <v>0</v>
      </c>
    </row>
    <row r="179" spans="3:20" x14ac:dyDescent="0.3">
      <c r="C179" s="97" t="s">
        <v>336</v>
      </c>
      <c r="D179" s="89" t="str">
        <f>$C$170</f>
        <v>지어소프트</v>
      </c>
      <c r="E179" s="89" t="s">
        <v>152</v>
      </c>
      <c r="F179" s="89" t="s">
        <v>153</v>
      </c>
      <c r="G179" s="410">
        <v>271323216</v>
      </c>
      <c r="H179" s="410">
        <v>0</v>
      </c>
      <c r="I179" s="410">
        <v>271323216</v>
      </c>
      <c r="J179" s="410">
        <v>0</v>
      </c>
      <c r="K179" s="410">
        <v>45220536</v>
      </c>
      <c r="L179" s="410">
        <v>45220536</v>
      </c>
      <c r="M179" s="410">
        <v>45220536</v>
      </c>
      <c r="N179" s="410">
        <v>45220536</v>
      </c>
      <c r="O179" s="410">
        <v>45220536</v>
      </c>
      <c r="P179" s="410">
        <v>45220536</v>
      </c>
      <c r="Q179" s="410">
        <v>0</v>
      </c>
      <c r="R179" s="410">
        <v>0</v>
      </c>
      <c r="S179" s="410">
        <v>0</v>
      </c>
      <c r="T179" s="415">
        <v>0</v>
      </c>
    </row>
    <row r="180" spans="3:20" x14ac:dyDescent="0.3">
      <c r="C180" s="97" t="s">
        <v>336</v>
      </c>
      <c r="D180" s="89" t="str">
        <f t="shared" ref="D180:D183" si="127">$C$170</f>
        <v>지어소프트</v>
      </c>
      <c r="E180" s="89" t="s">
        <v>316</v>
      </c>
      <c r="F180" s="89" t="s">
        <v>318</v>
      </c>
      <c r="G180" s="410">
        <v>0</v>
      </c>
      <c r="H180" s="410">
        <v>0</v>
      </c>
      <c r="I180" s="410">
        <v>0</v>
      </c>
      <c r="J180" s="410">
        <v>0</v>
      </c>
      <c r="K180" s="410">
        <v>0</v>
      </c>
      <c r="L180" s="410">
        <v>0</v>
      </c>
      <c r="M180" s="410">
        <v>0</v>
      </c>
      <c r="N180" s="410">
        <v>0</v>
      </c>
      <c r="O180" s="410">
        <v>0</v>
      </c>
      <c r="P180" s="410">
        <v>0</v>
      </c>
      <c r="Q180" s="410">
        <v>0</v>
      </c>
      <c r="R180" s="410">
        <v>0</v>
      </c>
      <c r="S180" s="410">
        <v>0</v>
      </c>
      <c r="T180" s="415">
        <v>0</v>
      </c>
    </row>
    <row r="181" spans="3:20" x14ac:dyDescent="0.3">
      <c r="C181" s="97" t="s">
        <v>336</v>
      </c>
      <c r="D181" s="89" t="str">
        <f t="shared" si="127"/>
        <v>지어소프트</v>
      </c>
      <c r="E181" s="110" t="s">
        <v>316</v>
      </c>
      <c r="F181" s="110" t="s">
        <v>151</v>
      </c>
      <c r="G181" s="410">
        <v>0</v>
      </c>
      <c r="H181" s="410">
        <v>0</v>
      </c>
      <c r="I181" s="410">
        <v>0</v>
      </c>
      <c r="J181" s="410">
        <v>0</v>
      </c>
      <c r="K181" s="410">
        <v>0</v>
      </c>
      <c r="L181" s="410">
        <v>0</v>
      </c>
      <c r="M181" s="410">
        <v>0</v>
      </c>
      <c r="N181" s="410">
        <v>0</v>
      </c>
      <c r="O181" s="410">
        <v>0</v>
      </c>
      <c r="P181" s="410">
        <v>0</v>
      </c>
      <c r="Q181" s="410">
        <v>0</v>
      </c>
      <c r="R181" s="410">
        <v>0</v>
      </c>
      <c r="S181" s="410">
        <v>0</v>
      </c>
      <c r="T181" s="415">
        <v>0</v>
      </c>
    </row>
    <row r="182" spans="3:20" x14ac:dyDescent="0.3">
      <c r="C182" s="97" t="s">
        <v>336</v>
      </c>
      <c r="D182" s="89" t="str">
        <f t="shared" si="127"/>
        <v>지어소프트</v>
      </c>
      <c r="E182" s="110" t="s">
        <v>316</v>
      </c>
      <c r="F182" s="110" t="s">
        <v>151</v>
      </c>
      <c r="G182" s="410">
        <v>0</v>
      </c>
      <c r="H182" s="410">
        <v>0</v>
      </c>
      <c r="I182" s="410">
        <v>0</v>
      </c>
      <c r="J182" s="410">
        <v>0</v>
      </c>
      <c r="K182" s="410">
        <v>0</v>
      </c>
      <c r="L182" s="410">
        <v>0</v>
      </c>
      <c r="M182" s="410">
        <v>0</v>
      </c>
      <c r="N182" s="410">
        <v>0</v>
      </c>
      <c r="O182" s="410">
        <v>0</v>
      </c>
      <c r="P182" s="410">
        <v>0</v>
      </c>
      <c r="Q182" s="410">
        <v>0</v>
      </c>
      <c r="R182" s="410">
        <v>0</v>
      </c>
      <c r="S182" s="410">
        <v>0</v>
      </c>
      <c r="T182" s="415">
        <v>0</v>
      </c>
    </row>
    <row r="183" spans="3:20" x14ac:dyDescent="0.3">
      <c r="C183" s="109" t="s">
        <v>336</v>
      </c>
      <c r="D183" s="89" t="str">
        <f t="shared" si="127"/>
        <v>지어소프트</v>
      </c>
      <c r="E183" s="110" t="s">
        <v>316</v>
      </c>
      <c r="F183" s="110" t="s">
        <v>151</v>
      </c>
      <c r="G183" s="410">
        <v>0</v>
      </c>
      <c r="H183" s="410">
        <v>0</v>
      </c>
      <c r="I183" s="410">
        <v>0</v>
      </c>
      <c r="J183" s="410">
        <v>0</v>
      </c>
      <c r="K183" s="410">
        <v>0</v>
      </c>
      <c r="L183" s="410">
        <v>0</v>
      </c>
      <c r="M183" s="410">
        <v>0</v>
      </c>
      <c r="N183" s="410">
        <v>0</v>
      </c>
      <c r="O183" s="410">
        <v>0</v>
      </c>
      <c r="P183" s="410">
        <v>0</v>
      </c>
      <c r="Q183" s="410">
        <v>0</v>
      </c>
      <c r="R183" s="410">
        <v>0</v>
      </c>
      <c r="S183" s="410">
        <v>0</v>
      </c>
      <c r="T183" s="415">
        <v>0</v>
      </c>
    </row>
    <row r="184" spans="3:20" x14ac:dyDescent="0.3">
      <c r="C184" s="98" t="s">
        <v>257</v>
      </c>
      <c r="D184" s="90"/>
      <c r="E184" s="90"/>
      <c r="F184" s="90"/>
      <c r="G184" s="413">
        <f>SUM(G179:G183)</f>
        <v>271323216</v>
      </c>
      <c r="H184" s="413">
        <f>SUM(H179:H183)</f>
        <v>0</v>
      </c>
      <c r="I184" s="413">
        <f>SUM(I179:I183)</f>
        <v>271323216</v>
      </c>
      <c r="J184" s="413">
        <f t="shared" ref="J184:T184" si="128">SUM(J179:J183)</f>
        <v>0</v>
      </c>
      <c r="K184" s="413">
        <f t="shared" si="128"/>
        <v>45220536</v>
      </c>
      <c r="L184" s="413">
        <f t="shared" si="128"/>
        <v>45220536</v>
      </c>
      <c r="M184" s="413">
        <f t="shared" si="128"/>
        <v>45220536</v>
      </c>
      <c r="N184" s="413">
        <f t="shared" si="128"/>
        <v>45220536</v>
      </c>
      <c r="O184" s="413">
        <f t="shared" si="128"/>
        <v>45220536</v>
      </c>
      <c r="P184" s="413">
        <f t="shared" si="128"/>
        <v>45220536</v>
      </c>
      <c r="Q184" s="413">
        <f t="shared" si="128"/>
        <v>0</v>
      </c>
      <c r="R184" s="413">
        <f t="shared" si="128"/>
        <v>0</v>
      </c>
      <c r="S184" s="413">
        <f t="shared" si="128"/>
        <v>0</v>
      </c>
      <c r="T184" s="414">
        <f t="shared" si="128"/>
        <v>0</v>
      </c>
    </row>
    <row r="185" spans="3:20" x14ac:dyDescent="0.3">
      <c r="C185" s="97" t="s">
        <v>336</v>
      </c>
      <c r="D185" s="89" t="str">
        <f>$C$170</f>
        <v>지어소프트</v>
      </c>
      <c r="E185" s="89" t="s">
        <v>317</v>
      </c>
      <c r="F185" s="89" t="s">
        <v>313</v>
      </c>
      <c r="G185" s="410">
        <v>0</v>
      </c>
      <c r="H185" s="410">
        <v>0</v>
      </c>
      <c r="I185" s="410">
        <v>0</v>
      </c>
      <c r="J185" s="410">
        <v>0</v>
      </c>
      <c r="K185" s="410">
        <v>0</v>
      </c>
      <c r="L185" s="410">
        <v>0</v>
      </c>
      <c r="M185" s="410">
        <v>0</v>
      </c>
      <c r="N185" s="410">
        <v>0</v>
      </c>
      <c r="O185" s="410">
        <v>0</v>
      </c>
      <c r="P185" s="410">
        <v>0</v>
      </c>
      <c r="Q185" s="410">
        <v>0</v>
      </c>
      <c r="R185" s="410">
        <v>0</v>
      </c>
      <c r="S185" s="410">
        <v>0</v>
      </c>
      <c r="T185" s="415">
        <v>0</v>
      </c>
    </row>
    <row r="186" spans="3:20" x14ac:dyDescent="0.3">
      <c r="C186" s="97" t="s">
        <v>336</v>
      </c>
      <c r="D186" s="89" t="str">
        <f t="shared" ref="D186:D189" si="129">$C$170</f>
        <v>지어소프트</v>
      </c>
      <c r="E186" s="89" t="s">
        <v>317</v>
      </c>
      <c r="F186" s="89" t="s">
        <v>314</v>
      </c>
      <c r="G186" s="410">
        <v>0</v>
      </c>
      <c r="H186" s="410">
        <v>0</v>
      </c>
      <c r="I186" s="410">
        <v>0</v>
      </c>
      <c r="J186" s="410">
        <v>0</v>
      </c>
      <c r="K186" s="410">
        <v>0</v>
      </c>
      <c r="L186" s="410">
        <v>0</v>
      </c>
      <c r="M186" s="410">
        <v>0</v>
      </c>
      <c r="N186" s="410">
        <v>0</v>
      </c>
      <c r="O186" s="410">
        <v>0</v>
      </c>
      <c r="P186" s="410">
        <v>0</v>
      </c>
      <c r="Q186" s="410">
        <v>0</v>
      </c>
      <c r="R186" s="410">
        <v>0</v>
      </c>
      <c r="S186" s="410">
        <v>0</v>
      </c>
      <c r="T186" s="415">
        <v>0</v>
      </c>
    </row>
    <row r="187" spans="3:20" x14ac:dyDescent="0.3">
      <c r="C187" s="97" t="s">
        <v>336</v>
      </c>
      <c r="D187" s="89" t="str">
        <f t="shared" si="129"/>
        <v>지어소프트</v>
      </c>
      <c r="E187" s="89" t="s">
        <v>317</v>
      </c>
      <c r="F187" s="89" t="s">
        <v>315</v>
      </c>
      <c r="G187" s="410">
        <v>0</v>
      </c>
      <c r="H187" s="410">
        <v>0</v>
      </c>
      <c r="I187" s="410">
        <v>0</v>
      </c>
      <c r="J187" s="410">
        <v>0</v>
      </c>
      <c r="K187" s="410">
        <v>0</v>
      </c>
      <c r="L187" s="410">
        <v>0</v>
      </c>
      <c r="M187" s="410">
        <v>0</v>
      </c>
      <c r="N187" s="410">
        <v>0</v>
      </c>
      <c r="O187" s="410">
        <v>0</v>
      </c>
      <c r="P187" s="410">
        <v>0</v>
      </c>
      <c r="Q187" s="410">
        <v>0</v>
      </c>
      <c r="R187" s="410">
        <v>0</v>
      </c>
      <c r="S187" s="410">
        <v>0</v>
      </c>
      <c r="T187" s="415">
        <v>0</v>
      </c>
    </row>
    <row r="188" spans="3:20" x14ac:dyDescent="0.3">
      <c r="C188" s="97" t="s">
        <v>336</v>
      </c>
      <c r="D188" s="89" t="str">
        <f t="shared" si="129"/>
        <v>지어소프트</v>
      </c>
      <c r="E188" s="110" t="s">
        <v>317</v>
      </c>
      <c r="F188" s="110" t="s">
        <v>151</v>
      </c>
      <c r="G188" s="410">
        <v>0</v>
      </c>
      <c r="H188" s="410">
        <v>0</v>
      </c>
      <c r="I188" s="410">
        <v>0</v>
      </c>
      <c r="J188" s="410">
        <v>0</v>
      </c>
      <c r="K188" s="410">
        <v>0</v>
      </c>
      <c r="L188" s="410">
        <v>0</v>
      </c>
      <c r="M188" s="410">
        <v>0</v>
      </c>
      <c r="N188" s="410">
        <v>0</v>
      </c>
      <c r="O188" s="410">
        <v>0</v>
      </c>
      <c r="P188" s="410">
        <v>0</v>
      </c>
      <c r="Q188" s="410">
        <v>0</v>
      </c>
      <c r="R188" s="410">
        <v>0</v>
      </c>
      <c r="S188" s="410">
        <v>0</v>
      </c>
      <c r="T188" s="415">
        <v>0</v>
      </c>
    </row>
    <row r="189" spans="3:20" x14ac:dyDescent="0.3">
      <c r="C189" s="109" t="s">
        <v>336</v>
      </c>
      <c r="D189" s="89" t="str">
        <f t="shared" si="129"/>
        <v>지어소프트</v>
      </c>
      <c r="E189" s="110" t="s">
        <v>317</v>
      </c>
      <c r="F189" s="110" t="s">
        <v>151</v>
      </c>
      <c r="G189" s="410">
        <v>0</v>
      </c>
      <c r="H189" s="410">
        <v>0</v>
      </c>
      <c r="I189" s="410">
        <v>0</v>
      </c>
      <c r="J189" s="410">
        <v>0</v>
      </c>
      <c r="K189" s="410">
        <v>0</v>
      </c>
      <c r="L189" s="410">
        <v>0</v>
      </c>
      <c r="M189" s="410">
        <v>0</v>
      </c>
      <c r="N189" s="410">
        <v>0</v>
      </c>
      <c r="O189" s="410">
        <v>0</v>
      </c>
      <c r="P189" s="410">
        <v>0</v>
      </c>
      <c r="Q189" s="410">
        <v>0</v>
      </c>
      <c r="R189" s="410">
        <v>0</v>
      </c>
      <c r="S189" s="410">
        <v>0</v>
      </c>
      <c r="T189" s="415">
        <v>0</v>
      </c>
    </row>
    <row r="190" spans="3:20" ht="17.25" thickBot="1" x14ac:dyDescent="0.35">
      <c r="C190" s="99" t="s">
        <v>257</v>
      </c>
      <c r="D190" s="87"/>
      <c r="E190" s="87"/>
      <c r="F190" s="87"/>
      <c r="G190" s="416">
        <f>SUM(G185:G189)</f>
        <v>0</v>
      </c>
      <c r="H190" s="416">
        <f>SUM(H185:H189)</f>
        <v>0</v>
      </c>
      <c r="I190" s="416">
        <f>SUM(I185:I189)</f>
        <v>0</v>
      </c>
      <c r="J190" s="416">
        <f t="shared" ref="J190:T190" si="130">SUM(J185:J189)</f>
        <v>0</v>
      </c>
      <c r="K190" s="416">
        <f t="shared" si="130"/>
        <v>0</v>
      </c>
      <c r="L190" s="416">
        <f t="shared" si="130"/>
        <v>0</v>
      </c>
      <c r="M190" s="416">
        <f t="shared" si="130"/>
        <v>0</v>
      </c>
      <c r="N190" s="416">
        <f t="shared" si="130"/>
        <v>0</v>
      </c>
      <c r="O190" s="416">
        <f t="shared" si="130"/>
        <v>0</v>
      </c>
      <c r="P190" s="416">
        <f t="shared" si="130"/>
        <v>0</v>
      </c>
      <c r="Q190" s="416">
        <f t="shared" si="130"/>
        <v>0</v>
      </c>
      <c r="R190" s="416">
        <f t="shared" si="130"/>
        <v>0</v>
      </c>
      <c r="S190" s="416">
        <f t="shared" si="130"/>
        <v>0</v>
      </c>
      <c r="T190" s="417">
        <f t="shared" si="130"/>
        <v>0</v>
      </c>
    </row>
    <row r="193" spans="3:20" ht="17.25" thickBot="1" x14ac:dyDescent="0.35"/>
    <row r="194" spans="3:20" x14ac:dyDescent="0.3">
      <c r="C194" s="69" t="s">
        <v>1011</v>
      </c>
      <c r="G194" s="663">
        <f>SUM(G202,G208,G214)</f>
        <v>945000000</v>
      </c>
      <c r="H194" s="80">
        <f t="shared" ref="H194:T194" si="131">SUM(H202,H208,H214)</f>
        <v>945000000</v>
      </c>
      <c r="I194" s="80">
        <f t="shared" si="131"/>
        <v>0</v>
      </c>
      <c r="J194" s="80">
        <f t="shared" si="131"/>
        <v>0</v>
      </c>
      <c r="K194" s="80">
        <f t="shared" si="131"/>
        <v>0</v>
      </c>
      <c r="L194" s="80">
        <f t="shared" si="131"/>
        <v>0</v>
      </c>
      <c r="M194" s="80">
        <f t="shared" si="131"/>
        <v>0</v>
      </c>
      <c r="N194" s="80">
        <f t="shared" si="131"/>
        <v>0</v>
      </c>
      <c r="O194" s="80">
        <f t="shared" si="131"/>
        <v>0</v>
      </c>
      <c r="P194" s="80">
        <f t="shared" si="131"/>
        <v>0</v>
      </c>
      <c r="Q194" s="80">
        <f t="shared" si="131"/>
        <v>0</v>
      </c>
      <c r="R194" s="80">
        <f t="shared" si="131"/>
        <v>0</v>
      </c>
      <c r="S194" s="80">
        <f t="shared" si="131"/>
        <v>0</v>
      </c>
      <c r="T194" s="81">
        <f t="shared" si="131"/>
        <v>0</v>
      </c>
    </row>
    <row r="195" spans="3:20" ht="17.25" thickBot="1" x14ac:dyDescent="0.35">
      <c r="G195" s="78"/>
      <c r="H195" s="78"/>
      <c r="I195" s="78"/>
      <c r="J195" s="78"/>
      <c r="K195" s="78"/>
      <c r="L195" s="78"/>
      <c r="M195" s="78"/>
      <c r="N195" s="78"/>
      <c r="O195" s="78"/>
      <c r="P195" s="78"/>
      <c r="Q195" s="78"/>
      <c r="R195" s="78"/>
      <c r="S195" s="78"/>
      <c r="T195" s="78"/>
    </row>
    <row r="196" spans="3:20" x14ac:dyDescent="0.3">
      <c r="C196" s="95" t="s">
        <v>319</v>
      </c>
      <c r="D196" s="86" t="s">
        <v>2</v>
      </c>
      <c r="E196" s="86" t="s">
        <v>3</v>
      </c>
      <c r="F196" s="86" t="s">
        <v>4</v>
      </c>
      <c r="G196" s="88" t="s">
        <v>311</v>
      </c>
      <c r="H196" s="88" t="s">
        <v>309</v>
      </c>
      <c r="I196" s="88" t="s">
        <v>310</v>
      </c>
      <c r="J196" s="88" t="s">
        <v>41</v>
      </c>
      <c r="K196" s="88" t="s">
        <v>258</v>
      </c>
      <c r="L196" s="88" t="s">
        <v>259</v>
      </c>
      <c r="M196" s="88" t="s">
        <v>260</v>
      </c>
      <c r="N196" s="88" t="s">
        <v>261</v>
      </c>
      <c r="O196" s="88" t="s">
        <v>262</v>
      </c>
      <c r="P196" s="88" t="s">
        <v>263</v>
      </c>
      <c r="Q196" s="88" t="s">
        <v>264</v>
      </c>
      <c r="R196" s="88" t="s">
        <v>265</v>
      </c>
      <c r="S196" s="88" t="s">
        <v>266</v>
      </c>
      <c r="T196" s="79" t="s">
        <v>182</v>
      </c>
    </row>
    <row r="197" spans="3:20" x14ac:dyDescent="0.3">
      <c r="C197" s="96" t="s">
        <v>336</v>
      </c>
      <c r="D197" s="91" t="str">
        <f>$C$194</f>
        <v>에이피위즈덤</v>
      </c>
      <c r="E197" s="91" t="s">
        <v>279</v>
      </c>
      <c r="F197" s="91" t="s">
        <v>312</v>
      </c>
      <c r="G197" s="407">
        <v>0</v>
      </c>
      <c r="H197" s="407">
        <v>0</v>
      </c>
      <c r="I197" s="408">
        <v>0</v>
      </c>
      <c r="J197" s="408">
        <v>0</v>
      </c>
      <c r="K197" s="408">
        <v>0</v>
      </c>
      <c r="L197" s="408">
        <v>0</v>
      </c>
      <c r="M197" s="408">
        <v>0</v>
      </c>
      <c r="N197" s="408">
        <v>0</v>
      </c>
      <c r="O197" s="408">
        <v>0</v>
      </c>
      <c r="P197" s="408">
        <v>0</v>
      </c>
      <c r="Q197" s="408">
        <v>0</v>
      </c>
      <c r="R197" s="408">
        <v>0</v>
      </c>
      <c r="S197" s="408">
        <v>0</v>
      </c>
      <c r="T197" s="409">
        <v>0</v>
      </c>
    </row>
    <row r="198" spans="3:20" x14ac:dyDescent="0.3">
      <c r="C198" s="97" t="s">
        <v>336</v>
      </c>
      <c r="D198" s="89" t="str">
        <f t="shared" ref="D198:D201" si="132">$C$194</f>
        <v>에이피위즈덤</v>
      </c>
      <c r="E198" s="89" t="s">
        <v>279</v>
      </c>
      <c r="F198" s="89" t="s">
        <v>313</v>
      </c>
      <c r="G198" s="410">
        <v>0</v>
      </c>
      <c r="H198" s="410">
        <v>0</v>
      </c>
      <c r="I198" s="411">
        <v>0</v>
      </c>
      <c r="J198" s="411">
        <v>0</v>
      </c>
      <c r="K198" s="411">
        <v>0</v>
      </c>
      <c r="L198" s="411">
        <v>0</v>
      </c>
      <c r="M198" s="411">
        <v>0</v>
      </c>
      <c r="N198" s="411">
        <v>0</v>
      </c>
      <c r="O198" s="411">
        <v>0</v>
      </c>
      <c r="P198" s="411">
        <v>0</v>
      </c>
      <c r="Q198" s="411">
        <v>0</v>
      </c>
      <c r="R198" s="411">
        <v>0</v>
      </c>
      <c r="S198" s="411">
        <v>0</v>
      </c>
      <c r="T198" s="412">
        <v>0</v>
      </c>
    </row>
    <row r="199" spans="3:20" x14ac:dyDescent="0.3">
      <c r="C199" s="97" t="s">
        <v>336</v>
      </c>
      <c r="D199" s="89" t="str">
        <f t="shared" si="132"/>
        <v>에이피위즈덤</v>
      </c>
      <c r="E199" s="89" t="s">
        <v>279</v>
      </c>
      <c r="F199" s="89" t="s">
        <v>314</v>
      </c>
      <c r="G199" s="410">
        <v>945000000</v>
      </c>
      <c r="H199" s="410">
        <v>945000000</v>
      </c>
      <c r="I199" s="411">
        <v>0</v>
      </c>
      <c r="J199" s="411">
        <v>0</v>
      </c>
      <c r="K199" s="411">
        <v>0</v>
      </c>
      <c r="L199" s="411">
        <v>0</v>
      </c>
      <c r="M199" s="411">
        <v>0</v>
      </c>
      <c r="N199" s="411">
        <v>0</v>
      </c>
      <c r="O199" s="411">
        <v>0</v>
      </c>
      <c r="P199" s="411">
        <v>0</v>
      </c>
      <c r="Q199" s="411">
        <v>0</v>
      </c>
      <c r="R199" s="411">
        <v>0</v>
      </c>
      <c r="S199" s="411">
        <v>0</v>
      </c>
      <c r="T199" s="412">
        <v>0</v>
      </c>
    </row>
    <row r="200" spans="3:20" x14ac:dyDescent="0.3">
      <c r="C200" s="97" t="s">
        <v>336</v>
      </c>
      <c r="D200" s="89" t="str">
        <f t="shared" si="132"/>
        <v>에이피위즈덤</v>
      </c>
      <c r="E200" s="89" t="s">
        <v>279</v>
      </c>
      <c r="F200" s="89" t="s">
        <v>315</v>
      </c>
      <c r="G200" s="410">
        <v>0</v>
      </c>
      <c r="H200" s="410">
        <v>0</v>
      </c>
      <c r="I200" s="411">
        <v>0</v>
      </c>
      <c r="J200" s="411">
        <v>0</v>
      </c>
      <c r="K200" s="411">
        <v>0</v>
      </c>
      <c r="L200" s="411">
        <v>0</v>
      </c>
      <c r="M200" s="411">
        <v>0</v>
      </c>
      <c r="N200" s="411">
        <v>0</v>
      </c>
      <c r="O200" s="411">
        <v>0</v>
      </c>
      <c r="P200" s="411">
        <v>0</v>
      </c>
      <c r="Q200" s="411">
        <v>0</v>
      </c>
      <c r="R200" s="411">
        <v>0</v>
      </c>
      <c r="S200" s="411">
        <v>0</v>
      </c>
      <c r="T200" s="412">
        <v>0</v>
      </c>
    </row>
    <row r="201" spans="3:20" x14ac:dyDescent="0.3">
      <c r="C201" s="109" t="s">
        <v>336</v>
      </c>
      <c r="D201" s="89" t="str">
        <f t="shared" si="132"/>
        <v>에이피위즈덤</v>
      </c>
      <c r="E201" s="110" t="s">
        <v>279</v>
      </c>
      <c r="F201" s="110" t="s">
        <v>151</v>
      </c>
      <c r="G201" s="410">
        <v>0</v>
      </c>
      <c r="H201" s="410">
        <v>0</v>
      </c>
      <c r="I201" s="411">
        <v>0</v>
      </c>
      <c r="J201" s="411">
        <v>0</v>
      </c>
      <c r="K201" s="411">
        <v>0</v>
      </c>
      <c r="L201" s="411">
        <v>0</v>
      </c>
      <c r="M201" s="411">
        <v>0</v>
      </c>
      <c r="N201" s="411">
        <v>0</v>
      </c>
      <c r="O201" s="411">
        <v>0</v>
      </c>
      <c r="P201" s="411">
        <v>0</v>
      </c>
      <c r="Q201" s="411">
        <v>0</v>
      </c>
      <c r="R201" s="411">
        <v>0</v>
      </c>
      <c r="S201" s="411">
        <v>0</v>
      </c>
      <c r="T201" s="412">
        <v>0</v>
      </c>
    </row>
    <row r="202" spans="3:20" x14ac:dyDescent="0.3">
      <c r="C202" s="98" t="s">
        <v>257</v>
      </c>
      <c r="D202" s="90"/>
      <c r="E202" s="90"/>
      <c r="F202" s="90"/>
      <c r="G202" s="413">
        <f>SUM(G197:G201)</f>
        <v>945000000</v>
      </c>
      <c r="H202" s="413">
        <f>SUM(H197:H201)</f>
        <v>945000000</v>
      </c>
      <c r="I202" s="413">
        <f>SUM(I197:I201)</f>
        <v>0</v>
      </c>
      <c r="J202" s="413">
        <f t="shared" ref="J202:T202" si="133">SUM(J197:J201)</f>
        <v>0</v>
      </c>
      <c r="K202" s="413">
        <f t="shared" si="133"/>
        <v>0</v>
      </c>
      <c r="L202" s="413">
        <f t="shared" si="133"/>
        <v>0</v>
      </c>
      <c r="M202" s="413">
        <f t="shared" si="133"/>
        <v>0</v>
      </c>
      <c r="N202" s="413">
        <f t="shared" si="133"/>
        <v>0</v>
      </c>
      <c r="O202" s="413">
        <f t="shared" si="133"/>
        <v>0</v>
      </c>
      <c r="P202" s="413">
        <f t="shared" si="133"/>
        <v>0</v>
      </c>
      <c r="Q202" s="413">
        <f t="shared" si="133"/>
        <v>0</v>
      </c>
      <c r="R202" s="413">
        <f t="shared" si="133"/>
        <v>0</v>
      </c>
      <c r="S202" s="413">
        <f t="shared" si="133"/>
        <v>0</v>
      </c>
      <c r="T202" s="414">
        <f t="shared" si="133"/>
        <v>0</v>
      </c>
    </row>
    <row r="203" spans="3:20" x14ac:dyDescent="0.3">
      <c r="C203" s="97" t="s">
        <v>336</v>
      </c>
      <c r="D203" s="89" t="str">
        <f>$C$194</f>
        <v>에이피위즈덤</v>
      </c>
      <c r="E203" s="89" t="s">
        <v>152</v>
      </c>
      <c r="F203" s="89" t="s">
        <v>153</v>
      </c>
      <c r="G203" s="410">
        <v>0</v>
      </c>
      <c r="H203" s="410">
        <v>0</v>
      </c>
      <c r="I203" s="410">
        <v>0</v>
      </c>
      <c r="J203" s="410">
        <v>0</v>
      </c>
      <c r="K203" s="410">
        <v>0</v>
      </c>
      <c r="L203" s="410">
        <v>0</v>
      </c>
      <c r="M203" s="410">
        <v>0</v>
      </c>
      <c r="N203" s="410">
        <v>0</v>
      </c>
      <c r="O203" s="410">
        <v>0</v>
      </c>
      <c r="P203" s="410">
        <v>0</v>
      </c>
      <c r="Q203" s="410">
        <v>0</v>
      </c>
      <c r="R203" s="410">
        <v>0</v>
      </c>
      <c r="S203" s="410">
        <v>0</v>
      </c>
      <c r="T203" s="415">
        <v>0</v>
      </c>
    </row>
    <row r="204" spans="3:20" x14ac:dyDescent="0.3">
      <c r="C204" s="97" t="s">
        <v>336</v>
      </c>
      <c r="D204" s="89" t="str">
        <f t="shared" ref="D204:D207" si="134">$C$194</f>
        <v>에이피위즈덤</v>
      </c>
      <c r="E204" s="89" t="s">
        <v>316</v>
      </c>
      <c r="F204" s="89" t="s">
        <v>318</v>
      </c>
      <c r="G204" s="410">
        <v>0</v>
      </c>
      <c r="H204" s="410">
        <v>0</v>
      </c>
      <c r="I204" s="410">
        <v>0</v>
      </c>
      <c r="J204" s="410">
        <v>0</v>
      </c>
      <c r="K204" s="410">
        <v>0</v>
      </c>
      <c r="L204" s="410">
        <v>0</v>
      </c>
      <c r="M204" s="410">
        <v>0</v>
      </c>
      <c r="N204" s="410">
        <v>0</v>
      </c>
      <c r="O204" s="410">
        <v>0</v>
      </c>
      <c r="P204" s="410">
        <v>0</v>
      </c>
      <c r="Q204" s="410">
        <v>0</v>
      </c>
      <c r="R204" s="410">
        <v>0</v>
      </c>
      <c r="S204" s="410">
        <v>0</v>
      </c>
      <c r="T204" s="415">
        <v>0</v>
      </c>
    </row>
    <row r="205" spans="3:20" x14ac:dyDescent="0.3">
      <c r="C205" s="97" t="s">
        <v>336</v>
      </c>
      <c r="D205" s="89" t="str">
        <f t="shared" si="134"/>
        <v>에이피위즈덤</v>
      </c>
      <c r="E205" s="110" t="s">
        <v>316</v>
      </c>
      <c r="F205" s="110" t="s">
        <v>151</v>
      </c>
      <c r="G205" s="410">
        <v>0</v>
      </c>
      <c r="H205" s="410">
        <v>0</v>
      </c>
      <c r="I205" s="410">
        <v>0</v>
      </c>
      <c r="J205" s="410">
        <v>0</v>
      </c>
      <c r="K205" s="410">
        <v>0</v>
      </c>
      <c r="L205" s="410">
        <v>0</v>
      </c>
      <c r="M205" s="410">
        <v>0</v>
      </c>
      <c r="N205" s="410">
        <v>0</v>
      </c>
      <c r="O205" s="410">
        <v>0</v>
      </c>
      <c r="P205" s="410">
        <v>0</v>
      </c>
      <c r="Q205" s="410">
        <v>0</v>
      </c>
      <c r="R205" s="410">
        <v>0</v>
      </c>
      <c r="S205" s="410">
        <v>0</v>
      </c>
      <c r="T205" s="415">
        <v>0</v>
      </c>
    </row>
    <row r="206" spans="3:20" x14ac:dyDescent="0.3">
      <c r="C206" s="97" t="s">
        <v>336</v>
      </c>
      <c r="D206" s="89" t="str">
        <f t="shared" si="134"/>
        <v>에이피위즈덤</v>
      </c>
      <c r="E206" s="110" t="s">
        <v>316</v>
      </c>
      <c r="F206" s="110" t="s">
        <v>151</v>
      </c>
      <c r="G206" s="410">
        <v>0</v>
      </c>
      <c r="H206" s="410">
        <v>0</v>
      </c>
      <c r="I206" s="410">
        <v>0</v>
      </c>
      <c r="J206" s="410">
        <v>0</v>
      </c>
      <c r="K206" s="410">
        <v>0</v>
      </c>
      <c r="L206" s="410">
        <v>0</v>
      </c>
      <c r="M206" s="410">
        <v>0</v>
      </c>
      <c r="N206" s="410">
        <v>0</v>
      </c>
      <c r="O206" s="410">
        <v>0</v>
      </c>
      <c r="P206" s="410">
        <v>0</v>
      </c>
      <c r="Q206" s="410">
        <v>0</v>
      </c>
      <c r="R206" s="410">
        <v>0</v>
      </c>
      <c r="S206" s="410">
        <v>0</v>
      </c>
      <c r="T206" s="415">
        <v>0</v>
      </c>
    </row>
    <row r="207" spans="3:20" x14ac:dyDescent="0.3">
      <c r="C207" s="109" t="s">
        <v>336</v>
      </c>
      <c r="D207" s="89" t="str">
        <f t="shared" si="134"/>
        <v>에이피위즈덤</v>
      </c>
      <c r="E207" s="110" t="s">
        <v>316</v>
      </c>
      <c r="F207" s="110" t="s">
        <v>151</v>
      </c>
      <c r="G207" s="410">
        <v>0</v>
      </c>
      <c r="H207" s="410">
        <v>0</v>
      </c>
      <c r="I207" s="410">
        <v>0</v>
      </c>
      <c r="J207" s="410">
        <v>0</v>
      </c>
      <c r="K207" s="410">
        <v>0</v>
      </c>
      <c r="L207" s="410">
        <v>0</v>
      </c>
      <c r="M207" s="410">
        <v>0</v>
      </c>
      <c r="N207" s="410">
        <v>0</v>
      </c>
      <c r="O207" s="410">
        <v>0</v>
      </c>
      <c r="P207" s="410">
        <v>0</v>
      </c>
      <c r="Q207" s="410">
        <v>0</v>
      </c>
      <c r="R207" s="410">
        <v>0</v>
      </c>
      <c r="S207" s="410">
        <v>0</v>
      </c>
      <c r="T207" s="415">
        <v>0</v>
      </c>
    </row>
    <row r="208" spans="3:20" x14ac:dyDescent="0.3">
      <c r="C208" s="98" t="s">
        <v>257</v>
      </c>
      <c r="D208" s="90"/>
      <c r="E208" s="90"/>
      <c r="F208" s="90"/>
      <c r="G208" s="413">
        <f>SUM(G203:G207)</f>
        <v>0</v>
      </c>
      <c r="H208" s="413">
        <f>SUM(H203:H207)</f>
        <v>0</v>
      </c>
      <c r="I208" s="413">
        <f>SUM(I203:I207)</f>
        <v>0</v>
      </c>
      <c r="J208" s="413">
        <f t="shared" ref="J208:T208" si="135">SUM(J203:J207)</f>
        <v>0</v>
      </c>
      <c r="K208" s="413">
        <f t="shared" si="135"/>
        <v>0</v>
      </c>
      <c r="L208" s="413">
        <f t="shared" si="135"/>
        <v>0</v>
      </c>
      <c r="M208" s="413">
        <f t="shared" si="135"/>
        <v>0</v>
      </c>
      <c r="N208" s="413">
        <f t="shared" si="135"/>
        <v>0</v>
      </c>
      <c r="O208" s="413">
        <f t="shared" si="135"/>
        <v>0</v>
      </c>
      <c r="P208" s="413">
        <f t="shared" si="135"/>
        <v>0</v>
      </c>
      <c r="Q208" s="413">
        <f t="shared" si="135"/>
        <v>0</v>
      </c>
      <c r="R208" s="413">
        <f t="shared" si="135"/>
        <v>0</v>
      </c>
      <c r="S208" s="413">
        <f t="shared" si="135"/>
        <v>0</v>
      </c>
      <c r="T208" s="414">
        <f t="shared" si="135"/>
        <v>0</v>
      </c>
    </row>
    <row r="209" spans="3:20" x14ac:dyDescent="0.3">
      <c r="C209" s="97" t="s">
        <v>336</v>
      </c>
      <c r="D209" s="89" t="str">
        <f>$C$194</f>
        <v>에이피위즈덤</v>
      </c>
      <c r="E209" s="89" t="s">
        <v>317</v>
      </c>
      <c r="F209" s="89" t="s">
        <v>313</v>
      </c>
      <c r="G209" s="410">
        <v>0</v>
      </c>
      <c r="H209" s="410">
        <v>0</v>
      </c>
      <c r="I209" s="410">
        <v>0</v>
      </c>
      <c r="J209" s="410">
        <v>0</v>
      </c>
      <c r="K209" s="410">
        <v>0</v>
      </c>
      <c r="L209" s="410">
        <v>0</v>
      </c>
      <c r="M209" s="410">
        <v>0</v>
      </c>
      <c r="N209" s="410">
        <v>0</v>
      </c>
      <c r="O209" s="410">
        <v>0</v>
      </c>
      <c r="P209" s="410">
        <v>0</v>
      </c>
      <c r="Q209" s="410">
        <v>0</v>
      </c>
      <c r="R209" s="410">
        <v>0</v>
      </c>
      <c r="S209" s="410">
        <v>0</v>
      </c>
      <c r="T209" s="415">
        <v>0</v>
      </c>
    </row>
    <row r="210" spans="3:20" x14ac:dyDescent="0.3">
      <c r="C210" s="97" t="s">
        <v>336</v>
      </c>
      <c r="D210" s="89" t="str">
        <f t="shared" ref="D210:D213" si="136">$C$194</f>
        <v>에이피위즈덤</v>
      </c>
      <c r="E210" s="89" t="s">
        <v>317</v>
      </c>
      <c r="F210" s="89" t="s">
        <v>314</v>
      </c>
      <c r="G210" s="410">
        <v>0</v>
      </c>
      <c r="H210" s="410">
        <v>0</v>
      </c>
      <c r="I210" s="410">
        <v>0</v>
      </c>
      <c r="J210" s="410">
        <v>0</v>
      </c>
      <c r="K210" s="410">
        <v>0</v>
      </c>
      <c r="L210" s="410">
        <v>0</v>
      </c>
      <c r="M210" s="410">
        <v>0</v>
      </c>
      <c r="N210" s="410">
        <v>0</v>
      </c>
      <c r="O210" s="410">
        <v>0</v>
      </c>
      <c r="P210" s="410">
        <v>0</v>
      </c>
      <c r="Q210" s="410">
        <v>0</v>
      </c>
      <c r="R210" s="410">
        <v>0</v>
      </c>
      <c r="S210" s="410">
        <v>0</v>
      </c>
      <c r="T210" s="415">
        <v>0</v>
      </c>
    </row>
    <row r="211" spans="3:20" x14ac:dyDescent="0.3">
      <c r="C211" s="97" t="s">
        <v>336</v>
      </c>
      <c r="D211" s="89" t="str">
        <f t="shared" si="136"/>
        <v>에이피위즈덤</v>
      </c>
      <c r="E211" s="89" t="s">
        <v>317</v>
      </c>
      <c r="F211" s="89" t="s">
        <v>315</v>
      </c>
      <c r="G211" s="410">
        <v>0</v>
      </c>
      <c r="H211" s="410">
        <v>0</v>
      </c>
      <c r="I211" s="410">
        <v>0</v>
      </c>
      <c r="J211" s="410">
        <v>0</v>
      </c>
      <c r="K211" s="410">
        <v>0</v>
      </c>
      <c r="L211" s="410">
        <v>0</v>
      </c>
      <c r="M211" s="410">
        <v>0</v>
      </c>
      <c r="N211" s="410">
        <v>0</v>
      </c>
      <c r="O211" s="410">
        <v>0</v>
      </c>
      <c r="P211" s="410">
        <v>0</v>
      </c>
      <c r="Q211" s="410">
        <v>0</v>
      </c>
      <c r="R211" s="410">
        <v>0</v>
      </c>
      <c r="S211" s="410">
        <v>0</v>
      </c>
      <c r="T211" s="415">
        <v>0</v>
      </c>
    </row>
    <row r="212" spans="3:20" x14ac:dyDescent="0.3">
      <c r="C212" s="97" t="s">
        <v>336</v>
      </c>
      <c r="D212" s="89" t="str">
        <f t="shared" si="136"/>
        <v>에이피위즈덤</v>
      </c>
      <c r="E212" s="110" t="s">
        <v>317</v>
      </c>
      <c r="F212" s="110" t="s">
        <v>151</v>
      </c>
      <c r="G212" s="410">
        <v>0</v>
      </c>
      <c r="H212" s="410">
        <v>0</v>
      </c>
      <c r="I212" s="410">
        <v>0</v>
      </c>
      <c r="J212" s="410">
        <v>0</v>
      </c>
      <c r="K212" s="410">
        <v>0</v>
      </c>
      <c r="L212" s="410">
        <v>0</v>
      </c>
      <c r="M212" s="410">
        <v>0</v>
      </c>
      <c r="N212" s="410">
        <v>0</v>
      </c>
      <c r="O212" s="410">
        <v>0</v>
      </c>
      <c r="P212" s="410">
        <v>0</v>
      </c>
      <c r="Q212" s="410">
        <v>0</v>
      </c>
      <c r="R212" s="410">
        <v>0</v>
      </c>
      <c r="S212" s="410">
        <v>0</v>
      </c>
      <c r="T212" s="415">
        <v>0</v>
      </c>
    </row>
    <row r="213" spans="3:20" x14ac:dyDescent="0.3">
      <c r="C213" s="109" t="s">
        <v>336</v>
      </c>
      <c r="D213" s="89" t="str">
        <f t="shared" si="136"/>
        <v>에이피위즈덤</v>
      </c>
      <c r="E213" s="110" t="s">
        <v>317</v>
      </c>
      <c r="F213" s="110" t="s">
        <v>151</v>
      </c>
      <c r="G213" s="410">
        <v>0</v>
      </c>
      <c r="H213" s="410">
        <v>0</v>
      </c>
      <c r="I213" s="410">
        <v>0</v>
      </c>
      <c r="J213" s="410">
        <v>0</v>
      </c>
      <c r="K213" s="410">
        <v>0</v>
      </c>
      <c r="L213" s="410">
        <v>0</v>
      </c>
      <c r="M213" s="410">
        <v>0</v>
      </c>
      <c r="N213" s="410">
        <v>0</v>
      </c>
      <c r="O213" s="410">
        <v>0</v>
      </c>
      <c r="P213" s="410">
        <v>0</v>
      </c>
      <c r="Q213" s="410">
        <v>0</v>
      </c>
      <c r="R213" s="410">
        <v>0</v>
      </c>
      <c r="S213" s="410">
        <v>0</v>
      </c>
      <c r="T213" s="415">
        <v>0</v>
      </c>
    </row>
    <row r="214" spans="3:20" ht="17.25" thickBot="1" x14ac:dyDescent="0.35">
      <c r="C214" s="99" t="s">
        <v>257</v>
      </c>
      <c r="D214" s="87"/>
      <c r="E214" s="87"/>
      <c r="F214" s="87"/>
      <c r="G214" s="416">
        <f>SUM(G209:G213)</f>
        <v>0</v>
      </c>
      <c r="H214" s="416">
        <f>SUM(H209:H213)</f>
        <v>0</v>
      </c>
      <c r="I214" s="416">
        <f>SUM(I209:I213)</f>
        <v>0</v>
      </c>
      <c r="J214" s="416">
        <f t="shared" ref="J214:T214" si="137">SUM(J209:J213)</f>
        <v>0</v>
      </c>
      <c r="K214" s="416">
        <f t="shared" si="137"/>
        <v>0</v>
      </c>
      <c r="L214" s="416">
        <f t="shared" si="137"/>
        <v>0</v>
      </c>
      <c r="M214" s="416">
        <f t="shared" si="137"/>
        <v>0</v>
      </c>
      <c r="N214" s="416">
        <f t="shared" si="137"/>
        <v>0</v>
      </c>
      <c r="O214" s="416">
        <f t="shared" si="137"/>
        <v>0</v>
      </c>
      <c r="P214" s="416">
        <f t="shared" si="137"/>
        <v>0</v>
      </c>
      <c r="Q214" s="416">
        <f t="shared" si="137"/>
        <v>0</v>
      </c>
      <c r="R214" s="416">
        <f t="shared" si="137"/>
        <v>0</v>
      </c>
      <c r="S214" s="416">
        <f t="shared" si="137"/>
        <v>0</v>
      </c>
      <c r="T214" s="417">
        <f t="shared" si="137"/>
        <v>0</v>
      </c>
    </row>
    <row r="245" spans="6:20" x14ac:dyDescent="0.3">
      <c r="F245" s="92">
        <v>0</v>
      </c>
      <c r="G245" s="92">
        <v>0</v>
      </c>
      <c r="H245" s="92">
        <v>0</v>
      </c>
      <c r="I245" s="92">
        <v>0</v>
      </c>
      <c r="J245" s="92">
        <v>0</v>
      </c>
      <c r="K245" s="92">
        <v>0</v>
      </c>
      <c r="L245" s="92">
        <v>0</v>
      </c>
      <c r="M245" s="92">
        <v>0</v>
      </c>
      <c r="N245" s="92">
        <v>0</v>
      </c>
      <c r="O245" s="92">
        <v>0</v>
      </c>
      <c r="P245" s="92">
        <v>0</v>
      </c>
      <c r="Q245" s="92">
        <v>0</v>
      </c>
      <c r="R245" s="92">
        <v>0</v>
      </c>
      <c r="S245" s="92">
        <v>0</v>
      </c>
      <c r="T245" s="92">
        <v>0</v>
      </c>
    </row>
    <row r="246" spans="6:20" x14ac:dyDescent="0.3">
      <c r="F246" s="92">
        <v>0</v>
      </c>
      <c r="G246" s="92">
        <v>0</v>
      </c>
      <c r="H246" s="92">
        <v>0</v>
      </c>
      <c r="I246" s="92">
        <v>0</v>
      </c>
      <c r="J246" s="92">
        <v>0</v>
      </c>
      <c r="K246" s="92">
        <v>0</v>
      </c>
      <c r="L246" s="92">
        <v>0</v>
      </c>
      <c r="M246" s="92">
        <v>0</v>
      </c>
      <c r="N246" s="92">
        <v>0</v>
      </c>
      <c r="O246" s="92">
        <v>0</v>
      </c>
      <c r="P246" s="92">
        <v>0</v>
      </c>
      <c r="Q246" s="92">
        <v>0</v>
      </c>
      <c r="R246" s="92">
        <v>0</v>
      </c>
      <c r="S246" s="92">
        <v>0</v>
      </c>
      <c r="T246" s="92">
        <v>0</v>
      </c>
    </row>
    <row r="247" spans="6:20" x14ac:dyDescent="0.3">
      <c r="F247" s="92">
        <v>0</v>
      </c>
      <c r="G247" s="92">
        <v>0</v>
      </c>
      <c r="H247" s="92">
        <v>0</v>
      </c>
      <c r="I247" s="92">
        <v>0</v>
      </c>
      <c r="J247" s="92">
        <v>0</v>
      </c>
      <c r="K247" s="92">
        <v>0</v>
      </c>
      <c r="L247" s="92">
        <v>0</v>
      </c>
      <c r="M247" s="92">
        <v>0</v>
      </c>
      <c r="N247" s="92">
        <v>0</v>
      </c>
      <c r="O247" s="92">
        <v>0</v>
      </c>
      <c r="P247" s="92">
        <v>0</v>
      </c>
      <c r="Q247" s="92">
        <v>0</v>
      </c>
      <c r="R247" s="92">
        <v>0</v>
      </c>
      <c r="S247" s="92">
        <v>0</v>
      </c>
      <c r="T247" s="92">
        <v>0</v>
      </c>
    </row>
    <row r="248" spans="6:20" x14ac:dyDescent="0.3">
      <c r="F248" s="92">
        <v>0</v>
      </c>
      <c r="G248" s="92">
        <v>0</v>
      </c>
      <c r="H248" s="92">
        <v>0</v>
      </c>
      <c r="I248" s="92">
        <v>0</v>
      </c>
      <c r="J248" s="92">
        <v>0</v>
      </c>
      <c r="K248" s="92">
        <v>0</v>
      </c>
      <c r="L248" s="92">
        <v>0</v>
      </c>
      <c r="M248" s="92">
        <v>0</v>
      </c>
      <c r="N248" s="92">
        <v>0</v>
      </c>
      <c r="O248" s="92">
        <v>0</v>
      </c>
      <c r="P248" s="92">
        <v>0</v>
      </c>
      <c r="Q248" s="92">
        <v>0</v>
      </c>
      <c r="R248" s="92">
        <v>0</v>
      </c>
      <c r="S248" s="92">
        <v>0</v>
      </c>
      <c r="T248" s="92">
        <v>0</v>
      </c>
    </row>
    <row r="249" spans="6:20" x14ac:dyDescent="0.3">
      <c r="F249" s="92">
        <v>0</v>
      </c>
      <c r="G249" s="92">
        <v>0</v>
      </c>
      <c r="H249" s="92">
        <v>0</v>
      </c>
      <c r="I249" s="92">
        <v>0</v>
      </c>
      <c r="J249" s="92">
        <v>0</v>
      </c>
      <c r="K249" s="92">
        <v>0</v>
      </c>
      <c r="L249" s="92">
        <v>0</v>
      </c>
      <c r="M249" s="92">
        <v>0</v>
      </c>
      <c r="N249" s="92">
        <v>0</v>
      </c>
      <c r="O249" s="92">
        <v>0</v>
      </c>
      <c r="P249" s="92">
        <v>0</v>
      </c>
      <c r="Q249" s="92">
        <v>0</v>
      </c>
      <c r="R249" s="92">
        <v>0</v>
      </c>
      <c r="S249" s="92">
        <v>0</v>
      </c>
      <c r="T249" s="92">
        <v>0</v>
      </c>
    </row>
    <row r="250" spans="6:20" x14ac:dyDescent="0.3">
      <c r="F250" s="92">
        <v>0</v>
      </c>
      <c r="G250" s="92">
        <v>0</v>
      </c>
      <c r="H250" s="92">
        <v>0</v>
      </c>
      <c r="I250" s="92">
        <v>0</v>
      </c>
      <c r="J250" s="92">
        <v>0</v>
      </c>
      <c r="K250" s="92">
        <v>0</v>
      </c>
      <c r="L250" s="92">
        <v>0</v>
      </c>
      <c r="M250" s="92">
        <v>0</v>
      </c>
      <c r="N250" s="92">
        <v>0</v>
      </c>
      <c r="O250" s="92">
        <v>0</v>
      </c>
      <c r="P250" s="92">
        <v>0</v>
      </c>
      <c r="Q250" s="92">
        <v>0</v>
      </c>
      <c r="R250" s="92">
        <v>0</v>
      </c>
      <c r="S250" s="92">
        <v>0</v>
      </c>
      <c r="T250" s="92">
        <v>0</v>
      </c>
    </row>
    <row r="251" spans="6:20" x14ac:dyDescent="0.3">
      <c r="F251" s="92">
        <v>0</v>
      </c>
      <c r="G251" s="92">
        <v>0</v>
      </c>
      <c r="H251" s="92">
        <v>0</v>
      </c>
      <c r="I251" s="92">
        <v>0</v>
      </c>
      <c r="J251" s="92">
        <v>0</v>
      </c>
      <c r="K251" s="92">
        <v>0</v>
      </c>
      <c r="L251" s="92">
        <v>0</v>
      </c>
      <c r="M251" s="92">
        <v>0</v>
      </c>
      <c r="N251" s="92">
        <v>0</v>
      </c>
      <c r="O251" s="92">
        <v>0</v>
      </c>
      <c r="P251" s="92">
        <v>0</v>
      </c>
      <c r="Q251" s="92">
        <v>0</v>
      </c>
      <c r="R251" s="92">
        <v>0</v>
      </c>
      <c r="S251" s="92">
        <v>0</v>
      </c>
      <c r="T251" s="92">
        <v>0</v>
      </c>
    </row>
    <row r="252" spans="6:20" x14ac:dyDescent="0.3">
      <c r="F252" s="92">
        <v>0</v>
      </c>
      <c r="G252" s="92">
        <v>0</v>
      </c>
      <c r="H252" s="92">
        <v>0</v>
      </c>
      <c r="I252" s="92">
        <v>0</v>
      </c>
      <c r="J252" s="92">
        <v>0</v>
      </c>
      <c r="K252" s="92">
        <v>0</v>
      </c>
      <c r="L252" s="92">
        <v>0</v>
      </c>
      <c r="M252" s="92">
        <v>0</v>
      </c>
      <c r="N252" s="92">
        <v>0</v>
      </c>
      <c r="O252" s="92">
        <v>0</v>
      </c>
      <c r="P252" s="92">
        <v>0</v>
      </c>
      <c r="Q252" s="92">
        <v>0</v>
      </c>
      <c r="R252" s="92">
        <v>0</v>
      </c>
      <c r="S252" s="92">
        <v>0</v>
      </c>
      <c r="T252" s="92">
        <v>0</v>
      </c>
    </row>
    <row r="253" spans="6:20" x14ac:dyDescent="0.3">
      <c r="F253" s="92">
        <v>0</v>
      </c>
      <c r="G253" s="92">
        <v>0</v>
      </c>
      <c r="H253" s="92">
        <v>0</v>
      </c>
      <c r="I253" s="92">
        <v>0</v>
      </c>
      <c r="J253" s="92">
        <v>0</v>
      </c>
      <c r="K253" s="92">
        <v>0</v>
      </c>
      <c r="L253" s="92">
        <v>0</v>
      </c>
      <c r="M253" s="92">
        <v>0</v>
      </c>
      <c r="N253" s="92">
        <v>0</v>
      </c>
      <c r="O253" s="92">
        <v>0</v>
      </c>
      <c r="P253" s="92">
        <v>0</v>
      </c>
      <c r="Q253" s="92">
        <v>0</v>
      </c>
      <c r="R253" s="92">
        <v>0</v>
      </c>
      <c r="S253" s="92">
        <v>0</v>
      </c>
      <c r="T253" s="92">
        <v>0</v>
      </c>
    </row>
    <row r="254" spans="6:20" x14ac:dyDescent="0.3">
      <c r="F254" s="92">
        <v>0</v>
      </c>
      <c r="G254" s="92">
        <v>0</v>
      </c>
      <c r="H254" s="92">
        <v>0</v>
      </c>
      <c r="I254" s="92">
        <v>0</v>
      </c>
      <c r="J254" s="92">
        <v>0</v>
      </c>
      <c r="K254" s="92">
        <v>0</v>
      </c>
      <c r="L254" s="92">
        <v>0</v>
      </c>
      <c r="M254" s="92">
        <v>0</v>
      </c>
      <c r="N254" s="92">
        <v>0</v>
      </c>
      <c r="O254" s="92">
        <v>0</v>
      </c>
      <c r="P254" s="92">
        <v>0</v>
      </c>
      <c r="Q254" s="92">
        <v>0</v>
      </c>
      <c r="R254" s="92">
        <v>0</v>
      </c>
      <c r="S254" s="92">
        <v>0</v>
      </c>
      <c r="T254" s="92">
        <v>0</v>
      </c>
    </row>
    <row r="255" spans="6:20" x14ac:dyDescent="0.3">
      <c r="F255" s="92">
        <v>0</v>
      </c>
      <c r="G255" s="92">
        <v>0</v>
      </c>
      <c r="H255" s="92">
        <v>0</v>
      </c>
      <c r="I255" s="92">
        <v>0</v>
      </c>
      <c r="J255" s="92">
        <v>0</v>
      </c>
      <c r="K255" s="92">
        <v>0</v>
      </c>
      <c r="L255" s="92">
        <v>0</v>
      </c>
      <c r="M255" s="92">
        <v>0</v>
      </c>
      <c r="N255" s="92">
        <v>0</v>
      </c>
      <c r="O255" s="92">
        <v>0</v>
      </c>
      <c r="P255" s="92">
        <v>0</v>
      </c>
      <c r="Q255" s="92">
        <v>0</v>
      </c>
      <c r="R255" s="92">
        <v>0</v>
      </c>
      <c r="S255" s="92">
        <v>0</v>
      </c>
      <c r="T255" s="92">
        <v>0</v>
      </c>
    </row>
    <row r="256" spans="6:20" x14ac:dyDescent="0.3">
      <c r="F256" s="92">
        <v>0</v>
      </c>
      <c r="G256" s="92">
        <v>0</v>
      </c>
      <c r="H256" s="92">
        <v>0</v>
      </c>
      <c r="I256" s="92">
        <v>0</v>
      </c>
      <c r="J256" s="92">
        <v>0</v>
      </c>
      <c r="K256" s="92">
        <v>0</v>
      </c>
      <c r="L256" s="92">
        <v>0</v>
      </c>
      <c r="M256" s="92">
        <v>0</v>
      </c>
      <c r="N256" s="92">
        <v>0</v>
      </c>
      <c r="O256" s="92">
        <v>0</v>
      </c>
      <c r="P256" s="92">
        <v>0</v>
      </c>
      <c r="Q256" s="92">
        <v>0</v>
      </c>
      <c r="R256" s="92">
        <v>0</v>
      </c>
      <c r="S256" s="92">
        <v>0</v>
      </c>
      <c r="T256" s="92">
        <v>0</v>
      </c>
    </row>
    <row r="257" spans="6:20" x14ac:dyDescent="0.3">
      <c r="F257" s="92">
        <v>0</v>
      </c>
      <c r="G257" s="92">
        <v>0</v>
      </c>
      <c r="H257" s="92">
        <v>0</v>
      </c>
      <c r="I257" s="92">
        <v>0</v>
      </c>
      <c r="J257" s="92">
        <v>0</v>
      </c>
      <c r="K257" s="92">
        <v>0</v>
      </c>
      <c r="L257" s="92">
        <v>0</v>
      </c>
      <c r="M257" s="92">
        <v>0</v>
      </c>
      <c r="N257" s="92">
        <v>0</v>
      </c>
      <c r="O257" s="92">
        <v>0</v>
      </c>
      <c r="P257" s="92">
        <v>0</v>
      </c>
      <c r="Q257" s="92">
        <v>0</v>
      </c>
      <c r="R257" s="92">
        <v>0</v>
      </c>
      <c r="S257" s="92">
        <v>0</v>
      </c>
      <c r="T257" s="92">
        <v>0</v>
      </c>
    </row>
    <row r="258" spans="6:20" x14ac:dyDescent="0.3">
      <c r="F258" s="92">
        <v>0</v>
      </c>
      <c r="G258" s="92">
        <v>0</v>
      </c>
      <c r="H258" s="92">
        <v>0</v>
      </c>
      <c r="I258" s="92">
        <v>0</v>
      </c>
      <c r="J258" s="92">
        <v>0</v>
      </c>
      <c r="K258" s="92">
        <v>0</v>
      </c>
      <c r="L258" s="92">
        <v>0</v>
      </c>
      <c r="M258" s="92">
        <v>0</v>
      </c>
      <c r="N258" s="92">
        <v>0</v>
      </c>
      <c r="O258" s="92">
        <v>0</v>
      </c>
      <c r="P258" s="92">
        <v>0</v>
      </c>
      <c r="Q258" s="92">
        <v>0</v>
      </c>
      <c r="R258" s="92">
        <v>0</v>
      </c>
      <c r="S258" s="92">
        <v>0</v>
      </c>
      <c r="T258" s="92">
        <v>0</v>
      </c>
    </row>
    <row r="259" spans="6:20" x14ac:dyDescent="0.3">
      <c r="F259" s="92">
        <v>0</v>
      </c>
      <c r="G259" s="92">
        <v>0</v>
      </c>
      <c r="H259" s="92">
        <v>0</v>
      </c>
      <c r="I259" s="92">
        <v>0</v>
      </c>
      <c r="J259" s="92">
        <v>0</v>
      </c>
      <c r="K259" s="92">
        <v>0</v>
      </c>
      <c r="L259" s="92">
        <v>0</v>
      </c>
      <c r="M259" s="92">
        <v>0</v>
      </c>
      <c r="N259" s="92">
        <v>0</v>
      </c>
      <c r="O259" s="92">
        <v>0</v>
      </c>
      <c r="P259" s="92">
        <v>0</v>
      </c>
      <c r="Q259" s="92">
        <v>0</v>
      </c>
      <c r="R259" s="92">
        <v>0</v>
      </c>
      <c r="S259" s="92">
        <v>0</v>
      </c>
      <c r="T259" s="92">
        <v>0</v>
      </c>
    </row>
    <row r="260" spans="6:20" x14ac:dyDescent="0.3">
      <c r="F260" s="92">
        <v>0</v>
      </c>
      <c r="G260" s="92">
        <v>0</v>
      </c>
      <c r="H260" s="92">
        <v>0</v>
      </c>
      <c r="I260" s="92">
        <v>0</v>
      </c>
      <c r="J260" s="92">
        <v>0</v>
      </c>
      <c r="K260" s="92">
        <v>0</v>
      </c>
      <c r="L260" s="92">
        <v>0</v>
      </c>
      <c r="M260" s="92">
        <v>0</v>
      </c>
      <c r="N260" s="92">
        <v>0</v>
      </c>
      <c r="O260" s="92">
        <v>0</v>
      </c>
      <c r="P260" s="92">
        <v>0</v>
      </c>
      <c r="Q260" s="92">
        <v>0</v>
      </c>
      <c r="R260" s="92">
        <v>0</v>
      </c>
      <c r="S260" s="92">
        <v>0</v>
      </c>
      <c r="T260" s="92">
        <v>0</v>
      </c>
    </row>
    <row r="261" spans="6:20" x14ac:dyDescent="0.3">
      <c r="F261" s="92">
        <v>0</v>
      </c>
      <c r="G261" s="92">
        <v>0</v>
      </c>
      <c r="H261" s="92">
        <v>0</v>
      </c>
      <c r="I261" s="92">
        <v>0</v>
      </c>
      <c r="J261" s="92">
        <v>0</v>
      </c>
      <c r="K261" s="92">
        <v>0</v>
      </c>
      <c r="L261" s="92">
        <v>0</v>
      </c>
      <c r="M261" s="92">
        <v>0</v>
      </c>
      <c r="N261" s="92">
        <v>0</v>
      </c>
      <c r="O261" s="92">
        <v>0</v>
      </c>
      <c r="P261" s="92">
        <v>0</v>
      </c>
      <c r="Q261" s="92">
        <v>0</v>
      </c>
      <c r="R261" s="92">
        <v>0</v>
      </c>
      <c r="S261" s="92">
        <v>0</v>
      </c>
      <c r="T261" s="92">
        <v>0</v>
      </c>
    </row>
    <row r="262" spans="6:20" x14ac:dyDescent="0.3">
      <c r="F262" s="92">
        <v>0</v>
      </c>
      <c r="G262" s="92">
        <v>0</v>
      </c>
      <c r="H262" s="92">
        <v>0</v>
      </c>
      <c r="I262" s="92">
        <v>0</v>
      </c>
      <c r="J262" s="92">
        <v>0</v>
      </c>
      <c r="K262" s="92">
        <v>0</v>
      </c>
      <c r="L262" s="92">
        <v>0</v>
      </c>
      <c r="M262" s="92">
        <v>0</v>
      </c>
      <c r="N262" s="92">
        <v>0</v>
      </c>
      <c r="O262" s="92">
        <v>0</v>
      </c>
      <c r="P262" s="92">
        <v>0</v>
      </c>
      <c r="Q262" s="92">
        <v>0</v>
      </c>
      <c r="R262" s="92">
        <v>0</v>
      </c>
      <c r="S262" s="92">
        <v>0</v>
      </c>
      <c r="T262" s="92">
        <v>0</v>
      </c>
    </row>
  </sheetData>
  <phoneticPr fontId="1" type="noConversion"/>
  <hyperlinks>
    <hyperlink ref="A1" location="HOME!A1" display="HOME" xr:uid="{00000000-0004-0000-08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6081" r:id="rId4" name="cmd_구축요약">
          <controlPr defaultSize="0" autoFill="0" autoLine="0" r:id="rId5">
            <anchor moveWithCells="1">
              <from>
                <xdr:col>4</xdr:col>
                <xdr:colOff>228600</xdr:colOff>
                <xdr:row>0</xdr:row>
                <xdr:rowOff>0</xdr:rowOff>
              </from>
              <to>
                <xdr:col>5</xdr:col>
                <xdr:colOff>304800</xdr:colOff>
                <xdr:row>1</xdr:row>
                <xdr:rowOff>57150</xdr:rowOff>
              </to>
            </anchor>
          </controlPr>
        </control>
      </mc:Choice>
      <mc:Fallback>
        <control shapeId="46081" r:id="rId4" name="cmd_구축요약"/>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4_Sheet">
    <tabColor rgb="FFFFC000"/>
  </sheetPr>
  <dimension ref="A1:CG48"/>
  <sheetViews>
    <sheetView showGridLines="0" zoomScale="85" zoomScaleNormal="85" workbookViewId="0">
      <selection sqref="A1:XFD1"/>
    </sheetView>
  </sheetViews>
  <sheetFormatPr defaultRowHeight="16.5" x14ac:dyDescent="0.3"/>
  <cols>
    <col min="1" max="1" width="8.75" style="106" customWidth="1"/>
    <col min="3" max="3" width="11.375" customWidth="1"/>
    <col min="4" max="4" width="9.125" bestFit="1" customWidth="1"/>
    <col min="5" max="5" width="12.625" customWidth="1"/>
    <col min="6" max="6" width="18.125" customWidth="1"/>
    <col min="7" max="18" width="15" customWidth="1"/>
  </cols>
  <sheetData>
    <row r="1" spans="1:85" ht="21.75" customHeight="1" thickBot="1" x14ac:dyDescent="0.35">
      <c r="A1" s="113" t="s">
        <v>325</v>
      </c>
      <c r="C1" s="125" t="s">
        <v>331</v>
      </c>
      <c r="D1" s="108"/>
      <c r="E1" s="108"/>
      <c r="F1" s="107"/>
      <c r="G1" s="107"/>
      <c r="H1" s="107"/>
      <c r="I1" s="107"/>
      <c r="J1" s="107"/>
      <c r="K1" s="107"/>
      <c r="L1" s="107"/>
      <c r="M1" s="107"/>
      <c r="N1" s="107"/>
      <c r="O1" s="107"/>
      <c r="P1" s="107"/>
      <c r="Q1" s="107"/>
      <c r="R1" s="107"/>
    </row>
    <row r="2" spans="1:85" ht="17.25" thickTop="1" x14ac:dyDescent="0.3">
      <c r="C2" s="65" t="s">
        <v>606</v>
      </c>
      <c r="D2" s="2"/>
      <c r="E2" s="2"/>
      <c r="F2" s="2"/>
      <c r="G2" s="80">
        <f>SUM(G5:G15)</f>
        <v>8010407407.7495346</v>
      </c>
      <c r="H2" s="80">
        <f t="shared" ref="H2:R2" si="0">SUM(H5:H15)</f>
        <v>1567793933.1642199</v>
      </c>
      <c r="I2" s="80">
        <f t="shared" si="0"/>
        <v>1171858581.9518387</v>
      </c>
      <c r="J2" s="80">
        <f t="shared" si="0"/>
        <v>1054150978.5266949</v>
      </c>
      <c r="K2" s="80">
        <f t="shared" si="0"/>
        <v>1054150978.5266949</v>
      </c>
      <c r="L2" s="80">
        <f t="shared" si="0"/>
        <v>1054150978.5266949</v>
      </c>
      <c r="M2" s="80">
        <f t="shared" si="0"/>
        <v>1054150978.5266949</v>
      </c>
      <c r="N2" s="80">
        <f t="shared" si="0"/>
        <v>1054150978.5266949</v>
      </c>
      <c r="O2" s="80">
        <f t="shared" si="0"/>
        <v>0</v>
      </c>
      <c r="P2" s="80">
        <f t="shared" si="0"/>
        <v>0</v>
      </c>
      <c r="Q2" s="80">
        <f t="shared" si="0"/>
        <v>0</v>
      </c>
      <c r="R2" s="80">
        <f t="shared" si="0"/>
        <v>0</v>
      </c>
    </row>
    <row r="3" spans="1:85" ht="17.25" thickBot="1" x14ac:dyDescent="0.35"/>
    <row r="4" spans="1:85" x14ac:dyDescent="0.3">
      <c r="C4" s="433" t="s">
        <v>1</v>
      </c>
      <c r="D4" s="434" t="s">
        <v>2</v>
      </c>
      <c r="E4" s="434" t="s">
        <v>3</v>
      </c>
      <c r="F4" s="434" t="s">
        <v>4</v>
      </c>
      <c r="G4" s="434" t="s">
        <v>257</v>
      </c>
      <c r="H4" s="434" t="s">
        <v>41</v>
      </c>
      <c r="I4" s="434" t="s">
        <v>258</v>
      </c>
      <c r="J4" s="434" t="s">
        <v>259</v>
      </c>
      <c r="K4" s="434" t="s">
        <v>260</v>
      </c>
      <c r="L4" s="434" t="s">
        <v>261</v>
      </c>
      <c r="M4" s="434" t="s">
        <v>262</v>
      </c>
      <c r="N4" s="434" t="s">
        <v>263</v>
      </c>
      <c r="O4" s="434" t="s">
        <v>264</v>
      </c>
      <c r="P4" s="434" t="s">
        <v>265</v>
      </c>
      <c r="Q4" s="434" t="s">
        <v>266</v>
      </c>
      <c r="R4" s="435" t="s">
        <v>182</v>
      </c>
    </row>
    <row r="5" spans="1:85" x14ac:dyDescent="0.3">
      <c r="C5" s="437" t="s">
        <v>336</v>
      </c>
      <c r="D5" s="380" t="s">
        <v>278</v>
      </c>
      <c r="E5" s="380" t="s">
        <v>974</v>
      </c>
      <c r="F5" s="354" t="s">
        <v>280</v>
      </c>
      <c r="G5" s="438">
        <f>SUM(H5:R5)</f>
        <v>193350000</v>
      </c>
      <c r="H5" s="439">
        <f>SUMIFS(CS_수행!X$5:X$41,CS_수행!$C$5:$C$41,'3.수행비_요약'!$D5,CS_수행!$D$5:$D$41,'3.수행비_요약'!$E5,CS_수행!$E$5:$E$41,'3.수행비_요약'!$F5)</f>
        <v>110750000</v>
      </c>
      <c r="I5" s="439">
        <f>SUMIFS(CS_수행!Y$5:Y$41,CS_수행!$C$5:$C$41,'3.수행비_요약'!$D5,CS_수행!$D$5:$D$41,'3.수행비_요약'!$E5,CS_수행!$E$5:$E$41,'3.수행비_요약'!$F5)</f>
        <v>16600000</v>
      </c>
      <c r="J5" s="439">
        <f>SUMIFS(CS_수행!Z$5:Z$41,CS_수행!$C$5:$C$41,'3.수행비_요약'!$D5,CS_수행!$D$5:$D$41,'3.수행비_요약'!$E5,CS_수행!$E$5:$E$41,'3.수행비_요약'!$F5)</f>
        <v>13200000</v>
      </c>
      <c r="K5" s="439">
        <f>SUMIFS(CS_수행!AA$5:AA$41,CS_수행!$C$5:$C$41,'3.수행비_요약'!$D5,CS_수행!$D$5:$D$41,'3.수행비_요약'!$E5,CS_수행!$E$5:$E$41,'3.수행비_요약'!$F5)</f>
        <v>13200000</v>
      </c>
      <c r="L5" s="439">
        <f>SUMIFS(CS_수행!AB$5:AB$41,CS_수행!$C$5:$C$41,'3.수행비_요약'!$D5,CS_수행!$D$5:$D$41,'3.수행비_요약'!$E5,CS_수행!$E$5:$E$41,'3.수행비_요약'!$F5)</f>
        <v>13200000</v>
      </c>
      <c r="M5" s="439">
        <f>SUMIFS(CS_수행!AC$5:AC$41,CS_수행!$C$5:$C$41,'3.수행비_요약'!$D5,CS_수행!$D$5:$D$41,'3.수행비_요약'!$E5,CS_수행!$E$5:$E$41,'3.수행비_요약'!$F5)</f>
        <v>13200000</v>
      </c>
      <c r="N5" s="439">
        <f>SUMIFS(CS_수행!AD$5:AD$41,CS_수행!$C$5:$C$41,'3.수행비_요약'!$D5,CS_수행!$D$5:$D$41,'3.수행비_요약'!$E5,CS_수행!$E$5:$E$41,'3.수행비_요약'!$F5)</f>
        <v>13200000</v>
      </c>
      <c r="O5" s="439">
        <f>SUMIFS(CS_수행!AE$5:AE$41,CS_수행!$C$5:$C$41,'3.수행비_요약'!$D5,CS_수행!$D$5:$D$41,'3.수행비_요약'!$E5,CS_수행!$E$5:$E$41,'3.수행비_요약'!$F5)</f>
        <v>0</v>
      </c>
      <c r="P5" s="439">
        <f>SUMIFS(CS_수행!AF$5:AF$41,CS_수행!$C$5:$C$41,'3.수행비_요약'!$D5,CS_수행!$D$5:$D$41,'3.수행비_요약'!$E5,CS_수행!$E$5:$E$41,'3.수행비_요약'!$F5)</f>
        <v>0</v>
      </c>
      <c r="Q5" s="439">
        <f>SUMIFS(CS_수행!AG$5:AG$41,CS_수행!$C$5:$C$41,'3.수행비_요약'!$D5,CS_수행!$D$5:$D$41,'3.수행비_요약'!$E5,CS_수행!$E$5:$E$41,'3.수행비_요약'!$F5)</f>
        <v>0</v>
      </c>
      <c r="R5" s="439">
        <f>SUMIFS(CS_수행!AH$5:AH$41,CS_수행!$C$5:$C$41,'3.수행비_요약'!$D5,CS_수행!$D$5:$D$41,'3.수행비_요약'!$E5,CS_수행!$E$5:$E$41,'3.수행비_요약'!$F5)</f>
        <v>0</v>
      </c>
    </row>
    <row r="6" spans="1:85" x14ac:dyDescent="0.3">
      <c r="C6" s="437" t="s">
        <v>336</v>
      </c>
      <c r="D6" s="380" t="s">
        <v>278</v>
      </c>
      <c r="E6" s="380" t="s">
        <v>974</v>
      </c>
      <c r="F6" s="354" t="s">
        <v>289</v>
      </c>
      <c r="G6" s="438">
        <f t="shared" ref="G6:G15" si="1">SUM(H6:R6)</f>
        <v>449502800</v>
      </c>
      <c r="H6" s="439">
        <f>SUMIFS(CS_수행!X$5:X$41,CS_수행!$C$5:$C$41,'3.수행비_요약'!$D6,CS_수행!$D$5:$D$41,'3.수행비_요약'!$E6,CS_수행!$E$5:$E$41,'3.수행비_요약'!$F6)</f>
        <v>78468285.714285702</v>
      </c>
      <c r="I6" s="439">
        <f>SUMIFS(CS_수행!Y$5:Y$41,CS_수행!$C$5:$C$41,'3.수행비_요약'!$D6,CS_수행!$D$5:$D$41,'3.수행비_요약'!$E6,CS_수행!$E$5:$E$41,'3.수행비_요약'!$F6)</f>
        <v>64839085.714285709</v>
      </c>
      <c r="J6" s="439">
        <f>SUMIFS(CS_수행!Z$5:Z$41,CS_수행!$C$5:$C$41,'3.수행비_요약'!$D6,CS_수행!$D$5:$D$41,'3.수행비_요약'!$E6,CS_수행!$E$5:$E$41,'3.수행비_요약'!$F6)</f>
        <v>61239085.714285709</v>
      </c>
      <c r="K6" s="439">
        <f>SUMIFS(CS_수행!AA$5:AA$41,CS_수행!$C$5:$C$41,'3.수행비_요약'!$D6,CS_수행!$D$5:$D$41,'3.수행비_요약'!$E6,CS_수행!$E$5:$E$41,'3.수행비_요약'!$F6)</f>
        <v>61239085.714285709</v>
      </c>
      <c r="L6" s="439">
        <f>SUMIFS(CS_수행!AB$5:AB$41,CS_수행!$C$5:$C$41,'3.수행비_요약'!$D6,CS_수행!$D$5:$D$41,'3.수행비_요약'!$E6,CS_수행!$E$5:$E$41,'3.수행비_요약'!$F6)</f>
        <v>61239085.714285709</v>
      </c>
      <c r="M6" s="439">
        <f>SUMIFS(CS_수행!AC$5:AC$41,CS_수행!$C$5:$C$41,'3.수행비_요약'!$D6,CS_수행!$D$5:$D$41,'3.수행비_요약'!$E6,CS_수행!$E$5:$E$41,'3.수행비_요약'!$F6)</f>
        <v>61239085.714285709</v>
      </c>
      <c r="N6" s="439">
        <f>SUMIFS(CS_수행!AD$5:AD$41,CS_수행!$C$5:$C$41,'3.수행비_요약'!$D6,CS_수행!$D$5:$D$41,'3.수행비_요약'!$E6,CS_수행!$E$5:$E$41,'3.수행비_요약'!$F6)</f>
        <v>61239085.714285709</v>
      </c>
      <c r="O6" s="439">
        <f>SUMIFS(CS_수행!AE$5:AE$41,CS_수행!$C$5:$C$41,'3.수행비_요약'!$D6,CS_수행!$D$5:$D$41,'3.수행비_요약'!$E6,CS_수행!$E$5:$E$41,'3.수행비_요약'!$F6)</f>
        <v>0</v>
      </c>
      <c r="P6" s="439">
        <f>SUMIFS(CS_수행!AF$5:AF$41,CS_수행!$C$5:$C$41,'3.수행비_요약'!$D6,CS_수행!$D$5:$D$41,'3.수행비_요약'!$E6,CS_수행!$E$5:$E$41,'3.수행비_요약'!$F6)</f>
        <v>0</v>
      </c>
      <c r="Q6" s="439">
        <f>SUMIFS(CS_수행!AG$5:AG$41,CS_수행!$C$5:$C$41,'3.수행비_요약'!$D6,CS_수행!$D$5:$D$41,'3.수행비_요약'!$E6,CS_수행!$E$5:$E$41,'3.수행비_요약'!$F6)</f>
        <v>0</v>
      </c>
      <c r="R6" s="439">
        <f>SUMIFS(CS_수행!AH$5:AH$41,CS_수행!$C$5:$C$41,'3.수행비_요약'!$D6,CS_수행!$D$5:$D$41,'3.수행비_요약'!$E6,CS_수행!$E$5:$E$41,'3.수행비_요약'!$F6)</f>
        <v>0</v>
      </c>
    </row>
    <row r="7" spans="1:85" x14ac:dyDescent="0.3">
      <c r="C7" s="437" t="s">
        <v>336</v>
      </c>
      <c r="D7" s="380" t="s">
        <v>278</v>
      </c>
      <c r="E7" s="380" t="s">
        <v>974</v>
      </c>
      <c r="F7" s="354" t="s">
        <v>998</v>
      </c>
      <c r="G7" s="438">
        <f t="shared" si="1"/>
        <v>0</v>
      </c>
      <c r="H7" s="439">
        <f>SUMIFS(CS_수행!X$5:X$41,CS_수행!$C$5:$C$41,'3.수행비_요약'!$D7,CS_수행!$D$5:$D$41,'3.수행비_요약'!$E7,CS_수행!$E$5:$E$41,'3.수행비_요약'!$F7)</f>
        <v>0</v>
      </c>
      <c r="I7" s="439">
        <f>SUMIFS(CS_수행!Y$5:Y$41,CS_수행!$C$5:$C$41,'3.수행비_요약'!$D7,CS_수행!$D$5:$D$41,'3.수행비_요약'!$E7,CS_수행!$E$5:$E$41,'3.수행비_요약'!$F7)</f>
        <v>0</v>
      </c>
      <c r="J7" s="439">
        <f>SUMIFS(CS_수행!Z$5:Z$41,CS_수행!$C$5:$C$41,'3.수행비_요약'!$D7,CS_수행!$D$5:$D$41,'3.수행비_요약'!$E7,CS_수행!$E$5:$E$41,'3.수행비_요약'!$F7)</f>
        <v>0</v>
      </c>
      <c r="K7" s="439">
        <f>SUMIFS(CS_수행!AA$5:AA$41,CS_수행!$C$5:$C$41,'3.수행비_요약'!$D7,CS_수행!$D$5:$D$41,'3.수행비_요약'!$E7,CS_수행!$E$5:$E$41,'3.수행비_요약'!$F7)</f>
        <v>0</v>
      </c>
      <c r="L7" s="439">
        <f>SUMIFS(CS_수행!AB$5:AB$41,CS_수행!$C$5:$C$41,'3.수행비_요약'!$D7,CS_수행!$D$5:$D$41,'3.수행비_요약'!$E7,CS_수행!$E$5:$E$41,'3.수행비_요약'!$F7)</f>
        <v>0</v>
      </c>
      <c r="M7" s="439">
        <f>SUMIFS(CS_수행!AC$5:AC$41,CS_수행!$C$5:$C$41,'3.수행비_요약'!$D7,CS_수행!$D$5:$D$41,'3.수행비_요약'!$E7,CS_수행!$E$5:$E$41,'3.수행비_요약'!$F7)</f>
        <v>0</v>
      </c>
      <c r="N7" s="439">
        <f>SUMIFS(CS_수행!AD$5:AD$41,CS_수행!$C$5:$C$41,'3.수행비_요약'!$D7,CS_수행!$D$5:$D$41,'3.수행비_요약'!$E7,CS_수행!$E$5:$E$41,'3.수행비_요약'!$F7)</f>
        <v>0</v>
      </c>
      <c r="O7" s="439">
        <f>SUMIFS(CS_수행!AE$5:AE$41,CS_수행!$C$5:$C$41,'3.수행비_요약'!$D7,CS_수행!$D$5:$D$41,'3.수행비_요약'!$E7,CS_수행!$E$5:$E$41,'3.수행비_요약'!$F7)</f>
        <v>0</v>
      </c>
      <c r="P7" s="439">
        <f>SUMIFS(CS_수행!AF$5:AF$41,CS_수행!$C$5:$C$41,'3.수행비_요약'!$D7,CS_수행!$D$5:$D$41,'3.수행비_요약'!$E7,CS_수행!$E$5:$E$41,'3.수행비_요약'!$F7)</f>
        <v>0</v>
      </c>
      <c r="Q7" s="439">
        <f>SUMIFS(CS_수행!AG$5:AG$41,CS_수행!$C$5:$C$41,'3.수행비_요약'!$D7,CS_수행!$D$5:$D$41,'3.수행비_요약'!$E7,CS_수행!$E$5:$E$41,'3.수행비_요약'!$F7)</f>
        <v>0</v>
      </c>
      <c r="R7" s="439">
        <f>SUMIFS(CS_수행!AH$5:AH$41,CS_수행!$C$5:$C$41,'3.수행비_요약'!$D7,CS_수행!$D$5:$D$41,'3.수행비_요약'!$E7,CS_수행!$E$5:$E$41,'3.수행비_요약'!$F7)</f>
        <v>0</v>
      </c>
    </row>
    <row r="8" spans="1:85" x14ac:dyDescent="0.3">
      <c r="C8" s="437" t="s">
        <v>336</v>
      </c>
      <c r="D8" s="380" t="s">
        <v>278</v>
      </c>
      <c r="E8" s="380" t="s">
        <v>448</v>
      </c>
      <c r="F8" s="354">
        <v>0</v>
      </c>
      <c r="G8" s="438">
        <f t="shared" si="1"/>
        <v>10000000</v>
      </c>
      <c r="H8" s="439">
        <f>SUMIFS(CS_수행!X$5:X$41,CS_수행!$C$5:$C$41,'3.수행비_요약'!$D8,CS_수행!$D$5:$D$41,'3.수행비_요약'!$E8,CS_수행!$E$5:$E$41,'3.수행비_요약'!$F8)</f>
        <v>10000000</v>
      </c>
      <c r="I8" s="439">
        <f>SUMIFS(CS_수행!Y$5:Y$41,CS_수행!$C$5:$C$41,'3.수행비_요약'!$D8,CS_수행!$D$5:$D$41,'3.수행비_요약'!$E8,CS_수행!$E$5:$E$41,'3.수행비_요약'!$F8)</f>
        <v>0</v>
      </c>
      <c r="J8" s="439">
        <f>SUMIFS(CS_수행!Z$5:Z$41,CS_수행!$C$5:$C$41,'3.수행비_요약'!$D8,CS_수행!$D$5:$D$41,'3.수행비_요약'!$E8,CS_수행!$E$5:$E$41,'3.수행비_요약'!$F8)</f>
        <v>0</v>
      </c>
      <c r="K8" s="439">
        <f>SUMIFS(CS_수행!AA$5:AA$41,CS_수행!$C$5:$C$41,'3.수행비_요약'!$D8,CS_수행!$D$5:$D$41,'3.수행비_요약'!$E8,CS_수행!$E$5:$E$41,'3.수행비_요약'!$F8)</f>
        <v>0</v>
      </c>
      <c r="L8" s="439">
        <f>SUMIFS(CS_수행!AB$5:AB$41,CS_수행!$C$5:$C$41,'3.수행비_요약'!$D8,CS_수행!$D$5:$D$41,'3.수행비_요약'!$E8,CS_수행!$E$5:$E$41,'3.수행비_요약'!$F8)</f>
        <v>0</v>
      </c>
      <c r="M8" s="439">
        <f>SUMIFS(CS_수행!AC$5:AC$41,CS_수행!$C$5:$C$41,'3.수행비_요약'!$D8,CS_수행!$D$5:$D$41,'3.수행비_요약'!$E8,CS_수행!$E$5:$E$41,'3.수행비_요약'!$F8)</f>
        <v>0</v>
      </c>
      <c r="N8" s="439">
        <f>SUMIFS(CS_수행!AD$5:AD$41,CS_수행!$C$5:$C$41,'3.수행비_요약'!$D8,CS_수행!$D$5:$D$41,'3.수행비_요약'!$E8,CS_수행!$E$5:$E$41,'3.수행비_요약'!$F8)</f>
        <v>0</v>
      </c>
      <c r="O8" s="439">
        <f>SUMIFS(CS_수행!AE$5:AE$41,CS_수행!$C$5:$C$41,'3.수행비_요약'!$D8,CS_수행!$D$5:$D$41,'3.수행비_요약'!$E8,CS_수행!$E$5:$E$41,'3.수행비_요약'!$F8)</f>
        <v>0</v>
      </c>
      <c r="P8" s="439">
        <f>SUMIFS(CS_수행!AF$5:AF$41,CS_수행!$C$5:$C$41,'3.수행비_요약'!$D8,CS_수행!$D$5:$D$41,'3.수행비_요약'!$E8,CS_수행!$E$5:$E$41,'3.수행비_요약'!$F8)</f>
        <v>0</v>
      </c>
      <c r="Q8" s="439">
        <f>SUMIFS(CS_수행!AG$5:AG$41,CS_수행!$C$5:$C$41,'3.수행비_요약'!$D8,CS_수행!$D$5:$D$41,'3.수행비_요약'!$E8,CS_수행!$E$5:$E$41,'3.수행비_요약'!$F8)</f>
        <v>0</v>
      </c>
      <c r="R8" s="439">
        <f>SUMIFS(CS_수행!AH$5:AH$41,CS_수행!$C$5:$C$41,'3.수행비_요약'!$D8,CS_수행!$D$5:$D$41,'3.수행비_요약'!$E8,CS_수행!$E$5:$E$41,'3.수행비_요약'!$F8)</f>
        <v>0</v>
      </c>
    </row>
    <row r="9" spans="1:85" x14ac:dyDescent="0.3">
      <c r="C9" s="437" t="s">
        <v>336</v>
      </c>
      <c r="D9" s="380" t="s">
        <v>278</v>
      </c>
      <c r="E9" s="380" t="s">
        <v>449</v>
      </c>
      <c r="F9" s="354">
        <v>0</v>
      </c>
      <c r="G9" s="438">
        <f t="shared" si="1"/>
        <v>8400000</v>
      </c>
      <c r="H9" s="439">
        <f>SUMIFS(CS_수행!X$5:X$41,CS_수행!$C$5:$C$41,'3.수행비_요약'!$D9,CS_수행!$D$5:$D$41,'3.수행비_요약'!$E9,CS_수행!$E$5:$E$41,'3.수행비_요약'!$F9)</f>
        <v>1200000</v>
      </c>
      <c r="I9" s="439">
        <f>SUMIFS(CS_수행!Y$5:Y$41,CS_수행!$C$5:$C$41,'3.수행비_요약'!$D9,CS_수행!$D$5:$D$41,'3.수행비_요약'!$E9,CS_수행!$E$5:$E$41,'3.수행비_요약'!$F9)</f>
        <v>1200000</v>
      </c>
      <c r="J9" s="439">
        <f>SUMIFS(CS_수행!Z$5:Z$41,CS_수행!$C$5:$C$41,'3.수행비_요약'!$D9,CS_수행!$D$5:$D$41,'3.수행비_요약'!$E9,CS_수행!$E$5:$E$41,'3.수행비_요약'!$F9)</f>
        <v>1200000</v>
      </c>
      <c r="K9" s="439">
        <f>SUMIFS(CS_수행!AA$5:AA$41,CS_수행!$C$5:$C$41,'3.수행비_요약'!$D9,CS_수행!$D$5:$D$41,'3.수행비_요약'!$E9,CS_수행!$E$5:$E$41,'3.수행비_요약'!$F9)</f>
        <v>1200000</v>
      </c>
      <c r="L9" s="439">
        <f>SUMIFS(CS_수행!AB$5:AB$41,CS_수행!$C$5:$C$41,'3.수행비_요약'!$D9,CS_수행!$D$5:$D$41,'3.수행비_요약'!$E9,CS_수행!$E$5:$E$41,'3.수행비_요약'!$F9)</f>
        <v>1200000</v>
      </c>
      <c r="M9" s="439">
        <f>SUMIFS(CS_수행!AC$5:AC$41,CS_수행!$C$5:$C$41,'3.수행비_요약'!$D9,CS_수행!$D$5:$D$41,'3.수행비_요약'!$E9,CS_수행!$E$5:$E$41,'3.수행비_요약'!$F9)</f>
        <v>1200000</v>
      </c>
      <c r="N9" s="439">
        <f>SUMIFS(CS_수행!AD$5:AD$41,CS_수행!$C$5:$C$41,'3.수행비_요약'!$D9,CS_수행!$D$5:$D$41,'3.수행비_요약'!$E9,CS_수행!$E$5:$E$41,'3.수행비_요약'!$F9)</f>
        <v>1200000</v>
      </c>
      <c r="O9" s="439">
        <f>SUMIFS(CS_수행!AE$5:AE$41,CS_수행!$C$5:$C$41,'3.수행비_요약'!$D9,CS_수행!$D$5:$D$41,'3.수행비_요약'!$E9,CS_수행!$E$5:$E$41,'3.수행비_요약'!$F9)</f>
        <v>0</v>
      </c>
      <c r="P9" s="439">
        <f>SUMIFS(CS_수행!AF$5:AF$41,CS_수행!$C$5:$C$41,'3.수행비_요약'!$D9,CS_수행!$D$5:$D$41,'3.수행비_요약'!$E9,CS_수행!$E$5:$E$41,'3.수행비_요약'!$F9)</f>
        <v>0</v>
      </c>
      <c r="Q9" s="439">
        <f>SUMIFS(CS_수행!AG$5:AG$41,CS_수행!$C$5:$C$41,'3.수행비_요약'!$D9,CS_수행!$D$5:$D$41,'3.수행비_요약'!$E9,CS_수행!$E$5:$E$41,'3.수행비_요약'!$F9)</f>
        <v>0</v>
      </c>
      <c r="R9" s="439">
        <f>SUMIFS(CS_수행!AH$5:AH$41,CS_수행!$C$5:$C$41,'3.수행비_요약'!$D9,CS_수행!$D$5:$D$41,'3.수행비_요약'!$E9,CS_수행!$E$5:$E$41,'3.수행비_요약'!$F9)</f>
        <v>0</v>
      </c>
    </row>
    <row r="10" spans="1:85" x14ac:dyDescent="0.3">
      <c r="C10" s="437" t="s">
        <v>336</v>
      </c>
      <c r="D10" s="380" t="s">
        <v>278</v>
      </c>
      <c r="E10" s="380" t="s">
        <v>976</v>
      </c>
      <c r="F10" s="354" t="s">
        <v>977</v>
      </c>
      <c r="G10" s="438">
        <f t="shared" si="1"/>
        <v>21351408.833333336</v>
      </c>
      <c r="H10" s="439">
        <f>SUMIFS(CS_수행!X$5:X$41,CS_수행!$C$5:$C$41,'3.수행비_요약'!$D10,CS_수행!$D$5:$D$41,'3.수행비_요약'!$E10,CS_수행!$E$5:$E$41,'3.수행비_요약'!$F10)</f>
        <v>21351408.833333336</v>
      </c>
      <c r="I10" s="439">
        <f>SUMIFS(CS_수행!Y$5:Y$41,CS_수행!$C$5:$C$41,'3.수행비_요약'!$D10,CS_수행!$D$5:$D$41,'3.수행비_요약'!$E10,CS_수행!$E$5:$E$41,'3.수행비_요약'!$F10)</f>
        <v>0</v>
      </c>
      <c r="J10" s="439">
        <f>SUMIFS(CS_수행!Z$5:Z$41,CS_수행!$C$5:$C$41,'3.수행비_요약'!$D10,CS_수행!$D$5:$D$41,'3.수행비_요약'!$E10,CS_수행!$E$5:$E$41,'3.수행비_요약'!$F10)</f>
        <v>0</v>
      </c>
      <c r="K10" s="439">
        <f>SUMIFS(CS_수행!AA$5:AA$41,CS_수행!$C$5:$C$41,'3.수행비_요약'!$D10,CS_수행!$D$5:$D$41,'3.수행비_요약'!$E10,CS_수행!$E$5:$E$41,'3.수행비_요약'!$F10)</f>
        <v>0</v>
      </c>
      <c r="L10" s="439">
        <f>SUMIFS(CS_수행!AB$5:AB$41,CS_수행!$C$5:$C$41,'3.수행비_요약'!$D10,CS_수행!$D$5:$D$41,'3.수행비_요약'!$E10,CS_수행!$E$5:$E$41,'3.수행비_요약'!$F10)</f>
        <v>0</v>
      </c>
      <c r="M10" s="439">
        <f>SUMIFS(CS_수행!AC$5:AC$41,CS_수행!$C$5:$C$41,'3.수행비_요약'!$D10,CS_수행!$D$5:$D$41,'3.수행비_요약'!$E10,CS_수행!$E$5:$E$41,'3.수행비_요약'!$F10)</f>
        <v>0</v>
      </c>
      <c r="N10" s="439">
        <f>SUMIFS(CS_수행!AD$5:AD$41,CS_수행!$C$5:$C$41,'3.수행비_요약'!$D10,CS_수행!$D$5:$D$41,'3.수행비_요약'!$E10,CS_수행!$E$5:$E$41,'3.수행비_요약'!$F10)</f>
        <v>0</v>
      </c>
      <c r="O10" s="439">
        <f>SUMIFS(CS_수행!AE$5:AE$41,CS_수행!$C$5:$C$41,'3.수행비_요약'!$D10,CS_수행!$D$5:$D$41,'3.수행비_요약'!$E10,CS_수행!$E$5:$E$41,'3.수행비_요약'!$F10)</f>
        <v>0</v>
      </c>
      <c r="P10" s="439">
        <f>SUMIFS(CS_수행!AF$5:AF$41,CS_수행!$C$5:$C$41,'3.수행비_요약'!$D10,CS_수행!$D$5:$D$41,'3.수행비_요약'!$E10,CS_수행!$E$5:$E$41,'3.수행비_요약'!$F10)</f>
        <v>0</v>
      </c>
      <c r="Q10" s="439">
        <f>SUMIFS(CS_수행!AG$5:AG$41,CS_수행!$C$5:$C$41,'3.수행비_요약'!$D10,CS_수행!$D$5:$D$41,'3.수행비_요약'!$E10,CS_수행!$E$5:$E$41,'3.수행비_요약'!$F10)</f>
        <v>0</v>
      </c>
      <c r="R10" s="439">
        <f>SUMIFS(CS_수행!AH$5:AH$41,CS_수행!$C$5:$C$41,'3.수행비_요약'!$D10,CS_수행!$D$5:$D$41,'3.수행비_요약'!$E10,CS_수행!$E$5:$E$41,'3.수행비_요약'!$F10)</f>
        <v>0</v>
      </c>
    </row>
    <row r="11" spans="1:85" x14ac:dyDescent="0.3">
      <c r="C11" s="437" t="s">
        <v>336</v>
      </c>
      <c r="D11" s="380" t="s">
        <v>278</v>
      </c>
      <c r="E11" s="380" t="s">
        <v>976</v>
      </c>
      <c r="F11" s="354" t="s">
        <v>14</v>
      </c>
      <c r="G11" s="438">
        <f t="shared" si="1"/>
        <v>538116200.63467062</v>
      </c>
      <c r="H11" s="439">
        <f>SUMIFS(CS_수행!X$5:X$41,CS_수행!$C$5:$C$41,'3.수행비_요약'!$D11,CS_수행!$D$5:$D$41,'3.수행비_요약'!$E11,CS_수행!$E$5:$E$41,'3.수행비_요약'!$F11)</f>
        <v>427408597.2095269</v>
      </c>
      <c r="I11" s="439">
        <f>SUMIFS(CS_수행!Y$5:Y$41,CS_수행!$C$5:$C$41,'3.수행비_요약'!$D11,CS_수행!$D$5:$D$41,'3.수행비_요약'!$E11,CS_수행!$E$5:$E$41,'3.수행비_요약'!$F11)</f>
        <v>110707603.42514367</v>
      </c>
      <c r="J11" s="439">
        <f>SUMIFS(CS_수행!Z$5:Z$41,CS_수행!$C$5:$C$41,'3.수행비_요약'!$D11,CS_수행!$D$5:$D$41,'3.수행비_요약'!$E11,CS_수행!$E$5:$E$41,'3.수행비_요약'!$F11)</f>
        <v>0</v>
      </c>
      <c r="K11" s="439">
        <f>SUMIFS(CS_수행!AA$5:AA$41,CS_수행!$C$5:$C$41,'3.수행비_요약'!$D11,CS_수행!$D$5:$D$41,'3.수행비_요약'!$E11,CS_수행!$E$5:$E$41,'3.수행비_요약'!$F11)</f>
        <v>0</v>
      </c>
      <c r="L11" s="439">
        <f>SUMIFS(CS_수행!AB$5:AB$41,CS_수행!$C$5:$C$41,'3.수행비_요약'!$D11,CS_수행!$D$5:$D$41,'3.수행비_요약'!$E11,CS_수행!$E$5:$E$41,'3.수행비_요약'!$F11)</f>
        <v>0</v>
      </c>
      <c r="M11" s="439">
        <f>SUMIFS(CS_수행!AC$5:AC$41,CS_수행!$C$5:$C$41,'3.수행비_요약'!$D11,CS_수행!$D$5:$D$41,'3.수행비_요약'!$E11,CS_수행!$E$5:$E$41,'3.수행비_요약'!$F11)</f>
        <v>0</v>
      </c>
      <c r="N11" s="439">
        <f>SUMIFS(CS_수행!AD$5:AD$41,CS_수행!$C$5:$C$41,'3.수행비_요약'!$D11,CS_수행!$D$5:$D$41,'3.수행비_요약'!$E11,CS_수행!$E$5:$E$41,'3.수행비_요약'!$F11)</f>
        <v>0</v>
      </c>
      <c r="O11" s="439">
        <f>SUMIFS(CS_수행!AE$5:AE$41,CS_수행!$C$5:$C$41,'3.수행비_요약'!$D11,CS_수행!$D$5:$D$41,'3.수행비_요약'!$E11,CS_수행!$E$5:$E$41,'3.수행비_요약'!$F11)</f>
        <v>0</v>
      </c>
      <c r="P11" s="439">
        <f>SUMIFS(CS_수행!AF$5:AF$41,CS_수행!$C$5:$C$41,'3.수행비_요약'!$D11,CS_수행!$D$5:$D$41,'3.수행비_요약'!$E11,CS_수행!$E$5:$E$41,'3.수행비_요약'!$F11)</f>
        <v>0</v>
      </c>
      <c r="Q11" s="439">
        <f>SUMIFS(CS_수행!AG$5:AG$41,CS_수행!$C$5:$C$41,'3.수행비_요약'!$D11,CS_수행!$D$5:$D$41,'3.수행비_요약'!$E11,CS_수행!$E$5:$E$41,'3.수행비_요약'!$F11)</f>
        <v>0</v>
      </c>
      <c r="R11" s="439">
        <f>SUMIFS(CS_수행!AH$5:AH$41,CS_수행!$C$5:$C$41,'3.수행비_요약'!$D11,CS_수행!$D$5:$D$41,'3.수행비_요약'!$E11,CS_수행!$E$5:$E$41,'3.수행비_요약'!$F11)</f>
        <v>0</v>
      </c>
    </row>
    <row r="12" spans="1:85" x14ac:dyDescent="0.3">
      <c r="C12" s="437" t="s">
        <v>336</v>
      </c>
      <c r="D12" s="380" t="s">
        <v>278</v>
      </c>
      <c r="E12" s="380" t="s">
        <v>976</v>
      </c>
      <c r="F12" s="354" t="s">
        <v>152</v>
      </c>
      <c r="G12" s="438">
        <f t="shared" si="1"/>
        <v>1506702383.5402379</v>
      </c>
      <c r="H12" s="439">
        <f>SUMIFS(CS_수행!X$5:X$41,CS_수행!$C$5:$C$41,'3.수행비_요약'!$D12,CS_수행!$D$5:$D$41,'3.수행비_요약'!$E12,CS_수행!$E$5:$E$41,'3.수행비_요약'!$F12)</f>
        <v>131625300.55178569</v>
      </c>
      <c r="I12" s="439">
        <f>SUMIFS(CS_수행!Y$5:Y$41,CS_수행!$C$5:$C$41,'3.수행비_요약'!$D12,CS_수행!$D$5:$D$41,'3.수행비_요약'!$E12,CS_수행!$E$5:$E$41,'3.수행비_요약'!$F12)</f>
        <v>229179513.83140868</v>
      </c>
      <c r="J12" s="439">
        <f>SUMIFS(CS_수행!Z$5:Z$41,CS_수행!$C$5:$C$41,'3.수행비_요약'!$D12,CS_수행!$D$5:$D$41,'3.수행비_요약'!$E12,CS_수행!$E$5:$E$41,'3.수행비_요약'!$F12)</f>
        <v>229179513.83140868</v>
      </c>
      <c r="K12" s="439">
        <f>SUMIFS(CS_수행!AA$5:AA$41,CS_수행!$C$5:$C$41,'3.수행비_요약'!$D12,CS_수행!$D$5:$D$41,'3.수행비_요약'!$E12,CS_수행!$E$5:$E$41,'3.수행비_요약'!$F12)</f>
        <v>229179513.83140868</v>
      </c>
      <c r="L12" s="439">
        <f>SUMIFS(CS_수행!AB$5:AB$41,CS_수행!$C$5:$C$41,'3.수행비_요약'!$D12,CS_수행!$D$5:$D$41,'3.수행비_요약'!$E12,CS_수행!$E$5:$E$41,'3.수행비_요약'!$F12)</f>
        <v>229179513.83140868</v>
      </c>
      <c r="M12" s="439">
        <f>SUMIFS(CS_수행!AC$5:AC$41,CS_수행!$C$5:$C$41,'3.수행비_요약'!$D12,CS_수행!$D$5:$D$41,'3.수행비_요약'!$E12,CS_수행!$E$5:$E$41,'3.수행비_요약'!$F12)</f>
        <v>229179513.83140868</v>
      </c>
      <c r="N12" s="439">
        <f>SUMIFS(CS_수행!AD$5:AD$41,CS_수행!$C$5:$C$41,'3.수행비_요약'!$D12,CS_수행!$D$5:$D$41,'3.수행비_요약'!$E12,CS_수행!$E$5:$E$41,'3.수행비_요약'!$F12)</f>
        <v>229179513.83140868</v>
      </c>
      <c r="O12" s="439">
        <f>SUMIFS(CS_수행!AE$5:AE$41,CS_수행!$C$5:$C$41,'3.수행비_요약'!$D12,CS_수행!$D$5:$D$41,'3.수행비_요약'!$E12,CS_수행!$E$5:$E$41,'3.수행비_요약'!$F12)</f>
        <v>0</v>
      </c>
      <c r="P12" s="439">
        <f>SUMIFS(CS_수행!AF$5:AF$41,CS_수행!$C$5:$C$41,'3.수행비_요약'!$D12,CS_수행!$D$5:$D$41,'3.수행비_요약'!$E12,CS_수행!$E$5:$E$41,'3.수행비_요약'!$F12)</f>
        <v>0</v>
      </c>
      <c r="Q12" s="439">
        <f>SUMIFS(CS_수행!AG$5:AG$41,CS_수행!$C$5:$C$41,'3.수행비_요약'!$D12,CS_수행!$D$5:$D$41,'3.수행비_요약'!$E12,CS_수행!$E$5:$E$41,'3.수행비_요약'!$F12)</f>
        <v>0</v>
      </c>
      <c r="R12" s="439">
        <f>SUMIFS(CS_수행!AH$5:AH$41,CS_수행!$C$5:$C$41,'3.수행비_요약'!$D12,CS_수행!$D$5:$D$41,'3.수행비_요약'!$E12,CS_수행!$E$5:$E$41,'3.수행비_요약'!$F12)</f>
        <v>0</v>
      </c>
    </row>
    <row r="13" spans="1:85" x14ac:dyDescent="0.3">
      <c r="C13" s="437" t="s">
        <v>336</v>
      </c>
      <c r="D13" s="380" t="s">
        <v>278</v>
      </c>
      <c r="E13" s="380" t="s">
        <v>457</v>
      </c>
      <c r="F13" s="354">
        <v>0</v>
      </c>
      <c r="G13" s="438">
        <f t="shared" si="1"/>
        <v>3408932385.9870186</v>
      </c>
      <c r="H13" s="439">
        <f>SUMIFS(CS_수행!X$5:X$41,CS_수행!$C$5:$C$41,'3.수행비_요약'!$D13,CS_수행!$D$5:$D$41,'3.수행비_요약'!$E13,CS_수행!$E$5:$E$41,'3.수행비_요약'!$F13)</f>
        <v>486990340.85528833</v>
      </c>
      <c r="I13" s="439">
        <f>SUMIFS(CS_수행!Y$5:Y$41,CS_수행!$C$5:$C$41,'3.수행비_요약'!$D13,CS_수행!$D$5:$D$41,'3.수행비_요약'!$E13,CS_수행!$E$5:$E$41,'3.수행비_요약'!$F13)</f>
        <v>486990340.85528833</v>
      </c>
      <c r="J13" s="439">
        <f>SUMIFS(CS_수행!Z$5:Z$41,CS_수행!$C$5:$C$41,'3.수행비_요약'!$D13,CS_수행!$D$5:$D$41,'3.수행비_요약'!$E13,CS_수행!$E$5:$E$41,'3.수행비_요약'!$F13)</f>
        <v>486990340.85528833</v>
      </c>
      <c r="K13" s="439">
        <f>SUMIFS(CS_수행!AA$5:AA$41,CS_수행!$C$5:$C$41,'3.수행비_요약'!$D13,CS_수행!$D$5:$D$41,'3.수행비_요약'!$E13,CS_수행!$E$5:$E$41,'3.수행비_요약'!$F13)</f>
        <v>486990340.85528833</v>
      </c>
      <c r="L13" s="439">
        <f>SUMIFS(CS_수행!AB$5:AB$41,CS_수행!$C$5:$C$41,'3.수행비_요약'!$D13,CS_수행!$D$5:$D$41,'3.수행비_요약'!$E13,CS_수행!$E$5:$E$41,'3.수행비_요약'!$F13)</f>
        <v>486990340.85528833</v>
      </c>
      <c r="M13" s="439">
        <f>SUMIFS(CS_수행!AC$5:AC$41,CS_수행!$C$5:$C$41,'3.수행비_요약'!$D13,CS_수행!$D$5:$D$41,'3.수행비_요약'!$E13,CS_수행!$E$5:$E$41,'3.수행비_요약'!$F13)</f>
        <v>486990340.85528833</v>
      </c>
      <c r="N13" s="439">
        <f>SUMIFS(CS_수행!AD$5:AD$41,CS_수행!$C$5:$C$41,'3.수행비_요약'!$D13,CS_수행!$D$5:$D$41,'3.수행비_요약'!$E13,CS_수행!$E$5:$E$41,'3.수행비_요약'!$F13)</f>
        <v>486990340.85528833</v>
      </c>
      <c r="O13" s="439">
        <f>SUMIFS(CS_수행!AE$5:AE$41,CS_수행!$C$5:$C$41,'3.수행비_요약'!$D13,CS_수행!$D$5:$D$41,'3.수행비_요약'!$E13,CS_수행!$E$5:$E$41,'3.수행비_요약'!$F13)</f>
        <v>0</v>
      </c>
      <c r="P13" s="439">
        <f>SUMIFS(CS_수행!AF$5:AF$41,CS_수행!$C$5:$C$41,'3.수행비_요약'!$D13,CS_수행!$D$5:$D$41,'3.수행비_요약'!$E13,CS_수행!$E$5:$E$41,'3.수행비_요약'!$F13)</f>
        <v>0</v>
      </c>
      <c r="Q13" s="439">
        <f>SUMIFS(CS_수행!AG$5:AG$41,CS_수행!$C$5:$C$41,'3.수행비_요약'!$D13,CS_수행!$D$5:$D$41,'3.수행비_요약'!$E13,CS_수행!$E$5:$E$41,'3.수행비_요약'!$F13)</f>
        <v>0</v>
      </c>
      <c r="R13" s="439">
        <f>SUMIFS(CS_수행!AH$5:AH$41,CS_수행!$C$5:$C$41,'3.수행비_요약'!$D13,CS_수행!$D$5:$D$41,'3.수행비_요약'!$E13,CS_수행!$E$5:$E$41,'3.수행비_요약'!$F13)</f>
        <v>0</v>
      </c>
    </row>
    <row r="14" spans="1:85" x14ac:dyDescent="0.3">
      <c r="C14" s="437" t="s">
        <v>336</v>
      </c>
      <c r="D14" s="380" t="s">
        <v>278</v>
      </c>
      <c r="E14" s="380" t="s">
        <v>458</v>
      </c>
      <c r="F14" s="354" t="s">
        <v>459</v>
      </c>
      <c r="G14" s="438">
        <f t="shared" si="1"/>
        <v>1574052228.7542739</v>
      </c>
      <c r="H14" s="439">
        <f>SUMIFS(CS_수행!X$5:X$41,CS_수행!$C$5:$C$41,'3.수행비_요약'!$D14,CS_수행!$D$5:$D$41,'3.수행비_요약'!$E14,CS_수행!$E$5:$E$41,'3.수행비_요약'!$F14)</f>
        <v>0</v>
      </c>
      <c r="I14" s="439">
        <f>SUMIFS(CS_수행!Y$5:Y$41,CS_수행!$C$5:$C$41,'3.수행비_요약'!$D14,CS_수행!$D$5:$D$41,'3.수행비_요약'!$E14,CS_수행!$E$5:$E$41,'3.수행비_요약'!$F14)</f>
        <v>262342038.12571231</v>
      </c>
      <c r="J14" s="439">
        <f>SUMIFS(CS_수행!Z$5:Z$41,CS_수행!$C$5:$C$41,'3.수행비_요약'!$D14,CS_수행!$D$5:$D$41,'3.수행비_요약'!$E14,CS_수행!$E$5:$E$41,'3.수행비_요약'!$F14)</f>
        <v>262342038.12571231</v>
      </c>
      <c r="K14" s="439">
        <f>SUMIFS(CS_수행!AA$5:AA$41,CS_수행!$C$5:$C$41,'3.수행비_요약'!$D14,CS_수행!$D$5:$D$41,'3.수행비_요약'!$E14,CS_수행!$E$5:$E$41,'3.수행비_요약'!$F14)</f>
        <v>262342038.12571231</v>
      </c>
      <c r="L14" s="439">
        <f>SUMIFS(CS_수행!AB$5:AB$41,CS_수행!$C$5:$C$41,'3.수행비_요약'!$D14,CS_수행!$D$5:$D$41,'3.수행비_요약'!$E14,CS_수행!$E$5:$E$41,'3.수행비_요약'!$F14)</f>
        <v>262342038.12571231</v>
      </c>
      <c r="M14" s="439">
        <f>SUMIFS(CS_수행!AC$5:AC$41,CS_수행!$C$5:$C$41,'3.수행비_요약'!$D14,CS_수행!$D$5:$D$41,'3.수행비_요약'!$E14,CS_수행!$E$5:$E$41,'3.수행비_요약'!$F14)</f>
        <v>262342038.12571231</v>
      </c>
      <c r="N14" s="439">
        <f>SUMIFS(CS_수행!AD$5:AD$41,CS_수행!$C$5:$C$41,'3.수행비_요약'!$D14,CS_수행!$D$5:$D$41,'3.수행비_요약'!$E14,CS_수행!$E$5:$E$41,'3.수행비_요약'!$F14)</f>
        <v>262342038.12571231</v>
      </c>
      <c r="O14" s="439">
        <f>SUMIFS(CS_수행!AE$5:AE$41,CS_수행!$C$5:$C$41,'3.수행비_요약'!$D14,CS_수행!$D$5:$D$41,'3.수행비_요약'!$E14,CS_수행!$E$5:$E$41,'3.수행비_요약'!$F14)</f>
        <v>0</v>
      </c>
      <c r="P14" s="439">
        <f>SUMIFS(CS_수행!AF$5:AF$41,CS_수행!$C$5:$C$41,'3.수행비_요약'!$D14,CS_수행!$D$5:$D$41,'3.수행비_요약'!$E14,CS_수행!$E$5:$E$41,'3.수행비_요약'!$F14)</f>
        <v>0</v>
      </c>
      <c r="Q14" s="439">
        <f>SUMIFS(CS_수행!AG$5:AG$41,CS_수행!$C$5:$C$41,'3.수행비_요약'!$D14,CS_수행!$D$5:$D$41,'3.수행비_요약'!$E14,CS_수행!$E$5:$E$41,'3.수행비_요약'!$F14)</f>
        <v>0</v>
      </c>
      <c r="R14" s="439">
        <f>SUMIFS(CS_수행!AH$5:AH$41,CS_수행!$C$5:$C$41,'3.수행비_요약'!$D14,CS_수행!$D$5:$D$41,'3.수행비_요약'!$E14,CS_수행!$E$5:$E$41,'3.수행비_요약'!$F14)</f>
        <v>0</v>
      </c>
    </row>
    <row r="15" spans="1:85" x14ac:dyDescent="0.3">
      <c r="C15" s="437" t="s">
        <v>336</v>
      </c>
      <c r="D15" s="380" t="s">
        <v>278</v>
      </c>
      <c r="E15" s="380" t="s">
        <v>458</v>
      </c>
      <c r="F15" s="354" t="s">
        <v>460</v>
      </c>
      <c r="G15" s="438">
        <f t="shared" si="1"/>
        <v>300000000</v>
      </c>
      <c r="H15" s="439">
        <f>SUMIFS(CS_수행!X$5:X$41,CS_수행!$C$5:$C$41,'3.수행비_요약'!$D15,CS_수행!$D$5:$D$41,'3.수행비_요약'!$E15,CS_수행!$E$5:$E$41,'3.수행비_요약'!$F15)</f>
        <v>300000000</v>
      </c>
      <c r="I15" s="439">
        <f>SUMIFS(CS_수행!Y$5:Y$41,CS_수행!$C$5:$C$41,'3.수행비_요약'!$D15,CS_수행!$D$5:$D$41,'3.수행비_요약'!$E15,CS_수행!$E$5:$E$41,'3.수행비_요약'!$F15)</f>
        <v>0</v>
      </c>
      <c r="J15" s="439">
        <f>SUMIFS(CS_수행!Z$5:Z$41,CS_수행!$C$5:$C$41,'3.수행비_요약'!$D15,CS_수행!$D$5:$D$41,'3.수행비_요약'!$E15,CS_수행!$E$5:$E$41,'3.수행비_요약'!$F15)</f>
        <v>0</v>
      </c>
      <c r="K15" s="439">
        <f>SUMIFS(CS_수행!AA$5:AA$41,CS_수행!$C$5:$C$41,'3.수행비_요약'!$D15,CS_수행!$D$5:$D$41,'3.수행비_요약'!$E15,CS_수행!$E$5:$E$41,'3.수행비_요약'!$F15)</f>
        <v>0</v>
      </c>
      <c r="L15" s="439">
        <f>SUMIFS(CS_수행!AB$5:AB$41,CS_수행!$C$5:$C$41,'3.수행비_요약'!$D15,CS_수행!$D$5:$D$41,'3.수행비_요약'!$E15,CS_수행!$E$5:$E$41,'3.수행비_요약'!$F15)</f>
        <v>0</v>
      </c>
      <c r="M15" s="439">
        <f>SUMIFS(CS_수행!AC$5:AC$41,CS_수행!$C$5:$C$41,'3.수행비_요약'!$D15,CS_수행!$D$5:$D$41,'3.수행비_요약'!$E15,CS_수행!$E$5:$E$41,'3.수행비_요약'!$F15)</f>
        <v>0</v>
      </c>
      <c r="N15" s="439">
        <f>SUMIFS(CS_수행!AD$5:AD$41,CS_수행!$C$5:$C$41,'3.수행비_요약'!$D15,CS_수행!$D$5:$D$41,'3.수행비_요약'!$E15,CS_수행!$E$5:$E$41,'3.수행비_요약'!$F15)</f>
        <v>0</v>
      </c>
      <c r="O15" s="439">
        <f>SUMIFS(CS_수행!AE$5:AE$41,CS_수행!$C$5:$C$41,'3.수행비_요약'!$D15,CS_수행!$D$5:$D$41,'3.수행비_요약'!$E15,CS_수행!$E$5:$E$41,'3.수행비_요약'!$F15)</f>
        <v>0</v>
      </c>
      <c r="P15" s="439">
        <f>SUMIFS(CS_수행!AF$5:AF$41,CS_수행!$C$5:$C$41,'3.수행비_요약'!$D15,CS_수행!$D$5:$D$41,'3.수행비_요약'!$E15,CS_수행!$E$5:$E$41,'3.수행비_요약'!$F15)</f>
        <v>0</v>
      </c>
      <c r="Q15" s="439">
        <f>SUMIFS(CS_수행!AG$5:AG$41,CS_수행!$C$5:$C$41,'3.수행비_요약'!$D15,CS_수행!$D$5:$D$41,'3.수행비_요약'!$E15,CS_수행!$E$5:$E$41,'3.수행비_요약'!$F15)</f>
        <v>0</v>
      </c>
      <c r="R15" s="439">
        <f>SUMIFS(CS_수행!AH$5:AH$41,CS_수행!$C$5:$C$41,'3.수행비_요약'!$D15,CS_수행!$D$5:$D$41,'3.수행비_요약'!$E15,CS_수행!$E$5:$E$41,'3.수행비_요약'!$F15)</f>
        <v>0</v>
      </c>
    </row>
    <row r="16" spans="1:85" x14ac:dyDescent="0.3">
      <c r="G16" s="436"/>
      <c r="H16" s="436"/>
      <c r="I16" s="436"/>
      <c r="J16" s="436"/>
      <c r="K16" s="436"/>
      <c r="L16" s="436"/>
      <c r="M16" s="436"/>
      <c r="N16" s="436"/>
      <c r="O16" s="436"/>
      <c r="P16" s="436"/>
      <c r="Q16" s="436"/>
      <c r="R16" s="436"/>
      <c r="S16" s="93"/>
      <c r="T16" s="93"/>
      <c r="U16" s="93"/>
      <c r="V16" s="93"/>
      <c r="W16" s="93"/>
      <c r="X16" s="93"/>
      <c r="Y16" s="93"/>
      <c r="Z16" s="93"/>
      <c r="AA16" s="93"/>
      <c r="AB16" s="93"/>
      <c r="AC16" s="93"/>
      <c r="AD16" s="93"/>
      <c r="AE16" s="93"/>
      <c r="AF16" s="93"/>
      <c r="AG16" s="93"/>
      <c r="AH16" s="93"/>
      <c r="AI16" s="93"/>
      <c r="AJ16" s="93"/>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row>
    <row r="17" spans="7:85" x14ac:dyDescent="0.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93"/>
      <c r="AG17" s="93"/>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row>
    <row r="18" spans="7:85" x14ac:dyDescent="0.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row>
    <row r="19" spans="7:85" x14ac:dyDescent="0.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93"/>
      <c r="AG19" s="93"/>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row>
    <row r="20" spans="7:85" x14ac:dyDescent="0.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93"/>
      <c r="AG20" s="93"/>
      <c r="AH20" s="93"/>
      <c r="AI20" s="93"/>
      <c r="AJ20" s="93"/>
      <c r="AK20" s="93"/>
      <c r="AL20" s="93"/>
      <c r="AM20" s="93"/>
      <c r="AN20" s="93"/>
      <c r="AO20" s="93"/>
      <c r="AP20" s="93"/>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row>
    <row r="21" spans="7:85" x14ac:dyDescent="0.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93"/>
      <c r="AG21" s="93"/>
      <c r="AH21" s="93"/>
      <c r="AI21" s="93"/>
      <c r="AJ21" s="93"/>
      <c r="AK21" s="93"/>
      <c r="AL21" s="93"/>
      <c r="AM21" s="93"/>
      <c r="AN21" s="93"/>
      <c r="AO21" s="93"/>
      <c r="AP21" s="93"/>
      <c r="AQ21" s="93"/>
      <c r="AR21" s="93"/>
      <c r="AS21" s="93"/>
      <c r="AT21" s="93"/>
      <c r="AU21" s="93"/>
      <c r="AV21" s="93"/>
      <c r="AW21" s="93"/>
      <c r="AX21" s="93"/>
      <c r="AY21" s="93"/>
      <c r="AZ21" s="93"/>
      <c r="BA21" s="93"/>
      <c r="BB21" s="93"/>
      <c r="BC21" s="93"/>
      <c r="BD21" s="93"/>
      <c r="BE21" s="93"/>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row>
    <row r="22" spans="7:85" x14ac:dyDescent="0.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93"/>
      <c r="AG22" s="93"/>
      <c r="AH22" s="93"/>
      <c r="AI22" s="93"/>
      <c r="AJ22" s="93"/>
      <c r="AK22" s="93"/>
      <c r="AL22" s="93"/>
      <c r="AM22" s="93"/>
      <c r="AN22" s="93"/>
      <c r="AO22" s="93"/>
      <c r="AP22" s="93"/>
      <c r="AQ22" s="93"/>
      <c r="AR22" s="93"/>
      <c r="AS22" s="93"/>
      <c r="AT22" s="93"/>
      <c r="AU22" s="93"/>
      <c r="AV22" s="93"/>
      <c r="AW22" s="93"/>
      <c r="AX22" s="93"/>
      <c r="AY22" s="93"/>
      <c r="AZ22" s="93"/>
      <c r="BA22" s="93"/>
      <c r="BB22" s="93"/>
      <c r="BC22" s="93"/>
      <c r="BD22" s="93"/>
      <c r="BE22" s="93"/>
      <c r="BF22" s="93"/>
      <c r="BG22" s="93"/>
      <c r="BH22" s="93"/>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row>
    <row r="23" spans="7:85" x14ac:dyDescent="0.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93"/>
      <c r="AG23" s="93"/>
      <c r="AH23" s="93"/>
      <c r="AI23" s="93"/>
      <c r="AJ23" s="93"/>
      <c r="AK23" s="93"/>
      <c r="AL23" s="93"/>
      <c r="AM23" s="93"/>
      <c r="AN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c r="BP23" s="93"/>
      <c r="BQ23" s="93"/>
      <c r="BR23" s="93"/>
      <c r="BS23" s="93"/>
      <c r="BT23" s="93"/>
      <c r="BU23" s="93"/>
      <c r="BV23" s="93"/>
      <c r="BW23" s="93"/>
      <c r="BX23" s="93"/>
      <c r="BY23" s="93"/>
      <c r="BZ23" s="93"/>
      <c r="CA23" s="93"/>
      <c r="CB23" s="93"/>
      <c r="CC23" s="93"/>
      <c r="CD23" s="93"/>
      <c r="CE23" s="93"/>
      <c r="CF23" s="93"/>
      <c r="CG23" s="93"/>
    </row>
    <row r="24" spans="7:85" x14ac:dyDescent="0.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93"/>
      <c r="AG24" s="93"/>
      <c r="AH24" s="93"/>
      <c r="AI24" s="93"/>
      <c r="AJ24" s="93"/>
      <c r="AK24" s="93"/>
      <c r="AL24" s="93"/>
      <c r="AM24" s="93"/>
      <c r="AN24" s="93"/>
      <c r="AO24" s="93"/>
      <c r="AP24" s="93"/>
      <c r="AQ24" s="93"/>
      <c r="AR24" s="93"/>
      <c r="AS24" s="93"/>
      <c r="AT24" s="93"/>
      <c r="AU24" s="93"/>
      <c r="AV24" s="93"/>
      <c r="AW24" s="93"/>
      <c r="AX24" s="93"/>
      <c r="AY24" s="93"/>
      <c r="AZ24" s="93"/>
      <c r="BA24" s="93"/>
      <c r="BB24" s="93"/>
      <c r="BC24" s="93"/>
      <c r="BD24" s="93"/>
      <c r="BE24" s="93"/>
      <c r="BF24" s="93"/>
      <c r="BG24" s="93"/>
      <c r="BH24" s="93"/>
      <c r="BI24" s="93"/>
      <c r="BJ24" s="93"/>
      <c r="BK24" s="93"/>
      <c r="BL24" s="93"/>
      <c r="BM24" s="93"/>
      <c r="BN24" s="93"/>
      <c r="BO24" s="93"/>
      <c r="BP24" s="93"/>
      <c r="BQ24" s="93"/>
      <c r="BR24" s="93"/>
      <c r="BS24" s="93"/>
      <c r="BT24" s="93"/>
      <c r="BU24" s="93"/>
      <c r="BV24" s="93"/>
      <c r="BW24" s="93"/>
      <c r="BX24" s="93"/>
      <c r="BY24" s="93"/>
      <c r="BZ24" s="93"/>
      <c r="CA24" s="93"/>
      <c r="CB24" s="93"/>
      <c r="CC24" s="93"/>
      <c r="CD24" s="93"/>
      <c r="CE24" s="93"/>
      <c r="CF24" s="93"/>
      <c r="CG24" s="93"/>
    </row>
    <row r="25" spans="7:85" x14ac:dyDescent="0.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93"/>
      <c r="AI25" s="93"/>
      <c r="AJ25" s="93"/>
      <c r="AK25" s="93"/>
      <c r="AL25" s="93"/>
      <c r="AM25" s="93"/>
      <c r="AN25" s="93"/>
      <c r="AO25" s="93"/>
      <c r="AP25" s="93"/>
      <c r="AQ25" s="93"/>
      <c r="AR25" s="93"/>
      <c r="AS25" s="93"/>
      <c r="AT25" s="93"/>
      <c r="AU25" s="93"/>
      <c r="AV25" s="93"/>
      <c r="AW25" s="93"/>
      <c r="AX25" s="93"/>
      <c r="AY25" s="93"/>
      <c r="AZ25" s="93"/>
      <c r="BA25" s="93"/>
      <c r="BB25" s="93"/>
      <c r="BC25" s="93"/>
      <c r="BD25" s="93"/>
      <c r="BE25" s="93"/>
      <c r="BF25" s="93"/>
      <c r="BG25" s="93"/>
      <c r="BH25" s="93"/>
      <c r="BI25" s="93"/>
      <c r="BJ25" s="93"/>
      <c r="BK25" s="93"/>
      <c r="BL25" s="93"/>
      <c r="BM25" s="93"/>
      <c r="BN25" s="93"/>
      <c r="BO25" s="93"/>
      <c r="BP25" s="93"/>
      <c r="BQ25" s="93"/>
      <c r="BR25" s="93"/>
      <c r="BS25" s="93"/>
      <c r="BT25" s="93"/>
      <c r="BU25" s="93"/>
      <c r="BV25" s="93"/>
      <c r="BW25" s="93"/>
      <c r="BX25" s="93"/>
      <c r="BY25" s="93"/>
      <c r="BZ25" s="93"/>
      <c r="CA25" s="93"/>
      <c r="CB25" s="93"/>
      <c r="CC25" s="93"/>
      <c r="CD25" s="93"/>
      <c r="CE25" s="93"/>
      <c r="CF25" s="93"/>
      <c r="CG25" s="93"/>
    </row>
    <row r="26" spans="7:85" x14ac:dyDescent="0.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93"/>
      <c r="AI26" s="93"/>
      <c r="AJ26" s="93"/>
      <c r="AK26" s="93"/>
      <c r="AL26" s="93"/>
      <c r="AM26" s="93"/>
      <c r="AN26" s="93"/>
      <c r="AO26" s="93"/>
      <c r="AP26" s="93"/>
      <c r="AQ26" s="93"/>
      <c r="AR26" s="93"/>
      <c r="AS26" s="93"/>
      <c r="AT26" s="93"/>
      <c r="AU26" s="93"/>
      <c r="AV26" s="93"/>
      <c r="AW26" s="93"/>
      <c r="AX26" s="93"/>
      <c r="AY26" s="93"/>
      <c r="AZ26" s="93"/>
      <c r="BA26" s="93"/>
      <c r="BB26" s="93"/>
      <c r="BC26" s="93"/>
      <c r="BD26" s="93"/>
      <c r="BE26" s="93"/>
      <c r="BF26" s="93"/>
      <c r="BG26" s="93"/>
      <c r="BH26" s="93"/>
      <c r="BI26" s="93"/>
      <c r="BJ26" s="93"/>
      <c r="BK26" s="93"/>
      <c r="BL26" s="93"/>
      <c r="BM26" s="93"/>
      <c r="BN26" s="93"/>
      <c r="BO26" s="93"/>
      <c r="BP26" s="93"/>
      <c r="BQ26" s="93"/>
      <c r="BR26" s="93"/>
      <c r="BS26" s="93"/>
      <c r="BT26" s="93"/>
      <c r="BU26" s="93"/>
      <c r="BV26" s="93"/>
      <c r="BW26" s="93"/>
      <c r="BX26" s="93"/>
      <c r="BY26" s="93"/>
      <c r="BZ26" s="93"/>
      <c r="CA26" s="93"/>
      <c r="CB26" s="93"/>
      <c r="CC26" s="93"/>
      <c r="CD26" s="93"/>
      <c r="CE26" s="93"/>
      <c r="CF26" s="93"/>
      <c r="CG26" s="93"/>
    </row>
    <row r="27" spans="7:85" x14ac:dyDescent="0.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93"/>
      <c r="AO27" s="93"/>
      <c r="AP27" s="93"/>
      <c r="AQ27" s="93"/>
      <c r="AR27" s="93"/>
      <c r="AS27" s="93"/>
      <c r="AT27" s="93"/>
      <c r="AU27" s="93"/>
      <c r="AV27" s="93"/>
      <c r="AW27" s="93"/>
      <c r="AX27" s="93"/>
      <c r="AY27" s="93"/>
      <c r="AZ27" s="93"/>
      <c r="BA27" s="93"/>
      <c r="BB27" s="93"/>
      <c r="BC27" s="93"/>
      <c r="BD27" s="93"/>
      <c r="BE27" s="93"/>
      <c r="BF27" s="93"/>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93"/>
      <c r="CG27" s="93"/>
    </row>
    <row r="28" spans="7:85" x14ac:dyDescent="0.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93"/>
      <c r="AI28" s="93"/>
      <c r="AJ28" s="93"/>
      <c r="AK28" s="93"/>
      <c r="AL28" s="93"/>
      <c r="AM28" s="93"/>
      <c r="AN28" s="93"/>
      <c r="AO28" s="93"/>
      <c r="AP28" s="93"/>
      <c r="AQ28" s="93"/>
      <c r="AR28" s="93"/>
      <c r="AS28" s="93"/>
      <c r="AT28" s="93"/>
      <c r="AU28" s="93"/>
      <c r="AV28" s="93"/>
      <c r="AW28" s="93"/>
      <c r="AX28" s="93"/>
      <c r="AY28" s="93"/>
      <c r="AZ28" s="93"/>
      <c r="BA28" s="93"/>
      <c r="BB28" s="93"/>
      <c r="BC28" s="93"/>
      <c r="BD28" s="93"/>
      <c r="BE28" s="93"/>
      <c r="BF28" s="93"/>
      <c r="BG28" s="93"/>
      <c r="BH28" s="93"/>
      <c r="BI28" s="93"/>
      <c r="BJ28" s="93"/>
      <c r="BK28" s="93"/>
      <c r="BL28" s="93"/>
      <c r="BM28" s="93"/>
      <c r="BN28" s="93"/>
      <c r="BO28" s="93"/>
      <c r="BP28" s="93"/>
      <c r="BQ28" s="93"/>
      <c r="BR28" s="93"/>
      <c r="BS28" s="93"/>
      <c r="BT28" s="93"/>
      <c r="BU28" s="93"/>
      <c r="BV28" s="93"/>
      <c r="BW28" s="93"/>
      <c r="BX28" s="93"/>
      <c r="BY28" s="93"/>
      <c r="BZ28" s="93"/>
      <c r="CA28" s="93"/>
      <c r="CB28" s="93"/>
      <c r="CC28" s="93"/>
      <c r="CD28" s="93"/>
      <c r="CE28" s="93"/>
      <c r="CF28" s="93"/>
      <c r="CG28" s="93"/>
    </row>
    <row r="29" spans="7:85" x14ac:dyDescent="0.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93"/>
      <c r="AG29" s="93"/>
      <c r="AH29" s="93"/>
      <c r="AI29" s="93"/>
      <c r="AJ29" s="93"/>
      <c r="AK29" s="93"/>
      <c r="AL29" s="93"/>
      <c r="AM29" s="93"/>
      <c r="AN29" s="93"/>
      <c r="AO29" s="93"/>
      <c r="AP29" s="93"/>
      <c r="AQ29" s="93"/>
      <c r="AR29" s="93"/>
      <c r="AS29" s="93"/>
      <c r="AT29" s="93"/>
      <c r="AU29" s="93"/>
      <c r="AV29" s="93"/>
      <c r="AW29" s="93"/>
      <c r="AX29" s="93"/>
      <c r="AY29" s="93"/>
      <c r="AZ29" s="93"/>
      <c r="BA29" s="93"/>
      <c r="BB29" s="93"/>
      <c r="BC29" s="93"/>
      <c r="BD29" s="93"/>
      <c r="BE29" s="93"/>
      <c r="BF29" s="93"/>
      <c r="BG29" s="93"/>
      <c r="BH29" s="93"/>
      <c r="BI29" s="93"/>
      <c r="BJ29" s="93"/>
      <c r="BK29" s="93"/>
      <c r="BL29" s="93"/>
      <c r="BM29" s="93"/>
      <c r="BN29" s="93"/>
      <c r="BO29" s="93"/>
      <c r="BP29" s="93"/>
      <c r="BQ29" s="93"/>
      <c r="BR29" s="93"/>
      <c r="BS29" s="93"/>
      <c r="BT29" s="93"/>
      <c r="BU29" s="93"/>
      <c r="BV29" s="93"/>
      <c r="BW29" s="93"/>
      <c r="BX29" s="93"/>
      <c r="BY29" s="93"/>
      <c r="BZ29" s="93"/>
      <c r="CA29" s="93"/>
      <c r="CB29" s="93"/>
      <c r="CC29" s="93"/>
      <c r="CD29" s="93"/>
      <c r="CE29" s="93"/>
      <c r="CF29" s="93"/>
      <c r="CG29" s="93"/>
    </row>
    <row r="30" spans="7:85" x14ac:dyDescent="0.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93"/>
      <c r="AG30" s="93"/>
      <c r="AH30" s="93"/>
      <c r="AI30" s="93"/>
      <c r="AJ30" s="93"/>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c r="BP30" s="93"/>
      <c r="BQ30" s="93"/>
      <c r="BR30" s="93"/>
      <c r="BS30" s="93"/>
      <c r="BT30" s="93"/>
      <c r="BU30" s="93"/>
      <c r="BV30" s="93"/>
      <c r="BW30" s="93"/>
      <c r="BX30" s="93"/>
      <c r="BY30" s="93"/>
      <c r="BZ30" s="93"/>
      <c r="CA30" s="93"/>
      <c r="CB30" s="93"/>
      <c r="CC30" s="93"/>
      <c r="CD30" s="93"/>
      <c r="CE30" s="93"/>
      <c r="CF30" s="93"/>
      <c r="CG30" s="93"/>
    </row>
    <row r="31" spans="7:85" x14ac:dyDescent="0.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93"/>
      <c r="AG31" s="93"/>
      <c r="AH31" s="93"/>
      <c r="AI31" s="93"/>
      <c r="AJ31" s="93"/>
      <c r="AK31" s="93"/>
      <c r="AL31" s="93"/>
      <c r="AM31" s="93"/>
      <c r="AN31" s="93"/>
      <c r="AO31" s="93"/>
      <c r="AP31" s="93"/>
      <c r="AQ31" s="93"/>
      <c r="AR31" s="93"/>
      <c r="AS31" s="93"/>
      <c r="AT31" s="93"/>
      <c r="AU31" s="93"/>
      <c r="AV31" s="93"/>
      <c r="AW31" s="93"/>
      <c r="AX31" s="93"/>
      <c r="AY31" s="93"/>
      <c r="AZ31" s="93"/>
      <c r="BA31" s="93"/>
      <c r="BB31" s="93"/>
      <c r="BC31" s="93"/>
      <c r="BD31" s="93"/>
      <c r="BE31" s="93"/>
      <c r="BF31" s="93"/>
      <c r="BG31" s="93"/>
      <c r="BH31" s="93"/>
      <c r="BI31" s="93"/>
      <c r="BJ31" s="93"/>
      <c r="BK31" s="93"/>
      <c r="BL31" s="93"/>
      <c r="BM31" s="93"/>
      <c r="BN31" s="93"/>
      <c r="BO31" s="93"/>
      <c r="BP31" s="93"/>
      <c r="BQ31" s="93"/>
      <c r="BR31" s="93"/>
      <c r="BS31" s="93"/>
      <c r="BT31" s="93"/>
      <c r="BU31" s="93"/>
      <c r="BV31" s="93"/>
      <c r="BW31" s="93"/>
      <c r="BX31" s="93"/>
      <c r="BY31" s="93"/>
      <c r="BZ31" s="93"/>
      <c r="CA31" s="93"/>
      <c r="CB31" s="93"/>
      <c r="CC31" s="93"/>
      <c r="CD31" s="93"/>
      <c r="CE31" s="93"/>
      <c r="CF31" s="93"/>
      <c r="CG31" s="93"/>
    </row>
    <row r="32" spans="7:85" x14ac:dyDescent="0.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93"/>
      <c r="AG32" s="93"/>
      <c r="AH32" s="93"/>
      <c r="AI32" s="93"/>
      <c r="AJ32" s="93"/>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c r="BQ32" s="93"/>
      <c r="BR32" s="93"/>
      <c r="BS32" s="93"/>
      <c r="BT32" s="93"/>
      <c r="BU32" s="93"/>
      <c r="BV32" s="93"/>
      <c r="BW32" s="93"/>
      <c r="BX32" s="93"/>
      <c r="BY32" s="93"/>
      <c r="BZ32" s="93"/>
      <c r="CA32" s="93"/>
      <c r="CB32" s="93"/>
      <c r="CC32" s="93"/>
      <c r="CD32" s="93"/>
      <c r="CE32" s="93"/>
      <c r="CF32" s="93"/>
      <c r="CG32" s="93"/>
    </row>
    <row r="33" spans="7:85" x14ac:dyDescent="0.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93"/>
      <c r="AG33" s="93"/>
      <c r="AH33" s="93"/>
      <c r="AI33" s="93"/>
      <c r="AJ33" s="93"/>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c r="BP33" s="93"/>
      <c r="BQ33" s="93"/>
      <c r="BR33" s="93"/>
      <c r="BS33" s="93"/>
      <c r="BT33" s="93"/>
      <c r="BU33" s="93"/>
      <c r="BV33" s="93"/>
      <c r="BW33" s="93"/>
      <c r="BX33" s="93"/>
      <c r="BY33" s="93"/>
      <c r="BZ33" s="93"/>
      <c r="CA33" s="93"/>
      <c r="CB33" s="93"/>
      <c r="CC33" s="93"/>
      <c r="CD33" s="93"/>
      <c r="CE33" s="93"/>
      <c r="CF33" s="93"/>
      <c r="CG33" s="93"/>
    </row>
    <row r="34" spans="7:85" x14ac:dyDescent="0.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row>
    <row r="35" spans="7:85" x14ac:dyDescent="0.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93"/>
      <c r="AG35" s="93"/>
      <c r="AH35" s="93"/>
      <c r="AI35" s="93"/>
      <c r="AJ35" s="93"/>
      <c r="AK35" s="93"/>
      <c r="AL35" s="93"/>
      <c r="AM35" s="93"/>
      <c r="AN35" s="93"/>
      <c r="AO35" s="93"/>
      <c r="AP35" s="93"/>
      <c r="AQ35" s="93"/>
      <c r="AR35" s="93"/>
      <c r="AS35" s="93"/>
      <c r="AT35" s="93"/>
      <c r="AU35" s="93"/>
      <c r="AV35" s="93"/>
      <c r="AW35" s="93"/>
      <c r="AX35" s="93"/>
      <c r="AY35" s="93"/>
      <c r="AZ35" s="93"/>
      <c r="BA35" s="93"/>
      <c r="BB35" s="93"/>
      <c r="BC35" s="93"/>
      <c r="BD35" s="93"/>
      <c r="BE35" s="93"/>
      <c r="BF35" s="93"/>
      <c r="BG35" s="93"/>
      <c r="BH35" s="93"/>
      <c r="BI35" s="93"/>
      <c r="BJ35" s="93"/>
      <c r="BK35" s="93"/>
      <c r="BL35" s="93"/>
      <c r="BM35" s="93"/>
      <c r="BN35" s="93"/>
      <c r="BO35" s="93"/>
      <c r="BP35" s="93"/>
      <c r="BQ35" s="93"/>
      <c r="BR35" s="93"/>
      <c r="BS35" s="93"/>
      <c r="BT35" s="93"/>
      <c r="BU35" s="93"/>
      <c r="BV35" s="93"/>
      <c r="BW35" s="93"/>
      <c r="BX35" s="93"/>
      <c r="BY35" s="93"/>
      <c r="BZ35" s="93"/>
      <c r="CA35" s="93"/>
      <c r="CB35" s="93"/>
      <c r="CC35" s="93"/>
      <c r="CD35" s="93"/>
      <c r="CE35" s="93"/>
      <c r="CF35" s="93"/>
      <c r="CG35" s="93"/>
    </row>
    <row r="36" spans="7:85" x14ac:dyDescent="0.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I36" s="93"/>
      <c r="AJ36" s="93"/>
      <c r="AK36" s="93"/>
      <c r="AL36" s="93"/>
      <c r="AM36" s="93"/>
      <c r="AN36" s="93"/>
      <c r="AO36" s="93"/>
      <c r="AP36" s="93"/>
      <c r="AQ36" s="93"/>
      <c r="AR36" s="93"/>
      <c r="AS36" s="93"/>
      <c r="AT36" s="93"/>
      <c r="AU36" s="93"/>
      <c r="AV36" s="93"/>
      <c r="AW36" s="93"/>
      <c r="AX36" s="93"/>
      <c r="AY36" s="93"/>
      <c r="AZ36" s="93"/>
      <c r="BA36" s="93"/>
      <c r="BB36" s="93"/>
      <c r="BC36" s="93"/>
      <c r="BD36" s="93"/>
      <c r="BE36" s="93"/>
      <c r="BF36" s="93"/>
      <c r="BG36" s="93"/>
      <c r="BH36" s="93"/>
      <c r="BI36" s="93"/>
      <c r="BJ36" s="93"/>
      <c r="BK36" s="93"/>
      <c r="BL36" s="93"/>
      <c r="BM36" s="93"/>
      <c r="BN36" s="93"/>
      <c r="BO36" s="93"/>
      <c r="BP36" s="93"/>
      <c r="BQ36" s="93"/>
      <c r="BR36" s="93"/>
      <c r="BS36" s="93"/>
      <c r="BT36" s="93"/>
      <c r="BU36" s="93"/>
      <c r="BV36" s="93"/>
      <c r="BW36" s="93"/>
      <c r="BX36" s="93"/>
      <c r="BY36" s="93"/>
      <c r="BZ36" s="93"/>
      <c r="CA36" s="93"/>
      <c r="CB36" s="93"/>
      <c r="CC36" s="93"/>
      <c r="CD36" s="93"/>
      <c r="CE36" s="93"/>
      <c r="CF36" s="93"/>
      <c r="CG36" s="93"/>
    </row>
    <row r="37" spans="7:85" x14ac:dyDescent="0.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93"/>
      <c r="AL37" s="93"/>
      <c r="AM37" s="93"/>
      <c r="AN37" s="93"/>
      <c r="AO37" s="93"/>
      <c r="AP37" s="93"/>
      <c r="AQ37" s="93"/>
      <c r="AR37" s="93"/>
      <c r="AS37" s="93"/>
      <c r="AT37" s="93"/>
      <c r="AU37" s="93"/>
      <c r="AV37" s="93"/>
      <c r="AW37" s="93"/>
      <c r="AX37" s="93"/>
      <c r="AY37" s="93"/>
      <c r="AZ37" s="93"/>
      <c r="BA37" s="93"/>
      <c r="BB37" s="93"/>
      <c r="BC37" s="93"/>
      <c r="BD37" s="93"/>
      <c r="BE37" s="93"/>
      <c r="BF37" s="93"/>
      <c r="BG37" s="93"/>
      <c r="BH37" s="93"/>
      <c r="BI37" s="93"/>
      <c r="BJ37" s="93"/>
      <c r="BK37" s="93"/>
      <c r="BL37" s="93"/>
      <c r="BM37" s="93"/>
      <c r="BN37" s="93"/>
      <c r="BO37" s="93"/>
      <c r="BP37" s="93"/>
      <c r="BQ37" s="93"/>
      <c r="BR37" s="93"/>
      <c r="BS37" s="93"/>
      <c r="BT37" s="93"/>
      <c r="BU37" s="93"/>
      <c r="BV37" s="93"/>
      <c r="BW37" s="93"/>
      <c r="BX37" s="93"/>
      <c r="BY37" s="93"/>
      <c r="BZ37" s="93"/>
      <c r="CA37" s="93"/>
      <c r="CB37" s="93"/>
      <c r="CC37" s="93"/>
      <c r="CD37" s="93"/>
      <c r="CE37" s="93"/>
      <c r="CF37" s="93"/>
      <c r="CG37" s="93"/>
    </row>
    <row r="38" spans="7:85" x14ac:dyDescent="0.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93"/>
      <c r="AG38" s="93"/>
      <c r="AH38" s="93"/>
      <c r="AI38" s="93"/>
      <c r="AJ38" s="93"/>
      <c r="AK38" s="93"/>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c r="BU38" s="93"/>
      <c r="BV38" s="93"/>
      <c r="BW38" s="93"/>
      <c r="BX38" s="93"/>
      <c r="BY38" s="93"/>
      <c r="BZ38" s="93"/>
      <c r="CA38" s="93"/>
      <c r="CB38" s="93"/>
      <c r="CC38" s="93"/>
      <c r="CD38" s="93"/>
      <c r="CE38" s="93"/>
      <c r="CF38" s="93"/>
      <c r="CG38" s="93"/>
    </row>
    <row r="39" spans="7:85" x14ac:dyDescent="0.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93"/>
      <c r="AI39" s="93"/>
      <c r="AJ39" s="93"/>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c r="BP39" s="93"/>
      <c r="BQ39" s="93"/>
      <c r="BR39" s="93"/>
      <c r="BS39" s="93"/>
      <c r="BT39" s="93"/>
      <c r="BU39" s="93"/>
      <c r="BV39" s="93"/>
      <c r="BW39" s="93"/>
      <c r="BX39" s="93"/>
      <c r="BY39" s="93"/>
      <c r="BZ39" s="93"/>
      <c r="CA39" s="93"/>
      <c r="CB39" s="93"/>
      <c r="CC39" s="93"/>
      <c r="CD39" s="93"/>
      <c r="CE39" s="93"/>
      <c r="CF39" s="93"/>
      <c r="CG39" s="93"/>
    </row>
    <row r="40" spans="7:85" x14ac:dyDescent="0.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c r="CE40" s="93"/>
      <c r="CF40" s="93"/>
      <c r="CG40" s="93"/>
    </row>
    <row r="41" spans="7:85" x14ac:dyDescent="0.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93"/>
      <c r="AI41" s="93"/>
      <c r="AJ41" s="93"/>
      <c r="AK41" s="93"/>
      <c r="AL41" s="93"/>
      <c r="AM41" s="93"/>
      <c r="AN41" s="93"/>
      <c r="AO41" s="93"/>
      <c r="AP41" s="93"/>
      <c r="AQ41" s="93"/>
      <c r="AR41" s="93"/>
      <c r="AS41" s="93"/>
      <c r="AT41" s="93"/>
      <c r="AU41" s="93"/>
      <c r="AV41" s="93"/>
      <c r="AW41" s="93"/>
      <c r="AX41" s="93"/>
      <c r="AY41" s="93"/>
      <c r="AZ41" s="93"/>
      <c r="BA41" s="93"/>
      <c r="BB41" s="93"/>
      <c r="BC41" s="93"/>
      <c r="BD41" s="93"/>
      <c r="BE41" s="93"/>
      <c r="BF41" s="93"/>
      <c r="BG41" s="93"/>
      <c r="BH41" s="93"/>
      <c r="BI41" s="93"/>
      <c r="BJ41" s="93"/>
      <c r="BK41" s="93"/>
      <c r="BL41" s="93"/>
      <c r="BM41" s="93"/>
      <c r="BN41" s="93"/>
      <c r="BO41" s="93"/>
      <c r="BP41" s="93"/>
      <c r="BQ41" s="93"/>
      <c r="BR41" s="93"/>
      <c r="BS41" s="93"/>
      <c r="BT41" s="93"/>
      <c r="BU41" s="93"/>
      <c r="BV41" s="93"/>
      <c r="BW41" s="93"/>
      <c r="BX41" s="93"/>
      <c r="BY41" s="93"/>
      <c r="BZ41" s="93"/>
      <c r="CA41" s="93"/>
      <c r="CB41" s="93"/>
      <c r="CC41" s="93"/>
      <c r="CD41" s="93"/>
      <c r="CE41" s="93"/>
      <c r="CF41" s="93"/>
      <c r="CG41" s="93"/>
    </row>
    <row r="42" spans="7:85" x14ac:dyDescent="0.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row>
    <row r="43" spans="7:85" x14ac:dyDescent="0.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93"/>
      <c r="AI43" s="93"/>
      <c r="AJ43" s="93"/>
      <c r="AK43" s="93"/>
      <c r="AL43" s="93"/>
      <c r="AM43" s="93"/>
      <c r="AN43" s="93"/>
      <c r="AO43" s="93"/>
      <c r="AP43" s="93"/>
      <c r="AQ43" s="93"/>
      <c r="AR43" s="93"/>
      <c r="AS43" s="93"/>
      <c r="AT43" s="93"/>
      <c r="AU43" s="93"/>
      <c r="AV43" s="93"/>
      <c r="AW43" s="93"/>
      <c r="AX43" s="93"/>
      <c r="AY43" s="93"/>
      <c r="AZ43" s="93"/>
      <c r="BA43" s="93"/>
      <c r="BB43" s="93"/>
      <c r="BC43" s="93"/>
      <c r="BD43" s="93"/>
      <c r="BE43" s="93"/>
      <c r="BF43" s="93"/>
      <c r="BG43" s="93"/>
      <c r="BH43" s="93"/>
      <c r="BI43" s="93"/>
      <c r="BJ43" s="93"/>
      <c r="BK43" s="93"/>
      <c r="BL43" s="93"/>
      <c r="BM43" s="93"/>
      <c r="BN43" s="93"/>
      <c r="BO43" s="93"/>
      <c r="BP43" s="93"/>
      <c r="BQ43" s="93"/>
      <c r="BR43" s="93"/>
      <c r="BS43" s="93"/>
      <c r="BT43" s="93"/>
      <c r="BU43" s="93"/>
      <c r="BV43" s="93"/>
      <c r="BW43" s="93"/>
      <c r="BX43" s="93"/>
      <c r="BY43" s="93"/>
      <c r="BZ43" s="93"/>
      <c r="CA43" s="93"/>
      <c r="CB43" s="93"/>
      <c r="CC43" s="93"/>
      <c r="CD43" s="93"/>
      <c r="CE43" s="93"/>
      <c r="CF43" s="93"/>
      <c r="CG43" s="93"/>
    </row>
    <row r="44" spans="7:85" x14ac:dyDescent="0.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c r="AI44" s="93"/>
      <c r="AJ44" s="93"/>
      <c r="AK44" s="93"/>
      <c r="AL44" s="93"/>
      <c r="AM44" s="93"/>
      <c r="AN44" s="93"/>
      <c r="AO44" s="93"/>
      <c r="AP44" s="93"/>
      <c r="AQ44" s="93"/>
      <c r="AR44" s="93"/>
      <c r="AS44" s="93"/>
      <c r="AT44" s="93"/>
      <c r="AU44" s="93"/>
      <c r="AV44" s="93"/>
      <c r="AW44" s="93"/>
      <c r="AX44" s="93"/>
      <c r="AY44" s="93"/>
      <c r="AZ44" s="93"/>
      <c r="BA44" s="93"/>
      <c r="BB44" s="93"/>
      <c r="BC44" s="93"/>
      <c r="BD44" s="93"/>
      <c r="BE44" s="93"/>
      <c r="BF44" s="93"/>
      <c r="BG44" s="93"/>
      <c r="BH44" s="93"/>
      <c r="BI44" s="93"/>
      <c r="BJ44" s="93"/>
      <c r="BK44" s="93"/>
      <c r="BL44" s="93"/>
      <c r="BM44" s="93"/>
      <c r="BN44" s="93"/>
      <c r="BO44" s="93"/>
      <c r="BP44" s="93"/>
      <c r="BQ44" s="93"/>
      <c r="BR44" s="93"/>
      <c r="BS44" s="93"/>
      <c r="BT44" s="93"/>
      <c r="BU44" s="93"/>
      <c r="BV44" s="93"/>
      <c r="BW44" s="93"/>
      <c r="BX44" s="93"/>
      <c r="BY44" s="93"/>
      <c r="BZ44" s="93"/>
      <c r="CA44" s="93"/>
      <c r="CB44" s="93"/>
      <c r="CC44" s="93"/>
      <c r="CD44" s="93"/>
      <c r="CE44" s="93"/>
      <c r="CF44" s="93"/>
      <c r="CG44" s="93"/>
    </row>
    <row r="45" spans="7:85" x14ac:dyDescent="0.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c r="AI45" s="93"/>
      <c r="AJ45" s="93"/>
      <c r="AK45" s="93"/>
      <c r="AL45" s="93"/>
      <c r="AM45" s="93"/>
      <c r="AN45" s="93"/>
      <c r="AO45" s="93"/>
      <c r="AP45" s="93"/>
      <c r="AQ45" s="93"/>
      <c r="AR45" s="93"/>
      <c r="AS45" s="93"/>
      <c r="AT45" s="93"/>
      <c r="AU45" s="93"/>
      <c r="AV45" s="93"/>
      <c r="AW45" s="93"/>
      <c r="AX45" s="93"/>
      <c r="AY45" s="93"/>
      <c r="AZ45" s="93"/>
      <c r="BA45" s="93"/>
      <c r="BB45" s="93"/>
      <c r="BC45" s="93"/>
      <c r="BD45" s="93"/>
      <c r="BE45" s="93"/>
      <c r="BF45" s="93"/>
      <c r="BG45" s="93"/>
      <c r="BH45" s="93"/>
      <c r="BI45" s="93"/>
      <c r="BJ45" s="93"/>
      <c r="BK45" s="93"/>
      <c r="BL45" s="93"/>
      <c r="BM45" s="93"/>
      <c r="BN45" s="93"/>
      <c r="BO45" s="93"/>
      <c r="BP45" s="93"/>
      <c r="BQ45" s="93"/>
      <c r="BR45" s="93"/>
      <c r="BS45" s="93"/>
      <c r="BT45" s="93"/>
      <c r="BU45" s="93"/>
      <c r="BV45" s="93"/>
      <c r="BW45" s="93"/>
      <c r="BX45" s="93"/>
      <c r="BY45" s="93"/>
      <c r="BZ45" s="93"/>
      <c r="CA45" s="93"/>
      <c r="CB45" s="93"/>
      <c r="CC45" s="93"/>
      <c r="CD45" s="93"/>
      <c r="CE45" s="93"/>
      <c r="CF45" s="93"/>
      <c r="CG45" s="93"/>
    </row>
    <row r="46" spans="7:85" x14ac:dyDescent="0.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93"/>
      <c r="AG46" s="93"/>
      <c r="AH46" s="93"/>
      <c r="AI46" s="93"/>
      <c r="AJ46" s="93"/>
      <c r="AK46" s="93"/>
      <c r="AL46" s="93"/>
      <c r="AM46" s="93"/>
      <c r="AN46" s="93"/>
      <c r="AO46" s="93"/>
      <c r="AP46" s="93"/>
      <c r="AQ46" s="93"/>
      <c r="AR46" s="93"/>
      <c r="AS46" s="93"/>
      <c r="AT46" s="93"/>
      <c r="AU46" s="93"/>
      <c r="AV46" s="93"/>
      <c r="AW46" s="93"/>
      <c r="AX46" s="93"/>
      <c r="AY46" s="93"/>
      <c r="AZ46" s="93"/>
      <c r="BA46" s="93"/>
      <c r="BB46" s="93"/>
      <c r="BC46" s="93"/>
      <c r="BD46" s="93"/>
      <c r="BE46" s="93"/>
      <c r="BF46" s="93"/>
      <c r="BG46" s="93"/>
      <c r="BH46" s="93"/>
      <c r="BI46" s="93"/>
      <c r="BJ46" s="93"/>
      <c r="BK46" s="93"/>
      <c r="BL46" s="93"/>
      <c r="BM46" s="93"/>
      <c r="BN46" s="93"/>
      <c r="BO46" s="93"/>
      <c r="BP46" s="93"/>
      <c r="BQ46" s="93"/>
      <c r="BR46" s="93"/>
      <c r="BS46" s="93"/>
      <c r="BT46" s="93"/>
      <c r="BU46" s="93"/>
      <c r="BV46" s="93"/>
      <c r="BW46" s="93"/>
      <c r="BX46" s="93"/>
      <c r="BY46" s="93"/>
      <c r="BZ46" s="93"/>
      <c r="CA46" s="93"/>
      <c r="CB46" s="93"/>
      <c r="CC46" s="93"/>
      <c r="CD46" s="93"/>
      <c r="CE46" s="93"/>
      <c r="CF46" s="93"/>
      <c r="CG46" s="93"/>
    </row>
    <row r="47" spans="7:85" x14ac:dyDescent="0.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93"/>
      <c r="AG47" s="93"/>
      <c r="AH47" s="93"/>
      <c r="AI47" s="93"/>
      <c r="AJ47" s="93"/>
      <c r="AK47" s="93"/>
      <c r="AL47" s="93"/>
      <c r="AM47" s="93"/>
      <c r="AN47" s="93"/>
      <c r="AO47" s="93"/>
      <c r="AP47" s="93"/>
      <c r="AQ47" s="93"/>
      <c r="AR47" s="93"/>
      <c r="AS47" s="93"/>
      <c r="AT47" s="93"/>
      <c r="AU47" s="93"/>
      <c r="AV47" s="93"/>
      <c r="AW47" s="93"/>
      <c r="AX47" s="93"/>
      <c r="AY47" s="93"/>
      <c r="AZ47" s="93"/>
      <c r="BA47" s="93"/>
      <c r="BB47" s="93"/>
      <c r="BC47" s="93"/>
      <c r="BD47" s="93"/>
      <c r="BE47" s="93"/>
      <c r="BF47" s="93"/>
      <c r="BG47" s="93"/>
      <c r="BH47" s="93"/>
      <c r="BI47" s="93"/>
      <c r="BJ47" s="93"/>
      <c r="BK47" s="93"/>
      <c r="BL47" s="93"/>
      <c r="BM47" s="93"/>
      <c r="BN47" s="93"/>
      <c r="BO47" s="93"/>
      <c r="BP47" s="93"/>
      <c r="BQ47" s="93"/>
      <c r="BR47" s="93"/>
      <c r="BS47" s="93"/>
      <c r="BT47" s="93"/>
      <c r="BU47" s="93"/>
      <c r="BV47" s="93"/>
      <c r="BW47" s="93"/>
      <c r="BX47" s="93"/>
      <c r="BY47" s="93"/>
      <c r="BZ47" s="93"/>
      <c r="CA47" s="93"/>
      <c r="CB47" s="93"/>
      <c r="CC47" s="93"/>
      <c r="CD47" s="93"/>
      <c r="CE47" s="93"/>
      <c r="CF47" s="93"/>
      <c r="CG47" s="93"/>
    </row>
    <row r="48" spans="7:85" x14ac:dyDescent="0.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93"/>
      <c r="AG48" s="93"/>
      <c r="AH48" s="93"/>
      <c r="AI48" s="93"/>
      <c r="AJ48" s="93"/>
      <c r="AK48" s="93"/>
      <c r="AL48" s="93"/>
      <c r="AM48" s="93"/>
      <c r="AN48" s="93"/>
      <c r="AO48" s="93"/>
      <c r="AP48" s="93"/>
      <c r="AQ48" s="93"/>
      <c r="AR48" s="93"/>
      <c r="AS48" s="93"/>
      <c r="AT48" s="93"/>
      <c r="AU48" s="93"/>
      <c r="AV48" s="93"/>
      <c r="AW48" s="93"/>
      <c r="AX48" s="93"/>
      <c r="AY48" s="93"/>
      <c r="AZ48" s="93"/>
      <c r="BA48" s="93"/>
      <c r="BB48" s="93"/>
      <c r="BC48" s="93"/>
      <c r="BD48" s="93"/>
      <c r="BE48" s="93"/>
      <c r="BF48" s="93"/>
      <c r="BG48" s="93"/>
      <c r="BH48" s="93"/>
      <c r="BI48" s="93"/>
      <c r="BJ48" s="93"/>
      <c r="BK48" s="93"/>
      <c r="BL48" s="93"/>
      <c r="BM48" s="93"/>
      <c r="BN48" s="93"/>
      <c r="BO48" s="93"/>
      <c r="BP48" s="93"/>
      <c r="BQ48" s="93"/>
      <c r="BR48" s="93"/>
      <c r="BS48" s="93"/>
      <c r="BT48" s="93"/>
      <c r="BU48" s="93"/>
      <c r="BV48" s="93"/>
      <c r="BW48" s="93"/>
      <c r="BX48" s="93"/>
      <c r="BY48" s="93"/>
      <c r="BZ48" s="93"/>
      <c r="CA48" s="93"/>
      <c r="CB48" s="93"/>
      <c r="CC48" s="93"/>
      <c r="CD48" s="93"/>
      <c r="CE48" s="93"/>
      <c r="CF48" s="93"/>
      <c r="CG48" s="93"/>
    </row>
  </sheetData>
  <phoneticPr fontId="1" type="noConversion"/>
  <hyperlinks>
    <hyperlink ref="A1" location="HOME!A1" display="HOME" xr:uid="{00000000-0004-0000-0900-00000000000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1_Sheet">
    <tabColor theme="9" tint="0.39997558519241921"/>
  </sheetPr>
  <dimension ref="A1:GL42"/>
  <sheetViews>
    <sheetView showGridLines="0" zoomScale="70" zoomScaleNormal="70" workbookViewId="0">
      <selection sqref="A1:XFD1"/>
    </sheetView>
  </sheetViews>
  <sheetFormatPr defaultRowHeight="16.5" x14ac:dyDescent="0.3"/>
  <cols>
    <col min="1" max="1" width="20.25" bestFit="1" customWidth="1"/>
    <col min="2" max="3" width="6.5" bestFit="1" customWidth="1"/>
    <col min="4" max="4" width="7.25" bestFit="1" customWidth="1"/>
    <col min="5" max="5" width="9.5" style="68" bestFit="1" customWidth="1"/>
    <col min="6" max="6" width="11.125" style="68" bestFit="1" customWidth="1"/>
    <col min="7" max="7" width="16.625" bestFit="1" customWidth="1"/>
    <col min="8" max="8" width="5.75" bestFit="1" customWidth="1"/>
    <col min="9" max="9" width="4.75" bestFit="1" customWidth="1"/>
    <col min="10" max="10" width="7.25" bestFit="1" customWidth="1"/>
    <col min="11" max="11" width="5.75" bestFit="1" customWidth="1"/>
    <col min="12" max="12" width="4.75" bestFit="1" customWidth="1"/>
    <col min="13" max="21" width="13.375" bestFit="1" customWidth="1"/>
    <col min="22" max="23" width="14.5" bestFit="1" customWidth="1"/>
    <col min="24" max="24" width="10.25" bestFit="1" customWidth="1"/>
    <col min="25" max="31" width="11.75" bestFit="1" customWidth="1"/>
    <col min="32" max="33" width="8.5" bestFit="1" customWidth="1"/>
    <col min="34" max="35" width="9.5" bestFit="1" customWidth="1"/>
    <col min="36" max="44" width="6.75" bestFit="1" customWidth="1"/>
    <col min="45" max="46" width="7.75" bestFit="1" customWidth="1"/>
    <col min="47" max="47" width="6.25" bestFit="1" customWidth="1"/>
    <col min="48" max="48" width="6.5" bestFit="1" customWidth="1"/>
    <col min="49" max="49" width="4.75" bestFit="1" customWidth="1"/>
    <col min="50" max="50" width="15" bestFit="1" customWidth="1"/>
    <col min="51" max="57" width="13.875" bestFit="1" customWidth="1"/>
    <col min="58" max="59" width="3.375" bestFit="1" customWidth="1"/>
    <col min="60" max="61" width="4.375" bestFit="1" customWidth="1"/>
    <col min="62" max="62" width="13.5" bestFit="1" customWidth="1"/>
    <col min="63" max="93" width="12.25" bestFit="1" customWidth="1"/>
    <col min="94" max="145" width="14.375" bestFit="1" customWidth="1"/>
    <col min="146" max="181" width="12.75" bestFit="1" customWidth="1"/>
    <col min="182" max="190" width="7.75" bestFit="1" customWidth="1"/>
    <col min="191" max="193" width="8.75" bestFit="1" customWidth="1"/>
  </cols>
  <sheetData>
    <row r="1" spans="1:194" ht="21.75" customHeight="1" thickBot="1" x14ac:dyDescent="0.35">
      <c r="A1" s="113" t="s">
        <v>325</v>
      </c>
    </row>
    <row r="2" spans="1:194" ht="30" customHeight="1" x14ac:dyDescent="0.3">
      <c r="A2" s="114" t="s">
        <v>332</v>
      </c>
      <c r="M2" s="51">
        <v>257.91494758037629</v>
      </c>
      <c r="N2" s="51">
        <v>254.13537991389603</v>
      </c>
      <c r="O2" s="51">
        <v>261.05171563582161</v>
      </c>
      <c r="P2" s="51">
        <v>268.14933036691355</v>
      </c>
      <c r="Q2" s="51">
        <v>275.43252194202483</v>
      </c>
      <c r="R2" s="51">
        <v>282.90566940212614</v>
      </c>
      <c r="S2" s="51">
        <v>290.68125883989126</v>
      </c>
      <c r="T2" s="51">
        <v>0</v>
      </c>
      <c r="U2" s="51">
        <v>0</v>
      </c>
      <c r="V2" s="51">
        <v>0</v>
      </c>
      <c r="W2" s="51">
        <v>0</v>
      </c>
      <c r="Y2" s="52">
        <v>11494442.205606012</v>
      </c>
      <c r="Z2" s="52">
        <v>11666858.838690098</v>
      </c>
      <c r="AA2" s="52">
        <v>11841861.721270449</v>
      </c>
      <c r="AB2" s="52">
        <v>12019489.647089506</v>
      </c>
      <c r="AC2" s="52">
        <v>12199781.991795845</v>
      </c>
      <c r="AD2" s="52">
        <v>12382778.721672781</v>
      </c>
      <c r="AE2" s="52">
        <v>12568520.402497873</v>
      </c>
      <c r="AF2" s="52">
        <v>0</v>
      </c>
      <c r="AG2" s="52">
        <v>0</v>
      </c>
      <c r="AH2" s="52">
        <v>0</v>
      </c>
      <c r="AI2" s="52">
        <v>0</v>
      </c>
      <c r="AX2" s="53">
        <v>67884844017.95517</v>
      </c>
      <c r="AY2" s="53">
        <v>8838781724.3946381</v>
      </c>
      <c r="AZ2" s="53">
        <v>8843640236.2305756</v>
      </c>
      <c r="BA2" s="53">
        <v>9220566914.3633442</v>
      </c>
      <c r="BB2" s="53">
        <v>9613313429.3883438</v>
      </c>
      <c r="BC2" s="53">
        <v>10022523727.551319</v>
      </c>
      <c r="BD2" s="53">
        <v>10448866688.981571</v>
      </c>
      <c r="BE2" s="53">
        <v>10897151297.045372</v>
      </c>
      <c r="BF2" s="53">
        <v>0</v>
      </c>
      <c r="BG2" s="53">
        <v>0</v>
      </c>
      <c r="BH2" s="53">
        <v>0</v>
      </c>
      <c r="BI2" s="53">
        <v>0</v>
      </c>
      <c r="BJ2" s="54">
        <v>736565143.69955313</v>
      </c>
      <c r="BK2" s="54">
        <v>736565143.69955313</v>
      </c>
      <c r="BL2" s="54">
        <v>736565143.69955313</v>
      </c>
      <c r="BM2" s="54">
        <v>736565143.69955313</v>
      </c>
      <c r="BN2" s="54">
        <v>736565143.69955313</v>
      </c>
      <c r="BO2" s="54">
        <v>736565143.69955313</v>
      </c>
      <c r="BP2" s="54">
        <v>736565143.69955313</v>
      </c>
      <c r="BQ2" s="54">
        <v>736565143.69955313</v>
      </c>
      <c r="BR2" s="54">
        <v>736565143.69955313</v>
      </c>
      <c r="BS2" s="54">
        <v>736565143.69955313</v>
      </c>
      <c r="BT2" s="54">
        <v>736565143.69955313</v>
      </c>
      <c r="BU2" s="54">
        <v>736565143.69955313</v>
      </c>
      <c r="BV2" s="53">
        <v>736970019.68588126</v>
      </c>
      <c r="BW2" s="53">
        <v>736970019.68588126</v>
      </c>
      <c r="BX2" s="53">
        <v>736970019.68588126</v>
      </c>
      <c r="BY2" s="53">
        <v>736970019.68588126</v>
      </c>
      <c r="BZ2" s="53">
        <v>736970019.68588126</v>
      </c>
      <c r="CA2" s="53">
        <v>736970019.68588126</v>
      </c>
      <c r="CB2" s="53">
        <v>736970019.68588126</v>
      </c>
      <c r="CC2" s="53">
        <v>736970019.68588126</v>
      </c>
      <c r="CD2" s="53">
        <v>736970019.68588126</v>
      </c>
      <c r="CE2" s="53">
        <v>736970019.68588126</v>
      </c>
      <c r="CF2" s="53">
        <v>736970019.68588126</v>
      </c>
      <c r="CG2" s="53">
        <v>736970019.68588126</v>
      </c>
      <c r="CH2" s="54">
        <v>768380576.19694543</v>
      </c>
      <c r="CI2" s="54">
        <v>768380576.19694543</v>
      </c>
      <c r="CJ2" s="54">
        <v>768380576.19694543</v>
      </c>
      <c r="CK2" s="54">
        <v>768380576.19694543</v>
      </c>
      <c r="CL2" s="54">
        <v>768380576.19694543</v>
      </c>
      <c r="CM2" s="54">
        <v>768380576.19694543</v>
      </c>
      <c r="CN2" s="54">
        <v>768380576.19694543</v>
      </c>
      <c r="CO2" s="54">
        <v>768380576.19694543</v>
      </c>
      <c r="CP2" s="54">
        <v>19398053013.418392</v>
      </c>
      <c r="CQ2" s="54">
        <v>19398053013.418392</v>
      </c>
      <c r="CR2" s="54">
        <v>19398053013.418392</v>
      </c>
      <c r="CS2" s="54">
        <v>19398053013.418392</v>
      </c>
      <c r="CT2" s="53">
        <v>19403479290.57275</v>
      </c>
      <c r="CU2" s="53">
        <v>19403479290.57275</v>
      </c>
      <c r="CV2" s="53">
        <v>19403479290.57275</v>
      </c>
      <c r="CW2" s="53">
        <v>19403479290.57275</v>
      </c>
      <c r="CX2" s="53">
        <v>19403479290.57275</v>
      </c>
      <c r="CY2" s="53">
        <v>19403479290.57275</v>
      </c>
      <c r="CZ2" s="53">
        <v>19403479290.57275</v>
      </c>
      <c r="DA2" s="53">
        <v>19403479290.57275</v>
      </c>
      <c r="DB2" s="53">
        <v>19403479290.57275</v>
      </c>
      <c r="DC2" s="53">
        <v>19403479290.57275</v>
      </c>
      <c r="DD2" s="53">
        <v>19403479290.57275</v>
      </c>
      <c r="DE2" s="53">
        <v>19403479290.57275</v>
      </c>
      <c r="DF2" s="54">
        <v>19390134200.744137</v>
      </c>
      <c r="DG2" s="54">
        <v>19390134200.744137</v>
      </c>
      <c r="DH2" s="54">
        <v>19390134200.744137</v>
      </c>
      <c r="DI2" s="54">
        <v>19390134200.744137</v>
      </c>
      <c r="DJ2" s="54">
        <v>19390134200.744137</v>
      </c>
      <c r="DK2" s="54">
        <v>19390134200.744137</v>
      </c>
      <c r="DL2" s="54">
        <v>19390134200.744137</v>
      </c>
      <c r="DM2" s="54">
        <v>19390134200.744137</v>
      </c>
      <c r="DN2" s="54">
        <v>19390134200.744137</v>
      </c>
      <c r="DO2" s="54">
        <v>19390134200.744137</v>
      </c>
      <c r="DP2" s="54">
        <v>19390134200.744137</v>
      </c>
      <c r="DQ2" s="54">
        <v>19390134200.744137</v>
      </c>
      <c r="DR2" s="53">
        <v>19397906694.940269</v>
      </c>
      <c r="DS2" s="53">
        <v>19397906694.940269</v>
      </c>
      <c r="DT2" s="53">
        <v>19397906694.940269</v>
      </c>
      <c r="DU2" s="53">
        <v>19397906694.940269</v>
      </c>
      <c r="DV2" s="53">
        <v>19397906694.940269</v>
      </c>
      <c r="DW2" s="53">
        <v>19397906694.940269</v>
      </c>
      <c r="DX2" s="53">
        <v>19397906694.940269</v>
      </c>
      <c r="DY2" s="53">
        <v>19397906694.940269</v>
      </c>
      <c r="DZ2" s="53">
        <v>19397906694.940269</v>
      </c>
      <c r="EA2" s="53">
        <v>19397906694.940269</v>
      </c>
      <c r="EB2" s="53">
        <v>19397906694.940269</v>
      </c>
      <c r="EC2" s="53">
        <v>19397906694.940269</v>
      </c>
      <c r="ED2" s="54">
        <v>19697944469.004372</v>
      </c>
      <c r="EE2" s="54">
        <v>19697944469.004372</v>
      </c>
      <c r="EF2" s="54">
        <v>19697944469.004372</v>
      </c>
      <c r="EG2" s="54">
        <v>19697944469.004372</v>
      </c>
      <c r="EH2" s="54">
        <v>19697944469.004372</v>
      </c>
      <c r="EI2" s="54">
        <v>19697944469.004372</v>
      </c>
      <c r="EJ2" s="54">
        <v>19697944469.004372</v>
      </c>
      <c r="EK2" s="54">
        <v>19697944469.004372</v>
      </c>
      <c r="EL2" s="54">
        <v>19697944469.004372</v>
      </c>
      <c r="EM2" s="54">
        <v>19697944469.004372</v>
      </c>
      <c r="EN2" s="54">
        <v>19697944469.004372</v>
      </c>
      <c r="EO2" s="54">
        <v>19697944469.004372</v>
      </c>
      <c r="EP2" s="53">
        <v>8176691249.0664053</v>
      </c>
      <c r="EQ2" s="53">
        <v>8176691249.0664053</v>
      </c>
      <c r="ER2" s="53">
        <v>8176691249.0664053</v>
      </c>
      <c r="ES2" s="53">
        <v>8176691249.0664053</v>
      </c>
      <c r="ET2" s="53">
        <v>8176691249.0664053</v>
      </c>
      <c r="EU2" s="53">
        <v>8176691249.0664053</v>
      </c>
      <c r="EV2" s="53">
        <v>8176691249.0664053</v>
      </c>
      <c r="EW2" s="53">
        <v>8176691249.0664053</v>
      </c>
      <c r="EX2" s="53">
        <v>8176691249.0664053</v>
      </c>
      <c r="EY2" s="53">
        <v>8176691249.0664053</v>
      </c>
      <c r="EZ2" s="53">
        <v>8176691249.0664053</v>
      </c>
      <c r="FA2" s="53">
        <v>8176691249.0664053</v>
      </c>
      <c r="FB2" s="54">
        <v>8383649518.8656616</v>
      </c>
      <c r="FC2" s="54">
        <v>8383649518.8656616</v>
      </c>
      <c r="FD2" s="54">
        <v>8383649518.8656616</v>
      </c>
      <c r="FE2" s="54">
        <v>8383649518.8656616</v>
      </c>
      <c r="FF2" s="54">
        <v>8383649518.8656616</v>
      </c>
      <c r="FG2" s="54">
        <v>8383649518.8656616</v>
      </c>
      <c r="FH2" s="54">
        <v>8383649518.8656616</v>
      </c>
      <c r="FI2" s="54">
        <v>8383649518.8656616</v>
      </c>
      <c r="FJ2" s="54">
        <v>8383649518.8656616</v>
      </c>
      <c r="FK2" s="54">
        <v>8383649518.8656616</v>
      </c>
      <c r="FL2" s="54">
        <v>8383649518.8656616</v>
      </c>
      <c r="FM2" s="54">
        <v>8383649518.8656616</v>
      </c>
      <c r="FN2" s="53">
        <v>8595846059.7617912</v>
      </c>
      <c r="FO2" s="53">
        <v>8595846059.7617912</v>
      </c>
      <c r="FP2" s="53">
        <v>8595846059.7617912</v>
      </c>
      <c r="FQ2" s="53">
        <v>8595846059.7617912</v>
      </c>
      <c r="FR2" s="53">
        <v>8595846059.7617912</v>
      </c>
      <c r="FS2" s="53">
        <v>8595846059.7617912</v>
      </c>
      <c r="FT2" s="53">
        <v>8595846059.7617912</v>
      </c>
      <c r="FU2" s="53">
        <v>8595846059.7617912</v>
      </c>
      <c r="FV2" s="53">
        <v>8595846059.7617912</v>
      </c>
      <c r="FW2" s="53">
        <v>8595846059.7617912</v>
      </c>
      <c r="FX2" s="53">
        <v>8595846059.7617912</v>
      </c>
      <c r="FY2" s="53">
        <v>8595846059.7617912</v>
      </c>
      <c r="FZ2" s="54">
        <v>0</v>
      </c>
      <c r="GA2" s="54">
        <v>0</v>
      </c>
      <c r="GB2" s="54">
        <v>0</v>
      </c>
      <c r="GC2" s="54">
        <v>0</v>
      </c>
      <c r="GD2" s="54">
        <v>0</v>
      </c>
      <c r="GE2" s="54">
        <v>0</v>
      </c>
      <c r="GF2" s="54">
        <v>0</v>
      </c>
      <c r="GG2" s="54">
        <v>0</v>
      </c>
      <c r="GH2" s="54">
        <v>0</v>
      </c>
      <c r="GI2" s="54">
        <v>0</v>
      </c>
      <c r="GJ2" s="54">
        <v>0</v>
      </c>
      <c r="GK2" s="55">
        <v>0</v>
      </c>
    </row>
    <row r="3" spans="1:194" ht="17.25" thickBot="1" x14ac:dyDescent="0.35"/>
    <row r="4" spans="1:194" s="1" customFormat="1" ht="27" x14ac:dyDescent="0.3">
      <c r="A4" s="149" t="s">
        <v>0</v>
      </c>
      <c r="B4" s="150" t="s">
        <v>1</v>
      </c>
      <c r="C4" s="150" t="s">
        <v>2</v>
      </c>
      <c r="D4" s="150" t="s">
        <v>3</v>
      </c>
      <c r="E4" s="150" t="s">
        <v>4</v>
      </c>
      <c r="F4" s="151" t="s">
        <v>148</v>
      </c>
      <c r="G4" s="151" t="s">
        <v>149</v>
      </c>
      <c r="H4" s="151" t="s">
        <v>150</v>
      </c>
      <c r="I4" s="152" t="s">
        <v>151</v>
      </c>
      <c r="J4" s="151" t="s">
        <v>5</v>
      </c>
      <c r="K4" s="152" t="s">
        <v>154</v>
      </c>
      <c r="L4" s="151" t="s">
        <v>6</v>
      </c>
      <c r="M4" s="171" t="s">
        <v>395</v>
      </c>
      <c r="N4" s="171" t="s">
        <v>396</v>
      </c>
      <c r="O4" s="171" t="s">
        <v>397</v>
      </c>
      <c r="P4" s="171" t="s">
        <v>398</v>
      </c>
      <c r="Q4" s="171" t="s">
        <v>399</v>
      </c>
      <c r="R4" s="171" t="s">
        <v>400</v>
      </c>
      <c r="S4" s="171" t="s">
        <v>401</v>
      </c>
      <c r="T4" s="171" t="s">
        <v>402</v>
      </c>
      <c r="U4" s="171" t="s">
        <v>403</v>
      </c>
      <c r="V4" s="171" t="s">
        <v>404</v>
      </c>
      <c r="W4" s="171" t="s">
        <v>405</v>
      </c>
      <c r="X4" s="151" t="s">
        <v>184</v>
      </c>
      <c r="Y4" s="150" t="s">
        <v>195</v>
      </c>
      <c r="Z4" s="150" t="s">
        <v>196</v>
      </c>
      <c r="AA4" s="150" t="s">
        <v>197</v>
      </c>
      <c r="AB4" s="150" t="s">
        <v>198</v>
      </c>
      <c r="AC4" s="150" t="s">
        <v>199</v>
      </c>
      <c r="AD4" s="150" t="s">
        <v>200</v>
      </c>
      <c r="AE4" s="150" t="s">
        <v>201</v>
      </c>
      <c r="AF4" s="150" t="s">
        <v>202</v>
      </c>
      <c r="AG4" s="150" t="s">
        <v>203</v>
      </c>
      <c r="AH4" s="150" t="s">
        <v>204</v>
      </c>
      <c r="AI4" s="150" t="s">
        <v>205</v>
      </c>
      <c r="AJ4" s="153" t="s">
        <v>158</v>
      </c>
      <c r="AK4" s="153" t="s">
        <v>159</v>
      </c>
      <c r="AL4" s="153" t="s">
        <v>160</v>
      </c>
      <c r="AM4" s="153" t="s">
        <v>161</v>
      </c>
      <c r="AN4" s="153" t="s">
        <v>162</v>
      </c>
      <c r="AO4" s="153" t="s">
        <v>163</v>
      </c>
      <c r="AP4" s="153" t="s">
        <v>164</v>
      </c>
      <c r="AQ4" s="153" t="s">
        <v>165</v>
      </c>
      <c r="AR4" s="153" t="s">
        <v>166</v>
      </c>
      <c r="AS4" s="153" t="s">
        <v>167</v>
      </c>
      <c r="AT4" s="153" t="s">
        <v>168</v>
      </c>
      <c r="AU4" s="151" t="s">
        <v>155</v>
      </c>
      <c r="AV4" s="151" t="s">
        <v>156</v>
      </c>
      <c r="AW4" s="151" t="s">
        <v>16</v>
      </c>
      <c r="AX4" s="151" t="s">
        <v>15</v>
      </c>
      <c r="AY4" s="151" t="s">
        <v>41</v>
      </c>
      <c r="AZ4" s="151" t="s">
        <v>139</v>
      </c>
      <c r="BA4" s="151" t="s">
        <v>140</v>
      </c>
      <c r="BB4" s="151" t="s">
        <v>141</v>
      </c>
      <c r="BC4" s="151" t="s">
        <v>142</v>
      </c>
      <c r="BD4" s="151" t="s">
        <v>143</v>
      </c>
      <c r="BE4" s="151" t="s">
        <v>144</v>
      </c>
      <c r="BF4" s="151" t="s">
        <v>145</v>
      </c>
      <c r="BG4" s="151" t="s">
        <v>146</v>
      </c>
      <c r="BH4" s="151" t="s">
        <v>147</v>
      </c>
      <c r="BI4" s="151" t="s">
        <v>182</v>
      </c>
      <c r="BJ4" s="153" t="s">
        <v>17</v>
      </c>
      <c r="BK4" s="153" t="s">
        <v>18</v>
      </c>
      <c r="BL4" s="153" t="s">
        <v>19</v>
      </c>
      <c r="BM4" s="153" t="s">
        <v>20</v>
      </c>
      <c r="BN4" s="153" t="s">
        <v>21</v>
      </c>
      <c r="BO4" s="153" t="s">
        <v>22</v>
      </c>
      <c r="BP4" s="153" t="s">
        <v>23</v>
      </c>
      <c r="BQ4" s="153" t="s">
        <v>24</v>
      </c>
      <c r="BR4" s="153" t="s">
        <v>25</v>
      </c>
      <c r="BS4" s="153" t="s">
        <v>26</v>
      </c>
      <c r="BT4" s="153" t="s">
        <v>27</v>
      </c>
      <c r="BU4" s="153" t="s">
        <v>28</v>
      </c>
      <c r="BV4" s="151" t="s">
        <v>29</v>
      </c>
      <c r="BW4" s="151" t="s">
        <v>30</v>
      </c>
      <c r="BX4" s="151" t="s">
        <v>31</v>
      </c>
      <c r="BY4" s="151" t="s">
        <v>32</v>
      </c>
      <c r="BZ4" s="151" t="s">
        <v>33</v>
      </c>
      <c r="CA4" s="151" t="s">
        <v>34</v>
      </c>
      <c r="CB4" s="151" t="s">
        <v>35</v>
      </c>
      <c r="CC4" s="151" t="s">
        <v>36</v>
      </c>
      <c r="CD4" s="151" t="s">
        <v>37</v>
      </c>
      <c r="CE4" s="151" t="s">
        <v>38</v>
      </c>
      <c r="CF4" s="151" t="s">
        <v>39</v>
      </c>
      <c r="CG4" s="151" t="s">
        <v>40</v>
      </c>
      <c r="CH4" s="153" t="s">
        <v>43</v>
      </c>
      <c r="CI4" s="153" t="s">
        <v>44</v>
      </c>
      <c r="CJ4" s="153" t="s">
        <v>45</v>
      </c>
      <c r="CK4" s="153" t="s">
        <v>46</v>
      </c>
      <c r="CL4" s="153" t="s">
        <v>47</v>
      </c>
      <c r="CM4" s="153" t="s">
        <v>48</v>
      </c>
      <c r="CN4" s="153" t="s">
        <v>49</v>
      </c>
      <c r="CO4" s="153" t="s">
        <v>50</v>
      </c>
      <c r="CP4" s="153" t="s">
        <v>51</v>
      </c>
      <c r="CQ4" s="153" t="s">
        <v>52</v>
      </c>
      <c r="CR4" s="153" t="s">
        <v>53</v>
      </c>
      <c r="CS4" s="153" t="s">
        <v>54</v>
      </c>
      <c r="CT4" s="151" t="s">
        <v>55</v>
      </c>
      <c r="CU4" s="151" t="s">
        <v>56</v>
      </c>
      <c r="CV4" s="151" t="s">
        <v>57</v>
      </c>
      <c r="CW4" s="151" t="s">
        <v>58</v>
      </c>
      <c r="CX4" s="151" t="s">
        <v>59</v>
      </c>
      <c r="CY4" s="151" t="s">
        <v>60</v>
      </c>
      <c r="CZ4" s="151" t="s">
        <v>61</v>
      </c>
      <c r="DA4" s="151" t="s">
        <v>62</v>
      </c>
      <c r="DB4" s="151" t="s">
        <v>63</v>
      </c>
      <c r="DC4" s="151" t="s">
        <v>64</v>
      </c>
      <c r="DD4" s="151" t="s">
        <v>65</v>
      </c>
      <c r="DE4" s="151" t="s">
        <v>66</v>
      </c>
      <c r="DF4" s="153" t="s">
        <v>67</v>
      </c>
      <c r="DG4" s="153" t="s">
        <v>68</v>
      </c>
      <c r="DH4" s="153" t="s">
        <v>69</v>
      </c>
      <c r="DI4" s="153" t="s">
        <v>70</v>
      </c>
      <c r="DJ4" s="153" t="s">
        <v>71</v>
      </c>
      <c r="DK4" s="153" t="s">
        <v>72</v>
      </c>
      <c r="DL4" s="153" t="s">
        <v>73</v>
      </c>
      <c r="DM4" s="153" t="s">
        <v>74</v>
      </c>
      <c r="DN4" s="153" t="s">
        <v>75</v>
      </c>
      <c r="DO4" s="153" t="s">
        <v>76</v>
      </c>
      <c r="DP4" s="153" t="s">
        <v>77</v>
      </c>
      <c r="DQ4" s="153" t="s">
        <v>78</v>
      </c>
      <c r="DR4" s="151" t="s">
        <v>79</v>
      </c>
      <c r="DS4" s="151" t="s">
        <v>80</v>
      </c>
      <c r="DT4" s="151" t="s">
        <v>81</v>
      </c>
      <c r="DU4" s="151" t="s">
        <v>82</v>
      </c>
      <c r="DV4" s="151" t="s">
        <v>83</v>
      </c>
      <c r="DW4" s="151" t="s">
        <v>84</v>
      </c>
      <c r="DX4" s="151" t="s">
        <v>85</v>
      </c>
      <c r="DY4" s="151" t="s">
        <v>86</v>
      </c>
      <c r="DZ4" s="151" t="s">
        <v>87</v>
      </c>
      <c r="EA4" s="151" t="s">
        <v>88</v>
      </c>
      <c r="EB4" s="151" t="s">
        <v>89</v>
      </c>
      <c r="EC4" s="151" t="s">
        <v>90</v>
      </c>
      <c r="ED4" s="153" t="s">
        <v>91</v>
      </c>
      <c r="EE4" s="153" t="s">
        <v>92</v>
      </c>
      <c r="EF4" s="153" t="s">
        <v>93</v>
      </c>
      <c r="EG4" s="153" t="s">
        <v>94</v>
      </c>
      <c r="EH4" s="153" t="s">
        <v>95</v>
      </c>
      <c r="EI4" s="153" t="s">
        <v>96</v>
      </c>
      <c r="EJ4" s="153" t="s">
        <v>97</v>
      </c>
      <c r="EK4" s="153" t="s">
        <v>98</v>
      </c>
      <c r="EL4" s="153" t="s">
        <v>99</v>
      </c>
      <c r="EM4" s="153" t="s">
        <v>100</v>
      </c>
      <c r="EN4" s="153" t="s">
        <v>101</v>
      </c>
      <c r="EO4" s="153" t="s">
        <v>102</v>
      </c>
      <c r="EP4" s="151" t="s">
        <v>103</v>
      </c>
      <c r="EQ4" s="151" t="s">
        <v>104</v>
      </c>
      <c r="ER4" s="151" t="s">
        <v>105</v>
      </c>
      <c r="ES4" s="151" t="s">
        <v>106</v>
      </c>
      <c r="ET4" s="151" t="s">
        <v>107</v>
      </c>
      <c r="EU4" s="151" t="s">
        <v>108</v>
      </c>
      <c r="EV4" s="151" t="s">
        <v>109</v>
      </c>
      <c r="EW4" s="151" t="s">
        <v>110</v>
      </c>
      <c r="EX4" s="151" t="s">
        <v>111</v>
      </c>
      <c r="EY4" s="151" t="s">
        <v>112</v>
      </c>
      <c r="EZ4" s="151" t="s">
        <v>113</v>
      </c>
      <c r="FA4" s="151" t="s">
        <v>114</v>
      </c>
      <c r="FB4" s="153" t="s">
        <v>115</v>
      </c>
      <c r="FC4" s="153" t="s">
        <v>116</v>
      </c>
      <c r="FD4" s="153" t="s">
        <v>117</v>
      </c>
      <c r="FE4" s="153" t="s">
        <v>118</v>
      </c>
      <c r="FF4" s="153" t="s">
        <v>119</v>
      </c>
      <c r="FG4" s="153" t="s">
        <v>120</v>
      </c>
      <c r="FH4" s="153" t="s">
        <v>121</v>
      </c>
      <c r="FI4" s="153" t="s">
        <v>122</v>
      </c>
      <c r="FJ4" s="153" t="s">
        <v>123</v>
      </c>
      <c r="FK4" s="153" t="s">
        <v>124</v>
      </c>
      <c r="FL4" s="153" t="s">
        <v>125</v>
      </c>
      <c r="FM4" s="153" t="s">
        <v>126</v>
      </c>
      <c r="FN4" s="151" t="s">
        <v>127</v>
      </c>
      <c r="FO4" s="151" t="s">
        <v>128</v>
      </c>
      <c r="FP4" s="151" t="s">
        <v>129</v>
      </c>
      <c r="FQ4" s="151" t="s">
        <v>130</v>
      </c>
      <c r="FR4" s="151" t="s">
        <v>131</v>
      </c>
      <c r="FS4" s="151" t="s">
        <v>132</v>
      </c>
      <c r="FT4" s="151" t="s">
        <v>133</v>
      </c>
      <c r="FU4" s="151" t="s">
        <v>134</v>
      </c>
      <c r="FV4" s="151" t="s">
        <v>135</v>
      </c>
      <c r="FW4" s="151" t="s">
        <v>136</v>
      </c>
      <c r="FX4" s="151" t="s">
        <v>137</v>
      </c>
      <c r="FY4" s="151" t="s">
        <v>138</v>
      </c>
      <c r="FZ4" s="153" t="s">
        <v>170</v>
      </c>
      <c r="GA4" s="153" t="s">
        <v>171</v>
      </c>
      <c r="GB4" s="153" t="s">
        <v>172</v>
      </c>
      <c r="GC4" s="153" t="s">
        <v>173</v>
      </c>
      <c r="GD4" s="153" t="s">
        <v>174</v>
      </c>
      <c r="GE4" s="153" t="s">
        <v>175</v>
      </c>
      <c r="GF4" s="153" t="s">
        <v>176</v>
      </c>
      <c r="GG4" s="153" t="s">
        <v>177</v>
      </c>
      <c r="GH4" s="153" t="s">
        <v>178</v>
      </c>
      <c r="GI4" s="153" t="s">
        <v>179</v>
      </c>
      <c r="GJ4" s="153" t="s">
        <v>180</v>
      </c>
      <c r="GK4" s="31" t="s">
        <v>181</v>
      </c>
    </row>
    <row r="5" spans="1:194" x14ac:dyDescent="0.3">
      <c r="A5" s="154" t="s">
        <v>334</v>
      </c>
      <c r="B5" s="142" t="s">
        <v>387</v>
      </c>
      <c r="C5" s="142" t="s">
        <v>276</v>
      </c>
      <c r="D5" s="142" t="s">
        <v>193</v>
      </c>
      <c r="E5" s="177" t="s">
        <v>169</v>
      </c>
      <c r="F5" s="177" t="s">
        <v>1015</v>
      </c>
      <c r="G5" s="142" t="s">
        <v>338</v>
      </c>
      <c r="H5" s="142">
        <v>0</v>
      </c>
      <c r="I5" s="142">
        <v>0</v>
      </c>
      <c r="J5" s="142" t="s">
        <v>385</v>
      </c>
      <c r="K5" s="142">
        <v>0</v>
      </c>
      <c r="L5" s="142" t="s">
        <v>194</v>
      </c>
      <c r="M5" s="143">
        <f>IFERROR(INDEX('(참조)BL_인건비'!$S$3:$AG$40,MATCH(BL_인건비!$A5,'(참조)BL_인건비'!$S$3:$S$40,0),MATCH('(참조)BL_인건비'!X$2,'(참조)BL_인건비'!$S$2:$AG$2,0)),0)</f>
        <v>138.08060986554548</v>
      </c>
      <c r="N5" s="143">
        <f>IFERROR(INDEX('(참조)BL_인건비'!$S$3:$AG$40,MATCH(BL_인건비!$A5,'(참조)BL_인건비'!$S$3:$S$40,0),MATCH('(참조)BL_인건비'!Y$2,'(참조)BL_인건비'!$S$2:$AG$2,0)),0)</f>
        <v>141.68141887281507</v>
      </c>
      <c r="O5" s="143">
        <f>IFERROR(INDEX('(참조)BL_인건비'!$S$3:$AG$40,MATCH(BL_인건비!$A5,'(참조)BL_인건비'!$S$3:$S$40,0),MATCH('(참조)BL_인건비'!Z$2,'(참조)BL_인건비'!$S$2:$AG$2,0)),0)</f>
        <v>145.36513576350822</v>
      </c>
      <c r="P5" s="143">
        <f>IFERROR(INDEX('(참조)BL_인건비'!$S$3:$AG$40,MATCH(BL_인건비!$A5,'(참조)BL_인건비'!$S$3:$S$40,0),MATCH('(참조)BL_인건비'!AA$2,'(참조)BL_인건비'!$S$2:$AG$2,0)),0)</f>
        <v>149.13315309843074</v>
      </c>
      <c r="Q5" s="143">
        <f>IFERROR(INDEX('(참조)BL_인건비'!$S$3:$AG$40,MATCH(BL_인건비!$A5,'(참조)BL_인건비'!$S$3:$S$40,0),MATCH('(참조)BL_인건비'!AB$2,'(참조)BL_인건비'!$S$2:$AG$2,0)),0)</f>
        <v>152.98685935548755</v>
      </c>
      <c r="R5" s="143">
        <f>IFERROR(INDEX('(참조)BL_인건비'!$S$3:$AG$40,MATCH(BL_인건비!$A5,'(참조)BL_인건비'!$S$3:$S$40,0),MATCH('(참조)BL_인건비'!AC$2,'(참조)BL_인건비'!$S$2:$AG$2,0)),0)</f>
        <v>156.92763693799273</v>
      </c>
      <c r="S5" s="143">
        <f>IFERROR(INDEX('(참조)BL_인건비'!$S$3:$AG$40,MATCH(BL_인건비!$A5,'(참조)BL_인건비'!$S$3:$S$40,0),MATCH('(참조)BL_인건비'!AD$2,'(참조)BL_인건비'!$S$2:$AG$2,0)),0)</f>
        <v>160.96992472876158</v>
      </c>
      <c r="T5" s="143">
        <f>IFERROR(INDEX('(참조)BL_인건비'!$S$3:$AG$40,MATCH(BL_인건비!$A5,'(참조)BL_인건비'!$S$3:$S$40,0),MATCH('(참조)BL_인건비'!AE$2,'(참조)BL_인건비'!$S$2:$AG$2,0)),0)</f>
        <v>0</v>
      </c>
      <c r="U5" s="143">
        <f>IFERROR(INDEX('(참조)BL_인건비'!$S$3:$AG$40,MATCH(BL_인건비!$A5,'(참조)BL_인건비'!$S$3:$S$40,0),MATCH('(참조)BL_인건비'!AF$2,'(참조)BL_인건비'!$S$2:$AG$2,0)),0)</f>
        <v>0</v>
      </c>
      <c r="V5" s="143">
        <f>IFERROR(INDEX('(참조)BL_인건비'!$S$3:$AG$40,MATCH(BL_인건비!$A5,'(참조)BL_인건비'!$S$3:$S$40,0),MATCH('(참조)BL_인건비'!AG$2,'(참조)BL_인건비'!$S$2:$AG$2,0)),0)</f>
        <v>0</v>
      </c>
      <c r="W5" s="143">
        <f>IFERROR(INDEX('(참조)BL_인건비'!$S$3:$AG$40,MATCH(BL_인건비!$A5,'(참조)BL_인건비'!$S$3:$S$40,0),MATCH('(참조)BL_인건비'!AH$2,'(참조)BL_인건비'!$S$2:$AG$2,0)),0)</f>
        <v>0</v>
      </c>
      <c r="X5" s="144">
        <v>0</v>
      </c>
      <c r="Y5" s="144">
        <f>IFERROR(INDEX('(참조)BL_인건비'!$A$3:$O$40,MATCH(BL_인건비!$A5,'(참조)BL_인건비'!$A$3:$A$40,0),MATCH('(참조)BL_인건비'!F$2,'(참조)BL_인건비'!$A$2:$O$2,0)),0)</f>
        <v>2846545.4545454546</v>
      </c>
      <c r="Z5" s="144">
        <f>IFERROR(INDEX('(참조)BL_인건비'!$A$3:$O$40,MATCH(BL_인건비!$A5,'(참조)BL_인건비'!$A$3:$A$40,0),MATCH('(참조)BL_인건비'!G$2,'(참조)BL_인건비'!$A$2:$O$2,0)),0)</f>
        <v>2889243.6363636362</v>
      </c>
      <c r="AA5" s="144">
        <f>IFERROR(INDEX('(참조)BL_인건비'!$A$3:$O$40,MATCH(BL_인건비!$A5,'(참조)BL_인건비'!$A$3:$A$40,0),MATCH('(참조)BL_인건비'!H$2,'(참조)BL_인건비'!$A$2:$O$2,0)),0)</f>
        <v>2932582.2909090905</v>
      </c>
      <c r="AB5" s="144">
        <f>IFERROR(INDEX('(참조)BL_인건비'!$A$3:$O$40,MATCH(BL_인건비!$A5,'(참조)BL_인건비'!$A$3:$A$40,0),MATCH('(참조)BL_인건비'!I$2,'(참조)BL_인건비'!$A$2:$O$2,0)),0)</f>
        <v>2976571.0252727265</v>
      </c>
      <c r="AC5" s="144">
        <f>IFERROR(INDEX('(참조)BL_인건비'!$A$3:$O$40,MATCH(BL_인건비!$A5,'(참조)BL_인건비'!$A$3:$A$40,0),MATCH('(참조)BL_인건비'!J$2,'(참조)BL_인건비'!$A$2:$O$2,0)),0)</f>
        <v>3021219.5906518162</v>
      </c>
      <c r="AD5" s="144">
        <f>IFERROR(INDEX('(참조)BL_인건비'!$A$3:$O$40,MATCH(BL_인건비!$A5,'(참조)BL_인건비'!$A$3:$A$40,0),MATCH('(참조)BL_인건비'!K$2,'(참조)BL_인건비'!$A$2:$O$2,0)),0)</f>
        <v>3066537.8845115937</v>
      </c>
      <c r="AE5" s="144">
        <f>IFERROR(INDEX('(참조)BL_인건비'!$A$3:$O$40,MATCH(BL_인건비!$A5,'(참조)BL_인건비'!$A$3:$A$40,0),MATCH('(참조)BL_인건비'!L$2,'(참조)BL_인건비'!$A$2:$O$2,0)),0)</f>
        <v>3112535.952779267</v>
      </c>
      <c r="AF5" s="144">
        <f>IFERROR(INDEX('(참조)BL_인건비'!$A$3:$O$40,MATCH(BL_인건비!$A5,'(참조)BL_인건비'!$A$3:$A$40,0),MATCH('(참조)BL_인건비'!M$2,'(참조)BL_인건비'!$A$2:$O$2,0)),0)</f>
        <v>0</v>
      </c>
      <c r="AG5" s="144">
        <f>IFERROR(INDEX('(참조)BL_인건비'!$A$3:$O$40,MATCH(BL_인건비!$A5,'(참조)BL_인건비'!$A$3:$A$40,0),MATCH('(참조)BL_인건비'!N$2,'(참조)BL_인건비'!$A$2:$O$2,0)),0)</f>
        <v>0</v>
      </c>
      <c r="AH5" s="144">
        <f>IFERROR(INDEX('(참조)BL_인건비'!$A$3:$O$40,MATCH(BL_인건비!$A5,'(참조)BL_인건비'!$A$3:$A$40,0),MATCH('(참조)BL_인건비'!O$2,'(참조)BL_인건비'!$A$2:$O$2,0)),0)</f>
        <v>0</v>
      </c>
      <c r="AI5" s="144">
        <f>IFERROR(INDEX('(참조)BL_인건비'!$A$3:$O$40,MATCH(BL_인건비!$A5,'(참조)BL_인건비'!$A$3:$A$40,0),MATCH('(참조)BL_인건비'!P$2,'(참조)BL_인건비'!$A$2:$O$2,0)),0)</f>
        <v>0</v>
      </c>
      <c r="AJ5" s="144">
        <v>12</v>
      </c>
      <c r="AK5" s="144">
        <v>12</v>
      </c>
      <c r="AL5" s="144">
        <v>12</v>
      </c>
      <c r="AM5" s="144">
        <v>12</v>
      </c>
      <c r="AN5" s="144">
        <v>12</v>
      </c>
      <c r="AO5" s="144">
        <v>12</v>
      </c>
      <c r="AP5" s="144">
        <v>12</v>
      </c>
      <c r="AQ5" s="144">
        <v>12</v>
      </c>
      <c r="AR5" s="144">
        <v>12</v>
      </c>
      <c r="AS5" s="144">
        <v>12</v>
      </c>
      <c r="AT5" s="144">
        <v>12</v>
      </c>
      <c r="AU5" s="145">
        <v>1</v>
      </c>
      <c r="AV5" s="146">
        <v>1.02531076</v>
      </c>
      <c r="AW5" s="142">
        <v>0</v>
      </c>
      <c r="AX5" s="147">
        <v>37404739607.371994</v>
      </c>
      <c r="AY5" s="147">
        <v>4716632788.483593</v>
      </c>
      <c r="AZ5" s="147">
        <v>4912225654.4310207</v>
      </c>
      <c r="BA5" s="147">
        <v>5115542674.2679186</v>
      </c>
      <c r="BB5" s="147">
        <v>5326865069.0442047</v>
      </c>
      <c r="BC5" s="147">
        <v>5546482759.1651173</v>
      </c>
      <c r="BD5" s="147">
        <v>5774694525.5668268</v>
      </c>
      <c r="BE5" s="147">
        <v>6012296136.4133139</v>
      </c>
      <c r="BF5" s="147">
        <v>0</v>
      </c>
      <c r="BG5" s="147">
        <v>0</v>
      </c>
      <c r="BH5" s="147">
        <v>0</v>
      </c>
      <c r="BI5" s="147">
        <v>0</v>
      </c>
      <c r="BJ5" s="148">
        <v>393052732.37363273</v>
      </c>
      <c r="BK5" s="147">
        <v>393052732.37363273</v>
      </c>
      <c r="BL5" s="147">
        <v>393052732.37363273</v>
      </c>
      <c r="BM5" s="147">
        <v>393052732.37363273</v>
      </c>
      <c r="BN5" s="147">
        <v>393052732.37363273</v>
      </c>
      <c r="BO5" s="147">
        <v>393052732.37363273</v>
      </c>
      <c r="BP5" s="147">
        <v>393052732.37363273</v>
      </c>
      <c r="BQ5" s="147">
        <v>393052732.37363273</v>
      </c>
      <c r="BR5" s="147">
        <v>393052732.37363273</v>
      </c>
      <c r="BS5" s="147">
        <v>393052732.37363273</v>
      </c>
      <c r="BT5" s="147">
        <v>393052732.37363273</v>
      </c>
      <c r="BU5" s="147">
        <v>393052732.37363273</v>
      </c>
      <c r="BV5" s="147">
        <v>409352137.86925173</v>
      </c>
      <c r="BW5" s="147">
        <v>409352137.86925173</v>
      </c>
      <c r="BX5" s="147">
        <v>409352137.86925173</v>
      </c>
      <c r="BY5" s="147">
        <v>409352137.86925173</v>
      </c>
      <c r="BZ5" s="147">
        <v>409352137.86925173</v>
      </c>
      <c r="CA5" s="147">
        <v>409352137.86925173</v>
      </c>
      <c r="CB5" s="147">
        <v>409352137.86925173</v>
      </c>
      <c r="CC5" s="147">
        <v>409352137.86925173</v>
      </c>
      <c r="CD5" s="147">
        <v>409352137.86925173</v>
      </c>
      <c r="CE5" s="147">
        <v>409352137.86925173</v>
      </c>
      <c r="CF5" s="147">
        <v>409352137.86925173</v>
      </c>
      <c r="CG5" s="147">
        <v>409352137.86925173</v>
      </c>
      <c r="CH5" s="147">
        <v>426295222.8556599</v>
      </c>
      <c r="CI5" s="147">
        <v>426295222.8556599</v>
      </c>
      <c r="CJ5" s="147">
        <v>426295222.8556599</v>
      </c>
      <c r="CK5" s="147">
        <v>426295222.8556599</v>
      </c>
      <c r="CL5" s="147">
        <v>426295222.8556599</v>
      </c>
      <c r="CM5" s="147">
        <v>426295222.8556599</v>
      </c>
      <c r="CN5" s="147">
        <v>426295222.8556599</v>
      </c>
      <c r="CO5" s="147">
        <v>426295222.8556599</v>
      </c>
      <c r="CP5" s="147">
        <v>426295222.8556599</v>
      </c>
      <c r="CQ5" s="147">
        <v>426295222.8556599</v>
      </c>
      <c r="CR5" s="147">
        <v>426295222.8556599</v>
      </c>
      <c r="CS5" s="147">
        <v>426295222.8556599</v>
      </c>
      <c r="CT5" s="147">
        <v>443905422.42035049</v>
      </c>
      <c r="CU5" s="147">
        <v>443905422.42035049</v>
      </c>
      <c r="CV5" s="147">
        <v>443905422.42035049</v>
      </c>
      <c r="CW5" s="147">
        <v>443905422.42035049</v>
      </c>
      <c r="CX5" s="147">
        <v>443905422.42035049</v>
      </c>
      <c r="CY5" s="147">
        <v>443905422.42035049</v>
      </c>
      <c r="CZ5" s="147">
        <v>443905422.42035049</v>
      </c>
      <c r="DA5" s="147">
        <v>443905422.42035049</v>
      </c>
      <c r="DB5" s="147">
        <v>443905422.42035049</v>
      </c>
      <c r="DC5" s="147">
        <v>443905422.42035049</v>
      </c>
      <c r="DD5" s="147">
        <v>443905422.42035049</v>
      </c>
      <c r="DE5" s="147">
        <v>443905422.42035049</v>
      </c>
      <c r="DF5" s="147">
        <v>462206896.59709311</v>
      </c>
      <c r="DG5" s="147">
        <v>462206896.59709311</v>
      </c>
      <c r="DH5" s="147">
        <v>462206896.59709311</v>
      </c>
      <c r="DI5" s="147">
        <v>462206896.59709311</v>
      </c>
      <c r="DJ5" s="147">
        <v>462206896.59709311</v>
      </c>
      <c r="DK5" s="147">
        <v>462206896.59709311</v>
      </c>
      <c r="DL5" s="147">
        <v>462206896.59709311</v>
      </c>
      <c r="DM5" s="147">
        <v>462206896.59709311</v>
      </c>
      <c r="DN5" s="147">
        <v>462206896.59709311</v>
      </c>
      <c r="DO5" s="147">
        <v>462206896.59709311</v>
      </c>
      <c r="DP5" s="147">
        <v>462206896.59709311</v>
      </c>
      <c r="DQ5" s="147">
        <v>462206896.59709311</v>
      </c>
      <c r="DR5" s="147">
        <v>481224543.79723567</v>
      </c>
      <c r="DS5" s="147">
        <v>481224543.79723567</v>
      </c>
      <c r="DT5" s="147">
        <v>481224543.79723567</v>
      </c>
      <c r="DU5" s="147">
        <v>481224543.79723567</v>
      </c>
      <c r="DV5" s="147">
        <v>481224543.79723567</v>
      </c>
      <c r="DW5" s="147">
        <v>481224543.79723567</v>
      </c>
      <c r="DX5" s="147">
        <v>481224543.79723567</v>
      </c>
      <c r="DY5" s="147">
        <v>481224543.79723567</v>
      </c>
      <c r="DZ5" s="147">
        <v>481224543.79723567</v>
      </c>
      <c r="EA5" s="147">
        <v>481224543.79723567</v>
      </c>
      <c r="EB5" s="147">
        <v>481224543.79723567</v>
      </c>
      <c r="EC5" s="147">
        <v>481224543.79723567</v>
      </c>
      <c r="ED5" s="147">
        <v>501024678.03444284</v>
      </c>
      <c r="EE5" s="147">
        <v>501024678.03444284</v>
      </c>
      <c r="EF5" s="147">
        <v>501024678.03444284</v>
      </c>
      <c r="EG5" s="147">
        <v>501024678.03444284</v>
      </c>
      <c r="EH5" s="147">
        <v>501024678.03444284</v>
      </c>
      <c r="EI5" s="147">
        <v>501024678.03444284</v>
      </c>
      <c r="EJ5" s="147">
        <v>501024678.03444284</v>
      </c>
      <c r="EK5" s="147">
        <v>501024678.03444284</v>
      </c>
      <c r="EL5" s="147">
        <v>501024678.03444284</v>
      </c>
      <c r="EM5" s="147">
        <v>501024678.03444284</v>
      </c>
      <c r="EN5" s="147">
        <v>501024678.03444284</v>
      </c>
      <c r="EO5" s="147">
        <v>501024678.03444284</v>
      </c>
      <c r="EP5" s="147">
        <v>0</v>
      </c>
      <c r="EQ5" s="147">
        <v>0</v>
      </c>
      <c r="ER5" s="147">
        <v>0</v>
      </c>
      <c r="ES5" s="147">
        <v>0</v>
      </c>
      <c r="ET5" s="147">
        <v>0</v>
      </c>
      <c r="EU5" s="147">
        <v>0</v>
      </c>
      <c r="EV5" s="147">
        <v>0</v>
      </c>
      <c r="EW5" s="147">
        <v>0</v>
      </c>
      <c r="EX5" s="147">
        <v>0</v>
      </c>
      <c r="EY5" s="147">
        <v>0</v>
      </c>
      <c r="EZ5" s="147">
        <v>0</v>
      </c>
      <c r="FA5" s="147">
        <v>0</v>
      </c>
      <c r="FB5" s="147">
        <v>0</v>
      </c>
      <c r="FC5" s="147">
        <v>0</v>
      </c>
      <c r="FD5" s="147">
        <v>0</v>
      </c>
      <c r="FE5" s="147">
        <v>0</v>
      </c>
      <c r="FF5" s="147">
        <v>0</v>
      </c>
      <c r="FG5" s="147">
        <v>0</v>
      </c>
      <c r="FH5" s="147">
        <v>0</v>
      </c>
      <c r="FI5" s="147">
        <v>0</v>
      </c>
      <c r="FJ5" s="147">
        <v>0</v>
      </c>
      <c r="FK5" s="147">
        <v>0</v>
      </c>
      <c r="FL5" s="147">
        <v>0</v>
      </c>
      <c r="FM5" s="147">
        <v>0</v>
      </c>
      <c r="FN5" s="147">
        <v>0</v>
      </c>
      <c r="FO5" s="147">
        <v>0</v>
      </c>
      <c r="FP5" s="147">
        <v>0</v>
      </c>
      <c r="FQ5" s="147">
        <v>0</v>
      </c>
      <c r="FR5" s="147">
        <v>0</v>
      </c>
      <c r="FS5" s="147">
        <v>0</v>
      </c>
      <c r="FT5" s="147">
        <v>0</v>
      </c>
      <c r="FU5" s="147">
        <v>0</v>
      </c>
      <c r="FV5" s="147">
        <v>0</v>
      </c>
      <c r="FW5" s="147">
        <v>0</v>
      </c>
      <c r="FX5" s="147">
        <v>0</v>
      </c>
      <c r="FY5" s="147">
        <v>0</v>
      </c>
      <c r="FZ5" s="147">
        <v>0</v>
      </c>
      <c r="GA5" s="147">
        <v>0</v>
      </c>
      <c r="GB5" s="147">
        <v>0</v>
      </c>
      <c r="GC5" s="147">
        <v>0</v>
      </c>
      <c r="GD5" s="147">
        <v>0</v>
      </c>
      <c r="GE5" s="147">
        <v>0</v>
      </c>
      <c r="GF5" s="147">
        <v>0</v>
      </c>
      <c r="GG5" s="147">
        <v>0</v>
      </c>
      <c r="GH5" s="147">
        <v>0</v>
      </c>
      <c r="GI5" s="147">
        <v>0</v>
      </c>
      <c r="GJ5" s="147">
        <v>0</v>
      </c>
      <c r="GK5" s="46">
        <v>0</v>
      </c>
      <c r="GL5" s="27"/>
    </row>
    <row r="6" spans="1:194" x14ac:dyDescent="0.3">
      <c r="A6" s="155" t="s">
        <v>360</v>
      </c>
      <c r="B6" s="135" t="s">
        <v>387</v>
      </c>
      <c r="C6" s="135" t="s">
        <v>276</v>
      </c>
      <c r="D6" s="135" t="s">
        <v>193</v>
      </c>
      <c r="E6" s="178" t="s">
        <v>169</v>
      </c>
      <c r="F6" s="178" t="s">
        <v>1017</v>
      </c>
      <c r="G6" s="135" t="s">
        <v>339</v>
      </c>
      <c r="H6" s="135">
        <v>0</v>
      </c>
      <c r="I6" s="135">
        <v>0</v>
      </c>
      <c r="J6" s="135" t="s">
        <v>385</v>
      </c>
      <c r="K6" s="135">
        <v>0</v>
      </c>
      <c r="L6" s="135" t="s">
        <v>194</v>
      </c>
      <c r="M6" s="136">
        <f>IFERROR(INDEX('(참조)BL_인건비'!$S$3:$AG$40,MATCH(BL_인건비!$A6,'(참조)BL_인건비'!$S$3:$S$40,0),MATCH('(참조)BL_인건비'!X$2,'(참조)BL_인건비'!$S$2:$AG$2,0)),0)</f>
        <v>32.688535784307184</v>
      </c>
      <c r="N6" s="136">
        <f>IFERROR(INDEX('(참조)BL_인건비'!$S$3:$AG$40,MATCH(BL_인건비!$A6,'(참조)BL_인건비'!$S$3:$S$40,0),MATCH('(참조)BL_인건비'!Y$2,'(참조)BL_인건비'!$S$2:$AG$2,0)),0)</f>
        <v>33.669191857836402</v>
      </c>
      <c r="O6" s="136">
        <f>IFERROR(INDEX('(참조)BL_인건비'!$S$3:$AG$40,MATCH(BL_인건비!$A6,'(참조)BL_인건비'!$S$3:$S$40,0),MATCH('(참조)BL_인건비'!Z$2,'(참조)BL_인건비'!$S$2:$AG$2,0)),0)</f>
        <v>34.679267613571497</v>
      </c>
      <c r="P6" s="136">
        <f>IFERROR(INDEX('(참조)BL_인건비'!$S$3:$AG$40,MATCH(BL_인건비!$A6,'(참조)BL_인건비'!$S$3:$S$40,0),MATCH('(참조)BL_인건비'!AA$2,'(참조)BL_인건비'!$S$2:$AG$2,0)),0)</f>
        <v>35.719645641978644</v>
      </c>
      <c r="Q6" s="136">
        <f>IFERROR(INDEX('(참조)BL_인건비'!$S$3:$AG$40,MATCH(BL_인건비!$A6,'(참조)BL_인건비'!$S$3:$S$40,0),MATCH('(참조)BL_인건비'!AB$2,'(참조)BL_인건비'!$S$2:$AG$2,0)),0)</f>
        <v>36.791235011238001</v>
      </c>
      <c r="R6" s="136">
        <f>IFERROR(INDEX('(참조)BL_인건비'!$S$3:$AG$40,MATCH(BL_인건비!$A6,'(참조)BL_인건비'!$S$3:$S$40,0),MATCH('(참조)BL_인건비'!AC$2,'(참조)BL_인건비'!$S$2:$AG$2,0)),0)</f>
        <v>37.894972061575146</v>
      </c>
      <c r="S6" s="136">
        <f>IFERROR(INDEX('(참조)BL_인건비'!$S$3:$AG$40,MATCH(BL_인건비!$A6,'(참조)BL_인건비'!$S$3:$S$40,0),MATCH('(참조)BL_인건비'!AD$2,'(참조)BL_인건비'!$S$2:$AG$2,0)),0)</f>
        <v>39.031821223422405</v>
      </c>
      <c r="T6" s="136">
        <f>IFERROR(INDEX('(참조)BL_인건비'!$S$3:$AG$40,MATCH(BL_인건비!$A6,'(참조)BL_인건비'!$S$3:$S$40,0),MATCH('(참조)BL_인건비'!AE$2,'(참조)BL_인건비'!$S$2:$AG$2,0)),0)</f>
        <v>0</v>
      </c>
      <c r="U6" s="136">
        <f>IFERROR(INDEX('(참조)BL_인건비'!$S$3:$AG$40,MATCH(BL_인건비!$A6,'(참조)BL_인건비'!$S$3:$S$40,0),MATCH('(참조)BL_인건비'!AF$2,'(참조)BL_인건비'!$S$2:$AG$2,0)),0)</f>
        <v>0</v>
      </c>
      <c r="V6" s="136">
        <f>IFERROR(INDEX('(참조)BL_인건비'!$S$3:$AG$40,MATCH(BL_인건비!$A6,'(참조)BL_인건비'!$S$3:$S$40,0),MATCH('(참조)BL_인건비'!AG$2,'(참조)BL_인건비'!$S$2:$AG$2,0)),0)</f>
        <v>0</v>
      </c>
      <c r="W6" s="136">
        <f>IFERROR(INDEX('(참조)BL_인건비'!$S$3:$AG$40,MATCH(BL_인건비!$A6,'(참조)BL_인건비'!$S$3:$S$40,0),MATCH('(참조)BL_인건비'!AH$2,'(참조)BL_인건비'!$S$2:$AG$2,0)),0)</f>
        <v>0</v>
      </c>
      <c r="X6" s="137">
        <v>0</v>
      </c>
      <c r="Y6" s="137">
        <f>IFERROR(INDEX('(참조)BL_인건비'!$A$3:$O$40,MATCH(BL_인건비!$A6,'(참조)BL_인건비'!$A$3:$A$40,0),MATCH('(참조)BL_인건비'!F$2,'(참조)BL_인건비'!$A$2:$O$2,0)),0)</f>
        <v>2910341.3435984999</v>
      </c>
      <c r="Z6" s="137">
        <f>IFERROR(INDEX('(참조)BL_인건비'!$A$3:$O$40,MATCH(BL_인건비!$A6,'(참조)BL_인건비'!$A$3:$A$40,0),MATCH('(참조)BL_인건비'!G$2,'(참조)BL_인건비'!$A$2:$O$2,0)),0)</f>
        <v>2953996.463752477</v>
      </c>
      <c r="AA6" s="137">
        <f>IFERROR(INDEX('(참조)BL_인건비'!$A$3:$O$40,MATCH(BL_인건비!$A6,'(참조)BL_인건비'!$A$3:$A$40,0),MATCH('(참조)BL_인건비'!H$2,'(참조)BL_인건비'!$A$2:$O$2,0)),0)</f>
        <v>2998306.4107087641</v>
      </c>
      <c r="AB6" s="137">
        <f>IFERROR(INDEX('(참조)BL_인건비'!$A$3:$O$40,MATCH(BL_인건비!$A6,'(참조)BL_인건비'!$A$3:$A$40,0),MATCH('(참조)BL_인건비'!I$2,'(참조)BL_인건비'!$A$2:$O$2,0)),0)</f>
        <v>3043281.0068693948</v>
      </c>
      <c r="AC6" s="137">
        <f>IFERROR(INDEX('(참조)BL_인건비'!$A$3:$O$40,MATCH(BL_인건비!$A6,'(참조)BL_인건비'!$A$3:$A$40,0),MATCH('(참조)BL_인건비'!J$2,'(참조)BL_인건비'!$A$2:$O$2,0)),0)</f>
        <v>3088930.2219724357</v>
      </c>
      <c r="AD6" s="137">
        <f>IFERROR(INDEX('(참조)BL_인건비'!$A$3:$O$40,MATCH(BL_인건비!$A6,'(참조)BL_인건비'!$A$3:$A$40,0),MATCH('(참조)BL_인건비'!K$2,'(참조)BL_인건비'!$A$2:$O$2,0)),0)</f>
        <v>3135264.1753020217</v>
      </c>
      <c r="AE6" s="137">
        <f>IFERROR(INDEX('(참조)BL_인건비'!$A$3:$O$40,MATCH(BL_인건비!$A6,'(참조)BL_인건비'!$A$3:$A$40,0),MATCH('(참조)BL_인건비'!L$2,'(참조)BL_인건비'!$A$2:$O$2,0)),0)</f>
        <v>3182293.1379315518</v>
      </c>
      <c r="AF6" s="137">
        <f>IFERROR(INDEX('(참조)BL_인건비'!$A$3:$O$40,MATCH(BL_인건비!$A6,'(참조)BL_인건비'!$A$3:$A$40,0),MATCH('(참조)BL_인건비'!M$2,'(참조)BL_인건비'!$A$2:$O$2,0)),0)</f>
        <v>0</v>
      </c>
      <c r="AG6" s="137">
        <f>IFERROR(INDEX('(참조)BL_인건비'!$A$3:$O$40,MATCH(BL_인건비!$A6,'(참조)BL_인건비'!$A$3:$A$40,0),MATCH('(참조)BL_인건비'!N$2,'(참조)BL_인건비'!$A$2:$O$2,0)),0)</f>
        <v>0</v>
      </c>
      <c r="AH6" s="137">
        <f>IFERROR(INDEX('(참조)BL_인건비'!$A$3:$O$40,MATCH(BL_인건비!$A6,'(참조)BL_인건비'!$A$3:$A$40,0),MATCH('(참조)BL_인건비'!O$2,'(참조)BL_인건비'!$A$2:$O$2,0)),0)</f>
        <v>0</v>
      </c>
      <c r="AI6" s="137">
        <f>IFERROR(INDEX('(참조)BL_인건비'!$A$3:$O$40,MATCH(BL_인건비!$A6,'(참조)BL_인건비'!$A$3:$A$40,0),MATCH('(참조)BL_인건비'!P$2,'(참조)BL_인건비'!$A$2:$O$2,0)),0)</f>
        <v>0</v>
      </c>
      <c r="AJ6" s="137">
        <v>12</v>
      </c>
      <c r="AK6" s="137">
        <v>12</v>
      </c>
      <c r="AL6" s="137">
        <v>12</v>
      </c>
      <c r="AM6" s="137">
        <v>12</v>
      </c>
      <c r="AN6" s="137">
        <v>12</v>
      </c>
      <c r="AO6" s="137">
        <v>12</v>
      </c>
      <c r="AP6" s="137">
        <v>12</v>
      </c>
      <c r="AQ6" s="137">
        <v>12</v>
      </c>
      <c r="AR6" s="137">
        <v>12</v>
      </c>
      <c r="AS6" s="137">
        <v>12</v>
      </c>
      <c r="AT6" s="137">
        <v>12</v>
      </c>
      <c r="AU6" s="138">
        <v>1</v>
      </c>
      <c r="AV6" s="135">
        <v>0</v>
      </c>
      <c r="AW6" s="135">
        <v>0</v>
      </c>
      <c r="AX6" s="139">
        <v>9167333559.5749779</v>
      </c>
      <c r="AY6" s="139">
        <v>1141617565.8572185</v>
      </c>
      <c r="AZ6" s="139">
        <v>1193504084.2254293</v>
      </c>
      <c r="BA6" s="139">
        <v>1247748844.8534749</v>
      </c>
      <c r="BB6" s="139">
        <v>1304459029.8520651</v>
      </c>
      <c r="BC6" s="139">
        <v>1363746692.7588413</v>
      </c>
      <c r="BD6" s="139">
        <v>1425728979.9447308</v>
      </c>
      <c r="BE6" s="139">
        <v>1490528362.0832186</v>
      </c>
      <c r="BF6" s="139">
        <v>0</v>
      </c>
      <c r="BG6" s="139">
        <v>0</v>
      </c>
      <c r="BH6" s="139">
        <v>0</v>
      </c>
      <c r="BI6" s="139">
        <v>0</v>
      </c>
      <c r="BJ6" s="140">
        <v>95134797.154768214</v>
      </c>
      <c r="BK6" s="139">
        <v>95134797.154768214</v>
      </c>
      <c r="BL6" s="139">
        <v>95134797.154768214</v>
      </c>
      <c r="BM6" s="139">
        <v>95134797.154768214</v>
      </c>
      <c r="BN6" s="139">
        <v>95134797.154768214</v>
      </c>
      <c r="BO6" s="139">
        <v>95134797.154768214</v>
      </c>
      <c r="BP6" s="139">
        <v>95134797.154768214</v>
      </c>
      <c r="BQ6" s="139">
        <v>95134797.154768214</v>
      </c>
      <c r="BR6" s="139">
        <v>95134797.154768214</v>
      </c>
      <c r="BS6" s="139">
        <v>95134797.154768214</v>
      </c>
      <c r="BT6" s="139">
        <v>95134797.154768214</v>
      </c>
      <c r="BU6" s="139">
        <v>95134797.154768214</v>
      </c>
      <c r="BV6" s="139">
        <v>99458673.685452417</v>
      </c>
      <c r="BW6" s="139">
        <v>99458673.685452417</v>
      </c>
      <c r="BX6" s="139">
        <v>99458673.685452417</v>
      </c>
      <c r="BY6" s="139">
        <v>99458673.685452417</v>
      </c>
      <c r="BZ6" s="139">
        <v>99458673.685452417</v>
      </c>
      <c r="CA6" s="139">
        <v>99458673.685452417</v>
      </c>
      <c r="CB6" s="139">
        <v>99458673.685452417</v>
      </c>
      <c r="CC6" s="139">
        <v>99458673.685452417</v>
      </c>
      <c r="CD6" s="139">
        <v>99458673.685452417</v>
      </c>
      <c r="CE6" s="139">
        <v>99458673.685452417</v>
      </c>
      <c r="CF6" s="139">
        <v>99458673.685452417</v>
      </c>
      <c r="CG6" s="139">
        <v>99458673.685452417</v>
      </c>
      <c r="CH6" s="139">
        <v>103979070.40445624</v>
      </c>
      <c r="CI6" s="139">
        <v>103979070.40445624</v>
      </c>
      <c r="CJ6" s="139">
        <v>103979070.40445624</v>
      </c>
      <c r="CK6" s="139">
        <v>103979070.40445624</v>
      </c>
      <c r="CL6" s="139">
        <v>103979070.40445624</v>
      </c>
      <c r="CM6" s="139">
        <v>103979070.40445624</v>
      </c>
      <c r="CN6" s="139">
        <v>103979070.40445624</v>
      </c>
      <c r="CO6" s="139">
        <v>103979070.40445624</v>
      </c>
      <c r="CP6" s="139">
        <v>103979070.40445624</v>
      </c>
      <c r="CQ6" s="139">
        <v>103979070.40445624</v>
      </c>
      <c r="CR6" s="139">
        <v>103979070.40445624</v>
      </c>
      <c r="CS6" s="139">
        <v>103979070.40445624</v>
      </c>
      <c r="CT6" s="139">
        <v>108704919.15433876</v>
      </c>
      <c r="CU6" s="139">
        <v>108704919.15433876</v>
      </c>
      <c r="CV6" s="139">
        <v>108704919.15433876</v>
      </c>
      <c r="CW6" s="139">
        <v>108704919.15433876</v>
      </c>
      <c r="CX6" s="139">
        <v>108704919.15433876</v>
      </c>
      <c r="CY6" s="139">
        <v>108704919.15433876</v>
      </c>
      <c r="CZ6" s="139">
        <v>108704919.15433876</v>
      </c>
      <c r="DA6" s="139">
        <v>108704919.15433876</v>
      </c>
      <c r="DB6" s="139">
        <v>108704919.15433876</v>
      </c>
      <c r="DC6" s="139">
        <v>108704919.15433876</v>
      </c>
      <c r="DD6" s="139">
        <v>108704919.15433876</v>
      </c>
      <c r="DE6" s="139">
        <v>108704919.15433876</v>
      </c>
      <c r="DF6" s="139">
        <v>113645557.72990344</v>
      </c>
      <c r="DG6" s="139">
        <v>113645557.72990344</v>
      </c>
      <c r="DH6" s="139">
        <v>113645557.72990344</v>
      </c>
      <c r="DI6" s="139">
        <v>113645557.72990344</v>
      </c>
      <c r="DJ6" s="139">
        <v>113645557.72990344</v>
      </c>
      <c r="DK6" s="139">
        <v>113645557.72990344</v>
      </c>
      <c r="DL6" s="139">
        <v>113645557.72990344</v>
      </c>
      <c r="DM6" s="139">
        <v>113645557.72990344</v>
      </c>
      <c r="DN6" s="139">
        <v>113645557.72990344</v>
      </c>
      <c r="DO6" s="139">
        <v>113645557.72990344</v>
      </c>
      <c r="DP6" s="139">
        <v>113645557.72990344</v>
      </c>
      <c r="DQ6" s="139">
        <v>113645557.72990344</v>
      </c>
      <c r="DR6" s="139">
        <v>118810748.32872756</v>
      </c>
      <c r="DS6" s="139">
        <v>118810748.32872756</v>
      </c>
      <c r="DT6" s="139">
        <v>118810748.32872756</v>
      </c>
      <c r="DU6" s="139">
        <v>118810748.32872756</v>
      </c>
      <c r="DV6" s="139">
        <v>118810748.32872756</v>
      </c>
      <c r="DW6" s="139">
        <v>118810748.32872756</v>
      </c>
      <c r="DX6" s="139">
        <v>118810748.32872756</v>
      </c>
      <c r="DY6" s="139">
        <v>118810748.32872756</v>
      </c>
      <c r="DZ6" s="139">
        <v>118810748.32872756</v>
      </c>
      <c r="EA6" s="139">
        <v>118810748.32872756</v>
      </c>
      <c r="EB6" s="139">
        <v>118810748.32872756</v>
      </c>
      <c r="EC6" s="139">
        <v>118810748.32872756</v>
      </c>
      <c r="ED6" s="139">
        <v>124210696.84026822</v>
      </c>
      <c r="EE6" s="139">
        <v>124210696.84026822</v>
      </c>
      <c r="EF6" s="139">
        <v>124210696.84026822</v>
      </c>
      <c r="EG6" s="139">
        <v>124210696.84026822</v>
      </c>
      <c r="EH6" s="139">
        <v>124210696.84026822</v>
      </c>
      <c r="EI6" s="139">
        <v>124210696.84026822</v>
      </c>
      <c r="EJ6" s="139">
        <v>124210696.84026822</v>
      </c>
      <c r="EK6" s="139">
        <v>124210696.84026822</v>
      </c>
      <c r="EL6" s="139">
        <v>124210696.84026822</v>
      </c>
      <c r="EM6" s="139">
        <v>124210696.84026822</v>
      </c>
      <c r="EN6" s="139">
        <v>124210696.84026822</v>
      </c>
      <c r="EO6" s="139">
        <v>124210696.84026822</v>
      </c>
      <c r="EP6" s="139">
        <v>0</v>
      </c>
      <c r="EQ6" s="139">
        <v>0</v>
      </c>
      <c r="ER6" s="139">
        <v>0</v>
      </c>
      <c r="ES6" s="139">
        <v>0</v>
      </c>
      <c r="ET6" s="139">
        <v>0</v>
      </c>
      <c r="EU6" s="139">
        <v>0</v>
      </c>
      <c r="EV6" s="139">
        <v>0</v>
      </c>
      <c r="EW6" s="139">
        <v>0</v>
      </c>
      <c r="EX6" s="139">
        <v>0</v>
      </c>
      <c r="EY6" s="139">
        <v>0</v>
      </c>
      <c r="EZ6" s="139">
        <v>0</v>
      </c>
      <c r="FA6" s="139">
        <v>0</v>
      </c>
      <c r="FB6" s="139">
        <v>0</v>
      </c>
      <c r="FC6" s="139">
        <v>0</v>
      </c>
      <c r="FD6" s="139">
        <v>0</v>
      </c>
      <c r="FE6" s="139">
        <v>0</v>
      </c>
      <c r="FF6" s="139">
        <v>0</v>
      </c>
      <c r="FG6" s="139">
        <v>0</v>
      </c>
      <c r="FH6" s="139">
        <v>0</v>
      </c>
      <c r="FI6" s="139">
        <v>0</v>
      </c>
      <c r="FJ6" s="139">
        <v>0</v>
      </c>
      <c r="FK6" s="139">
        <v>0</v>
      </c>
      <c r="FL6" s="139">
        <v>0</v>
      </c>
      <c r="FM6" s="139">
        <v>0</v>
      </c>
      <c r="FN6" s="139">
        <v>0</v>
      </c>
      <c r="FO6" s="139">
        <v>0</v>
      </c>
      <c r="FP6" s="139">
        <v>0</v>
      </c>
      <c r="FQ6" s="139">
        <v>0</v>
      </c>
      <c r="FR6" s="139">
        <v>0</v>
      </c>
      <c r="FS6" s="139">
        <v>0</v>
      </c>
      <c r="FT6" s="139">
        <v>0</v>
      </c>
      <c r="FU6" s="139">
        <v>0</v>
      </c>
      <c r="FV6" s="139">
        <v>0</v>
      </c>
      <c r="FW6" s="139">
        <v>0</v>
      </c>
      <c r="FX6" s="139">
        <v>0</v>
      </c>
      <c r="FY6" s="139">
        <v>0</v>
      </c>
      <c r="FZ6" s="139">
        <v>0</v>
      </c>
      <c r="GA6" s="139">
        <v>0</v>
      </c>
      <c r="GB6" s="139">
        <v>0</v>
      </c>
      <c r="GC6" s="139">
        <v>0</v>
      </c>
      <c r="GD6" s="139">
        <v>0</v>
      </c>
      <c r="GE6" s="139">
        <v>0</v>
      </c>
      <c r="GF6" s="139">
        <v>0</v>
      </c>
      <c r="GG6" s="139">
        <v>0</v>
      </c>
      <c r="GH6" s="139">
        <v>0</v>
      </c>
      <c r="GI6" s="139">
        <v>0</v>
      </c>
      <c r="GJ6" s="139">
        <v>0</v>
      </c>
      <c r="GK6" s="48">
        <v>0</v>
      </c>
      <c r="GL6" s="27"/>
    </row>
    <row r="7" spans="1:194" x14ac:dyDescent="0.3">
      <c r="A7" s="155" t="s">
        <v>361</v>
      </c>
      <c r="B7" s="135" t="s">
        <v>387</v>
      </c>
      <c r="C7" s="135" t="s">
        <v>276</v>
      </c>
      <c r="D7" s="135" t="s">
        <v>193</v>
      </c>
      <c r="E7" s="178" t="s">
        <v>169</v>
      </c>
      <c r="F7" s="178" t="s">
        <v>1019</v>
      </c>
      <c r="G7" s="135" t="s">
        <v>340</v>
      </c>
      <c r="H7" s="135">
        <v>0</v>
      </c>
      <c r="I7" s="135">
        <v>0</v>
      </c>
      <c r="J7" s="135" t="s">
        <v>385</v>
      </c>
      <c r="K7" s="135">
        <v>0</v>
      </c>
      <c r="L7" s="135" t="s">
        <v>194</v>
      </c>
      <c r="M7" s="136">
        <f>IFERROR(INDEX('(참조)BL_인건비'!$S$3:$AG$40,MATCH(BL_인건비!$A7,'(참조)BL_인건비'!$S$3:$S$40,0),MATCH('(참조)BL_인건비'!X$2,'(참조)BL_인건비'!$S$2:$AG$2,0)),0)</f>
        <v>24.032752579874291</v>
      </c>
      <c r="N7" s="136">
        <f>IFERROR(INDEX('(참조)BL_인건비'!$S$3:$AG$40,MATCH(BL_인건비!$A7,'(참조)BL_인건비'!$S$3:$S$40,0),MATCH('(참조)BL_인건비'!Y$2,'(참조)BL_인건비'!$S$2:$AG$2,0)),0)</f>
        <v>24.612735157270521</v>
      </c>
      <c r="O7" s="136">
        <f>IFERROR(INDEX('(참조)BL_인건비'!$S$3:$AG$40,MATCH(BL_인건비!$A7,'(참조)BL_인건비'!$S$3:$S$40,0),MATCH('(참조)BL_인건비'!Z$2,'(참조)BL_인건비'!$S$2:$AG$2,0)),0)</f>
        <v>25.210117211988635</v>
      </c>
      <c r="P7" s="136">
        <f>IFERROR(INDEX('(참조)BL_인건비'!$S$3:$AG$40,MATCH(BL_인건비!$A7,'(참조)BL_인건비'!$S$3:$S$40,0),MATCH('(참조)BL_인건비'!AA$2,'(참조)BL_인건비'!$S$2:$AG$2,0)),0)</f>
        <v>25.825420728348295</v>
      </c>
      <c r="Q7" s="136">
        <f>IFERROR(INDEX('(참조)BL_인건비'!$S$3:$AG$40,MATCH(BL_인건비!$A7,'(참조)BL_인건비'!$S$3:$S$40,0),MATCH('(참조)BL_인건비'!AB$2,'(참조)BL_인건비'!$S$2:$AG$2,0)),0)</f>
        <v>26.459183350198746</v>
      </c>
      <c r="R7" s="136">
        <f>IFERROR(INDEX('(참조)BL_인건비'!$S$3:$AG$40,MATCH(BL_인건비!$A7,'(참조)BL_인건비'!$S$3:$S$40,0),MATCH('(참조)BL_인건비'!AC$2,'(참조)BL_인건비'!$S$2:$AG$2,0)),0)</f>
        <v>27.111958850704706</v>
      </c>
      <c r="S7" s="136">
        <f>IFERROR(INDEX('(참조)BL_인건비'!$S$3:$AG$40,MATCH(BL_인건비!$A7,'(참조)BL_인건비'!$S$3:$S$40,0),MATCH('(참조)BL_인건비'!AD$2,'(참조)BL_인건비'!$S$2:$AG$2,0)),0)</f>
        <v>27.879278289298068</v>
      </c>
      <c r="T7" s="136">
        <f>IFERROR(INDEX('(참조)BL_인건비'!$S$3:$AG$40,MATCH(BL_인건비!$A7,'(참조)BL_인건비'!$S$3:$S$40,0),MATCH('(참조)BL_인건비'!AE$2,'(참조)BL_인건비'!$S$2:$AG$2,0)),0)</f>
        <v>0</v>
      </c>
      <c r="U7" s="136">
        <f>IFERROR(INDEX('(참조)BL_인건비'!$S$3:$AG$40,MATCH(BL_인건비!$A7,'(참조)BL_인건비'!$S$3:$S$40,0),MATCH('(참조)BL_인건비'!AF$2,'(참조)BL_인건비'!$S$2:$AG$2,0)),0)</f>
        <v>0</v>
      </c>
      <c r="V7" s="136">
        <f>IFERROR(INDEX('(참조)BL_인건비'!$S$3:$AG$40,MATCH(BL_인건비!$A7,'(참조)BL_인건비'!$S$3:$S$40,0),MATCH('(참조)BL_인건비'!AG$2,'(참조)BL_인건비'!$S$2:$AG$2,0)),0)</f>
        <v>0</v>
      </c>
      <c r="W7" s="136">
        <f>IFERROR(INDEX('(참조)BL_인건비'!$S$3:$AG$40,MATCH(BL_인건비!$A7,'(참조)BL_인건비'!$S$3:$S$40,0),MATCH('(참조)BL_인건비'!AH$2,'(참조)BL_인건비'!$S$2:$AG$2,0)),0)</f>
        <v>0</v>
      </c>
      <c r="X7" s="137">
        <v>0</v>
      </c>
      <c r="Y7" s="137">
        <f>IFERROR(INDEX('(참조)BL_인건비'!$A$3:$O$40,MATCH(BL_인건비!$A7,'(참조)BL_인건비'!$A$3:$A$40,0),MATCH('(참조)BL_인건비'!F$2,'(참조)BL_인건비'!$A$2:$O$2,0)),0)</f>
        <v>2910341.3435984999</v>
      </c>
      <c r="Z7" s="137">
        <f>IFERROR(INDEX('(참조)BL_인건비'!$A$3:$O$40,MATCH(BL_인건비!$A7,'(참조)BL_인건비'!$A$3:$A$40,0),MATCH('(참조)BL_인건비'!G$2,'(참조)BL_인건비'!$A$2:$O$2,0)),0)</f>
        <v>2953996.463752477</v>
      </c>
      <c r="AA7" s="137">
        <f>IFERROR(INDEX('(참조)BL_인건비'!$A$3:$O$40,MATCH(BL_인건비!$A7,'(참조)BL_인건비'!$A$3:$A$40,0),MATCH('(참조)BL_인건비'!H$2,'(참조)BL_인건비'!$A$2:$O$2,0)),0)</f>
        <v>2998306.4107087641</v>
      </c>
      <c r="AB7" s="137">
        <f>IFERROR(INDEX('(참조)BL_인건비'!$A$3:$O$40,MATCH(BL_인건비!$A7,'(참조)BL_인건비'!$A$3:$A$40,0),MATCH('(참조)BL_인건비'!I$2,'(참조)BL_인건비'!$A$2:$O$2,0)),0)</f>
        <v>3043281.0068693948</v>
      </c>
      <c r="AC7" s="137">
        <f>IFERROR(INDEX('(참조)BL_인건비'!$A$3:$O$40,MATCH(BL_인건비!$A7,'(참조)BL_인건비'!$A$3:$A$40,0),MATCH('(참조)BL_인건비'!J$2,'(참조)BL_인건비'!$A$2:$O$2,0)),0)</f>
        <v>3088930.2219724357</v>
      </c>
      <c r="AD7" s="137">
        <f>IFERROR(INDEX('(참조)BL_인건비'!$A$3:$O$40,MATCH(BL_인건비!$A7,'(참조)BL_인건비'!$A$3:$A$40,0),MATCH('(참조)BL_인건비'!K$2,'(참조)BL_인건비'!$A$2:$O$2,0)),0)</f>
        <v>3135264.1753020217</v>
      </c>
      <c r="AE7" s="137">
        <f>IFERROR(INDEX('(참조)BL_인건비'!$A$3:$O$40,MATCH(BL_인건비!$A7,'(참조)BL_인건비'!$A$3:$A$40,0),MATCH('(참조)BL_인건비'!L$2,'(참조)BL_인건비'!$A$2:$O$2,0)),0)</f>
        <v>3182293.1379315518</v>
      </c>
      <c r="AF7" s="137">
        <f>IFERROR(INDEX('(참조)BL_인건비'!$A$3:$O$40,MATCH(BL_인건비!$A7,'(참조)BL_인건비'!$A$3:$A$40,0),MATCH('(참조)BL_인건비'!M$2,'(참조)BL_인건비'!$A$2:$O$2,0)),0)</f>
        <v>0</v>
      </c>
      <c r="AG7" s="137">
        <f>IFERROR(INDEX('(참조)BL_인건비'!$A$3:$O$40,MATCH(BL_인건비!$A7,'(참조)BL_인건비'!$A$3:$A$40,0),MATCH('(참조)BL_인건비'!N$2,'(참조)BL_인건비'!$A$2:$O$2,0)),0)</f>
        <v>0</v>
      </c>
      <c r="AH7" s="137">
        <f>IFERROR(INDEX('(참조)BL_인건비'!$A$3:$O$40,MATCH(BL_인건비!$A7,'(참조)BL_인건비'!$A$3:$A$40,0),MATCH('(참조)BL_인건비'!O$2,'(참조)BL_인건비'!$A$2:$O$2,0)),0)</f>
        <v>0</v>
      </c>
      <c r="AI7" s="137">
        <f>IFERROR(INDEX('(참조)BL_인건비'!$A$3:$O$40,MATCH(BL_인건비!$A7,'(참조)BL_인건비'!$A$3:$A$40,0),MATCH('(참조)BL_인건비'!P$2,'(참조)BL_인건비'!$A$2:$O$2,0)),0)</f>
        <v>0</v>
      </c>
      <c r="AJ7" s="137">
        <v>12</v>
      </c>
      <c r="AK7" s="137">
        <v>12</v>
      </c>
      <c r="AL7" s="137">
        <v>12</v>
      </c>
      <c r="AM7" s="137">
        <v>12</v>
      </c>
      <c r="AN7" s="137">
        <v>12</v>
      </c>
      <c r="AO7" s="137">
        <v>12</v>
      </c>
      <c r="AP7" s="137">
        <v>12</v>
      </c>
      <c r="AQ7" s="137">
        <v>12</v>
      </c>
      <c r="AR7" s="137">
        <v>12</v>
      </c>
      <c r="AS7" s="137">
        <v>12</v>
      </c>
      <c r="AT7" s="137">
        <v>12</v>
      </c>
      <c r="AU7" s="138">
        <v>1</v>
      </c>
      <c r="AV7" s="135">
        <v>0</v>
      </c>
      <c r="AW7" s="135">
        <v>0</v>
      </c>
      <c r="AX7" s="139">
        <v>6627418498.7578392</v>
      </c>
      <c r="AY7" s="139">
        <v>839322161.20417964</v>
      </c>
      <c r="AZ7" s="139">
        <v>872471191.41424072</v>
      </c>
      <c r="BA7" s="139">
        <v>907051872.61709845</v>
      </c>
      <c r="BB7" s="139">
        <v>943128148.76392233</v>
      </c>
      <c r="BC7" s="139">
        <v>980766853.1896652</v>
      </c>
      <c r="BD7" s="139">
        <v>1020037839.6825243</v>
      </c>
      <c r="BE7" s="139">
        <v>1064640431.8862082</v>
      </c>
      <c r="BF7" s="139">
        <v>0</v>
      </c>
      <c r="BG7" s="139">
        <v>0</v>
      </c>
      <c r="BH7" s="139">
        <v>0</v>
      </c>
      <c r="BI7" s="139">
        <v>0</v>
      </c>
      <c r="BJ7" s="140">
        <v>69943513.433681652</v>
      </c>
      <c r="BK7" s="139">
        <v>69943513.433681652</v>
      </c>
      <c r="BL7" s="139">
        <v>69943513.433681652</v>
      </c>
      <c r="BM7" s="139">
        <v>69943513.433681652</v>
      </c>
      <c r="BN7" s="139">
        <v>69943513.433681652</v>
      </c>
      <c r="BO7" s="139">
        <v>69943513.433681652</v>
      </c>
      <c r="BP7" s="139">
        <v>69943513.433681652</v>
      </c>
      <c r="BQ7" s="139">
        <v>69943513.433681652</v>
      </c>
      <c r="BR7" s="139">
        <v>69943513.433681652</v>
      </c>
      <c r="BS7" s="139">
        <v>69943513.433681652</v>
      </c>
      <c r="BT7" s="139">
        <v>69943513.433681652</v>
      </c>
      <c r="BU7" s="139">
        <v>69943513.433681652</v>
      </c>
      <c r="BV7" s="139">
        <v>72705932.617853388</v>
      </c>
      <c r="BW7" s="139">
        <v>72705932.617853388</v>
      </c>
      <c r="BX7" s="139">
        <v>72705932.617853388</v>
      </c>
      <c r="BY7" s="139">
        <v>72705932.617853388</v>
      </c>
      <c r="BZ7" s="139">
        <v>72705932.617853388</v>
      </c>
      <c r="CA7" s="139">
        <v>72705932.617853388</v>
      </c>
      <c r="CB7" s="139">
        <v>72705932.617853388</v>
      </c>
      <c r="CC7" s="139">
        <v>72705932.617853388</v>
      </c>
      <c r="CD7" s="139">
        <v>72705932.617853388</v>
      </c>
      <c r="CE7" s="139">
        <v>72705932.617853388</v>
      </c>
      <c r="CF7" s="139">
        <v>72705932.617853388</v>
      </c>
      <c r="CG7" s="139">
        <v>72705932.617853388</v>
      </c>
      <c r="CH7" s="139">
        <v>75587656.051424876</v>
      </c>
      <c r="CI7" s="139">
        <v>75587656.051424876</v>
      </c>
      <c r="CJ7" s="139">
        <v>75587656.051424876</v>
      </c>
      <c r="CK7" s="139">
        <v>75587656.051424876</v>
      </c>
      <c r="CL7" s="139">
        <v>75587656.051424876</v>
      </c>
      <c r="CM7" s="139">
        <v>75587656.051424876</v>
      </c>
      <c r="CN7" s="139">
        <v>75587656.051424876</v>
      </c>
      <c r="CO7" s="139">
        <v>75587656.051424876</v>
      </c>
      <c r="CP7" s="139">
        <v>75587656.051424876</v>
      </c>
      <c r="CQ7" s="139">
        <v>75587656.051424876</v>
      </c>
      <c r="CR7" s="139">
        <v>75587656.051424876</v>
      </c>
      <c r="CS7" s="139">
        <v>75587656.051424876</v>
      </c>
      <c r="CT7" s="139">
        <v>78594012.396993533</v>
      </c>
      <c r="CU7" s="139">
        <v>78594012.396993533</v>
      </c>
      <c r="CV7" s="139">
        <v>78594012.396993533</v>
      </c>
      <c r="CW7" s="139">
        <v>78594012.396993533</v>
      </c>
      <c r="CX7" s="139">
        <v>78594012.396993533</v>
      </c>
      <c r="CY7" s="139">
        <v>78594012.396993533</v>
      </c>
      <c r="CZ7" s="139">
        <v>78594012.396993533</v>
      </c>
      <c r="DA7" s="139">
        <v>78594012.396993533</v>
      </c>
      <c r="DB7" s="139">
        <v>78594012.396993533</v>
      </c>
      <c r="DC7" s="139">
        <v>78594012.396993533</v>
      </c>
      <c r="DD7" s="139">
        <v>78594012.396993533</v>
      </c>
      <c r="DE7" s="139">
        <v>78594012.396993533</v>
      </c>
      <c r="DF7" s="139">
        <v>81730571.099138781</v>
      </c>
      <c r="DG7" s="139">
        <v>81730571.099138781</v>
      </c>
      <c r="DH7" s="139">
        <v>81730571.099138781</v>
      </c>
      <c r="DI7" s="139">
        <v>81730571.099138781</v>
      </c>
      <c r="DJ7" s="139">
        <v>81730571.099138781</v>
      </c>
      <c r="DK7" s="139">
        <v>81730571.099138781</v>
      </c>
      <c r="DL7" s="139">
        <v>81730571.099138781</v>
      </c>
      <c r="DM7" s="139">
        <v>81730571.099138781</v>
      </c>
      <c r="DN7" s="139">
        <v>81730571.099138781</v>
      </c>
      <c r="DO7" s="139">
        <v>81730571.099138781</v>
      </c>
      <c r="DP7" s="139">
        <v>81730571.099138781</v>
      </c>
      <c r="DQ7" s="139">
        <v>81730571.099138781</v>
      </c>
      <c r="DR7" s="139">
        <v>85003153.306877032</v>
      </c>
      <c r="DS7" s="139">
        <v>85003153.306877032</v>
      </c>
      <c r="DT7" s="139">
        <v>85003153.306877032</v>
      </c>
      <c r="DU7" s="139">
        <v>85003153.306877032</v>
      </c>
      <c r="DV7" s="139">
        <v>85003153.306877032</v>
      </c>
      <c r="DW7" s="139">
        <v>85003153.306877032</v>
      </c>
      <c r="DX7" s="139">
        <v>85003153.306877032</v>
      </c>
      <c r="DY7" s="139">
        <v>85003153.306877032</v>
      </c>
      <c r="DZ7" s="139">
        <v>85003153.306877032</v>
      </c>
      <c r="EA7" s="139">
        <v>85003153.306877032</v>
      </c>
      <c r="EB7" s="139">
        <v>85003153.306877032</v>
      </c>
      <c r="EC7" s="139">
        <v>85003153.306877032</v>
      </c>
      <c r="ED7" s="139">
        <v>88720035.990517333</v>
      </c>
      <c r="EE7" s="139">
        <v>88720035.990517333</v>
      </c>
      <c r="EF7" s="139">
        <v>88720035.990517333</v>
      </c>
      <c r="EG7" s="139">
        <v>88720035.990517333</v>
      </c>
      <c r="EH7" s="139">
        <v>88720035.990517333</v>
      </c>
      <c r="EI7" s="139">
        <v>88720035.990517333</v>
      </c>
      <c r="EJ7" s="139">
        <v>88720035.990517333</v>
      </c>
      <c r="EK7" s="139">
        <v>88720035.990517333</v>
      </c>
      <c r="EL7" s="139">
        <v>88720035.990517333</v>
      </c>
      <c r="EM7" s="139">
        <v>88720035.990517333</v>
      </c>
      <c r="EN7" s="139">
        <v>88720035.990517333</v>
      </c>
      <c r="EO7" s="139">
        <v>88720035.990517333</v>
      </c>
      <c r="EP7" s="139">
        <v>0</v>
      </c>
      <c r="EQ7" s="139">
        <v>0</v>
      </c>
      <c r="ER7" s="139">
        <v>0</v>
      </c>
      <c r="ES7" s="139">
        <v>0</v>
      </c>
      <c r="ET7" s="139">
        <v>0</v>
      </c>
      <c r="EU7" s="139">
        <v>0</v>
      </c>
      <c r="EV7" s="139">
        <v>0</v>
      </c>
      <c r="EW7" s="139">
        <v>0</v>
      </c>
      <c r="EX7" s="139">
        <v>0</v>
      </c>
      <c r="EY7" s="139">
        <v>0</v>
      </c>
      <c r="EZ7" s="139">
        <v>0</v>
      </c>
      <c r="FA7" s="139">
        <v>0</v>
      </c>
      <c r="FB7" s="139">
        <v>0</v>
      </c>
      <c r="FC7" s="139">
        <v>0</v>
      </c>
      <c r="FD7" s="139">
        <v>0</v>
      </c>
      <c r="FE7" s="139">
        <v>0</v>
      </c>
      <c r="FF7" s="139">
        <v>0</v>
      </c>
      <c r="FG7" s="139">
        <v>0</v>
      </c>
      <c r="FH7" s="139">
        <v>0</v>
      </c>
      <c r="FI7" s="139">
        <v>0</v>
      </c>
      <c r="FJ7" s="139">
        <v>0</v>
      </c>
      <c r="FK7" s="139">
        <v>0</v>
      </c>
      <c r="FL7" s="139">
        <v>0</v>
      </c>
      <c r="FM7" s="139">
        <v>0</v>
      </c>
      <c r="FN7" s="139">
        <v>0</v>
      </c>
      <c r="FO7" s="139">
        <v>0</v>
      </c>
      <c r="FP7" s="139">
        <v>0</v>
      </c>
      <c r="FQ7" s="139">
        <v>0</v>
      </c>
      <c r="FR7" s="139">
        <v>0</v>
      </c>
      <c r="FS7" s="139">
        <v>0</v>
      </c>
      <c r="FT7" s="139">
        <v>0</v>
      </c>
      <c r="FU7" s="139">
        <v>0</v>
      </c>
      <c r="FV7" s="139">
        <v>0</v>
      </c>
      <c r="FW7" s="139">
        <v>0</v>
      </c>
      <c r="FX7" s="139">
        <v>0</v>
      </c>
      <c r="FY7" s="139">
        <v>0</v>
      </c>
      <c r="FZ7" s="139">
        <v>0</v>
      </c>
      <c r="GA7" s="139">
        <v>0</v>
      </c>
      <c r="GB7" s="139">
        <v>0</v>
      </c>
      <c r="GC7" s="139">
        <v>0</v>
      </c>
      <c r="GD7" s="139">
        <v>0</v>
      </c>
      <c r="GE7" s="139">
        <v>0</v>
      </c>
      <c r="GF7" s="139">
        <v>0</v>
      </c>
      <c r="GG7" s="139">
        <v>0</v>
      </c>
      <c r="GH7" s="139">
        <v>0</v>
      </c>
      <c r="GI7" s="139">
        <v>0</v>
      </c>
      <c r="GJ7" s="139">
        <v>0</v>
      </c>
      <c r="GK7" s="48">
        <v>0</v>
      </c>
      <c r="GL7" s="27"/>
    </row>
    <row r="8" spans="1:194" ht="17.25" thickBot="1" x14ac:dyDescent="0.35">
      <c r="A8" s="156" t="s">
        <v>362</v>
      </c>
      <c r="B8" s="158" t="s">
        <v>387</v>
      </c>
      <c r="C8" s="158" t="s">
        <v>276</v>
      </c>
      <c r="D8" s="158" t="s">
        <v>193</v>
      </c>
      <c r="E8" s="375" t="s">
        <v>169</v>
      </c>
      <c r="F8" s="375" t="s">
        <v>353</v>
      </c>
      <c r="G8" s="158" t="s">
        <v>341</v>
      </c>
      <c r="H8" s="158">
        <v>0</v>
      </c>
      <c r="I8" s="158">
        <v>0</v>
      </c>
      <c r="J8" s="158" t="s">
        <v>386</v>
      </c>
      <c r="K8" s="158">
        <v>0</v>
      </c>
      <c r="L8" s="158" t="s">
        <v>194</v>
      </c>
      <c r="M8" s="159">
        <f>IFERROR(INDEX('(참조)BL_인건비'!$S$3:$AG$40,MATCH(BL_인건비!$A8,'(참조)BL_인건비'!$S$3:$S$40,0),MATCH('(참조)BL_인건비'!X$2,'(참조)BL_인건비'!$S$2:$AG$2,0)),0)</f>
        <v>63.113049350649348</v>
      </c>
      <c r="N8" s="159">
        <f>IFERROR(INDEX('(참조)BL_인건비'!$S$3:$AG$40,MATCH(BL_인건비!$A8,'(참조)BL_인건비'!$S$3:$S$40,0),MATCH('(참조)BL_인건비'!Y$2,'(참조)BL_인건비'!$S$2:$AG$2,0)),0)</f>
        <v>54.172034025974028</v>
      </c>
      <c r="O8" s="159">
        <f>IFERROR(INDEX('(참조)BL_인건비'!$S$3:$AG$40,MATCH(BL_인건비!$A8,'(참조)BL_인건비'!$S$3:$S$40,0),MATCH('(참조)BL_인건비'!Z$2,'(참조)BL_인건비'!$S$2:$AG$2,0)),0)</f>
        <v>55.797195046753252</v>
      </c>
      <c r="P8" s="159">
        <f>IFERROR(INDEX('(참조)BL_인건비'!$S$3:$AG$40,MATCH(BL_인건비!$A8,'(참조)BL_인건비'!$S$3:$S$40,0),MATCH('(참조)BL_인건비'!AA$2,'(참조)BL_인건비'!$S$2:$AG$2,0)),0)</f>
        <v>57.47111089815585</v>
      </c>
      <c r="Q8" s="159">
        <f>IFERROR(INDEX('(참조)BL_인건비'!$S$3:$AG$40,MATCH(BL_인건비!$A8,'(참조)BL_인건비'!$S$3:$S$40,0),MATCH('(참조)BL_인건비'!AB$2,'(참조)BL_인건비'!$S$2:$AG$2,0)),0)</f>
        <v>59.195244225100531</v>
      </c>
      <c r="R8" s="159">
        <f>IFERROR(INDEX('(참조)BL_인건비'!$S$3:$AG$40,MATCH(BL_인건비!$A8,'(참조)BL_인건비'!$S$3:$S$40,0),MATCH('(참조)BL_인건비'!AC$2,'(참조)BL_인건비'!$S$2:$AG$2,0)),0)</f>
        <v>60.97110155185355</v>
      </c>
      <c r="S8" s="159">
        <f>IFERROR(INDEX('(참조)BL_인건비'!$S$3:$AG$40,MATCH(BL_인건비!$A8,'(참조)BL_인건비'!$S$3:$S$40,0),MATCH('(참조)BL_인건비'!AD$2,'(참조)BL_인건비'!$S$2:$AG$2,0)),0)</f>
        <v>62.800234598409169</v>
      </c>
      <c r="T8" s="159">
        <f>IFERROR(INDEX('(참조)BL_인건비'!$S$3:$AG$40,MATCH(BL_인건비!$A8,'(참조)BL_인건비'!$S$3:$S$40,0),MATCH('(참조)BL_인건비'!AE$2,'(참조)BL_인건비'!$S$2:$AG$2,0)),0)</f>
        <v>0</v>
      </c>
      <c r="U8" s="159">
        <f>IFERROR(INDEX('(참조)BL_인건비'!$S$3:$AG$40,MATCH(BL_인건비!$A8,'(참조)BL_인건비'!$S$3:$S$40,0),MATCH('(참조)BL_인건비'!AF$2,'(참조)BL_인건비'!$S$2:$AG$2,0)),0)</f>
        <v>0</v>
      </c>
      <c r="V8" s="159">
        <f>IFERROR(INDEX('(참조)BL_인건비'!$S$3:$AG$40,MATCH(BL_인건비!$A8,'(참조)BL_인건비'!$S$3:$S$40,0),MATCH('(참조)BL_인건비'!AG$2,'(참조)BL_인건비'!$S$2:$AG$2,0)),0)</f>
        <v>0</v>
      </c>
      <c r="W8" s="159">
        <f>IFERROR(INDEX('(참조)BL_인건비'!$S$3:$AG$40,MATCH(BL_인건비!$A8,'(참조)BL_인건비'!$S$3:$S$40,0),MATCH('(참조)BL_인건비'!AH$2,'(참조)BL_인건비'!$S$2:$AG$2,0)),0)</f>
        <v>0</v>
      </c>
      <c r="X8" s="160">
        <v>0</v>
      </c>
      <c r="Y8" s="160">
        <f>IFERROR(INDEX('(참조)BL_인건비'!$A$3:$O$40,MATCH(BL_인건비!$A8,'(참조)BL_인건비'!$A$3:$A$40,0),MATCH('(참조)BL_인건비'!F$2,'(참조)BL_인건비'!$A$2:$O$2,0)),0)</f>
        <v>2827214.0638635564</v>
      </c>
      <c r="Z8" s="160">
        <f>IFERROR(INDEX('(참조)BL_인건비'!$A$3:$O$40,MATCH(BL_인건비!$A8,'(참조)BL_인건비'!$A$3:$A$40,0),MATCH('(참조)BL_인건비'!G$2,'(참조)BL_인건비'!$A$2:$O$2,0)),0)</f>
        <v>2869622.2748215091</v>
      </c>
      <c r="AA8" s="160">
        <f>IFERROR(INDEX('(참조)BL_인건비'!$A$3:$O$40,MATCH(BL_인건비!$A8,'(참조)BL_인건비'!$A$3:$A$40,0),MATCH('(참조)BL_인건비'!H$2,'(참조)BL_인건비'!$A$2:$O$2,0)),0)</f>
        <v>2912666.6089438316</v>
      </c>
      <c r="AB8" s="160">
        <f>IFERROR(INDEX('(참조)BL_인건비'!$A$3:$O$40,MATCH(BL_인건비!$A8,'(참조)BL_인건비'!$A$3:$A$40,0),MATCH('(참조)BL_인건비'!I$2,'(참조)BL_인건비'!$A$2:$O$2,0)),0)</f>
        <v>2956356.6080779894</v>
      </c>
      <c r="AC8" s="160">
        <f>IFERROR(INDEX('(참조)BL_인건비'!$A$3:$O$40,MATCH(BL_인건비!$A8,'(참조)BL_인건비'!$A$3:$A$40,0),MATCH('(참조)BL_인건비'!J$2,'(참조)BL_인건비'!$A$2:$O$2,0)),0)</f>
        <v>3000701.9571991581</v>
      </c>
      <c r="AD8" s="160">
        <f>IFERROR(INDEX('(참조)BL_인건비'!$A$3:$O$40,MATCH(BL_인건비!$A8,'(참조)BL_인건비'!$A$3:$A$40,0),MATCH('(참조)BL_인건비'!K$2,'(참조)BL_인건비'!$A$2:$O$2,0)),0)</f>
        <v>3045712.4865571451</v>
      </c>
      <c r="AE8" s="160">
        <f>IFERROR(INDEX('(참조)BL_인건비'!$A$3:$O$40,MATCH(BL_인건비!$A8,'(참조)BL_인건비'!$A$3:$A$40,0),MATCH('(참조)BL_인건비'!L$2,'(참조)BL_인건비'!$A$2:$O$2,0)),0)</f>
        <v>3091398.1738555022</v>
      </c>
      <c r="AF8" s="160">
        <f>IFERROR(INDEX('(참조)BL_인건비'!$A$3:$O$40,MATCH(BL_인건비!$A8,'(참조)BL_인건비'!$A$3:$A$40,0),MATCH('(참조)BL_인건비'!M$2,'(참조)BL_인건비'!$A$2:$O$2,0)),0)</f>
        <v>0</v>
      </c>
      <c r="AG8" s="160">
        <f>IFERROR(INDEX('(참조)BL_인건비'!$A$3:$O$40,MATCH(BL_인건비!$A8,'(참조)BL_인건비'!$A$3:$A$40,0),MATCH('(참조)BL_인건비'!N$2,'(참조)BL_인건비'!$A$2:$O$2,0)),0)</f>
        <v>0</v>
      </c>
      <c r="AH8" s="160">
        <f>IFERROR(INDEX('(참조)BL_인건비'!$A$3:$O$40,MATCH(BL_인건비!$A8,'(참조)BL_인건비'!$A$3:$A$40,0),MATCH('(참조)BL_인건비'!O$2,'(참조)BL_인건비'!$A$2:$O$2,0)),0)</f>
        <v>0</v>
      </c>
      <c r="AI8" s="160">
        <f>IFERROR(INDEX('(참조)BL_인건비'!$A$3:$O$40,MATCH(BL_인건비!$A8,'(참조)BL_인건비'!$A$3:$A$40,0),MATCH('(참조)BL_인건비'!P$2,'(참조)BL_인건비'!$A$2:$O$2,0)),0)</f>
        <v>0</v>
      </c>
      <c r="AJ8" s="160">
        <v>12</v>
      </c>
      <c r="AK8" s="160">
        <v>12</v>
      </c>
      <c r="AL8" s="160">
        <v>12</v>
      </c>
      <c r="AM8" s="160">
        <v>12</v>
      </c>
      <c r="AN8" s="160">
        <v>12</v>
      </c>
      <c r="AO8" s="160">
        <v>12</v>
      </c>
      <c r="AP8" s="160">
        <v>12</v>
      </c>
      <c r="AQ8" s="160">
        <v>12</v>
      </c>
      <c r="AR8" s="160">
        <v>12</v>
      </c>
      <c r="AS8" s="160">
        <v>12</v>
      </c>
      <c r="AT8" s="160">
        <v>12</v>
      </c>
      <c r="AU8" s="161">
        <v>1</v>
      </c>
      <c r="AV8" s="158">
        <v>0</v>
      </c>
      <c r="AW8" s="158">
        <v>0</v>
      </c>
      <c r="AX8" s="162">
        <v>14685352352.250351</v>
      </c>
      <c r="AY8" s="162">
        <v>2141209208.8496468</v>
      </c>
      <c r="AZ8" s="162">
        <v>1865439306.1598854</v>
      </c>
      <c r="BA8" s="162">
        <v>1950223522.6248522</v>
      </c>
      <c r="BB8" s="162">
        <v>2038861181.7281516</v>
      </c>
      <c r="BC8" s="162">
        <v>2131527422.4376955</v>
      </c>
      <c r="BD8" s="162">
        <v>2228405343.7874885</v>
      </c>
      <c r="BE8" s="162">
        <v>2329686366.6626306</v>
      </c>
      <c r="BF8" s="162">
        <v>0</v>
      </c>
      <c r="BG8" s="162">
        <v>0</v>
      </c>
      <c r="BH8" s="162">
        <v>0</v>
      </c>
      <c r="BI8" s="162">
        <v>0</v>
      </c>
      <c r="BJ8" s="163">
        <v>178434100.73747054</v>
      </c>
      <c r="BK8" s="162">
        <v>178434100.73747054</v>
      </c>
      <c r="BL8" s="162">
        <v>178434100.73747054</v>
      </c>
      <c r="BM8" s="162">
        <v>178434100.73747054</v>
      </c>
      <c r="BN8" s="162">
        <v>178434100.73747054</v>
      </c>
      <c r="BO8" s="162">
        <v>178434100.73747054</v>
      </c>
      <c r="BP8" s="162">
        <v>178434100.73747054</v>
      </c>
      <c r="BQ8" s="162">
        <v>178434100.73747054</v>
      </c>
      <c r="BR8" s="162">
        <v>178434100.73747054</v>
      </c>
      <c r="BS8" s="162">
        <v>178434100.73747054</v>
      </c>
      <c r="BT8" s="162">
        <v>178434100.73747054</v>
      </c>
      <c r="BU8" s="162">
        <v>178434100.73747054</v>
      </c>
      <c r="BV8" s="162">
        <v>155453275.51332378</v>
      </c>
      <c r="BW8" s="162">
        <v>155453275.51332378</v>
      </c>
      <c r="BX8" s="162">
        <v>155453275.51332378</v>
      </c>
      <c r="BY8" s="162">
        <v>155453275.51332378</v>
      </c>
      <c r="BZ8" s="162">
        <v>155453275.51332378</v>
      </c>
      <c r="CA8" s="162">
        <v>155453275.51332378</v>
      </c>
      <c r="CB8" s="162">
        <v>155453275.51332378</v>
      </c>
      <c r="CC8" s="162">
        <v>155453275.51332378</v>
      </c>
      <c r="CD8" s="162">
        <v>155453275.51332378</v>
      </c>
      <c r="CE8" s="162">
        <v>155453275.51332378</v>
      </c>
      <c r="CF8" s="162">
        <v>155453275.51332378</v>
      </c>
      <c r="CG8" s="162">
        <v>155453275.51332378</v>
      </c>
      <c r="CH8" s="162">
        <v>162518626.88540435</v>
      </c>
      <c r="CI8" s="162">
        <v>162518626.88540435</v>
      </c>
      <c r="CJ8" s="162">
        <v>162518626.88540435</v>
      </c>
      <c r="CK8" s="162">
        <v>162518626.88540435</v>
      </c>
      <c r="CL8" s="162">
        <v>162518626.88540435</v>
      </c>
      <c r="CM8" s="162">
        <v>162518626.88540435</v>
      </c>
      <c r="CN8" s="162">
        <v>162518626.88540435</v>
      </c>
      <c r="CO8" s="162">
        <v>162518626.88540435</v>
      </c>
      <c r="CP8" s="162">
        <v>162518626.88540435</v>
      </c>
      <c r="CQ8" s="162">
        <v>162518626.88540435</v>
      </c>
      <c r="CR8" s="162">
        <v>162518626.88540435</v>
      </c>
      <c r="CS8" s="162">
        <v>162518626.88540435</v>
      </c>
      <c r="CT8" s="162">
        <v>169905098.477346</v>
      </c>
      <c r="CU8" s="162">
        <v>169905098.477346</v>
      </c>
      <c r="CV8" s="162">
        <v>169905098.477346</v>
      </c>
      <c r="CW8" s="162">
        <v>169905098.477346</v>
      </c>
      <c r="CX8" s="162">
        <v>169905098.477346</v>
      </c>
      <c r="CY8" s="162">
        <v>169905098.477346</v>
      </c>
      <c r="CZ8" s="162">
        <v>169905098.477346</v>
      </c>
      <c r="DA8" s="162">
        <v>169905098.477346</v>
      </c>
      <c r="DB8" s="162">
        <v>169905098.477346</v>
      </c>
      <c r="DC8" s="162">
        <v>169905098.477346</v>
      </c>
      <c r="DD8" s="162">
        <v>169905098.477346</v>
      </c>
      <c r="DE8" s="162">
        <v>169905098.477346</v>
      </c>
      <c r="DF8" s="162">
        <v>177627285.20314133</v>
      </c>
      <c r="DG8" s="162">
        <v>177627285.20314133</v>
      </c>
      <c r="DH8" s="162">
        <v>177627285.20314133</v>
      </c>
      <c r="DI8" s="162">
        <v>177627285.20314133</v>
      </c>
      <c r="DJ8" s="162">
        <v>177627285.20314133</v>
      </c>
      <c r="DK8" s="162">
        <v>177627285.20314133</v>
      </c>
      <c r="DL8" s="162">
        <v>177627285.20314133</v>
      </c>
      <c r="DM8" s="162">
        <v>177627285.20314133</v>
      </c>
      <c r="DN8" s="162">
        <v>177627285.20314133</v>
      </c>
      <c r="DO8" s="162">
        <v>177627285.20314133</v>
      </c>
      <c r="DP8" s="162">
        <v>177627285.20314133</v>
      </c>
      <c r="DQ8" s="162">
        <v>177627285.20314133</v>
      </c>
      <c r="DR8" s="162">
        <v>185700445.31562409</v>
      </c>
      <c r="DS8" s="162">
        <v>185700445.31562409</v>
      </c>
      <c r="DT8" s="162">
        <v>185700445.31562409</v>
      </c>
      <c r="DU8" s="162">
        <v>185700445.31562409</v>
      </c>
      <c r="DV8" s="162">
        <v>185700445.31562409</v>
      </c>
      <c r="DW8" s="162">
        <v>185700445.31562409</v>
      </c>
      <c r="DX8" s="162">
        <v>185700445.31562409</v>
      </c>
      <c r="DY8" s="162">
        <v>185700445.31562409</v>
      </c>
      <c r="DZ8" s="162">
        <v>185700445.31562409</v>
      </c>
      <c r="EA8" s="162">
        <v>185700445.31562409</v>
      </c>
      <c r="EB8" s="162">
        <v>185700445.31562409</v>
      </c>
      <c r="EC8" s="162">
        <v>185700445.31562409</v>
      </c>
      <c r="ED8" s="162">
        <v>194140530.55521923</v>
      </c>
      <c r="EE8" s="162">
        <v>194140530.55521923</v>
      </c>
      <c r="EF8" s="162">
        <v>194140530.55521923</v>
      </c>
      <c r="EG8" s="162">
        <v>194140530.55521923</v>
      </c>
      <c r="EH8" s="162">
        <v>194140530.55521923</v>
      </c>
      <c r="EI8" s="162">
        <v>194140530.55521923</v>
      </c>
      <c r="EJ8" s="162">
        <v>194140530.55521923</v>
      </c>
      <c r="EK8" s="162">
        <v>194140530.55521923</v>
      </c>
      <c r="EL8" s="162">
        <v>194140530.55521923</v>
      </c>
      <c r="EM8" s="162">
        <v>194140530.55521923</v>
      </c>
      <c r="EN8" s="162">
        <v>194140530.55521923</v>
      </c>
      <c r="EO8" s="162">
        <v>194140530.55521923</v>
      </c>
      <c r="EP8" s="162">
        <v>0</v>
      </c>
      <c r="EQ8" s="162">
        <v>0</v>
      </c>
      <c r="ER8" s="162">
        <v>0</v>
      </c>
      <c r="ES8" s="162">
        <v>0</v>
      </c>
      <c r="ET8" s="162">
        <v>0</v>
      </c>
      <c r="EU8" s="162">
        <v>0</v>
      </c>
      <c r="EV8" s="162">
        <v>0</v>
      </c>
      <c r="EW8" s="162">
        <v>0</v>
      </c>
      <c r="EX8" s="162">
        <v>0</v>
      </c>
      <c r="EY8" s="162">
        <v>0</v>
      </c>
      <c r="EZ8" s="162">
        <v>0</v>
      </c>
      <c r="FA8" s="162">
        <v>0</v>
      </c>
      <c r="FB8" s="162">
        <v>0</v>
      </c>
      <c r="FC8" s="162">
        <v>0</v>
      </c>
      <c r="FD8" s="162">
        <v>0</v>
      </c>
      <c r="FE8" s="162">
        <v>0</v>
      </c>
      <c r="FF8" s="162">
        <v>0</v>
      </c>
      <c r="FG8" s="162">
        <v>0</v>
      </c>
      <c r="FH8" s="162">
        <v>0</v>
      </c>
      <c r="FI8" s="162">
        <v>0</v>
      </c>
      <c r="FJ8" s="162">
        <v>0</v>
      </c>
      <c r="FK8" s="162">
        <v>0</v>
      </c>
      <c r="FL8" s="162">
        <v>0</v>
      </c>
      <c r="FM8" s="162">
        <v>0</v>
      </c>
      <c r="FN8" s="162">
        <v>0</v>
      </c>
      <c r="FO8" s="162">
        <v>0</v>
      </c>
      <c r="FP8" s="162">
        <v>0</v>
      </c>
      <c r="FQ8" s="162">
        <v>0</v>
      </c>
      <c r="FR8" s="162">
        <v>0</v>
      </c>
      <c r="FS8" s="162">
        <v>0</v>
      </c>
      <c r="FT8" s="162">
        <v>0</v>
      </c>
      <c r="FU8" s="162">
        <v>0</v>
      </c>
      <c r="FV8" s="162">
        <v>0</v>
      </c>
      <c r="FW8" s="162">
        <v>0</v>
      </c>
      <c r="FX8" s="162">
        <v>0</v>
      </c>
      <c r="FY8" s="162">
        <v>0</v>
      </c>
      <c r="FZ8" s="162">
        <v>0</v>
      </c>
      <c r="GA8" s="162">
        <v>0</v>
      </c>
      <c r="GB8" s="162">
        <v>0</v>
      </c>
      <c r="GC8" s="162">
        <v>0</v>
      </c>
      <c r="GD8" s="162">
        <v>0</v>
      </c>
      <c r="GE8" s="162">
        <v>0</v>
      </c>
      <c r="GF8" s="162">
        <v>0</v>
      </c>
      <c r="GG8" s="162">
        <v>0</v>
      </c>
      <c r="GH8" s="162">
        <v>0</v>
      </c>
      <c r="GI8" s="162">
        <v>0</v>
      </c>
      <c r="GJ8" s="162">
        <v>0</v>
      </c>
      <c r="GK8" s="40">
        <v>0</v>
      </c>
      <c r="GL8" s="27"/>
    </row>
    <row r="9" spans="1:194" x14ac:dyDescent="0.3">
      <c r="A9" s="155"/>
      <c r="B9" s="135"/>
      <c r="C9" s="135"/>
      <c r="D9" s="135"/>
      <c r="E9" s="178"/>
      <c r="F9" s="178"/>
      <c r="G9" s="135"/>
      <c r="H9" s="135"/>
      <c r="I9" s="135"/>
      <c r="J9" s="135"/>
      <c r="K9" s="135"/>
      <c r="L9" s="135"/>
      <c r="M9" s="136"/>
      <c r="N9" s="136"/>
      <c r="O9" s="136"/>
      <c r="P9" s="136"/>
      <c r="Q9" s="136"/>
      <c r="R9" s="136"/>
      <c r="S9" s="136"/>
      <c r="T9" s="136"/>
      <c r="U9" s="136"/>
      <c r="V9" s="136"/>
      <c r="W9" s="136"/>
      <c r="X9" s="137"/>
      <c r="Y9" s="137"/>
      <c r="Z9" s="137"/>
      <c r="AA9" s="137"/>
      <c r="AB9" s="137"/>
      <c r="AC9" s="137"/>
      <c r="AD9" s="137"/>
      <c r="AE9" s="137"/>
      <c r="AF9" s="137"/>
      <c r="AG9" s="137"/>
      <c r="AH9" s="137"/>
      <c r="AI9" s="137"/>
      <c r="AJ9" s="137"/>
      <c r="AK9" s="137"/>
      <c r="AL9" s="137"/>
      <c r="AM9" s="137"/>
      <c r="AN9" s="137"/>
      <c r="AO9" s="137"/>
      <c r="AP9" s="137"/>
      <c r="AQ9" s="137"/>
      <c r="AR9" s="137"/>
      <c r="AS9" s="137"/>
      <c r="AT9" s="137"/>
      <c r="AU9" s="138"/>
      <c r="AV9" s="135"/>
      <c r="AW9" s="135"/>
      <c r="AX9" s="139"/>
      <c r="AY9" s="139"/>
      <c r="AZ9" s="139"/>
      <c r="BA9" s="139"/>
      <c r="BB9" s="139"/>
      <c r="BC9" s="139"/>
      <c r="BD9" s="139"/>
      <c r="BE9" s="139"/>
      <c r="BF9" s="139"/>
      <c r="BG9" s="139"/>
      <c r="BH9" s="139"/>
      <c r="BI9" s="139"/>
      <c r="BJ9" s="140"/>
      <c r="BK9" s="139"/>
      <c r="BL9" s="139"/>
      <c r="BM9" s="139"/>
      <c r="BN9" s="139"/>
      <c r="BO9" s="139"/>
      <c r="BP9" s="139"/>
      <c r="BQ9" s="139"/>
      <c r="BR9" s="139"/>
      <c r="BS9" s="139"/>
      <c r="BT9" s="139"/>
      <c r="BU9" s="139"/>
      <c r="BV9" s="139"/>
      <c r="BW9" s="139"/>
      <c r="BX9" s="139"/>
      <c r="BY9" s="139"/>
      <c r="BZ9" s="139"/>
      <c r="CA9" s="139"/>
      <c r="CB9" s="139"/>
      <c r="CC9" s="139"/>
      <c r="CD9" s="139"/>
      <c r="CE9" s="139"/>
      <c r="CF9" s="139"/>
      <c r="CG9" s="139"/>
      <c r="CH9" s="139"/>
      <c r="CI9" s="139"/>
      <c r="CJ9" s="139"/>
      <c r="CK9" s="139"/>
      <c r="CL9" s="139"/>
      <c r="CM9" s="139"/>
      <c r="CN9" s="139"/>
      <c r="CO9" s="139"/>
      <c r="CP9" s="139"/>
      <c r="CQ9" s="139"/>
      <c r="CR9" s="139"/>
      <c r="CS9" s="139"/>
      <c r="CT9" s="139"/>
      <c r="CU9" s="139"/>
      <c r="CV9" s="139"/>
      <c r="CW9" s="139"/>
      <c r="CX9" s="139"/>
      <c r="CY9" s="139"/>
      <c r="CZ9" s="139"/>
      <c r="DA9" s="139"/>
      <c r="DB9" s="139"/>
      <c r="DC9" s="139"/>
      <c r="DD9" s="139"/>
      <c r="DE9" s="139"/>
      <c r="DF9" s="139"/>
      <c r="DG9" s="139"/>
      <c r="DH9" s="139"/>
      <c r="DI9" s="139"/>
      <c r="DJ9" s="139"/>
      <c r="DK9" s="139"/>
      <c r="DL9" s="139"/>
      <c r="DM9" s="139"/>
      <c r="DN9" s="139"/>
      <c r="DO9" s="139"/>
      <c r="DP9" s="139"/>
      <c r="DQ9" s="139"/>
      <c r="DR9" s="139"/>
      <c r="DS9" s="139"/>
      <c r="DT9" s="139"/>
      <c r="DU9" s="139"/>
      <c r="DV9" s="139"/>
      <c r="DW9" s="139"/>
      <c r="DX9" s="139"/>
      <c r="DY9" s="139"/>
      <c r="DZ9" s="139"/>
      <c r="EA9" s="139"/>
      <c r="EB9" s="139"/>
      <c r="EC9" s="139"/>
      <c r="ED9" s="139"/>
      <c r="EE9" s="139"/>
      <c r="EF9" s="139"/>
      <c r="EG9" s="139"/>
      <c r="EH9" s="139"/>
      <c r="EI9" s="139"/>
      <c r="EJ9" s="139"/>
      <c r="EK9" s="139"/>
      <c r="EL9" s="139"/>
      <c r="EM9" s="139"/>
      <c r="EN9" s="139"/>
      <c r="EO9" s="139"/>
      <c r="EP9" s="139"/>
      <c r="EQ9" s="139"/>
      <c r="ER9" s="139"/>
      <c r="ES9" s="139"/>
      <c r="ET9" s="139"/>
      <c r="EU9" s="139"/>
      <c r="EV9" s="139"/>
      <c r="EW9" s="139"/>
      <c r="EX9" s="139"/>
      <c r="EY9" s="139"/>
      <c r="EZ9" s="139"/>
      <c r="FA9" s="139"/>
      <c r="FB9" s="139"/>
      <c r="FC9" s="139"/>
      <c r="FD9" s="139"/>
      <c r="FE9" s="139"/>
      <c r="FF9" s="139"/>
      <c r="FG9" s="139"/>
      <c r="FH9" s="139"/>
      <c r="FI9" s="139"/>
      <c r="FJ9" s="139"/>
      <c r="FK9" s="139"/>
      <c r="FL9" s="139"/>
      <c r="FM9" s="139"/>
      <c r="FN9" s="139"/>
      <c r="FO9" s="139"/>
      <c r="FP9" s="139"/>
      <c r="FQ9" s="139"/>
      <c r="FR9" s="139"/>
      <c r="FS9" s="139"/>
      <c r="FT9" s="139"/>
      <c r="FU9" s="139"/>
      <c r="FV9" s="139"/>
      <c r="FW9" s="139"/>
      <c r="FX9" s="139"/>
      <c r="FY9" s="139"/>
      <c r="FZ9" s="139"/>
      <c r="GA9" s="139"/>
      <c r="GB9" s="139"/>
      <c r="GC9" s="139"/>
      <c r="GD9" s="139"/>
      <c r="GE9" s="139"/>
      <c r="GF9" s="139"/>
      <c r="GG9" s="139"/>
      <c r="GH9" s="139"/>
      <c r="GI9" s="139"/>
      <c r="GJ9" s="139"/>
      <c r="GK9" s="48"/>
      <c r="GL9" s="27"/>
    </row>
    <row r="10" spans="1:194" x14ac:dyDescent="0.3">
      <c r="A10" s="155"/>
      <c r="B10" s="135"/>
      <c r="C10" s="135"/>
      <c r="D10" s="135"/>
      <c r="E10" s="178"/>
      <c r="F10" s="178"/>
      <c r="G10" s="135"/>
      <c r="H10" s="135"/>
      <c r="I10" s="135"/>
      <c r="J10" s="135"/>
      <c r="K10" s="135"/>
      <c r="L10" s="135"/>
      <c r="M10" s="136"/>
      <c r="N10" s="136"/>
      <c r="O10" s="136"/>
      <c r="P10" s="136"/>
      <c r="Q10" s="136"/>
      <c r="R10" s="136"/>
      <c r="S10" s="136"/>
      <c r="T10" s="136"/>
      <c r="U10" s="136"/>
      <c r="V10" s="136"/>
      <c r="W10" s="136"/>
      <c r="X10" s="137"/>
      <c r="Y10" s="137"/>
      <c r="Z10" s="137"/>
      <c r="AA10" s="137"/>
      <c r="AB10" s="137"/>
      <c r="AC10" s="137"/>
      <c r="AD10" s="137"/>
      <c r="AE10" s="137"/>
      <c r="AF10" s="137"/>
      <c r="AG10" s="137"/>
      <c r="AH10" s="137"/>
      <c r="AI10" s="137"/>
      <c r="AJ10" s="137"/>
      <c r="AK10" s="137"/>
      <c r="AL10" s="137"/>
      <c r="AM10" s="137"/>
      <c r="AN10" s="137"/>
      <c r="AO10" s="137"/>
      <c r="AP10" s="137"/>
      <c r="AQ10" s="137"/>
      <c r="AR10" s="137"/>
      <c r="AS10" s="137"/>
      <c r="AT10" s="137"/>
      <c r="AU10" s="138"/>
      <c r="AV10" s="135"/>
      <c r="AW10" s="135"/>
      <c r="AX10" s="139"/>
      <c r="AY10" s="139"/>
      <c r="AZ10" s="139"/>
      <c r="BA10" s="139"/>
      <c r="BB10" s="139"/>
      <c r="BC10" s="139"/>
      <c r="BD10" s="139"/>
      <c r="BE10" s="139"/>
      <c r="BF10" s="139"/>
      <c r="BG10" s="139"/>
      <c r="BH10" s="139"/>
      <c r="BI10" s="139"/>
      <c r="BJ10" s="140"/>
      <c r="BK10" s="139"/>
      <c r="BL10" s="139"/>
      <c r="BM10" s="139"/>
      <c r="BN10" s="139"/>
      <c r="BO10" s="139"/>
      <c r="BP10" s="139"/>
      <c r="BQ10" s="139"/>
      <c r="BR10" s="139"/>
      <c r="BS10" s="139"/>
      <c r="BT10" s="139"/>
      <c r="BU10" s="139"/>
      <c r="BV10" s="139"/>
      <c r="BW10" s="139"/>
      <c r="BX10" s="139"/>
      <c r="BY10" s="139"/>
      <c r="BZ10" s="139"/>
      <c r="CA10" s="139"/>
      <c r="CB10" s="139"/>
      <c r="CC10" s="139"/>
      <c r="CD10" s="139"/>
      <c r="CE10" s="139"/>
      <c r="CF10" s="139"/>
      <c r="CG10" s="139"/>
      <c r="CH10" s="139"/>
      <c r="CI10" s="139"/>
      <c r="CJ10" s="139"/>
      <c r="CK10" s="139"/>
      <c r="CL10" s="139"/>
      <c r="CM10" s="139"/>
      <c r="CN10" s="139"/>
      <c r="CO10" s="139"/>
      <c r="CP10" s="139"/>
      <c r="CQ10" s="139"/>
      <c r="CR10" s="139"/>
      <c r="CS10" s="139"/>
      <c r="CT10" s="139"/>
      <c r="CU10" s="139"/>
      <c r="CV10" s="139"/>
      <c r="CW10" s="139"/>
      <c r="CX10" s="139"/>
      <c r="CY10" s="139"/>
      <c r="CZ10" s="139"/>
      <c r="DA10" s="139"/>
      <c r="DB10" s="139"/>
      <c r="DC10" s="139"/>
      <c r="DD10" s="139"/>
      <c r="DE10" s="139"/>
      <c r="DF10" s="139"/>
      <c r="DG10" s="139"/>
      <c r="DH10" s="139"/>
      <c r="DI10" s="139"/>
      <c r="DJ10" s="139"/>
      <c r="DK10" s="139"/>
      <c r="DL10" s="139"/>
      <c r="DM10" s="139"/>
      <c r="DN10" s="139"/>
      <c r="DO10" s="139"/>
      <c r="DP10" s="139"/>
      <c r="DQ10" s="139"/>
      <c r="DR10" s="139"/>
      <c r="DS10" s="139"/>
      <c r="DT10" s="139"/>
      <c r="DU10" s="139"/>
      <c r="DV10" s="139"/>
      <c r="DW10" s="139"/>
      <c r="DX10" s="139"/>
      <c r="DY10" s="139"/>
      <c r="DZ10" s="139"/>
      <c r="EA10" s="139"/>
      <c r="EB10" s="139"/>
      <c r="EC10" s="139"/>
      <c r="ED10" s="139"/>
      <c r="EE10" s="139"/>
      <c r="EF10" s="139"/>
      <c r="EG10" s="139"/>
      <c r="EH10" s="139"/>
      <c r="EI10" s="139"/>
      <c r="EJ10" s="139"/>
      <c r="EK10" s="139"/>
      <c r="EL10" s="139"/>
      <c r="EM10" s="139"/>
      <c r="EN10" s="139"/>
      <c r="EO10" s="139"/>
      <c r="EP10" s="139"/>
      <c r="EQ10" s="139"/>
      <c r="ER10" s="139"/>
      <c r="ES10" s="139"/>
      <c r="ET10" s="139"/>
      <c r="EU10" s="139"/>
      <c r="EV10" s="139"/>
      <c r="EW10" s="139"/>
      <c r="EX10" s="139"/>
      <c r="EY10" s="139"/>
      <c r="EZ10" s="139"/>
      <c r="FA10" s="139"/>
      <c r="FB10" s="139"/>
      <c r="FC10" s="139"/>
      <c r="FD10" s="139"/>
      <c r="FE10" s="139"/>
      <c r="FF10" s="139"/>
      <c r="FG10" s="139"/>
      <c r="FH10" s="139"/>
      <c r="FI10" s="139"/>
      <c r="FJ10" s="139"/>
      <c r="FK10" s="139"/>
      <c r="FL10" s="139"/>
      <c r="FM10" s="139"/>
      <c r="FN10" s="139"/>
      <c r="FO10" s="139"/>
      <c r="FP10" s="139"/>
      <c r="FQ10" s="139"/>
      <c r="FR10" s="139"/>
      <c r="FS10" s="139"/>
      <c r="FT10" s="139"/>
      <c r="FU10" s="139"/>
      <c r="FV10" s="139"/>
      <c r="FW10" s="139"/>
      <c r="FX10" s="139"/>
      <c r="FY10" s="139"/>
      <c r="FZ10" s="139"/>
      <c r="GA10" s="139"/>
      <c r="GB10" s="139"/>
      <c r="GC10" s="139"/>
      <c r="GD10" s="139"/>
      <c r="GE10" s="139"/>
      <c r="GF10" s="139"/>
      <c r="GG10" s="139"/>
      <c r="GH10" s="139"/>
      <c r="GI10" s="139"/>
      <c r="GJ10" s="139"/>
      <c r="GK10" s="48"/>
      <c r="GL10" s="27"/>
    </row>
    <row r="11" spans="1:194" x14ac:dyDescent="0.3">
      <c r="A11" s="155"/>
      <c r="B11" s="135"/>
      <c r="C11" s="135"/>
      <c r="D11" s="135"/>
      <c r="E11" s="178"/>
      <c r="F11" s="178"/>
      <c r="G11" s="135"/>
      <c r="H11" s="135"/>
      <c r="I11" s="135"/>
      <c r="J11" s="135"/>
      <c r="K11" s="135"/>
      <c r="L11" s="135"/>
      <c r="M11" s="136"/>
      <c r="N11" s="136"/>
      <c r="O11" s="136"/>
      <c r="P11" s="136"/>
      <c r="Q11" s="136"/>
      <c r="R11" s="136"/>
      <c r="S11" s="136"/>
      <c r="T11" s="136"/>
      <c r="U11" s="136"/>
      <c r="V11" s="136"/>
      <c r="W11" s="136"/>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8"/>
      <c r="AV11" s="135"/>
      <c r="AW11" s="135"/>
      <c r="AX11" s="139"/>
      <c r="AY11" s="139"/>
      <c r="AZ11" s="139"/>
      <c r="BA11" s="139"/>
      <c r="BB11" s="139"/>
      <c r="BC11" s="139"/>
      <c r="BD11" s="139"/>
      <c r="BE11" s="139"/>
      <c r="BF11" s="139"/>
      <c r="BG11" s="139"/>
      <c r="BH11" s="139"/>
      <c r="BI11" s="139"/>
      <c r="BJ11" s="140"/>
      <c r="BK11" s="139"/>
      <c r="BL11" s="139"/>
      <c r="BM11" s="139"/>
      <c r="BN11" s="139"/>
      <c r="BO11" s="139"/>
      <c r="BP11" s="139"/>
      <c r="BQ11" s="139"/>
      <c r="BR11" s="139"/>
      <c r="BS11" s="139"/>
      <c r="BT11" s="139"/>
      <c r="BU11" s="139"/>
      <c r="BV11" s="139"/>
      <c r="BW11" s="139"/>
      <c r="BX11" s="139"/>
      <c r="BY11" s="139"/>
      <c r="BZ11" s="139"/>
      <c r="CA11" s="139"/>
      <c r="CB11" s="139"/>
      <c r="CC11" s="139"/>
      <c r="CD11" s="139"/>
      <c r="CE11" s="139"/>
      <c r="CF11" s="139"/>
      <c r="CG11" s="139"/>
      <c r="CH11" s="139"/>
      <c r="CI11" s="139"/>
      <c r="CJ11" s="139"/>
      <c r="CK11" s="139"/>
      <c r="CL11" s="139"/>
      <c r="CM11" s="139"/>
      <c r="CN11" s="139"/>
      <c r="CO11" s="139"/>
      <c r="CP11" s="139"/>
      <c r="CQ11" s="139"/>
      <c r="CR11" s="139"/>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9"/>
      <c r="DS11" s="139"/>
      <c r="DT11" s="139"/>
      <c r="DU11" s="139"/>
      <c r="DV11" s="139"/>
      <c r="DW11" s="139"/>
      <c r="DX11" s="139"/>
      <c r="DY11" s="139"/>
      <c r="DZ11" s="139"/>
      <c r="EA11" s="139"/>
      <c r="EB11" s="139"/>
      <c r="EC11" s="139"/>
      <c r="ED11" s="139"/>
      <c r="EE11" s="139"/>
      <c r="EF11" s="139"/>
      <c r="EG11" s="139"/>
      <c r="EH11" s="139"/>
      <c r="EI11" s="139"/>
      <c r="EJ11" s="139"/>
      <c r="EK11" s="139"/>
      <c r="EL11" s="139"/>
      <c r="EM11" s="139"/>
      <c r="EN11" s="139"/>
      <c r="EO11" s="139"/>
      <c r="EP11" s="139"/>
      <c r="EQ11" s="139"/>
      <c r="ER11" s="139"/>
      <c r="ES11" s="139"/>
      <c r="ET11" s="139"/>
      <c r="EU11" s="139"/>
      <c r="EV11" s="139"/>
      <c r="EW11" s="139"/>
      <c r="EX11" s="139"/>
      <c r="EY11" s="139"/>
      <c r="EZ11" s="139"/>
      <c r="FA11" s="139"/>
      <c r="FB11" s="139"/>
      <c r="FC11" s="139"/>
      <c r="FD11" s="139"/>
      <c r="FE11" s="139"/>
      <c r="FF11" s="139"/>
      <c r="FG11" s="139"/>
      <c r="FH11" s="139"/>
      <c r="FI11" s="139"/>
      <c r="FJ11" s="139"/>
      <c r="FK11" s="139"/>
      <c r="FL11" s="139"/>
      <c r="FM11" s="139"/>
      <c r="FN11" s="139"/>
      <c r="FO11" s="139"/>
      <c r="FP11" s="139"/>
      <c r="FQ11" s="139"/>
      <c r="FR11" s="139"/>
      <c r="FS11" s="139"/>
      <c r="FT11" s="139"/>
      <c r="FU11" s="139"/>
      <c r="FV11" s="139"/>
      <c r="FW11" s="139"/>
      <c r="FX11" s="139"/>
      <c r="FY11" s="139"/>
      <c r="FZ11" s="139"/>
      <c r="GA11" s="139"/>
      <c r="GB11" s="139"/>
      <c r="GC11" s="139"/>
      <c r="GD11" s="139"/>
      <c r="GE11" s="139"/>
      <c r="GF11" s="139"/>
      <c r="GG11" s="139"/>
      <c r="GH11" s="139"/>
      <c r="GI11" s="139"/>
      <c r="GJ11" s="139"/>
      <c r="GK11" s="48"/>
      <c r="GL11" s="27"/>
    </row>
    <row r="12" spans="1:194" x14ac:dyDescent="0.3">
      <c r="A12" s="155"/>
      <c r="B12" s="135"/>
      <c r="C12" s="135"/>
      <c r="D12" s="135"/>
      <c r="E12" s="178"/>
      <c r="F12" s="178"/>
      <c r="G12" s="135"/>
      <c r="H12" s="135"/>
      <c r="I12" s="135"/>
      <c r="J12" s="135"/>
      <c r="K12" s="135"/>
      <c r="L12" s="135"/>
      <c r="M12" s="136"/>
      <c r="N12" s="136"/>
      <c r="O12" s="136"/>
      <c r="P12" s="136"/>
      <c r="Q12" s="136"/>
      <c r="R12" s="136"/>
      <c r="S12" s="136"/>
      <c r="T12" s="136"/>
      <c r="U12" s="136"/>
      <c r="V12" s="136"/>
      <c r="W12" s="136"/>
      <c r="X12" s="137"/>
      <c r="Y12" s="137"/>
      <c r="Z12" s="137"/>
      <c r="AA12" s="137"/>
      <c r="AB12" s="137"/>
      <c r="AC12" s="137"/>
      <c r="AD12" s="137"/>
      <c r="AE12" s="137"/>
      <c r="AF12" s="137"/>
      <c r="AG12" s="137"/>
      <c r="AH12" s="137"/>
      <c r="AI12" s="137"/>
      <c r="AJ12" s="137"/>
      <c r="AK12" s="137"/>
      <c r="AL12" s="137"/>
      <c r="AM12" s="137"/>
      <c r="AN12" s="137"/>
      <c r="AO12" s="137"/>
      <c r="AP12" s="137"/>
      <c r="AQ12" s="137"/>
      <c r="AR12" s="137"/>
      <c r="AS12" s="137"/>
      <c r="AT12" s="137"/>
      <c r="AU12" s="138"/>
      <c r="AV12" s="135"/>
      <c r="AW12" s="135"/>
      <c r="AX12" s="139"/>
      <c r="AY12" s="139"/>
      <c r="AZ12" s="139"/>
      <c r="BA12" s="139"/>
      <c r="BB12" s="139"/>
      <c r="BC12" s="139"/>
      <c r="BD12" s="139"/>
      <c r="BE12" s="139"/>
      <c r="BF12" s="139"/>
      <c r="BG12" s="139"/>
      <c r="BH12" s="139"/>
      <c r="BI12" s="139"/>
      <c r="BJ12" s="140"/>
      <c r="BK12" s="139"/>
      <c r="BL12" s="139"/>
      <c r="BM12" s="139"/>
      <c r="BN12" s="139"/>
      <c r="BO12" s="139"/>
      <c r="BP12" s="139"/>
      <c r="BQ12" s="139"/>
      <c r="BR12" s="139"/>
      <c r="BS12" s="139"/>
      <c r="BT12" s="139"/>
      <c r="BU12" s="139"/>
      <c r="BV12" s="139"/>
      <c r="BW12" s="139"/>
      <c r="BX12" s="139"/>
      <c r="BY12" s="139"/>
      <c r="BZ12" s="139"/>
      <c r="CA12" s="139"/>
      <c r="CB12" s="139"/>
      <c r="CC12" s="139"/>
      <c r="CD12" s="139"/>
      <c r="CE12" s="139"/>
      <c r="CF12" s="139"/>
      <c r="CG12" s="139"/>
      <c r="CH12" s="139"/>
      <c r="CI12" s="139"/>
      <c r="CJ12" s="139"/>
      <c r="CK12" s="139"/>
      <c r="CL12" s="139"/>
      <c r="CM12" s="139"/>
      <c r="CN12" s="139"/>
      <c r="CO12" s="139"/>
      <c r="CP12" s="139"/>
      <c r="CQ12" s="139"/>
      <c r="CR12" s="139"/>
      <c r="CS12" s="139"/>
      <c r="CT12" s="139"/>
      <c r="CU12" s="139"/>
      <c r="CV12" s="139"/>
      <c r="CW12" s="139"/>
      <c r="CX12" s="139"/>
      <c r="CY12" s="139"/>
      <c r="CZ12" s="139"/>
      <c r="DA12" s="139"/>
      <c r="DB12" s="139"/>
      <c r="DC12" s="139"/>
      <c r="DD12" s="139"/>
      <c r="DE12" s="139"/>
      <c r="DF12" s="139"/>
      <c r="DG12" s="139"/>
      <c r="DH12" s="139"/>
      <c r="DI12" s="139"/>
      <c r="DJ12" s="139"/>
      <c r="DK12" s="139"/>
      <c r="DL12" s="139"/>
      <c r="DM12" s="139"/>
      <c r="DN12" s="139"/>
      <c r="DO12" s="139"/>
      <c r="DP12" s="139"/>
      <c r="DQ12" s="139"/>
      <c r="DR12" s="139"/>
      <c r="DS12" s="139"/>
      <c r="DT12" s="139"/>
      <c r="DU12" s="139"/>
      <c r="DV12" s="139"/>
      <c r="DW12" s="139"/>
      <c r="DX12" s="139"/>
      <c r="DY12" s="139"/>
      <c r="DZ12" s="139"/>
      <c r="EA12" s="139"/>
      <c r="EB12" s="139"/>
      <c r="EC12" s="139"/>
      <c r="ED12" s="139"/>
      <c r="EE12" s="139"/>
      <c r="EF12" s="139"/>
      <c r="EG12" s="139"/>
      <c r="EH12" s="139"/>
      <c r="EI12" s="139"/>
      <c r="EJ12" s="139"/>
      <c r="EK12" s="139"/>
      <c r="EL12" s="139"/>
      <c r="EM12" s="139"/>
      <c r="EN12" s="139"/>
      <c r="EO12" s="139"/>
      <c r="EP12" s="139"/>
      <c r="EQ12" s="139"/>
      <c r="ER12" s="139"/>
      <c r="ES12" s="139"/>
      <c r="ET12" s="139"/>
      <c r="EU12" s="139"/>
      <c r="EV12" s="139"/>
      <c r="EW12" s="139"/>
      <c r="EX12" s="139"/>
      <c r="EY12" s="139"/>
      <c r="EZ12" s="139"/>
      <c r="FA12" s="139"/>
      <c r="FB12" s="139"/>
      <c r="FC12" s="139"/>
      <c r="FD12" s="139"/>
      <c r="FE12" s="139"/>
      <c r="FF12" s="139"/>
      <c r="FG12" s="139"/>
      <c r="FH12" s="139"/>
      <c r="FI12" s="139"/>
      <c r="FJ12" s="139"/>
      <c r="FK12" s="139"/>
      <c r="FL12" s="139"/>
      <c r="FM12" s="139"/>
      <c r="FN12" s="139"/>
      <c r="FO12" s="139"/>
      <c r="FP12" s="139"/>
      <c r="FQ12" s="139"/>
      <c r="FR12" s="139"/>
      <c r="FS12" s="139"/>
      <c r="FT12" s="139"/>
      <c r="FU12" s="139"/>
      <c r="FV12" s="139"/>
      <c r="FW12" s="139"/>
      <c r="FX12" s="139"/>
      <c r="FY12" s="139"/>
      <c r="FZ12" s="139"/>
      <c r="GA12" s="139"/>
      <c r="GB12" s="139"/>
      <c r="GC12" s="139"/>
      <c r="GD12" s="139"/>
      <c r="GE12" s="139"/>
      <c r="GF12" s="139"/>
      <c r="GG12" s="139"/>
      <c r="GH12" s="139"/>
      <c r="GI12" s="139"/>
      <c r="GJ12" s="139"/>
      <c r="GK12" s="48"/>
      <c r="GL12" s="27"/>
    </row>
    <row r="13" spans="1:194" x14ac:dyDescent="0.3">
      <c r="A13" s="155"/>
      <c r="B13" s="135"/>
      <c r="C13" s="135"/>
      <c r="D13" s="135"/>
      <c r="E13" s="178"/>
      <c r="F13" s="178"/>
      <c r="G13" s="135"/>
      <c r="H13" s="135"/>
      <c r="I13" s="135"/>
      <c r="J13" s="135"/>
      <c r="K13" s="135"/>
      <c r="L13" s="135"/>
      <c r="M13" s="136"/>
      <c r="N13" s="136"/>
      <c r="O13" s="136"/>
      <c r="P13" s="136"/>
      <c r="Q13" s="136"/>
      <c r="R13" s="136"/>
      <c r="S13" s="136"/>
      <c r="T13" s="136"/>
      <c r="U13" s="136"/>
      <c r="V13" s="136"/>
      <c r="W13" s="136"/>
      <c r="X13" s="137"/>
      <c r="Y13" s="137"/>
      <c r="Z13" s="137"/>
      <c r="AA13" s="137"/>
      <c r="AB13" s="137"/>
      <c r="AC13" s="137"/>
      <c r="AD13" s="137"/>
      <c r="AE13" s="137"/>
      <c r="AF13" s="137"/>
      <c r="AG13" s="137"/>
      <c r="AH13" s="137"/>
      <c r="AI13" s="137"/>
      <c r="AJ13" s="137"/>
      <c r="AK13" s="137"/>
      <c r="AL13" s="137"/>
      <c r="AM13" s="137"/>
      <c r="AN13" s="137"/>
      <c r="AO13" s="137"/>
      <c r="AP13" s="137"/>
      <c r="AQ13" s="137"/>
      <c r="AR13" s="137"/>
      <c r="AS13" s="137"/>
      <c r="AT13" s="137"/>
      <c r="AU13" s="138"/>
      <c r="AV13" s="135"/>
      <c r="AW13" s="135"/>
      <c r="AX13" s="139"/>
      <c r="AY13" s="139"/>
      <c r="AZ13" s="139"/>
      <c r="BA13" s="139"/>
      <c r="BB13" s="139"/>
      <c r="BC13" s="139"/>
      <c r="BD13" s="139"/>
      <c r="BE13" s="139"/>
      <c r="BF13" s="139"/>
      <c r="BG13" s="139"/>
      <c r="BH13" s="139"/>
      <c r="BI13" s="139"/>
      <c r="BJ13" s="140"/>
      <c r="BK13" s="139"/>
      <c r="BL13" s="139"/>
      <c r="BM13" s="139"/>
      <c r="BN13" s="139"/>
      <c r="BO13" s="139"/>
      <c r="BP13" s="139"/>
      <c r="BQ13" s="139"/>
      <c r="BR13" s="139"/>
      <c r="BS13" s="139"/>
      <c r="BT13" s="139"/>
      <c r="BU13" s="139"/>
      <c r="BV13" s="139"/>
      <c r="BW13" s="139"/>
      <c r="BX13" s="139"/>
      <c r="BY13" s="139"/>
      <c r="BZ13" s="139"/>
      <c r="CA13" s="139"/>
      <c r="CB13" s="139"/>
      <c r="CC13" s="139"/>
      <c r="CD13" s="139"/>
      <c r="CE13" s="139"/>
      <c r="CF13" s="139"/>
      <c r="CG13" s="139"/>
      <c r="CH13" s="139"/>
      <c r="CI13" s="139"/>
      <c r="CJ13" s="139"/>
      <c r="CK13" s="139"/>
      <c r="CL13" s="139"/>
      <c r="CM13" s="139"/>
      <c r="CN13" s="139"/>
      <c r="CO13" s="139"/>
      <c r="CP13" s="139"/>
      <c r="CQ13" s="139"/>
      <c r="CR13" s="139"/>
      <c r="CS13" s="139"/>
      <c r="CT13" s="139"/>
      <c r="CU13" s="139"/>
      <c r="CV13" s="139"/>
      <c r="CW13" s="139"/>
      <c r="CX13" s="139"/>
      <c r="CY13" s="139"/>
      <c r="CZ13" s="139"/>
      <c r="DA13" s="139"/>
      <c r="DB13" s="139"/>
      <c r="DC13" s="139"/>
      <c r="DD13" s="139"/>
      <c r="DE13" s="139"/>
      <c r="DF13" s="139"/>
      <c r="DG13" s="139"/>
      <c r="DH13" s="139"/>
      <c r="DI13" s="139"/>
      <c r="DJ13" s="139"/>
      <c r="DK13" s="139"/>
      <c r="DL13" s="139"/>
      <c r="DM13" s="139"/>
      <c r="DN13" s="139"/>
      <c r="DO13" s="139"/>
      <c r="DP13" s="139"/>
      <c r="DQ13" s="139"/>
      <c r="DR13" s="139"/>
      <c r="DS13" s="139"/>
      <c r="DT13" s="139"/>
      <c r="DU13" s="139"/>
      <c r="DV13" s="139"/>
      <c r="DW13" s="139"/>
      <c r="DX13" s="139"/>
      <c r="DY13" s="139"/>
      <c r="DZ13" s="139"/>
      <c r="EA13" s="139"/>
      <c r="EB13" s="139"/>
      <c r="EC13" s="139"/>
      <c r="ED13" s="139"/>
      <c r="EE13" s="139"/>
      <c r="EF13" s="139"/>
      <c r="EG13" s="139"/>
      <c r="EH13" s="139"/>
      <c r="EI13" s="139"/>
      <c r="EJ13" s="139"/>
      <c r="EK13" s="139"/>
      <c r="EL13" s="139"/>
      <c r="EM13" s="139"/>
      <c r="EN13" s="139"/>
      <c r="EO13" s="139"/>
      <c r="EP13" s="139"/>
      <c r="EQ13" s="139"/>
      <c r="ER13" s="139"/>
      <c r="ES13" s="139"/>
      <c r="ET13" s="139"/>
      <c r="EU13" s="139"/>
      <c r="EV13" s="139"/>
      <c r="EW13" s="139"/>
      <c r="EX13" s="139"/>
      <c r="EY13" s="139"/>
      <c r="EZ13" s="139"/>
      <c r="FA13" s="139"/>
      <c r="FB13" s="139"/>
      <c r="FC13" s="139"/>
      <c r="FD13" s="139"/>
      <c r="FE13" s="139"/>
      <c r="FF13" s="139"/>
      <c r="FG13" s="139"/>
      <c r="FH13" s="139"/>
      <c r="FI13" s="139"/>
      <c r="FJ13" s="139"/>
      <c r="FK13" s="139"/>
      <c r="FL13" s="139"/>
      <c r="FM13" s="139"/>
      <c r="FN13" s="139"/>
      <c r="FO13" s="139"/>
      <c r="FP13" s="139"/>
      <c r="FQ13" s="139"/>
      <c r="FR13" s="139"/>
      <c r="FS13" s="139"/>
      <c r="FT13" s="139"/>
      <c r="FU13" s="139"/>
      <c r="FV13" s="139"/>
      <c r="FW13" s="139"/>
      <c r="FX13" s="139"/>
      <c r="FY13" s="139"/>
      <c r="FZ13" s="139"/>
      <c r="GA13" s="139"/>
      <c r="GB13" s="139"/>
      <c r="GC13" s="139"/>
      <c r="GD13" s="139"/>
      <c r="GE13" s="139"/>
      <c r="GF13" s="139"/>
      <c r="GG13" s="139"/>
      <c r="GH13" s="139"/>
      <c r="GI13" s="139"/>
      <c r="GJ13" s="139"/>
      <c r="GK13" s="48"/>
      <c r="GL13" s="27"/>
    </row>
    <row r="14" spans="1:194" x14ac:dyDescent="0.3">
      <c r="A14" s="155"/>
      <c r="B14" s="135"/>
      <c r="C14" s="135"/>
      <c r="D14" s="135"/>
      <c r="E14" s="178"/>
      <c r="F14" s="178"/>
      <c r="G14" s="135"/>
      <c r="H14" s="135"/>
      <c r="I14" s="135"/>
      <c r="J14" s="135"/>
      <c r="K14" s="135"/>
      <c r="L14" s="135"/>
      <c r="M14" s="136"/>
      <c r="N14" s="136"/>
      <c r="O14" s="136"/>
      <c r="P14" s="136"/>
      <c r="Q14" s="136"/>
      <c r="R14" s="136"/>
      <c r="S14" s="136"/>
      <c r="T14" s="136"/>
      <c r="U14" s="136"/>
      <c r="V14" s="136"/>
      <c r="W14" s="136"/>
      <c r="X14" s="137"/>
      <c r="Y14" s="137"/>
      <c r="Z14" s="137"/>
      <c r="AA14" s="137"/>
      <c r="AB14" s="137"/>
      <c r="AC14" s="137"/>
      <c r="AD14" s="137"/>
      <c r="AE14" s="137"/>
      <c r="AF14" s="137"/>
      <c r="AG14" s="137"/>
      <c r="AH14" s="137"/>
      <c r="AI14" s="137"/>
      <c r="AJ14" s="137"/>
      <c r="AK14" s="137"/>
      <c r="AL14" s="137"/>
      <c r="AM14" s="137"/>
      <c r="AN14" s="137"/>
      <c r="AO14" s="137"/>
      <c r="AP14" s="137"/>
      <c r="AQ14" s="137"/>
      <c r="AR14" s="137"/>
      <c r="AS14" s="137"/>
      <c r="AT14" s="137"/>
      <c r="AU14" s="138"/>
      <c r="AV14" s="135"/>
      <c r="AW14" s="135"/>
      <c r="AX14" s="139"/>
      <c r="AY14" s="139"/>
      <c r="AZ14" s="139"/>
      <c r="BA14" s="139"/>
      <c r="BB14" s="139"/>
      <c r="BC14" s="139"/>
      <c r="BD14" s="139"/>
      <c r="BE14" s="139"/>
      <c r="BF14" s="139"/>
      <c r="BG14" s="139"/>
      <c r="BH14" s="139"/>
      <c r="BI14" s="139"/>
      <c r="BJ14" s="140"/>
      <c r="BK14" s="139"/>
      <c r="BL14" s="139"/>
      <c r="BM14" s="139"/>
      <c r="BN14" s="139"/>
      <c r="BO14" s="139"/>
      <c r="BP14" s="139"/>
      <c r="BQ14" s="139"/>
      <c r="BR14" s="139"/>
      <c r="BS14" s="139"/>
      <c r="BT14" s="139"/>
      <c r="BU14" s="139"/>
      <c r="BV14" s="139"/>
      <c r="BW14" s="139"/>
      <c r="BX14" s="139"/>
      <c r="BY14" s="139"/>
      <c r="BZ14" s="139"/>
      <c r="CA14" s="139"/>
      <c r="CB14" s="139"/>
      <c r="CC14" s="139"/>
      <c r="CD14" s="139"/>
      <c r="CE14" s="139"/>
      <c r="CF14" s="139"/>
      <c r="CG14" s="139"/>
      <c r="CH14" s="139"/>
      <c r="CI14" s="139"/>
      <c r="CJ14" s="139"/>
      <c r="CK14" s="139"/>
      <c r="CL14" s="139"/>
      <c r="CM14" s="139"/>
      <c r="CN14" s="139"/>
      <c r="CO14" s="139"/>
      <c r="CP14" s="139"/>
      <c r="CQ14" s="139"/>
      <c r="CR14" s="139"/>
      <c r="CS14" s="139"/>
      <c r="CT14" s="139"/>
      <c r="CU14" s="139"/>
      <c r="CV14" s="139"/>
      <c r="CW14" s="139"/>
      <c r="CX14" s="139"/>
      <c r="CY14" s="139"/>
      <c r="CZ14" s="139"/>
      <c r="DA14" s="139"/>
      <c r="DB14" s="139"/>
      <c r="DC14" s="139"/>
      <c r="DD14" s="139"/>
      <c r="DE14" s="139"/>
      <c r="DF14" s="139"/>
      <c r="DG14" s="139"/>
      <c r="DH14" s="139"/>
      <c r="DI14" s="139"/>
      <c r="DJ14" s="139"/>
      <c r="DK14" s="139"/>
      <c r="DL14" s="139"/>
      <c r="DM14" s="139"/>
      <c r="DN14" s="139"/>
      <c r="DO14" s="139"/>
      <c r="DP14" s="139"/>
      <c r="DQ14" s="139"/>
      <c r="DR14" s="139"/>
      <c r="DS14" s="139"/>
      <c r="DT14" s="139"/>
      <c r="DU14" s="139"/>
      <c r="DV14" s="139"/>
      <c r="DW14" s="139"/>
      <c r="DX14" s="139"/>
      <c r="DY14" s="139"/>
      <c r="DZ14" s="139"/>
      <c r="EA14" s="139"/>
      <c r="EB14" s="139"/>
      <c r="EC14" s="139"/>
      <c r="ED14" s="139"/>
      <c r="EE14" s="139"/>
      <c r="EF14" s="139"/>
      <c r="EG14" s="139"/>
      <c r="EH14" s="139"/>
      <c r="EI14" s="139"/>
      <c r="EJ14" s="139"/>
      <c r="EK14" s="139"/>
      <c r="EL14" s="139"/>
      <c r="EM14" s="139"/>
      <c r="EN14" s="139"/>
      <c r="EO14" s="139"/>
      <c r="EP14" s="139"/>
      <c r="EQ14" s="139"/>
      <c r="ER14" s="139"/>
      <c r="ES14" s="139"/>
      <c r="ET14" s="139"/>
      <c r="EU14" s="139"/>
      <c r="EV14" s="139"/>
      <c r="EW14" s="139"/>
      <c r="EX14" s="139"/>
      <c r="EY14" s="139"/>
      <c r="EZ14" s="139"/>
      <c r="FA14" s="139"/>
      <c r="FB14" s="139"/>
      <c r="FC14" s="139"/>
      <c r="FD14" s="139"/>
      <c r="FE14" s="139"/>
      <c r="FF14" s="139"/>
      <c r="FG14" s="139"/>
      <c r="FH14" s="139"/>
      <c r="FI14" s="139"/>
      <c r="FJ14" s="139"/>
      <c r="FK14" s="139"/>
      <c r="FL14" s="139"/>
      <c r="FM14" s="139"/>
      <c r="FN14" s="139"/>
      <c r="FO14" s="139"/>
      <c r="FP14" s="139"/>
      <c r="FQ14" s="139"/>
      <c r="FR14" s="139"/>
      <c r="FS14" s="139"/>
      <c r="FT14" s="139"/>
      <c r="FU14" s="139"/>
      <c r="FV14" s="139"/>
      <c r="FW14" s="139"/>
      <c r="FX14" s="139"/>
      <c r="FY14" s="139"/>
      <c r="FZ14" s="139"/>
      <c r="GA14" s="139"/>
      <c r="GB14" s="139"/>
      <c r="GC14" s="139"/>
      <c r="GD14" s="139"/>
      <c r="GE14" s="139"/>
      <c r="GF14" s="139"/>
      <c r="GG14" s="139"/>
      <c r="GH14" s="139"/>
      <c r="GI14" s="139"/>
      <c r="GJ14" s="139"/>
      <c r="GK14" s="48"/>
      <c r="GL14" s="27"/>
    </row>
    <row r="15" spans="1:194" x14ac:dyDescent="0.3">
      <c r="A15" s="155"/>
      <c r="B15" s="135"/>
      <c r="C15" s="135"/>
      <c r="D15" s="135"/>
      <c r="E15" s="178"/>
      <c r="F15" s="178"/>
      <c r="G15" s="135"/>
      <c r="H15" s="135"/>
      <c r="I15" s="135"/>
      <c r="J15" s="135"/>
      <c r="K15" s="135"/>
      <c r="L15" s="135"/>
      <c r="M15" s="136"/>
      <c r="N15" s="136"/>
      <c r="O15" s="136"/>
      <c r="P15" s="136"/>
      <c r="Q15" s="136"/>
      <c r="R15" s="136"/>
      <c r="S15" s="136"/>
      <c r="T15" s="136"/>
      <c r="U15" s="136"/>
      <c r="V15" s="136"/>
      <c r="W15" s="136"/>
      <c r="X15" s="137"/>
      <c r="Y15" s="137"/>
      <c r="Z15" s="137"/>
      <c r="AA15" s="137"/>
      <c r="AB15" s="137"/>
      <c r="AC15" s="137"/>
      <c r="AD15" s="137"/>
      <c r="AE15" s="137"/>
      <c r="AF15" s="137"/>
      <c r="AG15" s="137"/>
      <c r="AH15" s="137"/>
      <c r="AI15" s="137"/>
      <c r="AJ15" s="137"/>
      <c r="AK15" s="137"/>
      <c r="AL15" s="137"/>
      <c r="AM15" s="137"/>
      <c r="AN15" s="137"/>
      <c r="AO15" s="137"/>
      <c r="AP15" s="137"/>
      <c r="AQ15" s="137"/>
      <c r="AR15" s="137"/>
      <c r="AS15" s="137"/>
      <c r="AT15" s="137"/>
      <c r="AU15" s="138"/>
      <c r="AV15" s="135"/>
      <c r="AW15" s="135"/>
      <c r="AX15" s="139"/>
      <c r="AY15" s="139"/>
      <c r="AZ15" s="139"/>
      <c r="BA15" s="139"/>
      <c r="BB15" s="139"/>
      <c r="BC15" s="139"/>
      <c r="BD15" s="139"/>
      <c r="BE15" s="139"/>
      <c r="BF15" s="139"/>
      <c r="BG15" s="139"/>
      <c r="BH15" s="139"/>
      <c r="BI15" s="139"/>
      <c r="BJ15" s="140"/>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139"/>
      <c r="CT15" s="139"/>
      <c r="CU15" s="139"/>
      <c r="CV15" s="139"/>
      <c r="CW15" s="139"/>
      <c r="CX15" s="139"/>
      <c r="CY15" s="139"/>
      <c r="CZ15" s="139"/>
      <c r="DA15" s="139"/>
      <c r="DB15" s="139"/>
      <c r="DC15" s="139"/>
      <c r="DD15" s="139"/>
      <c r="DE15" s="139"/>
      <c r="DF15" s="139"/>
      <c r="DG15" s="139"/>
      <c r="DH15" s="139"/>
      <c r="DI15" s="139"/>
      <c r="DJ15" s="139"/>
      <c r="DK15" s="139"/>
      <c r="DL15" s="139"/>
      <c r="DM15" s="139"/>
      <c r="DN15" s="139"/>
      <c r="DO15" s="139"/>
      <c r="DP15" s="139"/>
      <c r="DQ15" s="139"/>
      <c r="DR15" s="139"/>
      <c r="DS15" s="139"/>
      <c r="DT15" s="139"/>
      <c r="DU15" s="139"/>
      <c r="DV15" s="139"/>
      <c r="DW15" s="139"/>
      <c r="DX15" s="139"/>
      <c r="DY15" s="139"/>
      <c r="DZ15" s="139"/>
      <c r="EA15" s="139"/>
      <c r="EB15" s="139"/>
      <c r="EC15" s="139"/>
      <c r="ED15" s="139"/>
      <c r="EE15" s="139"/>
      <c r="EF15" s="139"/>
      <c r="EG15" s="139"/>
      <c r="EH15" s="139"/>
      <c r="EI15" s="139"/>
      <c r="EJ15" s="139"/>
      <c r="EK15" s="139"/>
      <c r="EL15" s="139"/>
      <c r="EM15" s="139"/>
      <c r="EN15" s="139"/>
      <c r="EO15" s="139"/>
      <c r="EP15" s="139"/>
      <c r="EQ15" s="139"/>
      <c r="ER15" s="139"/>
      <c r="ES15" s="139"/>
      <c r="ET15" s="139"/>
      <c r="EU15" s="139"/>
      <c r="EV15" s="139"/>
      <c r="EW15" s="139"/>
      <c r="EX15" s="139"/>
      <c r="EY15" s="139"/>
      <c r="EZ15" s="139"/>
      <c r="FA15" s="139"/>
      <c r="FB15" s="139"/>
      <c r="FC15" s="139"/>
      <c r="FD15" s="139"/>
      <c r="FE15" s="139"/>
      <c r="FF15" s="139"/>
      <c r="FG15" s="139"/>
      <c r="FH15" s="139"/>
      <c r="FI15" s="139"/>
      <c r="FJ15" s="139"/>
      <c r="FK15" s="139"/>
      <c r="FL15" s="139"/>
      <c r="FM15" s="139"/>
      <c r="FN15" s="139"/>
      <c r="FO15" s="139"/>
      <c r="FP15" s="139"/>
      <c r="FQ15" s="139"/>
      <c r="FR15" s="139"/>
      <c r="FS15" s="139"/>
      <c r="FT15" s="139"/>
      <c r="FU15" s="139"/>
      <c r="FV15" s="139"/>
      <c r="FW15" s="139"/>
      <c r="FX15" s="139"/>
      <c r="FY15" s="139"/>
      <c r="FZ15" s="139"/>
      <c r="GA15" s="139"/>
      <c r="GB15" s="139"/>
      <c r="GC15" s="139"/>
      <c r="GD15" s="139"/>
      <c r="GE15" s="139"/>
      <c r="GF15" s="139"/>
      <c r="GG15" s="139"/>
      <c r="GH15" s="139"/>
      <c r="GI15" s="139"/>
      <c r="GJ15" s="139"/>
      <c r="GK15" s="48"/>
      <c r="GL15" s="27"/>
    </row>
    <row r="16" spans="1:194" x14ac:dyDescent="0.3">
      <c r="A16" s="155"/>
      <c r="B16" s="135"/>
      <c r="C16" s="135"/>
      <c r="D16" s="135"/>
      <c r="E16" s="178"/>
      <c r="F16" s="178"/>
      <c r="G16" s="135"/>
      <c r="H16" s="135"/>
      <c r="I16" s="135"/>
      <c r="J16" s="135"/>
      <c r="K16" s="135"/>
      <c r="L16" s="135"/>
      <c r="M16" s="136"/>
      <c r="N16" s="136"/>
      <c r="O16" s="136"/>
      <c r="P16" s="136"/>
      <c r="Q16" s="136"/>
      <c r="R16" s="136"/>
      <c r="S16" s="136"/>
      <c r="T16" s="136"/>
      <c r="U16" s="136"/>
      <c r="V16" s="136"/>
      <c r="W16" s="136"/>
      <c r="X16" s="137"/>
      <c r="Y16" s="137"/>
      <c r="Z16" s="137"/>
      <c r="AA16" s="137"/>
      <c r="AB16" s="137"/>
      <c r="AC16" s="137"/>
      <c r="AD16" s="137"/>
      <c r="AE16" s="137"/>
      <c r="AF16" s="137"/>
      <c r="AG16" s="137"/>
      <c r="AH16" s="137"/>
      <c r="AI16" s="137"/>
      <c r="AJ16" s="137"/>
      <c r="AK16" s="137"/>
      <c r="AL16" s="137"/>
      <c r="AM16" s="137"/>
      <c r="AN16" s="137"/>
      <c r="AO16" s="137"/>
      <c r="AP16" s="137"/>
      <c r="AQ16" s="137"/>
      <c r="AR16" s="137"/>
      <c r="AS16" s="137"/>
      <c r="AT16" s="137"/>
      <c r="AU16" s="138"/>
      <c r="AV16" s="135"/>
      <c r="AW16" s="135"/>
      <c r="AX16" s="139"/>
      <c r="AY16" s="139"/>
      <c r="AZ16" s="139"/>
      <c r="BA16" s="139"/>
      <c r="BB16" s="139"/>
      <c r="BC16" s="139"/>
      <c r="BD16" s="139"/>
      <c r="BE16" s="139"/>
      <c r="BF16" s="139"/>
      <c r="BG16" s="139"/>
      <c r="BH16" s="139"/>
      <c r="BI16" s="139"/>
      <c r="BJ16" s="140"/>
      <c r="BK16" s="139"/>
      <c r="BL16" s="139"/>
      <c r="BM16" s="139"/>
      <c r="BN16" s="139"/>
      <c r="BO16" s="139"/>
      <c r="BP16" s="139"/>
      <c r="BQ16" s="139"/>
      <c r="BR16" s="139"/>
      <c r="BS16" s="139"/>
      <c r="BT16" s="139"/>
      <c r="BU16" s="139"/>
      <c r="BV16" s="139"/>
      <c r="BW16" s="139"/>
      <c r="BX16" s="139"/>
      <c r="BY16" s="139"/>
      <c r="BZ16" s="139"/>
      <c r="CA16" s="139"/>
      <c r="CB16" s="139"/>
      <c r="CC16" s="139"/>
      <c r="CD16" s="139"/>
      <c r="CE16" s="139"/>
      <c r="CF16" s="139"/>
      <c r="CG16" s="139"/>
      <c r="CH16" s="139"/>
      <c r="CI16" s="139"/>
      <c r="CJ16" s="139"/>
      <c r="CK16" s="139"/>
      <c r="CL16" s="139"/>
      <c r="CM16" s="139"/>
      <c r="CN16" s="139"/>
      <c r="CO16" s="139"/>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c r="DL16" s="139"/>
      <c r="DM16" s="139"/>
      <c r="DN16" s="139"/>
      <c r="DO16" s="139"/>
      <c r="DP16" s="139"/>
      <c r="DQ16" s="139"/>
      <c r="DR16" s="139"/>
      <c r="DS16" s="139"/>
      <c r="DT16" s="139"/>
      <c r="DU16" s="139"/>
      <c r="DV16" s="139"/>
      <c r="DW16" s="139"/>
      <c r="DX16" s="139"/>
      <c r="DY16" s="139"/>
      <c r="DZ16" s="139"/>
      <c r="EA16" s="139"/>
      <c r="EB16" s="139"/>
      <c r="EC16" s="139"/>
      <c r="ED16" s="139"/>
      <c r="EE16" s="139"/>
      <c r="EF16" s="139"/>
      <c r="EG16" s="139"/>
      <c r="EH16" s="139"/>
      <c r="EI16" s="139"/>
      <c r="EJ16" s="139"/>
      <c r="EK16" s="139"/>
      <c r="EL16" s="139"/>
      <c r="EM16" s="139"/>
      <c r="EN16" s="139"/>
      <c r="EO16" s="139"/>
      <c r="EP16" s="139"/>
      <c r="EQ16" s="139"/>
      <c r="ER16" s="139"/>
      <c r="ES16" s="139"/>
      <c r="ET16" s="139"/>
      <c r="EU16" s="139"/>
      <c r="EV16" s="139"/>
      <c r="EW16" s="139"/>
      <c r="EX16" s="139"/>
      <c r="EY16" s="139"/>
      <c r="EZ16" s="139"/>
      <c r="FA16" s="139"/>
      <c r="FB16" s="139"/>
      <c r="FC16" s="139"/>
      <c r="FD16" s="139"/>
      <c r="FE16" s="139"/>
      <c r="FF16" s="139"/>
      <c r="FG16" s="139"/>
      <c r="FH16" s="139"/>
      <c r="FI16" s="139"/>
      <c r="FJ16" s="139"/>
      <c r="FK16" s="139"/>
      <c r="FL16" s="139"/>
      <c r="FM16" s="139"/>
      <c r="FN16" s="139"/>
      <c r="FO16" s="139"/>
      <c r="FP16" s="139"/>
      <c r="FQ16" s="139"/>
      <c r="FR16" s="139"/>
      <c r="FS16" s="139"/>
      <c r="FT16" s="139"/>
      <c r="FU16" s="139"/>
      <c r="FV16" s="139"/>
      <c r="FW16" s="139"/>
      <c r="FX16" s="139"/>
      <c r="FY16" s="139"/>
      <c r="FZ16" s="139"/>
      <c r="GA16" s="139"/>
      <c r="GB16" s="139"/>
      <c r="GC16" s="139"/>
      <c r="GD16" s="139"/>
      <c r="GE16" s="139"/>
      <c r="GF16" s="139"/>
      <c r="GG16" s="139"/>
      <c r="GH16" s="139"/>
      <c r="GI16" s="139"/>
      <c r="GJ16" s="139"/>
      <c r="GK16" s="48"/>
      <c r="GL16" s="27"/>
    </row>
    <row r="17" spans="1:194" x14ac:dyDescent="0.3">
      <c r="A17" s="155"/>
      <c r="B17" s="135"/>
      <c r="C17" s="135"/>
      <c r="D17" s="135"/>
      <c r="E17" s="178"/>
      <c r="F17" s="178"/>
      <c r="G17" s="135"/>
      <c r="H17" s="135"/>
      <c r="I17" s="135"/>
      <c r="J17" s="135"/>
      <c r="K17" s="135"/>
      <c r="L17" s="135"/>
      <c r="M17" s="136"/>
      <c r="N17" s="136"/>
      <c r="O17" s="136"/>
      <c r="P17" s="136"/>
      <c r="Q17" s="136"/>
      <c r="R17" s="136"/>
      <c r="S17" s="136"/>
      <c r="T17" s="136"/>
      <c r="U17" s="136"/>
      <c r="V17" s="136"/>
      <c r="W17" s="136"/>
      <c r="X17" s="137"/>
      <c r="Y17" s="137"/>
      <c r="Z17" s="137"/>
      <c r="AA17" s="137"/>
      <c r="AB17" s="137"/>
      <c r="AC17" s="137"/>
      <c r="AD17" s="137"/>
      <c r="AE17" s="137"/>
      <c r="AF17" s="137"/>
      <c r="AG17" s="137"/>
      <c r="AH17" s="137"/>
      <c r="AI17" s="137"/>
      <c r="AJ17" s="137"/>
      <c r="AK17" s="137"/>
      <c r="AL17" s="137"/>
      <c r="AM17" s="137"/>
      <c r="AN17" s="137"/>
      <c r="AO17" s="137"/>
      <c r="AP17" s="137"/>
      <c r="AQ17" s="137"/>
      <c r="AR17" s="137"/>
      <c r="AS17" s="137"/>
      <c r="AT17" s="137"/>
      <c r="AU17" s="138"/>
      <c r="AV17" s="135"/>
      <c r="AW17" s="135"/>
      <c r="AX17" s="139"/>
      <c r="AY17" s="139"/>
      <c r="AZ17" s="139"/>
      <c r="BA17" s="139"/>
      <c r="BB17" s="139"/>
      <c r="BC17" s="139"/>
      <c r="BD17" s="139"/>
      <c r="BE17" s="139"/>
      <c r="BF17" s="139"/>
      <c r="BG17" s="139"/>
      <c r="BH17" s="139"/>
      <c r="BI17" s="139"/>
      <c r="BJ17" s="140"/>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c r="DL17" s="139"/>
      <c r="DM17" s="139"/>
      <c r="DN17" s="139"/>
      <c r="DO17" s="139"/>
      <c r="DP17" s="139"/>
      <c r="DQ17" s="139"/>
      <c r="DR17" s="139"/>
      <c r="DS17" s="139"/>
      <c r="DT17" s="139"/>
      <c r="DU17" s="139"/>
      <c r="DV17" s="139"/>
      <c r="DW17" s="139"/>
      <c r="DX17" s="139"/>
      <c r="DY17" s="139"/>
      <c r="DZ17" s="139"/>
      <c r="EA17" s="139"/>
      <c r="EB17" s="139"/>
      <c r="EC17" s="139"/>
      <c r="ED17" s="139"/>
      <c r="EE17" s="139"/>
      <c r="EF17" s="139"/>
      <c r="EG17" s="139"/>
      <c r="EH17" s="139"/>
      <c r="EI17" s="139"/>
      <c r="EJ17" s="139"/>
      <c r="EK17" s="139"/>
      <c r="EL17" s="139"/>
      <c r="EM17" s="139"/>
      <c r="EN17" s="139"/>
      <c r="EO17" s="139"/>
      <c r="EP17" s="139"/>
      <c r="EQ17" s="139"/>
      <c r="ER17" s="139"/>
      <c r="ES17" s="139"/>
      <c r="ET17" s="139"/>
      <c r="EU17" s="139"/>
      <c r="EV17" s="139"/>
      <c r="EW17" s="139"/>
      <c r="EX17" s="139"/>
      <c r="EY17" s="139"/>
      <c r="EZ17" s="139"/>
      <c r="FA17" s="139"/>
      <c r="FB17" s="139"/>
      <c r="FC17" s="139"/>
      <c r="FD17" s="139"/>
      <c r="FE17" s="139"/>
      <c r="FF17" s="139"/>
      <c r="FG17" s="139"/>
      <c r="FH17" s="139"/>
      <c r="FI17" s="139"/>
      <c r="FJ17" s="139"/>
      <c r="FK17" s="139"/>
      <c r="FL17" s="139"/>
      <c r="FM17" s="139"/>
      <c r="FN17" s="139"/>
      <c r="FO17" s="139"/>
      <c r="FP17" s="139"/>
      <c r="FQ17" s="139"/>
      <c r="FR17" s="139"/>
      <c r="FS17" s="139"/>
      <c r="FT17" s="139"/>
      <c r="FU17" s="139"/>
      <c r="FV17" s="139"/>
      <c r="FW17" s="139"/>
      <c r="FX17" s="139"/>
      <c r="FY17" s="139"/>
      <c r="FZ17" s="139"/>
      <c r="GA17" s="139"/>
      <c r="GB17" s="139"/>
      <c r="GC17" s="139"/>
      <c r="GD17" s="139"/>
      <c r="GE17" s="139"/>
      <c r="GF17" s="139"/>
      <c r="GG17" s="139"/>
      <c r="GH17" s="139"/>
      <c r="GI17" s="139"/>
      <c r="GJ17" s="139"/>
      <c r="GK17" s="48"/>
      <c r="GL17" s="27"/>
    </row>
    <row r="18" spans="1:194" x14ac:dyDescent="0.3">
      <c r="A18" s="155"/>
      <c r="B18" s="135"/>
      <c r="C18" s="135"/>
      <c r="D18" s="135"/>
      <c r="E18" s="178"/>
      <c r="F18" s="178"/>
      <c r="G18" s="135"/>
      <c r="H18" s="135"/>
      <c r="I18" s="135"/>
      <c r="J18" s="135"/>
      <c r="K18" s="135"/>
      <c r="L18" s="135"/>
      <c r="M18" s="136"/>
      <c r="N18" s="136"/>
      <c r="O18" s="136"/>
      <c r="P18" s="136"/>
      <c r="Q18" s="136"/>
      <c r="R18" s="136"/>
      <c r="S18" s="136"/>
      <c r="T18" s="136"/>
      <c r="U18" s="136"/>
      <c r="V18" s="136"/>
      <c r="W18" s="136"/>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8"/>
      <c r="AV18" s="135"/>
      <c r="AW18" s="135"/>
      <c r="AX18" s="139"/>
      <c r="AY18" s="139"/>
      <c r="AZ18" s="139"/>
      <c r="BA18" s="139"/>
      <c r="BB18" s="139"/>
      <c r="BC18" s="139"/>
      <c r="BD18" s="139"/>
      <c r="BE18" s="139"/>
      <c r="BF18" s="139"/>
      <c r="BG18" s="139"/>
      <c r="BH18" s="139"/>
      <c r="BI18" s="139"/>
      <c r="BJ18" s="140"/>
      <c r="BK18" s="139"/>
      <c r="BL18" s="139"/>
      <c r="BM18" s="139"/>
      <c r="BN18" s="139"/>
      <c r="BO18" s="139"/>
      <c r="BP18" s="139"/>
      <c r="BQ18" s="139"/>
      <c r="BR18" s="139"/>
      <c r="BS18" s="139"/>
      <c r="BT18" s="139"/>
      <c r="BU18" s="139"/>
      <c r="BV18" s="139"/>
      <c r="BW18" s="139"/>
      <c r="BX18" s="139"/>
      <c r="BY18" s="139"/>
      <c r="BZ18" s="139"/>
      <c r="CA18" s="139"/>
      <c r="CB18" s="139"/>
      <c r="CC18" s="139"/>
      <c r="CD18" s="139"/>
      <c r="CE18" s="139"/>
      <c r="CF18" s="139"/>
      <c r="CG18" s="139"/>
      <c r="CH18" s="139"/>
      <c r="CI18" s="139"/>
      <c r="CJ18" s="139"/>
      <c r="CK18" s="139"/>
      <c r="CL18" s="139"/>
      <c r="CM18" s="139"/>
      <c r="CN18" s="139"/>
      <c r="CO18" s="139"/>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c r="DL18" s="139"/>
      <c r="DM18" s="139"/>
      <c r="DN18" s="139"/>
      <c r="DO18" s="139"/>
      <c r="DP18" s="139"/>
      <c r="DQ18" s="139"/>
      <c r="DR18" s="139"/>
      <c r="DS18" s="139"/>
      <c r="DT18" s="139"/>
      <c r="DU18" s="139"/>
      <c r="DV18" s="139"/>
      <c r="DW18" s="139"/>
      <c r="DX18" s="139"/>
      <c r="DY18" s="139"/>
      <c r="DZ18" s="139"/>
      <c r="EA18" s="139"/>
      <c r="EB18" s="139"/>
      <c r="EC18" s="139"/>
      <c r="ED18" s="139"/>
      <c r="EE18" s="139"/>
      <c r="EF18" s="139"/>
      <c r="EG18" s="139"/>
      <c r="EH18" s="139"/>
      <c r="EI18" s="139"/>
      <c r="EJ18" s="139"/>
      <c r="EK18" s="139"/>
      <c r="EL18" s="139"/>
      <c r="EM18" s="139"/>
      <c r="EN18" s="139"/>
      <c r="EO18" s="139"/>
      <c r="EP18" s="139"/>
      <c r="EQ18" s="139"/>
      <c r="ER18" s="139"/>
      <c r="ES18" s="139"/>
      <c r="ET18" s="139"/>
      <c r="EU18" s="139"/>
      <c r="EV18" s="139"/>
      <c r="EW18" s="139"/>
      <c r="EX18" s="139"/>
      <c r="EY18" s="139"/>
      <c r="EZ18" s="139"/>
      <c r="FA18" s="139"/>
      <c r="FB18" s="139"/>
      <c r="FC18" s="139"/>
      <c r="FD18" s="139"/>
      <c r="FE18" s="139"/>
      <c r="FF18" s="139"/>
      <c r="FG18" s="139"/>
      <c r="FH18" s="139"/>
      <c r="FI18" s="139"/>
      <c r="FJ18" s="139"/>
      <c r="FK18" s="139"/>
      <c r="FL18" s="139"/>
      <c r="FM18" s="139"/>
      <c r="FN18" s="139"/>
      <c r="FO18" s="139"/>
      <c r="FP18" s="139"/>
      <c r="FQ18" s="139"/>
      <c r="FR18" s="139"/>
      <c r="FS18" s="139"/>
      <c r="FT18" s="139"/>
      <c r="FU18" s="139"/>
      <c r="FV18" s="139"/>
      <c r="FW18" s="139"/>
      <c r="FX18" s="139"/>
      <c r="FY18" s="139"/>
      <c r="FZ18" s="139"/>
      <c r="GA18" s="139"/>
      <c r="GB18" s="139"/>
      <c r="GC18" s="139"/>
      <c r="GD18" s="139"/>
      <c r="GE18" s="139"/>
      <c r="GF18" s="139"/>
      <c r="GG18" s="139"/>
      <c r="GH18" s="139"/>
      <c r="GI18" s="139"/>
      <c r="GJ18" s="139"/>
      <c r="GK18" s="48"/>
      <c r="GL18" s="27"/>
    </row>
    <row r="19" spans="1:194" x14ac:dyDescent="0.3">
      <c r="A19" s="155"/>
      <c r="B19" s="135"/>
      <c r="C19" s="135"/>
      <c r="D19" s="135"/>
      <c r="E19" s="178"/>
      <c r="F19" s="178"/>
      <c r="G19" s="135"/>
      <c r="H19" s="135"/>
      <c r="I19" s="135"/>
      <c r="J19" s="135"/>
      <c r="K19" s="135"/>
      <c r="L19" s="135"/>
      <c r="M19" s="136"/>
      <c r="N19" s="136"/>
      <c r="O19" s="136"/>
      <c r="P19" s="136"/>
      <c r="Q19" s="136"/>
      <c r="R19" s="136"/>
      <c r="S19" s="136"/>
      <c r="T19" s="136"/>
      <c r="U19" s="136"/>
      <c r="V19" s="136"/>
      <c r="W19" s="136"/>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8"/>
      <c r="AV19" s="135"/>
      <c r="AW19" s="135"/>
      <c r="AX19" s="139"/>
      <c r="AY19" s="139"/>
      <c r="AZ19" s="139"/>
      <c r="BA19" s="139"/>
      <c r="BB19" s="139"/>
      <c r="BC19" s="139"/>
      <c r="BD19" s="139"/>
      <c r="BE19" s="139"/>
      <c r="BF19" s="139"/>
      <c r="BG19" s="139"/>
      <c r="BH19" s="139"/>
      <c r="BI19" s="139"/>
      <c r="BJ19" s="140"/>
      <c r="BK19" s="139"/>
      <c r="BL19" s="139"/>
      <c r="BM19" s="139"/>
      <c r="BN19" s="139"/>
      <c r="BO19" s="139"/>
      <c r="BP19" s="139"/>
      <c r="BQ19" s="139"/>
      <c r="BR19" s="139"/>
      <c r="BS19" s="139"/>
      <c r="BT19" s="139"/>
      <c r="BU19" s="139"/>
      <c r="BV19" s="139"/>
      <c r="BW19" s="139"/>
      <c r="BX19" s="139"/>
      <c r="BY19" s="139"/>
      <c r="BZ19" s="139"/>
      <c r="CA19" s="139"/>
      <c r="CB19" s="139"/>
      <c r="CC19" s="139"/>
      <c r="CD19" s="139"/>
      <c r="CE19" s="139"/>
      <c r="CF19" s="139"/>
      <c r="CG19" s="139"/>
      <c r="CH19" s="139"/>
      <c r="CI19" s="139"/>
      <c r="CJ19" s="139"/>
      <c r="CK19" s="139"/>
      <c r="CL19" s="139"/>
      <c r="CM19" s="139"/>
      <c r="CN19" s="139"/>
      <c r="CO19" s="139"/>
      <c r="CP19" s="139"/>
      <c r="CQ19" s="139"/>
      <c r="CR19" s="139"/>
      <c r="CS19" s="139"/>
      <c r="CT19" s="139"/>
      <c r="CU19" s="139"/>
      <c r="CV19" s="139"/>
      <c r="CW19" s="139"/>
      <c r="CX19" s="139"/>
      <c r="CY19" s="139"/>
      <c r="CZ19" s="139"/>
      <c r="DA19" s="139"/>
      <c r="DB19" s="139"/>
      <c r="DC19" s="139"/>
      <c r="DD19" s="139"/>
      <c r="DE19" s="139"/>
      <c r="DF19" s="139"/>
      <c r="DG19" s="139"/>
      <c r="DH19" s="139"/>
      <c r="DI19" s="139"/>
      <c r="DJ19" s="139"/>
      <c r="DK19" s="139"/>
      <c r="DL19" s="139"/>
      <c r="DM19" s="139"/>
      <c r="DN19" s="139"/>
      <c r="DO19" s="139"/>
      <c r="DP19" s="139"/>
      <c r="DQ19" s="139"/>
      <c r="DR19" s="139"/>
      <c r="DS19" s="139"/>
      <c r="DT19" s="139"/>
      <c r="DU19" s="139"/>
      <c r="DV19" s="139"/>
      <c r="DW19" s="139"/>
      <c r="DX19" s="139"/>
      <c r="DY19" s="139"/>
      <c r="DZ19" s="139"/>
      <c r="EA19" s="139"/>
      <c r="EB19" s="139"/>
      <c r="EC19" s="139"/>
      <c r="ED19" s="139"/>
      <c r="EE19" s="139"/>
      <c r="EF19" s="139"/>
      <c r="EG19" s="139"/>
      <c r="EH19" s="139"/>
      <c r="EI19" s="139"/>
      <c r="EJ19" s="139"/>
      <c r="EK19" s="139"/>
      <c r="EL19" s="139"/>
      <c r="EM19" s="139"/>
      <c r="EN19" s="139"/>
      <c r="EO19" s="139"/>
      <c r="EP19" s="139"/>
      <c r="EQ19" s="139"/>
      <c r="ER19" s="139"/>
      <c r="ES19" s="139"/>
      <c r="ET19" s="139"/>
      <c r="EU19" s="139"/>
      <c r="EV19" s="139"/>
      <c r="EW19" s="139"/>
      <c r="EX19" s="139"/>
      <c r="EY19" s="139"/>
      <c r="EZ19" s="139"/>
      <c r="FA19" s="139"/>
      <c r="FB19" s="139"/>
      <c r="FC19" s="139"/>
      <c r="FD19" s="139"/>
      <c r="FE19" s="139"/>
      <c r="FF19" s="139"/>
      <c r="FG19" s="139"/>
      <c r="FH19" s="139"/>
      <c r="FI19" s="139"/>
      <c r="FJ19" s="139"/>
      <c r="FK19" s="139"/>
      <c r="FL19" s="139"/>
      <c r="FM19" s="139"/>
      <c r="FN19" s="139"/>
      <c r="FO19" s="139"/>
      <c r="FP19" s="139"/>
      <c r="FQ19" s="139"/>
      <c r="FR19" s="139"/>
      <c r="FS19" s="139"/>
      <c r="FT19" s="139"/>
      <c r="FU19" s="139"/>
      <c r="FV19" s="139"/>
      <c r="FW19" s="139"/>
      <c r="FX19" s="139"/>
      <c r="FY19" s="139"/>
      <c r="FZ19" s="139"/>
      <c r="GA19" s="139"/>
      <c r="GB19" s="139"/>
      <c r="GC19" s="139"/>
      <c r="GD19" s="139"/>
      <c r="GE19" s="139"/>
      <c r="GF19" s="139"/>
      <c r="GG19" s="139"/>
      <c r="GH19" s="139"/>
      <c r="GI19" s="139"/>
      <c r="GJ19" s="139"/>
      <c r="GK19" s="48"/>
      <c r="GL19" s="27"/>
    </row>
    <row r="20" spans="1:194" x14ac:dyDescent="0.3">
      <c r="A20" s="155"/>
      <c r="B20" s="135"/>
      <c r="C20" s="135"/>
      <c r="D20" s="135"/>
      <c r="E20" s="178"/>
      <c r="F20" s="178"/>
      <c r="G20" s="141"/>
      <c r="H20" s="141"/>
      <c r="I20" s="135"/>
      <c r="J20" s="135"/>
      <c r="K20" s="135"/>
      <c r="L20" s="135"/>
      <c r="M20" s="136"/>
      <c r="N20" s="136"/>
      <c r="O20" s="136"/>
      <c r="P20" s="136"/>
      <c r="Q20" s="136"/>
      <c r="R20" s="136"/>
      <c r="S20" s="136"/>
      <c r="T20" s="136"/>
      <c r="U20" s="136"/>
      <c r="V20" s="136"/>
      <c r="W20" s="136"/>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8"/>
      <c r="AV20" s="135"/>
      <c r="AW20" s="135"/>
      <c r="AX20" s="139"/>
      <c r="AY20" s="139"/>
      <c r="AZ20" s="139"/>
      <c r="BA20" s="139"/>
      <c r="BB20" s="139"/>
      <c r="BC20" s="139"/>
      <c r="BD20" s="139"/>
      <c r="BE20" s="139"/>
      <c r="BF20" s="139"/>
      <c r="BG20" s="139"/>
      <c r="BH20" s="139"/>
      <c r="BI20" s="139"/>
      <c r="BJ20" s="140"/>
      <c r="BK20" s="139"/>
      <c r="BL20" s="139"/>
      <c r="BM20" s="139"/>
      <c r="BN20" s="139"/>
      <c r="BO20" s="139"/>
      <c r="BP20" s="139"/>
      <c r="BQ20" s="139"/>
      <c r="BR20" s="139"/>
      <c r="BS20" s="139"/>
      <c r="BT20" s="139"/>
      <c r="BU20" s="139"/>
      <c r="BV20" s="139"/>
      <c r="BW20" s="139"/>
      <c r="BX20" s="139"/>
      <c r="BY20" s="139"/>
      <c r="BZ20" s="139"/>
      <c r="CA20" s="139"/>
      <c r="CB20" s="139"/>
      <c r="CC20" s="139"/>
      <c r="CD20" s="139"/>
      <c r="CE20" s="139"/>
      <c r="CF20" s="139"/>
      <c r="CG20" s="139"/>
      <c r="CH20" s="139"/>
      <c r="CI20" s="139"/>
      <c r="CJ20" s="139"/>
      <c r="CK20" s="139"/>
      <c r="CL20" s="139"/>
      <c r="CM20" s="139"/>
      <c r="CN20" s="139"/>
      <c r="CO20" s="139"/>
      <c r="CP20" s="139"/>
      <c r="CQ20" s="139"/>
      <c r="CR20" s="139"/>
      <c r="CS20" s="139"/>
      <c r="CT20" s="139"/>
      <c r="CU20" s="139"/>
      <c r="CV20" s="139"/>
      <c r="CW20" s="139"/>
      <c r="CX20" s="139"/>
      <c r="CY20" s="139"/>
      <c r="CZ20" s="139"/>
      <c r="DA20" s="139"/>
      <c r="DB20" s="139"/>
      <c r="DC20" s="139"/>
      <c r="DD20" s="139"/>
      <c r="DE20" s="139"/>
      <c r="DF20" s="139"/>
      <c r="DG20" s="139"/>
      <c r="DH20" s="139"/>
      <c r="DI20" s="139"/>
      <c r="DJ20" s="139"/>
      <c r="DK20" s="139"/>
      <c r="DL20" s="139"/>
      <c r="DM20" s="139"/>
      <c r="DN20" s="139"/>
      <c r="DO20" s="139"/>
      <c r="DP20" s="139"/>
      <c r="DQ20" s="139"/>
      <c r="DR20" s="139"/>
      <c r="DS20" s="139"/>
      <c r="DT20" s="139"/>
      <c r="DU20" s="139"/>
      <c r="DV20" s="139"/>
      <c r="DW20" s="139"/>
      <c r="DX20" s="139"/>
      <c r="DY20" s="139"/>
      <c r="DZ20" s="139"/>
      <c r="EA20" s="139"/>
      <c r="EB20" s="139"/>
      <c r="EC20" s="139"/>
      <c r="ED20" s="139"/>
      <c r="EE20" s="139"/>
      <c r="EF20" s="139"/>
      <c r="EG20" s="139"/>
      <c r="EH20" s="139"/>
      <c r="EI20" s="139"/>
      <c r="EJ20" s="139"/>
      <c r="EK20" s="139"/>
      <c r="EL20" s="139"/>
      <c r="EM20" s="139"/>
      <c r="EN20" s="139"/>
      <c r="EO20" s="139"/>
      <c r="EP20" s="139"/>
      <c r="EQ20" s="139"/>
      <c r="ER20" s="139"/>
      <c r="ES20" s="139"/>
      <c r="ET20" s="139"/>
      <c r="EU20" s="139"/>
      <c r="EV20" s="139"/>
      <c r="EW20" s="139"/>
      <c r="EX20" s="139"/>
      <c r="EY20" s="139"/>
      <c r="EZ20" s="139"/>
      <c r="FA20" s="139"/>
      <c r="FB20" s="139"/>
      <c r="FC20" s="139"/>
      <c r="FD20" s="139"/>
      <c r="FE20" s="139"/>
      <c r="FF20" s="139"/>
      <c r="FG20" s="139"/>
      <c r="FH20" s="139"/>
      <c r="FI20" s="139"/>
      <c r="FJ20" s="139"/>
      <c r="FK20" s="139"/>
      <c r="FL20" s="139"/>
      <c r="FM20" s="139"/>
      <c r="FN20" s="139"/>
      <c r="FO20" s="139"/>
      <c r="FP20" s="139"/>
      <c r="FQ20" s="139"/>
      <c r="FR20" s="139"/>
      <c r="FS20" s="139"/>
      <c r="FT20" s="139"/>
      <c r="FU20" s="139"/>
      <c r="FV20" s="139"/>
      <c r="FW20" s="139"/>
      <c r="FX20" s="139"/>
      <c r="FY20" s="139"/>
      <c r="FZ20" s="139"/>
      <c r="GA20" s="139"/>
      <c r="GB20" s="139"/>
      <c r="GC20" s="139"/>
      <c r="GD20" s="139"/>
      <c r="GE20" s="139"/>
      <c r="GF20" s="139"/>
      <c r="GG20" s="139"/>
      <c r="GH20" s="139"/>
      <c r="GI20" s="139"/>
      <c r="GJ20" s="139"/>
      <c r="GK20" s="48"/>
      <c r="GL20" s="27"/>
    </row>
    <row r="21" spans="1:194" x14ac:dyDescent="0.3">
      <c r="A21" s="155"/>
      <c r="B21" s="135"/>
      <c r="C21" s="135"/>
      <c r="D21" s="135"/>
      <c r="E21" s="178"/>
      <c r="F21" s="178"/>
      <c r="G21" s="141"/>
      <c r="H21" s="141"/>
      <c r="I21" s="135"/>
      <c r="J21" s="135"/>
      <c r="K21" s="135"/>
      <c r="L21" s="135"/>
      <c r="M21" s="136"/>
      <c r="N21" s="136"/>
      <c r="O21" s="136"/>
      <c r="P21" s="136"/>
      <c r="Q21" s="136"/>
      <c r="R21" s="136"/>
      <c r="S21" s="136"/>
      <c r="T21" s="136"/>
      <c r="U21" s="136"/>
      <c r="V21" s="136"/>
      <c r="W21" s="136"/>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8"/>
      <c r="AV21" s="135"/>
      <c r="AW21" s="135"/>
      <c r="AX21" s="139"/>
      <c r="AY21" s="139"/>
      <c r="AZ21" s="139"/>
      <c r="BA21" s="139"/>
      <c r="BB21" s="139"/>
      <c r="BC21" s="139"/>
      <c r="BD21" s="139"/>
      <c r="BE21" s="139"/>
      <c r="BF21" s="139"/>
      <c r="BG21" s="139"/>
      <c r="BH21" s="139"/>
      <c r="BI21" s="139"/>
      <c r="BJ21" s="140"/>
      <c r="BK21" s="139"/>
      <c r="BL21" s="139"/>
      <c r="BM21" s="139"/>
      <c r="BN21" s="139"/>
      <c r="BO21" s="139"/>
      <c r="BP21" s="139"/>
      <c r="BQ21" s="139"/>
      <c r="BR21" s="139"/>
      <c r="BS21" s="139"/>
      <c r="BT21" s="139"/>
      <c r="BU21" s="139"/>
      <c r="BV21" s="139"/>
      <c r="BW21" s="139"/>
      <c r="BX21" s="139"/>
      <c r="BY21" s="139"/>
      <c r="BZ21" s="139"/>
      <c r="CA21" s="139"/>
      <c r="CB21" s="139"/>
      <c r="CC21" s="139"/>
      <c r="CD21" s="139"/>
      <c r="CE21" s="139"/>
      <c r="CF21" s="139"/>
      <c r="CG21" s="139"/>
      <c r="CH21" s="139"/>
      <c r="CI21" s="139"/>
      <c r="CJ21" s="139"/>
      <c r="CK21" s="139"/>
      <c r="CL21" s="139"/>
      <c r="CM21" s="139"/>
      <c r="CN21" s="139"/>
      <c r="CO21" s="139"/>
      <c r="CP21" s="139"/>
      <c r="CQ21" s="139"/>
      <c r="CR21" s="139"/>
      <c r="CS21" s="139"/>
      <c r="CT21" s="139"/>
      <c r="CU21" s="139"/>
      <c r="CV21" s="139"/>
      <c r="CW21" s="139"/>
      <c r="CX21" s="139"/>
      <c r="CY21" s="139"/>
      <c r="CZ21" s="139"/>
      <c r="DA21" s="139"/>
      <c r="DB21" s="139"/>
      <c r="DC21" s="139"/>
      <c r="DD21" s="139"/>
      <c r="DE21" s="139"/>
      <c r="DF21" s="139"/>
      <c r="DG21" s="139"/>
      <c r="DH21" s="139"/>
      <c r="DI21" s="139"/>
      <c r="DJ21" s="139"/>
      <c r="DK21" s="139"/>
      <c r="DL21" s="139"/>
      <c r="DM21" s="139"/>
      <c r="DN21" s="139"/>
      <c r="DO21" s="139"/>
      <c r="DP21" s="139"/>
      <c r="DQ21" s="139"/>
      <c r="DR21" s="139"/>
      <c r="DS21" s="139"/>
      <c r="DT21" s="139"/>
      <c r="DU21" s="139"/>
      <c r="DV21" s="139"/>
      <c r="DW21" s="139"/>
      <c r="DX21" s="139"/>
      <c r="DY21" s="139"/>
      <c r="DZ21" s="139"/>
      <c r="EA21" s="139"/>
      <c r="EB21" s="139"/>
      <c r="EC21" s="139"/>
      <c r="ED21" s="139"/>
      <c r="EE21" s="139"/>
      <c r="EF21" s="139"/>
      <c r="EG21" s="139"/>
      <c r="EH21" s="139"/>
      <c r="EI21" s="139"/>
      <c r="EJ21" s="139"/>
      <c r="EK21" s="139"/>
      <c r="EL21" s="139"/>
      <c r="EM21" s="139"/>
      <c r="EN21" s="139"/>
      <c r="EO21" s="139"/>
      <c r="EP21" s="139"/>
      <c r="EQ21" s="139"/>
      <c r="ER21" s="139"/>
      <c r="ES21" s="139"/>
      <c r="ET21" s="139"/>
      <c r="EU21" s="139"/>
      <c r="EV21" s="139"/>
      <c r="EW21" s="139"/>
      <c r="EX21" s="139"/>
      <c r="EY21" s="139"/>
      <c r="EZ21" s="139"/>
      <c r="FA21" s="139"/>
      <c r="FB21" s="139"/>
      <c r="FC21" s="139"/>
      <c r="FD21" s="139"/>
      <c r="FE21" s="139"/>
      <c r="FF21" s="139"/>
      <c r="FG21" s="139"/>
      <c r="FH21" s="139"/>
      <c r="FI21" s="139"/>
      <c r="FJ21" s="139"/>
      <c r="FK21" s="139"/>
      <c r="FL21" s="139"/>
      <c r="FM21" s="139"/>
      <c r="FN21" s="139"/>
      <c r="FO21" s="139"/>
      <c r="FP21" s="139"/>
      <c r="FQ21" s="139"/>
      <c r="FR21" s="139"/>
      <c r="FS21" s="139"/>
      <c r="FT21" s="139"/>
      <c r="FU21" s="139"/>
      <c r="FV21" s="139"/>
      <c r="FW21" s="139"/>
      <c r="FX21" s="139"/>
      <c r="FY21" s="139"/>
      <c r="FZ21" s="139"/>
      <c r="GA21" s="139"/>
      <c r="GB21" s="139"/>
      <c r="GC21" s="139"/>
      <c r="GD21" s="139"/>
      <c r="GE21" s="139"/>
      <c r="GF21" s="139"/>
      <c r="GG21" s="139"/>
      <c r="GH21" s="139"/>
      <c r="GI21" s="139"/>
      <c r="GJ21" s="139"/>
      <c r="GK21" s="48"/>
      <c r="GL21" s="27"/>
    </row>
    <row r="22" spans="1:194" x14ac:dyDescent="0.3">
      <c r="A22" s="155"/>
      <c r="B22" s="135"/>
      <c r="C22" s="135"/>
      <c r="D22" s="135"/>
      <c r="E22" s="178"/>
      <c r="F22" s="178"/>
      <c r="G22" s="141"/>
      <c r="H22" s="141"/>
      <c r="I22" s="135"/>
      <c r="J22" s="135"/>
      <c r="K22" s="135"/>
      <c r="L22" s="135"/>
      <c r="M22" s="136"/>
      <c r="N22" s="136"/>
      <c r="O22" s="136"/>
      <c r="P22" s="136"/>
      <c r="Q22" s="136"/>
      <c r="R22" s="136"/>
      <c r="S22" s="136"/>
      <c r="T22" s="136"/>
      <c r="U22" s="136"/>
      <c r="V22" s="136"/>
      <c r="W22" s="136"/>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8"/>
      <c r="AV22" s="135"/>
      <c r="AW22" s="135"/>
      <c r="AX22" s="139"/>
      <c r="AY22" s="139"/>
      <c r="AZ22" s="139"/>
      <c r="BA22" s="139"/>
      <c r="BB22" s="139"/>
      <c r="BC22" s="139"/>
      <c r="BD22" s="139"/>
      <c r="BE22" s="139"/>
      <c r="BF22" s="139"/>
      <c r="BG22" s="139"/>
      <c r="BH22" s="139"/>
      <c r="BI22" s="139"/>
      <c r="BJ22" s="140"/>
      <c r="BK22" s="139"/>
      <c r="BL22" s="139"/>
      <c r="BM22" s="139"/>
      <c r="BN22" s="139"/>
      <c r="BO22" s="139"/>
      <c r="BP22" s="139"/>
      <c r="BQ22" s="139"/>
      <c r="BR22" s="139"/>
      <c r="BS22" s="139"/>
      <c r="BT22" s="139"/>
      <c r="BU22" s="139"/>
      <c r="BV22" s="139"/>
      <c r="BW22" s="139"/>
      <c r="BX22" s="139"/>
      <c r="BY22" s="139"/>
      <c r="BZ22" s="139"/>
      <c r="CA22" s="139"/>
      <c r="CB22" s="139"/>
      <c r="CC22" s="139"/>
      <c r="CD22" s="139"/>
      <c r="CE22" s="139"/>
      <c r="CF22" s="139"/>
      <c r="CG22" s="139"/>
      <c r="CH22" s="139"/>
      <c r="CI22" s="139"/>
      <c r="CJ22" s="139"/>
      <c r="CK22" s="139"/>
      <c r="CL22" s="139"/>
      <c r="CM22" s="139"/>
      <c r="CN22" s="139"/>
      <c r="CO22" s="139"/>
      <c r="CP22" s="139"/>
      <c r="CQ22" s="139"/>
      <c r="CR22" s="139"/>
      <c r="CS22" s="139"/>
      <c r="CT22" s="139"/>
      <c r="CU22" s="139"/>
      <c r="CV22" s="139"/>
      <c r="CW22" s="139"/>
      <c r="CX22" s="139"/>
      <c r="CY22" s="139"/>
      <c r="CZ22" s="139"/>
      <c r="DA22" s="139"/>
      <c r="DB22" s="139"/>
      <c r="DC22" s="139"/>
      <c r="DD22" s="139"/>
      <c r="DE22" s="139"/>
      <c r="DF22" s="139"/>
      <c r="DG22" s="139"/>
      <c r="DH22" s="139"/>
      <c r="DI22" s="139"/>
      <c r="DJ22" s="139"/>
      <c r="DK22" s="139"/>
      <c r="DL22" s="139"/>
      <c r="DM22" s="139"/>
      <c r="DN22" s="139"/>
      <c r="DO22" s="139"/>
      <c r="DP22" s="139"/>
      <c r="DQ22" s="139"/>
      <c r="DR22" s="139"/>
      <c r="DS22" s="139"/>
      <c r="DT22" s="139"/>
      <c r="DU22" s="139"/>
      <c r="DV22" s="139"/>
      <c r="DW22" s="139"/>
      <c r="DX22" s="139"/>
      <c r="DY22" s="139"/>
      <c r="DZ22" s="139"/>
      <c r="EA22" s="139"/>
      <c r="EB22" s="139"/>
      <c r="EC22" s="139"/>
      <c r="ED22" s="139"/>
      <c r="EE22" s="139"/>
      <c r="EF22" s="139"/>
      <c r="EG22" s="139"/>
      <c r="EH22" s="139"/>
      <c r="EI22" s="139"/>
      <c r="EJ22" s="139"/>
      <c r="EK22" s="139"/>
      <c r="EL22" s="139"/>
      <c r="EM22" s="139"/>
      <c r="EN22" s="139"/>
      <c r="EO22" s="139"/>
      <c r="EP22" s="139"/>
      <c r="EQ22" s="139"/>
      <c r="ER22" s="139"/>
      <c r="ES22" s="139"/>
      <c r="ET22" s="139"/>
      <c r="EU22" s="139"/>
      <c r="EV22" s="139"/>
      <c r="EW22" s="139"/>
      <c r="EX22" s="139"/>
      <c r="EY22" s="139"/>
      <c r="EZ22" s="139"/>
      <c r="FA22" s="139"/>
      <c r="FB22" s="139"/>
      <c r="FC22" s="139"/>
      <c r="FD22" s="139"/>
      <c r="FE22" s="139"/>
      <c r="FF22" s="139"/>
      <c r="FG22" s="139"/>
      <c r="FH22" s="139"/>
      <c r="FI22" s="139"/>
      <c r="FJ22" s="139"/>
      <c r="FK22" s="139"/>
      <c r="FL22" s="139"/>
      <c r="FM22" s="139"/>
      <c r="FN22" s="139"/>
      <c r="FO22" s="139"/>
      <c r="FP22" s="139"/>
      <c r="FQ22" s="139"/>
      <c r="FR22" s="139"/>
      <c r="FS22" s="139"/>
      <c r="FT22" s="139"/>
      <c r="FU22" s="139"/>
      <c r="FV22" s="139"/>
      <c r="FW22" s="139"/>
      <c r="FX22" s="139"/>
      <c r="FY22" s="139"/>
      <c r="FZ22" s="139"/>
      <c r="GA22" s="139"/>
      <c r="GB22" s="139"/>
      <c r="GC22" s="139"/>
      <c r="GD22" s="139"/>
      <c r="GE22" s="139"/>
      <c r="GF22" s="139"/>
      <c r="GG22" s="139"/>
      <c r="GH22" s="139"/>
      <c r="GI22" s="139"/>
      <c r="GJ22" s="139"/>
      <c r="GK22" s="48"/>
      <c r="GL22" s="27"/>
    </row>
    <row r="23" spans="1:194" x14ac:dyDescent="0.3">
      <c r="A23" s="155"/>
      <c r="B23" s="135"/>
      <c r="C23" s="135"/>
      <c r="D23" s="135"/>
      <c r="E23" s="178"/>
      <c r="F23" s="178"/>
      <c r="G23" s="141"/>
      <c r="H23" s="141"/>
      <c r="I23" s="135"/>
      <c r="J23" s="135"/>
      <c r="K23" s="135"/>
      <c r="L23" s="135"/>
      <c r="M23" s="136"/>
      <c r="N23" s="136"/>
      <c r="O23" s="136"/>
      <c r="P23" s="136"/>
      <c r="Q23" s="136"/>
      <c r="R23" s="136"/>
      <c r="S23" s="136"/>
      <c r="T23" s="136"/>
      <c r="U23" s="136"/>
      <c r="V23" s="136"/>
      <c r="W23" s="136"/>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8"/>
      <c r="AV23" s="135"/>
      <c r="AW23" s="135"/>
      <c r="AX23" s="139"/>
      <c r="AY23" s="139"/>
      <c r="AZ23" s="139"/>
      <c r="BA23" s="139"/>
      <c r="BB23" s="139"/>
      <c r="BC23" s="139"/>
      <c r="BD23" s="139"/>
      <c r="BE23" s="139"/>
      <c r="BF23" s="139"/>
      <c r="BG23" s="139"/>
      <c r="BH23" s="139"/>
      <c r="BI23" s="139"/>
      <c r="BJ23" s="140"/>
      <c r="BK23" s="139"/>
      <c r="BL23" s="139"/>
      <c r="BM23" s="139"/>
      <c r="BN23" s="139"/>
      <c r="BO23" s="139"/>
      <c r="BP23" s="139"/>
      <c r="BQ23" s="139"/>
      <c r="BR23" s="139"/>
      <c r="BS23" s="139"/>
      <c r="BT23" s="139"/>
      <c r="BU23" s="139"/>
      <c r="BV23" s="139"/>
      <c r="BW23" s="139"/>
      <c r="BX23" s="139"/>
      <c r="BY23" s="139"/>
      <c r="BZ23" s="139"/>
      <c r="CA23" s="139"/>
      <c r="CB23" s="139"/>
      <c r="CC23" s="139"/>
      <c r="CD23" s="139"/>
      <c r="CE23" s="139"/>
      <c r="CF23" s="139"/>
      <c r="CG23" s="139"/>
      <c r="CH23" s="139"/>
      <c r="CI23" s="139"/>
      <c r="CJ23" s="139"/>
      <c r="CK23" s="139"/>
      <c r="CL23" s="139"/>
      <c r="CM23" s="139"/>
      <c r="CN23" s="139"/>
      <c r="CO23" s="139"/>
      <c r="CP23" s="139"/>
      <c r="CQ23" s="139"/>
      <c r="CR23" s="139"/>
      <c r="CS23" s="139"/>
      <c r="CT23" s="139"/>
      <c r="CU23" s="139"/>
      <c r="CV23" s="139"/>
      <c r="CW23" s="139"/>
      <c r="CX23" s="139"/>
      <c r="CY23" s="139"/>
      <c r="CZ23" s="139"/>
      <c r="DA23" s="139"/>
      <c r="DB23" s="139"/>
      <c r="DC23" s="139"/>
      <c r="DD23" s="139"/>
      <c r="DE23" s="139"/>
      <c r="DF23" s="139"/>
      <c r="DG23" s="139"/>
      <c r="DH23" s="139"/>
      <c r="DI23" s="139"/>
      <c r="DJ23" s="139"/>
      <c r="DK23" s="139"/>
      <c r="DL23" s="139"/>
      <c r="DM23" s="139"/>
      <c r="DN23" s="139"/>
      <c r="DO23" s="139"/>
      <c r="DP23" s="139"/>
      <c r="DQ23" s="139"/>
      <c r="DR23" s="139"/>
      <c r="DS23" s="139"/>
      <c r="DT23" s="139"/>
      <c r="DU23" s="139"/>
      <c r="DV23" s="139"/>
      <c r="DW23" s="139"/>
      <c r="DX23" s="139"/>
      <c r="DY23" s="139"/>
      <c r="DZ23" s="139"/>
      <c r="EA23" s="139"/>
      <c r="EB23" s="139"/>
      <c r="EC23" s="139"/>
      <c r="ED23" s="139"/>
      <c r="EE23" s="139"/>
      <c r="EF23" s="139"/>
      <c r="EG23" s="139"/>
      <c r="EH23" s="139"/>
      <c r="EI23" s="139"/>
      <c r="EJ23" s="139"/>
      <c r="EK23" s="139"/>
      <c r="EL23" s="139"/>
      <c r="EM23" s="139"/>
      <c r="EN23" s="139"/>
      <c r="EO23" s="139"/>
      <c r="EP23" s="139"/>
      <c r="EQ23" s="139"/>
      <c r="ER23" s="139"/>
      <c r="ES23" s="139"/>
      <c r="ET23" s="139"/>
      <c r="EU23" s="139"/>
      <c r="EV23" s="139"/>
      <c r="EW23" s="139"/>
      <c r="EX23" s="139"/>
      <c r="EY23" s="139"/>
      <c r="EZ23" s="139"/>
      <c r="FA23" s="139"/>
      <c r="FB23" s="139"/>
      <c r="FC23" s="139"/>
      <c r="FD23" s="139"/>
      <c r="FE23" s="139"/>
      <c r="FF23" s="139"/>
      <c r="FG23" s="139"/>
      <c r="FH23" s="139"/>
      <c r="FI23" s="139"/>
      <c r="FJ23" s="139"/>
      <c r="FK23" s="139"/>
      <c r="FL23" s="139"/>
      <c r="FM23" s="139"/>
      <c r="FN23" s="139"/>
      <c r="FO23" s="139"/>
      <c r="FP23" s="139"/>
      <c r="FQ23" s="139"/>
      <c r="FR23" s="139"/>
      <c r="FS23" s="139"/>
      <c r="FT23" s="139"/>
      <c r="FU23" s="139"/>
      <c r="FV23" s="139"/>
      <c r="FW23" s="139"/>
      <c r="FX23" s="139"/>
      <c r="FY23" s="139"/>
      <c r="FZ23" s="139"/>
      <c r="GA23" s="139"/>
      <c r="GB23" s="139"/>
      <c r="GC23" s="139"/>
      <c r="GD23" s="139"/>
      <c r="GE23" s="139"/>
      <c r="GF23" s="139"/>
      <c r="GG23" s="139"/>
      <c r="GH23" s="139"/>
      <c r="GI23" s="139"/>
      <c r="GJ23" s="139"/>
      <c r="GK23" s="48"/>
      <c r="GL23" s="27"/>
    </row>
    <row r="24" spans="1:194" x14ac:dyDescent="0.3">
      <c r="A24" s="155"/>
      <c r="B24" s="135"/>
      <c r="C24" s="135"/>
      <c r="D24" s="135"/>
      <c r="E24" s="178"/>
      <c r="F24" s="178"/>
      <c r="G24" s="141"/>
      <c r="H24" s="141"/>
      <c r="I24" s="135"/>
      <c r="J24" s="135"/>
      <c r="K24" s="135"/>
      <c r="L24" s="135"/>
      <c r="M24" s="136"/>
      <c r="N24" s="136"/>
      <c r="O24" s="136"/>
      <c r="P24" s="136"/>
      <c r="Q24" s="136"/>
      <c r="R24" s="136"/>
      <c r="S24" s="136"/>
      <c r="T24" s="136"/>
      <c r="U24" s="136"/>
      <c r="V24" s="136"/>
      <c r="W24" s="136"/>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8"/>
      <c r="AV24" s="135"/>
      <c r="AW24" s="135"/>
      <c r="AX24" s="139"/>
      <c r="AY24" s="139"/>
      <c r="AZ24" s="139"/>
      <c r="BA24" s="139"/>
      <c r="BB24" s="139"/>
      <c r="BC24" s="139"/>
      <c r="BD24" s="139"/>
      <c r="BE24" s="139"/>
      <c r="BF24" s="139"/>
      <c r="BG24" s="139"/>
      <c r="BH24" s="139"/>
      <c r="BI24" s="139"/>
      <c r="BJ24" s="140"/>
      <c r="BK24" s="139"/>
      <c r="BL24" s="139"/>
      <c r="BM24" s="139"/>
      <c r="BN24" s="139"/>
      <c r="BO24" s="139"/>
      <c r="BP24" s="139"/>
      <c r="BQ24" s="139"/>
      <c r="BR24" s="139"/>
      <c r="BS24" s="139"/>
      <c r="BT24" s="139"/>
      <c r="BU24" s="139"/>
      <c r="BV24" s="139"/>
      <c r="BW24" s="139"/>
      <c r="BX24" s="139"/>
      <c r="BY24" s="139"/>
      <c r="BZ24" s="139"/>
      <c r="CA24" s="139"/>
      <c r="CB24" s="139"/>
      <c r="CC24" s="139"/>
      <c r="CD24" s="139"/>
      <c r="CE24" s="139"/>
      <c r="CF24" s="139"/>
      <c r="CG24" s="139"/>
      <c r="CH24" s="139"/>
      <c r="CI24" s="139"/>
      <c r="CJ24" s="139"/>
      <c r="CK24" s="139"/>
      <c r="CL24" s="139"/>
      <c r="CM24" s="139"/>
      <c r="CN24" s="139"/>
      <c r="CO24" s="139"/>
      <c r="CP24" s="139"/>
      <c r="CQ24" s="139"/>
      <c r="CR24" s="139"/>
      <c r="CS24" s="139"/>
      <c r="CT24" s="139"/>
      <c r="CU24" s="139"/>
      <c r="CV24" s="139"/>
      <c r="CW24" s="139"/>
      <c r="CX24" s="139"/>
      <c r="CY24" s="139"/>
      <c r="CZ24" s="139"/>
      <c r="DA24" s="139"/>
      <c r="DB24" s="139"/>
      <c r="DC24" s="139"/>
      <c r="DD24" s="139"/>
      <c r="DE24" s="139"/>
      <c r="DF24" s="139"/>
      <c r="DG24" s="139"/>
      <c r="DH24" s="139"/>
      <c r="DI24" s="139"/>
      <c r="DJ24" s="139"/>
      <c r="DK24" s="139"/>
      <c r="DL24" s="139"/>
      <c r="DM24" s="139"/>
      <c r="DN24" s="139"/>
      <c r="DO24" s="139"/>
      <c r="DP24" s="139"/>
      <c r="DQ24" s="139"/>
      <c r="DR24" s="139"/>
      <c r="DS24" s="139"/>
      <c r="DT24" s="139"/>
      <c r="DU24" s="139"/>
      <c r="DV24" s="139"/>
      <c r="DW24" s="139"/>
      <c r="DX24" s="139"/>
      <c r="DY24" s="139"/>
      <c r="DZ24" s="139"/>
      <c r="EA24" s="139"/>
      <c r="EB24" s="139"/>
      <c r="EC24" s="139"/>
      <c r="ED24" s="139"/>
      <c r="EE24" s="139"/>
      <c r="EF24" s="139"/>
      <c r="EG24" s="139"/>
      <c r="EH24" s="139"/>
      <c r="EI24" s="139"/>
      <c r="EJ24" s="139"/>
      <c r="EK24" s="139"/>
      <c r="EL24" s="139"/>
      <c r="EM24" s="139"/>
      <c r="EN24" s="139"/>
      <c r="EO24" s="139"/>
      <c r="EP24" s="139"/>
      <c r="EQ24" s="139"/>
      <c r="ER24" s="139"/>
      <c r="ES24" s="139"/>
      <c r="ET24" s="139"/>
      <c r="EU24" s="139"/>
      <c r="EV24" s="139"/>
      <c r="EW24" s="139"/>
      <c r="EX24" s="139"/>
      <c r="EY24" s="139"/>
      <c r="EZ24" s="139"/>
      <c r="FA24" s="139"/>
      <c r="FB24" s="139"/>
      <c r="FC24" s="139"/>
      <c r="FD24" s="139"/>
      <c r="FE24" s="139"/>
      <c r="FF24" s="139"/>
      <c r="FG24" s="139"/>
      <c r="FH24" s="139"/>
      <c r="FI24" s="139"/>
      <c r="FJ24" s="139"/>
      <c r="FK24" s="139"/>
      <c r="FL24" s="139"/>
      <c r="FM24" s="139"/>
      <c r="FN24" s="139"/>
      <c r="FO24" s="139"/>
      <c r="FP24" s="139"/>
      <c r="FQ24" s="139"/>
      <c r="FR24" s="139"/>
      <c r="FS24" s="139"/>
      <c r="FT24" s="139"/>
      <c r="FU24" s="139"/>
      <c r="FV24" s="139"/>
      <c r="FW24" s="139"/>
      <c r="FX24" s="139"/>
      <c r="FY24" s="139"/>
      <c r="FZ24" s="139"/>
      <c r="GA24" s="139"/>
      <c r="GB24" s="139"/>
      <c r="GC24" s="139"/>
      <c r="GD24" s="139"/>
      <c r="GE24" s="139"/>
      <c r="GF24" s="139"/>
      <c r="GG24" s="139"/>
      <c r="GH24" s="139"/>
      <c r="GI24" s="139"/>
      <c r="GJ24" s="139"/>
      <c r="GK24" s="48"/>
      <c r="GL24" s="27"/>
    </row>
    <row r="25" spans="1:194" x14ac:dyDescent="0.3">
      <c r="A25" s="155"/>
      <c r="B25" s="135"/>
      <c r="C25" s="135"/>
      <c r="D25" s="135"/>
      <c r="E25" s="178"/>
      <c r="F25" s="178"/>
      <c r="G25" s="141"/>
      <c r="H25" s="141"/>
      <c r="I25" s="135"/>
      <c r="J25" s="135"/>
      <c r="K25" s="135"/>
      <c r="L25" s="135"/>
      <c r="M25" s="136"/>
      <c r="N25" s="136"/>
      <c r="O25" s="136"/>
      <c r="P25" s="136"/>
      <c r="Q25" s="136"/>
      <c r="R25" s="136"/>
      <c r="S25" s="136"/>
      <c r="T25" s="136"/>
      <c r="U25" s="136"/>
      <c r="V25" s="136"/>
      <c r="W25" s="136"/>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8"/>
      <c r="AV25" s="135"/>
      <c r="AW25" s="135"/>
      <c r="AX25" s="139"/>
      <c r="AY25" s="139"/>
      <c r="AZ25" s="139"/>
      <c r="BA25" s="139"/>
      <c r="BB25" s="139"/>
      <c r="BC25" s="139"/>
      <c r="BD25" s="139"/>
      <c r="BE25" s="139"/>
      <c r="BF25" s="139"/>
      <c r="BG25" s="139"/>
      <c r="BH25" s="139"/>
      <c r="BI25" s="139"/>
      <c r="BJ25" s="140"/>
      <c r="BK25" s="139"/>
      <c r="BL25" s="139"/>
      <c r="BM25" s="139"/>
      <c r="BN25" s="139"/>
      <c r="BO25" s="139"/>
      <c r="BP25" s="139"/>
      <c r="BQ25" s="139"/>
      <c r="BR25" s="139"/>
      <c r="BS25" s="139"/>
      <c r="BT25" s="139"/>
      <c r="BU25" s="139"/>
      <c r="BV25" s="139"/>
      <c r="BW25" s="139"/>
      <c r="BX25" s="139"/>
      <c r="BY25" s="139"/>
      <c r="BZ25" s="139"/>
      <c r="CA25" s="139"/>
      <c r="CB25" s="139"/>
      <c r="CC25" s="139"/>
      <c r="CD25" s="139"/>
      <c r="CE25" s="139"/>
      <c r="CF25" s="139"/>
      <c r="CG25" s="139"/>
      <c r="CH25" s="139"/>
      <c r="CI25" s="139"/>
      <c r="CJ25" s="139"/>
      <c r="CK25" s="139"/>
      <c r="CL25" s="139"/>
      <c r="CM25" s="139"/>
      <c r="CN25" s="139"/>
      <c r="CO25" s="139"/>
      <c r="CP25" s="139"/>
      <c r="CQ25" s="139"/>
      <c r="CR25" s="139"/>
      <c r="CS25" s="139"/>
      <c r="CT25" s="139"/>
      <c r="CU25" s="139"/>
      <c r="CV25" s="139"/>
      <c r="CW25" s="139"/>
      <c r="CX25" s="139"/>
      <c r="CY25" s="139"/>
      <c r="CZ25" s="139"/>
      <c r="DA25" s="139"/>
      <c r="DB25" s="139"/>
      <c r="DC25" s="139"/>
      <c r="DD25" s="139"/>
      <c r="DE25" s="139"/>
      <c r="DF25" s="139"/>
      <c r="DG25" s="139"/>
      <c r="DH25" s="139"/>
      <c r="DI25" s="139"/>
      <c r="DJ25" s="139"/>
      <c r="DK25" s="139"/>
      <c r="DL25" s="139"/>
      <c r="DM25" s="139"/>
      <c r="DN25" s="139"/>
      <c r="DO25" s="139"/>
      <c r="DP25" s="139"/>
      <c r="DQ25" s="139"/>
      <c r="DR25" s="139"/>
      <c r="DS25" s="139"/>
      <c r="DT25" s="139"/>
      <c r="DU25" s="139"/>
      <c r="DV25" s="139"/>
      <c r="DW25" s="139"/>
      <c r="DX25" s="139"/>
      <c r="DY25" s="139"/>
      <c r="DZ25" s="139"/>
      <c r="EA25" s="139"/>
      <c r="EB25" s="139"/>
      <c r="EC25" s="139"/>
      <c r="ED25" s="139"/>
      <c r="EE25" s="139"/>
      <c r="EF25" s="139"/>
      <c r="EG25" s="139"/>
      <c r="EH25" s="139"/>
      <c r="EI25" s="139"/>
      <c r="EJ25" s="139"/>
      <c r="EK25" s="139"/>
      <c r="EL25" s="139"/>
      <c r="EM25" s="139"/>
      <c r="EN25" s="139"/>
      <c r="EO25" s="139"/>
      <c r="EP25" s="139"/>
      <c r="EQ25" s="139"/>
      <c r="ER25" s="139"/>
      <c r="ES25" s="139"/>
      <c r="ET25" s="139"/>
      <c r="EU25" s="139"/>
      <c r="EV25" s="139"/>
      <c r="EW25" s="139"/>
      <c r="EX25" s="139"/>
      <c r="EY25" s="139"/>
      <c r="EZ25" s="139"/>
      <c r="FA25" s="139"/>
      <c r="FB25" s="139"/>
      <c r="FC25" s="139"/>
      <c r="FD25" s="139"/>
      <c r="FE25" s="139"/>
      <c r="FF25" s="139"/>
      <c r="FG25" s="139"/>
      <c r="FH25" s="139"/>
      <c r="FI25" s="139"/>
      <c r="FJ25" s="139"/>
      <c r="FK25" s="139"/>
      <c r="FL25" s="139"/>
      <c r="FM25" s="139"/>
      <c r="FN25" s="139"/>
      <c r="FO25" s="139"/>
      <c r="FP25" s="139"/>
      <c r="FQ25" s="139"/>
      <c r="FR25" s="139"/>
      <c r="FS25" s="139"/>
      <c r="FT25" s="139"/>
      <c r="FU25" s="139"/>
      <c r="FV25" s="139"/>
      <c r="FW25" s="139"/>
      <c r="FX25" s="139"/>
      <c r="FY25" s="139"/>
      <c r="FZ25" s="139"/>
      <c r="GA25" s="139"/>
      <c r="GB25" s="139"/>
      <c r="GC25" s="139"/>
      <c r="GD25" s="139"/>
      <c r="GE25" s="139"/>
      <c r="GF25" s="139"/>
      <c r="GG25" s="139"/>
      <c r="GH25" s="139"/>
      <c r="GI25" s="139"/>
      <c r="GJ25" s="139"/>
      <c r="GK25" s="48"/>
      <c r="GL25" s="27"/>
    </row>
    <row r="26" spans="1:194" x14ac:dyDescent="0.3">
      <c r="A26" s="155"/>
      <c r="B26" s="135"/>
      <c r="C26" s="135"/>
      <c r="D26" s="135"/>
      <c r="E26" s="178"/>
      <c r="F26" s="178"/>
      <c r="G26" s="141"/>
      <c r="H26" s="141"/>
      <c r="I26" s="135"/>
      <c r="J26" s="135"/>
      <c r="K26" s="135"/>
      <c r="L26" s="135"/>
      <c r="M26" s="136"/>
      <c r="N26" s="136"/>
      <c r="O26" s="136"/>
      <c r="P26" s="136"/>
      <c r="Q26" s="136"/>
      <c r="R26" s="136"/>
      <c r="S26" s="136"/>
      <c r="T26" s="136"/>
      <c r="U26" s="136"/>
      <c r="V26" s="136"/>
      <c r="W26" s="136"/>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8"/>
      <c r="AV26" s="135"/>
      <c r="AW26" s="135"/>
      <c r="AX26" s="139"/>
      <c r="AY26" s="139"/>
      <c r="AZ26" s="139"/>
      <c r="BA26" s="139"/>
      <c r="BB26" s="139"/>
      <c r="BC26" s="139"/>
      <c r="BD26" s="139"/>
      <c r="BE26" s="139"/>
      <c r="BF26" s="139"/>
      <c r="BG26" s="139"/>
      <c r="BH26" s="139"/>
      <c r="BI26" s="139"/>
      <c r="BJ26" s="140"/>
      <c r="BK26" s="139"/>
      <c r="BL26" s="139"/>
      <c r="BM26" s="139"/>
      <c r="BN26" s="139"/>
      <c r="BO26" s="139"/>
      <c r="BP26" s="139"/>
      <c r="BQ26" s="139"/>
      <c r="BR26" s="139"/>
      <c r="BS26" s="139"/>
      <c r="BT26" s="139"/>
      <c r="BU26" s="139"/>
      <c r="BV26" s="139"/>
      <c r="BW26" s="139"/>
      <c r="BX26" s="139"/>
      <c r="BY26" s="139"/>
      <c r="BZ26" s="139"/>
      <c r="CA26" s="139"/>
      <c r="CB26" s="139"/>
      <c r="CC26" s="139"/>
      <c r="CD26" s="139"/>
      <c r="CE26" s="139"/>
      <c r="CF26" s="139"/>
      <c r="CG26" s="139"/>
      <c r="CH26" s="139"/>
      <c r="CI26" s="139"/>
      <c r="CJ26" s="139"/>
      <c r="CK26" s="139"/>
      <c r="CL26" s="139"/>
      <c r="CM26" s="139"/>
      <c r="CN26" s="139"/>
      <c r="CO26" s="139"/>
      <c r="CP26" s="139"/>
      <c r="CQ26" s="139"/>
      <c r="CR26" s="139"/>
      <c r="CS26" s="139"/>
      <c r="CT26" s="139"/>
      <c r="CU26" s="139"/>
      <c r="CV26" s="139"/>
      <c r="CW26" s="139"/>
      <c r="CX26" s="139"/>
      <c r="CY26" s="139"/>
      <c r="CZ26" s="139"/>
      <c r="DA26" s="139"/>
      <c r="DB26" s="139"/>
      <c r="DC26" s="139"/>
      <c r="DD26" s="139"/>
      <c r="DE26" s="139"/>
      <c r="DF26" s="139"/>
      <c r="DG26" s="139"/>
      <c r="DH26" s="139"/>
      <c r="DI26" s="139"/>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139"/>
      <c r="EJ26" s="139"/>
      <c r="EK26" s="139"/>
      <c r="EL26" s="139"/>
      <c r="EM26" s="139"/>
      <c r="EN26" s="139"/>
      <c r="EO26" s="139"/>
      <c r="EP26" s="139"/>
      <c r="EQ26" s="139"/>
      <c r="ER26" s="139"/>
      <c r="ES26" s="139"/>
      <c r="ET26" s="139"/>
      <c r="EU26" s="139"/>
      <c r="EV26" s="139"/>
      <c r="EW26" s="139"/>
      <c r="EX26" s="139"/>
      <c r="EY26" s="139"/>
      <c r="EZ26" s="139"/>
      <c r="FA26" s="139"/>
      <c r="FB26" s="139"/>
      <c r="FC26" s="139"/>
      <c r="FD26" s="139"/>
      <c r="FE26" s="139"/>
      <c r="FF26" s="139"/>
      <c r="FG26" s="139"/>
      <c r="FH26" s="139"/>
      <c r="FI26" s="139"/>
      <c r="FJ26" s="139"/>
      <c r="FK26" s="139"/>
      <c r="FL26" s="139"/>
      <c r="FM26" s="139"/>
      <c r="FN26" s="139"/>
      <c r="FO26" s="139"/>
      <c r="FP26" s="139"/>
      <c r="FQ26" s="139"/>
      <c r="FR26" s="139"/>
      <c r="FS26" s="139"/>
      <c r="FT26" s="139"/>
      <c r="FU26" s="139"/>
      <c r="FV26" s="139"/>
      <c r="FW26" s="139"/>
      <c r="FX26" s="139"/>
      <c r="FY26" s="139"/>
      <c r="FZ26" s="139"/>
      <c r="GA26" s="139"/>
      <c r="GB26" s="139"/>
      <c r="GC26" s="139"/>
      <c r="GD26" s="139"/>
      <c r="GE26" s="139"/>
      <c r="GF26" s="139"/>
      <c r="GG26" s="139"/>
      <c r="GH26" s="139"/>
      <c r="GI26" s="139"/>
      <c r="GJ26" s="139"/>
      <c r="GK26" s="48"/>
      <c r="GL26" s="27"/>
    </row>
    <row r="27" spans="1:194" x14ac:dyDescent="0.3">
      <c r="A27" s="155"/>
      <c r="B27" s="135"/>
      <c r="C27" s="135"/>
      <c r="D27" s="135"/>
      <c r="E27" s="178"/>
      <c r="F27" s="178"/>
      <c r="G27" s="141"/>
      <c r="H27" s="141"/>
      <c r="I27" s="135"/>
      <c r="J27" s="135"/>
      <c r="K27" s="135"/>
      <c r="L27" s="135"/>
      <c r="M27" s="136"/>
      <c r="N27" s="136"/>
      <c r="O27" s="136"/>
      <c r="P27" s="136"/>
      <c r="Q27" s="136"/>
      <c r="R27" s="136"/>
      <c r="S27" s="136"/>
      <c r="T27" s="136"/>
      <c r="U27" s="136"/>
      <c r="V27" s="136"/>
      <c r="W27" s="136"/>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8"/>
      <c r="AV27" s="135"/>
      <c r="AW27" s="135"/>
      <c r="AX27" s="139"/>
      <c r="AY27" s="139"/>
      <c r="AZ27" s="139"/>
      <c r="BA27" s="139"/>
      <c r="BB27" s="139"/>
      <c r="BC27" s="139"/>
      <c r="BD27" s="139"/>
      <c r="BE27" s="139"/>
      <c r="BF27" s="139"/>
      <c r="BG27" s="139"/>
      <c r="BH27" s="139"/>
      <c r="BI27" s="139"/>
      <c r="BJ27" s="140"/>
      <c r="BK27" s="139"/>
      <c r="BL27" s="139"/>
      <c r="BM27" s="139"/>
      <c r="BN27" s="139"/>
      <c r="BO27" s="139"/>
      <c r="BP27" s="139"/>
      <c r="BQ27" s="139"/>
      <c r="BR27" s="139"/>
      <c r="BS27" s="139"/>
      <c r="BT27" s="139"/>
      <c r="BU27" s="139"/>
      <c r="BV27" s="139"/>
      <c r="BW27" s="139"/>
      <c r="BX27" s="139"/>
      <c r="BY27" s="139"/>
      <c r="BZ27" s="139"/>
      <c r="CA27" s="139"/>
      <c r="CB27" s="139"/>
      <c r="CC27" s="139"/>
      <c r="CD27" s="139"/>
      <c r="CE27" s="139"/>
      <c r="CF27" s="139"/>
      <c r="CG27" s="139"/>
      <c r="CH27" s="139"/>
      <c r="CI27" s="139"/>
      <c r="CJ27" s="139"/>
      <c r="CK27" s="139"/>
      <c r="CL27" s="139"/>
      <c r="CM27" s="139"/>
      <c r="CN27" s="139"/>
      <c r="CO27" s="139"/>
      <c r="CP27" s="139"/>
      <c r="CQ27" s="139"/>
      <c r="CR27" s="139"/>
      <c r="CS27" s="139"/>
      <c r="CT27" s="139"/>
      <c r="CU27" s="139"/>
      <c r="CV27" s="139"/>
      <c r="CW27" s="139"/>
      <c r="CX27" s="139"/>
      <c r="CY27" s="139"/>
      <c r="CZ27" s="139"/>
      <c r="DA27" s="139"/>
      <c r="DB27" s="139"/>
      <c r="DC27" s="139"/>
      <c r="DD27" s="139"/>
      <c r="DE27" s="139"/>
      <c r="DF27" s="139"/>
      <c r="DG27" s="139"/>
      <c r="DH27" s="139"/>
      <c r="DI27" s="139"/>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139"/>
      <c r="EJ27" s="139"/>
      <c r="EK27" s="139"/>
      <c r="EL27" s="139"/>
      <c r="EM27" s="139"/>
      <c r="EN27" s="139"/>
      <c r="EO27" s="139"/>
      <c r="EP27" s="139"/>
      <c r="EQ27" s="139"/>
      <c r="ER27" s="139"/>
      <c r="ES27" s="139"/>
      <c r="ET27" s="139"/>
      <c r="EU27" s="139"/>
      <c r="EV27" s="139"/>
      <c r="EW27" s="139"/>
      <c r="EX27" s="139"/>
      <c r="EY27" s="139"/>
      <c r="EZ27" s="139"/>
      <c r="FA27" s="139"/>
      <c r="FB27" s="139"/>
      <c r="FC27" s="139"/>
      <c r="FD27" s="139"/>
      <c r="FE27" s="139"/>
      <c r="FF27" s="139"/>
      <c r="FG27" s="139"/>
      <c r="FH27" s="139"/>
      <c r="FI27" s="139"/>
      <c r="FJ27" s="139"/>
      <c r="FK27" s="139"/>
      <c r="FL27" s="139"/>
      <c r="FM27" s="139"/>
      <c r="FN27" s="139"/>
      <c r="FO27" s="139"/>
      <c r="FP27" s="139"/>
      <c r="FQ27" s="139"/>
      <c r="FR27" s="139"/>
      <c r="FS27" s="139"/>
      <c r="FT27" s="139"/>
      <c r="FU27" s="139"/>
      <c r="FV27" s="139"/>
      <c r="FW27" s="139"/>
      <c r="FX27" s="139"/>
      <c r="FY27" s="139"/>
      <c r="FZ27" s="139"/>
      <c r="GA27" s="139"/>
      <c r="GB27" s="139"/>
      <c r="GC27" s="139"/>
      <c r="GD27" s="139"/>
      <c r="GE27" s="139"/>
      <c r="GF27" s="139"/>
      <c r="GG27" s="139"/>
      <c r="GH27" s="139"/>
      <c r="GI27" s="139"/>
      <c r="GJ27" s="139"/>
      <c r="GK27" s="48"/>
      <c r="GL27" s="27"/>
    </row>
    <row r="28" spans="1:194" x14ac:dyDescent="0.3">
      <c r="A28" s="155"/>
      <c r="B28" s="135"/>
      <c r="C28" s="135"/>
      <c r="D28" s="135"/>
      <c r="E28" s="178"/>
      <c r="F28" s="178"/>
      <c r="G28" s="141"/>
      <c r="H28" s="141"/>
      <c r="I28" s="135"/>
      <c r="J28" s="135"/>
      <c r="K28" s="135"/>
      <c r="L28" s="135"/>
      <c r="M28" s="136"/>
      <c r="N28" s="136"/>
      <c r="O28" s="136"/>
      <c r="P28" s="136"/>
      <c r="Q28" s="136"/>
      <c r="R28" s="136"/>
      <c r="S28" s="136"/>
      <c r="T28" s="136"/>
      <c r="U28" s="136"/>
      <c r="V28" s="136"/>
      <c r="W28" s="136"/>
      <c r="X28" s="136"/>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8"/>
      <c r="AV28" s="135"/>
      <c r="AW28" s="135"/>
      <c r="AX28" s="139"/>
      <c r="AY28" s="139"/>
      <c r="AZ28" s="139"/>
      <c r="BA28" s="139"/>
      <c r="BB28" s="139"/>
      <c r="BC28" s="139"/>
      <c r="BD28" s="139"/>
      <c r="BE28" s="139"/>
      <c r="BF28" s="139"/>
      <c r="BG28" s="139"/>
      <c r="BH28" s="139"/>
      <c r="BI28" s="139"/>
      <c r="BJ28" s="140"/>
      <c r="BK28" s="139"/>
      <c r="BL28" s="139"/>
      <c r="BM28" s="139"/>
      <c r="BN28" s="139"/>
      <c r="BO28" s="139"/>
      <c r="BP28" s="139"/>
      <c r="BQ28" s="139"/>
      <c r="BR28" s="139"/>
      <c r="BS28" s="139"/>
      <c r="BT28" s="139"/>
      <c r="BU28" s="139"/>
      <c r="BV28" s="139"/>
      <c r="BW28" s="139"/>
      <c r="BX28" s="139"/>
      <c r="BY28" s="139"/>
      <c r="BZ28" s="139"/>
      <c r="CA28" s="139"/>
      <c r="CB28" s="139"/>
      <c r="CC28" s="139"/>
      <c r="CD28" s="139"/>
      <c r="CE28" s="139"/>
      <c r="CF28" s="139"/>
      <c r="CG28" s="139"/>
      <c r="CH28" s="139"/>
      <c r="CI28" s="139"/>
      <c r="CJ28" s="139"/>
      <c r="CK28" s="139"/>
      <c r="CL28" s="139"/>
      <c r="CM28" s="139"/>
      <c r="CN28" s="139"/>
      <c r="CO28" s="139"/>
      <c r="CP28" s="139"/>
      <c r="CQ28" s="139"/>
      <c r="CR28" s="139"/>
      <c r="CS28" s="139"/>
      <c r="CT28" s="139"/>
      <c r="CU28" s="139"/>
      <c r="CV28" s="139"/>
      <c r="CW28" s="139"/>
      <c r="CX28" s="139"/>
      <c r="CY28" s="139"/>
      <c r="CZ28" s="139"/>
      <c r="DA28" s="139"/>
      <c r="DB28" s="139"/>
      <c r="DC28" s="139"/>
      <c r="DD28" s="139"/>
      <c r="DE28" s="139"/>
      <c r="DF28" s="139"/>
      <c r="DG28" s="139"/>
      <c r="DH28" s="139"/>
      <c r="DI28" s="139"/>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9"/>
      <c r="EZ28" s="139"/>
      <c r="FA28" s="139"/>
      <c r="FB28" s="139"/>
      <c r="FC28" s="139"/>
      <c r="FD28" s="139"/>
      <c r="FE28" s="139"/>
      <c r="FF28" s="139"/>
      <c r="FG28" s="139"/>
      <c r="FH28" s="139"/>
      <c r="FI28" s="139"/>
      <c r="FJ28" s="139"/>
      <c r="FK28" s="139"/>
      <c r="FL28" s="139"/>
      <c r="FM28" s="139"/>
      <c r="FN28" s="139"/>
      <c r="FO28" s="139"/>
      <c r="FP28" s="139"/>
      <c r="FQ28" s="139"/>
      <c r="FR28" s="139"/>
      <c r="FS28" s="139"/>
      <c r="FT28" s="139"/>
      <c r="FU28" s="139"/>
      <c r="FV28" s="139"/>
      <c r="FW28" s="139"/>
      <c r="FX28" s="139"/>
      <c r="FY28" s="139"/>
      <c r="FZ28" s="139"/>
      <c r="GA28" s="139"/>
      <c r="GB28" s="139"/>
      <c r="GC28" s="139"/>
      <c r="GD28" s="139"/>
      <c r="GE28" s="139"/>
      <c r="GF28" s="139"/>
      <c r="GG28" s="139"/>
      <c r="GH28" s="139"/>
      <c r="GI28" s="139"/>
      <c r="GJ28" s="139"/>
      <c r="GK28" s="48"/>
      <c r="GL28" s="27"/>
    </row>
    <row r="29" spans="1:194" x14ac:dyDescent="0.3">
      <c r="A29" s="155"/>
      <c r="B29" s="135"/>
      <c r="C29" s="135"/>
      <c r="D29" s="135"/>
      <c r="E29" s="178"/>
      <c r="F29" s="178"/>
      <c r="G29" s="141"/>
      <c r="H29" s="141"/>
      <c r="I29" s="135"/>
      <c r="J29" s="135"/>
      <c r="K29" s="135"/>
      <c r="L29" s="135"/>
      <c r="M29" s="136"/>
      <c r="N29" s="136"/>
      <c r="O29" s="136"/>
      <c r="P29" s="136"/>
      <c r="Q29" s="136"/>
      <c r="R29" s="136"/>
      <c r="S29" s="136"/>
      <c r="T29" s="136"/>
      <c r="U29" s="136"/>
      <c r="V29" s="136"/>
      <c r="W29" s="136"/>
      <c r="X29" s="136"/>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8"/>
      <c r="AV29" s="135"/>
      <c r="AW29" s="135"/>
      <c r="AX29" s="139"/>
      <c r="AY29" s="139"/>
      <c r="AZ29" s="139"/>
      <c r="BA29" s="139"/>
      <c r="BB29" s="139"/>
      <c r="BC29" s="139"/>
      <c r="BD29" s="139"/>
      <c r="BE29" s="139"/>
      <c r="BF29" s="139"/>
      <c r="BG29" s="139"/>
      <c r="BH29" s="139"/>
      <c r="BI29" s="139"/>
      <c r="BJ29" s="140"/>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9"/>
      <c r="CI29" s="139"/>
      <c r="CJ29" s="139"/>
      <c r="CK29" s="139"/>
      <c r="CL29" s="139"/>
      <c r="CM29" s="139"/>
      <c r="CN29" s="139"/>
      <c r="CO29" s="139"/>
      <c r="CP29" s="139"/>
      <c r="CQ29" s="139"/>
      <c r="CR29" s="139"/>
      <c r="CS29" s="139"/>
      <c r="CT29" s="139"/>
      <c r="CU29" s="139"/>
      <c r="CV29" s="139"/>
      <c r="CW29" s="139"/>
      <c r="CX29" s="139"/>
      <c r="CY29" s="139"/>
      <c r="CZ29" s="139"/>
      <c r="DA29" s="139"/>
      <c r="DB29" s="139"/>
      <c r="DC29" s="139"/>
      <c r="DD29" s="139"/>
      <c r="DE29" s="139"/>
      <c r="DF29" s="139"/>
      <c r="DG29" s="139"/>
      <c r="DH29" s="139"/>
      <c r="DI29" s="139"/>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139"/>
      <c r="EJ29" s="139"/>
      <c r="EK29" s="139"/>
      <c r="EL29" s="139"/>
      <c r="EM29" s="139"/>
      <c r="EN29" s="139"/>
      <c r="EO29" s="139"/>
      <c r="EP29" s="139"/>
      <c r="EQ29" s="139"/>
      <c r="ER29" s="139"/>
      <c r="ES29" s="139"/>
      <c r="ET29" s="139"/>
      <c r="EU29" s="139"/>
      <c r="EV29" s="139"/>
      <c r="EW29" s="139"/>
      <c r="EX29" s="139"/>
      <c r="EY29" s="139"/>
      <c r="EZ29" s="139"/>
      <c r="FA29" s="139"/>
      <c r="FB29" s="139"/>
      <c r="FC29" s="139"/>
      <c r="FD29" s="139"/>
      <c r="FE29" s="139"/>
      <c r="FF29" s="139"/>
      <c r="FG29" s="139"/>
      <c r="FH29" s="139"/>
      <c r="FI29" s="139"/>
      <c r="FJ29" s="139"/>
      <c r="FK29" s="139"/>
      <c r="FL29" s="139"/>
      <c r="FM29" s="139"/>
      <c r="FN29" s="139"/>
      <c r="FO29" s="139"/>
      <c r="FP29" s="139"/>
      <c r="FQ29" s="139"/>
      <c r="FR29" s="139"/>
      <c r="FS29" s="139"/>
      <c r="FT29" s="139"/>
      <c r="FU29" s="139"/>
      <c r="FV29" s="139"/>
      <c r="FW29" s="139"/>
      <c r="FX29" s="139"/>
      <c r="FY29" s="139"/>
      <c r="FZ29" s="139"/>
      <c r="GA29" s="139"/>
      <c r="GB29" s="139"/>
      <c r="GC29" s="139"/>
      <c r="GD29" s="139"/>
      <c r="GE29" s="139"/>
      <c r="GF29" s="139"/>
      <c r="GG29" s="139"/>
      <c r="GH29" s="139"/>
      <c r="GI29" s="139"/>
      <c r="GJ29" s="139"/>
      <c r="GK29" s="48"/>
      <c r="GL29" s="27"/>
    </row>
    <row r="30" spans="1:194" x14ac:dyDescent="0.3">
      <c r="A30" s="155"/>
      <c r="B30" s="135"/>
      <c r="C30" s="135"/>
      <c r="D30" s="135"/>
      <c r="E30" s="178"/>
      <c r="F30" s="178"/>
      <c r="G30" s="141"/>
      <c r="H30" s="141"/>
      <c r="I30" s="135"/>
      <c r="J30" s="135"/>
      <c r="K30" s="135"/>
      <c r="L30" s="135"/>
      <c r="M30" s="136"/>
      <c r="N30" s="136"/>
      <c r="O30" s="136"/>
      <c r="P30" s="136"/>
      <c r="Q30" s="136"/>
      <c r="R30" s="136"/>
      <c r="S30" s="136"/>
      <c r="T30" s="136"/>
      <c r="U30" s="136"/>
      <c r="V30" s="136"/>
      <c r="W30" s="136"/>
      <c r="X30" s="136"/>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8"/>
      <c r="AV30" s="135"/>
      <c r="AW30" s="135"/>
      <c r="AX30" s="139"/>
      <c r="AY30" s="139"/>
      <c r="AZ30" s="139"/>
      <c r="BA30" s="139"/>
      <c r="BB30" s="139"/>
      <c r="BC30" s="139"/>
      <c r="BD30" s="139"/>
      <c r="BE30" s="139"/>
      <c r="BF30" s="139"/>
      <c r="BG30" s="139"/>
      <c r="BH30" s="139"/>
      <c r="BI30" s="139"/>
      <c r="BJ30" s="140"/>
      <c r="BK30" s="139"/>
      <c r="BL30" s="139"/>
      <c r="BM30" s="139"/>
      <c r="BN30" s="139"/>
      <c r="BO30" s="139"/>
      <c r="BP30" s="139"/>
      <c r="BQ30" s="139"/>
      <c r="BR30" s="139"/>
      <c r="BS30" s="139"/>
      <c r="BT30" s="139"/>
      <c r="BU30" s="139"/>
      <c r="BV30" s="139"/>
      <c r="BW30" s="139"/>
      <c r="BX30" s="139"/>
      <c r="BY30" s="139"/>
      <c r="BZ30" s="139"/>
      <c r="CA30" s="139"/>
      <c r="CB30" s="139"/>
      <c r="CC30" s="139"/>
      <c r="CD30" s="139"/>
      <c r="CE30" s="139"/>
      <c r="CF30" s="139"/>
      <c r="CG30" s="139"/>
      <c r="CH30" s="139"/>
      <c r="CI30" s="139"/>
      <c r="CJ30" s="139"/>
      <c r="CK30" s="139"/>
      <c r="CL30" s="139"/>
      <c r="CM30" s="139"/>
      <c r="CN30" s="139"/>
      <c r="CO30" s="139"/>
      <c r="CP30" s="139"/>
      <c r="CQ30" s="139"/>
      <c r="CR30" s="139"/>
      <c r="CS30" s="139"/>
      <c r="CT30" s="139"/>
      <c r="CU30" s="139"/>
      <c r="CV30" s="139"/>
      <c r="CW30" s="139"/>
      <c r="CX30" s="139"/>
      <c r="CY30" s="139"/>
      <c r="CZ30" s="139"/>
      <c r="DA30" s="139"/>
      <c r="DB30" s="139"/>
      <c r="DC30" s="139"/>
      <c r="DD30" s="139"/>
      <c r="DE30" s="139"/>
      <c r="DF30" s="139"/>
      <c r="DG30" s="139"/>
      <c r="DH30" s="139"/>
      <c r="DI30" s="139"/>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139"/>
      <c r="EJ30" s="139"/>
      <c r="EK30" s="139"/>
      <c r="EL30" s="139"/>
      <c r="EM30" s="139"/>
      <c r="EN30" s="139"/>
      <c r="EO30" s="139"/>
      <c r="EP30" s="139"/>
      <c r="EQ30" s="139"/>
      <c r="ER30" s="139"/>
      <c r="ES30" s="139"/>
      <c r="ET30" s="139"/>
      <c r="EU30" s="139"/>
      <c r="EV30" s="139"/>
      <c r="EW30" s="139"/>
      <c r="EX30" s="139"/>
      <c r="EY30" s="139"/>
      <c r="EZ30" s="139"/>
      <c r="FA30" s="139"/>
      <c r="FB30" s="139"/>
      <c r="FC30" s="139"/>
      <c r="FD30" s="139"/>
      <c r="FE30" s="139"/>
      <c r="FF30" s="139"/>
      <c r="FG30" s="139"/>
      <c r="FH30" s="139"/>
      <c r="FI30" s="139"/>
      <c r="FJ30" s="139"/>
      <c r="FK30" s="139"/>
      <c r="FL30" s="139"/>
      <c r="FM30" s="139"/>
      <c r="FN30" s="139"/>
      <c r="FO30" s="139"/>
      <c r="FP30" s="139"/>
      <c r="FQ30" s="139"/>
      <c r="FR30" s="139"/>
      <c r="FS30" s="139"/>
      <c r="FT30" s="139"/>
      <c r="FU30" s="139"/>
      <c r="FV30" s="139"/>
      <c r="FW30" s="139"/>
      <c r="FX30" s="139"/>
      <c r="FY30" s="139"/>
      <c r="FZ30" s="139"/>
      <c r="GA30" s="139"/>
      <c r="GB30" s="139"/>
      <c r="GC30" s="139"/>
      <c r="GD30" s="139"/>
      <c r="GE30" s="139"/>
      <c r="GF30" s="139"/>
      <c r="GG30" s="139"/>
      <c r="GH30" s="139"/>
      <c r="GI30" s="139"/>
      <c r="GJ30" s="139"/>
      <c r="GK30" s="48"/>
      <c r="GL30" s="27"/>
    </row>
    <row r="31" spans="1:194" x14ac:dyDescent="0.3">
      <c r="A31" s="155"/>
      <c r="B31" s="135"/>
      <c r="C31" s="135"/>
      <c r="D31" s="135"/>
      <c r="E31" s="178"/>
      <c r="F31" s="178"/>
      <c r="G31" s="135"/>
      <c r="H31" s="141"/>
      <c r="I31" s="135"/>
      <c r="J31" s="135"/>
      <c r="K31" s="135"/>
      <c r="L31" s="135"/>
      <c r="M31" s="136"/>
      <c r="N31" s="136"/>
      <c r="O31" s="136"/>
      <c r="P31" s="136"/>
      <c r="Q31" s="136"/>
      <c r="R31" s="136"/>
      <c r="S31" s="136"/>
      <c r="T31" s="136"/>
      <c r="U31" s="136"/>
      <c r="V31" s="136"/>
      <c r="W31" s="136"/>
      <c r="X31" s="136"/>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8"/>
      <c r="AV31" s="135"/>
      <c r="AW31" s="135"/>
      <c r="AX31" s="139"/>
      <c r="AY31" s="139"/>
      <c r="AZ31" s="139"/>
      <c r="BA31" s="139"/>
      <c r="BB31" s="139"/>
      <c r="BC31" s="139"/>
      <c r="BD31" s="139"/>
      <c r="BE31" s="139"/>
      <c r="BF31" s="139"/>
      <c r="BG31" s="139"/>
      <c r="BH31" s="139"/>
      <c r="BI31" s="139"/>
      <c r="BJ31" s="140"/>
      <c r="BK31" s="139"/>
      <c r="BL31" s="139"/>
      <c r="BM31" s="139"/>
      <c r="BN31" s="139"/>
      <c r="BO31" s="139"/>
      <c r="BP31" s="139"/>
      <c r="BQ31" s="139"/>
      <c r="BR31" s="139"/>
      <c r="BS31" s="139"/>
      <c r="BT31" s="139"/>
      <c r="BU31" s="139"/>
      <c r="BV31" s="139"/>
      <c r="BW31" s="139"/>
      <c r="BX31" s="139"/>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139"/>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139"/>
      <c r="EJ31" s="139"/>
      <c r="EK31" s="139"/>
      <c r="EL31" s="139"/>
      <c r="EM31" s="139"/>
      <c r="EN31" s="139"/>
      <c r="EO31" s="139"/>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139"/>
      <c r="FS31" s="139"/>
      <c r="FT31" s="139"/>
      <c r="FU31" s="139"/>
      <c r="FV31" s="139"/>
      <c r="FW31" s="139"/>
      <c r="FX31" s="139"/>
      <c r="FY31" s="139"/>
      <c r="FZ31" s="139"/>
      <c r="GA31" s="139"/>
      <c r="GB31" s="139"/>
      <c r="GC31" s="139"/>
      <c r="GD31" s="139"/>
      <c r="GE31" s="139"/>
      <c r="GF31" s="139"/>
      <c r="GG31" s="139"/>
      <c r="GH31" s="139"/>
      <c r="GI31" s="139"/>
      <c r="GJ31" s="139"/>
      <c r="GK31" s="48"/>
      <c r="GL31" s="27"/>
    </row>
    <row r="32" spans="1:194" x14ac:dyDescent="0.3">
      <c r="A32" s="155"/>
      <c r="B32" s="135"/>
      <c r="C32" s="135"/>
      <c r="D32" s="135"/>
      <c r="E32" s="178"/>
      <c r="F32" s="178"/>
      <c r="G32" s="135"/>
      <c r="H32" s="141"/>
      <c r="I32" s="135"/>
      <c r="J32" s="135"/>
      <c r="K32" s="135"/>
      <c r="L32" s="135"/>
      <c r="M32" s="136"/>
      <c r="N32" s="136"/>
      <c r="O32" s="136"/>
      <c r="P32" s="136"/>
      <c r="Q32" s="136"/>
      <c r="R32" s="136"/>
      <c r="S32" s="136"/>
      <c r="T32" s="136"/>
      <c r="U32" s="136"/>
      <c r="V32" s="136"/>
      <c r="W32" s="136"/>
      <c r="X32" s="136"/>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8"/>
      <c r="AV32" s="135"/>
      <c r="AW32" s="135"/>
      <c r="AX32" s="139"/>
      <c r="AY32" s="139"/>
      <c r="AZ32" s="139"/>
      <c r="BA32" s="139"/>
      <c r="BB32" s="139"/>
      <c r="BC32" s="139"/>
      <c r="BD32" s="139"/>
      <c r="BE32" s="139"/>
      <c r="BF32" s="139"/>
      <c r="BG32" s="139"/>
      <c r="BH32" s="139"/>
      <c r="BI32" s="139"/>
      <c r="BJ32" s="140"/>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9"/>
      <c r="CI32" s="139"/>
      <c r="CJ32" s="139"/>
      <c r="CK32" s="139"/>
      <c r="CL32" s="139"/>
      <c r="CM32" s="139"/>
      <c r="CN32" s="139"/>
      <c r="CO32" s="139"/>
      <c r="CP32" s="139"/>
      <c r="CQ32" s="139"/>
      <c r="CR32" s="139"/>
      <c r="CS32" s="139"/>
      <c r="CT32" s="139"/>
      <c r="CU32" s="139"/>
      <c r="CV32" s="139"/>
      <c r="CW32" s="139"/>
      <c r="CX32" s="139"/>
      <c r="CY32" s="139"/>
      <c r="CZ32" s="139"/>
      <c r="DA32" s="139"/>
      <c r="DB32" s="139"/>
      <c r="DC32" s="139"/>
      <c r="DD32" s="139"/>
      <c r="DE32" s="139"/>
      <c r="DF32" s="139"/>
      <c r="DG32" s="139"/>
      <c r="DH32" s="139"/>
      <c r="DI32" s="139"/>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139"/>
      <c r="EJ32" s="139"/>
      <c r="EK32" s="139"/>
      <c r="EL32" s="139"/>
      <c r="EM32" s="139"/>
      <c r="EN32" s="139"/>
      <c r="EO32" s="139"/>
      <c r="EP32" s="139"/>
      <c r="EQ32" s="139"/>
      <c r="ER32" s="139"/>
      <c r="ES32" s="139"/>
      <c r="ET32" s="139"/>
      <c r="EU32" s="139"/>
      <c r="EV32" s="139"/>
      <c r="EW32" s="139"/>
      <c r="EX32" s="139"/>
      <c r="EY32" s="139"/>
      <c r="EZ32" s="139"/>
      <c r="FA32" s="139"/>
      <c r="FB32" s="139"/>
      <c r="FC32" s="139"/>
      <c r="FD32" s="139"/>
      <c r="FE32" s="139"/>
      <c r="FF32" s="139"/>
      <c r="FG32" s="139"/>
      <c r="FH32" s="139"/>
      <c r="FI32" s="139"/>
      <c r="FJ32" s="139"/>
      <c r="FK32" s="139"/>
      <c r="FL32" s="139"/>
      <c r="FM32" s="139"/>
      <c r="FN32" s="139"/>
      <c r="FO32" s="139"/>
      <c r="FP32" s="139"/>
      <c r="FQ32" s="139"/>
      <c r="FR32" s="139"/>
      <c r="FS32" s="139"/>
      <c r="FT32" s="139"/>
      <c r="FU32" s="139"/>
      <c r="FV32" s="139"/>
      <c r="FW32" s="139"/>
      <c r="FX32" s="139"/>
      <c r="FY32" s="139"/>
      <c r="FZ32" s="139"/>
      <c r="GA32" s="139"/>
      <c r="GB32" s="139"/>
      <c r="GC32" s="139"/>
      <c r="GD32" s="139"/>
      <c r="GE32" s="139"/>
      <c r="GF32" s="139"/>
      <c r="GG32" s="139"/>
      <c r="GH32" s="139"/>
      <c r="GI32" s="139"/>
      <c r="GJ32" s="139"/>
      <c r="GK32" s="48"/>
      <c r="GL32" s="27"/>
    </row>
    <row r="33" spans="1:194" x14ac:dyDescent="0.3">
      <c r="A33" s="155"/>
      <c r="B33" s="135"/>
      <c r="C33" s="135"/>
      <c r="D33" s="135"/>
      <c r="E33" s="178"/>
      <c r="F33" s="135"/>
      <c r="G33" s="135"/>
      <c r="H33" s="141"/>
      <c r="I33" s="135"/>
      <c r="J33" s="135"/>
      <c r="K33" s="135"/>
      <c r="L33" s="135"/>
      <c r="M33" s="136"/>
      <c r="N33" s="136"/>
      <c r="O33" s="136"/>
      <c r="P33" s="136"/>
      <c r="Q33" s="136"/>
      <c r="R33" s="136"/>
      <c r="S33" s="136"/>
      <c r="T33" s="136"/>
      <c r="U33" s="136"/>
      <c r="V33" s="136"/>
      <c r="W33" s="136"/>
      <c r="X33" s="136"/>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8"/>
      <c r="AV33" s="135"/>
      <c r="AW33" s="135"/>
      <c r="AX33" s="139"/>
      <c r="AY33" s="139"/>
      <c r="AZ33" s="139"/>
      <c r="BA33" s="139"/>
      <c r="BB33" s="139"/>
      <c r="BC33" s="139"/>
      <c r="BD33" s="139"/>
      <c r="BE33" s="139"/>
      <c r="BF33" s="139"/>
      <c r="BG33" s="139"/>
      <c r="BH33" s="139"/>
      <c r="BI33" s="139"/>
      <c r="BJ33" s="140"/>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c r="CX33" s="139"/>
      <c r="CY33" s="139"/>
      <c r="CZ33" s="139"/>
      <c r="DA33" s="139"/>
      <c r="DB33" s="139"/>
      <c r="DC33" s="139"/>
      <c r="DD33" s="139"/>
      <c r="DE33" s="139"/>
      <c r="DF33" s="139"/>
      <c r="DG33" s="139"/>
      <c r="DH33" s="139"/>
      <c r="DI33" s="139"/>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139"/>
      <c r="EJ33" s="139"/>
      <c r="EK33" s="139"/>
      <c r="EL33" s="139"/>
      <c r="EM33" s="139"/>
      <c r="EN33" s="139"/>
      <c r="EO33" s="139"/>
      <c r="EP33" s="139"/>
      <c r="EQ33" s="139"/>
      <c r="ER33" s="139"/>
      <c r="ES33" s="139"/>
      <c r="ET33" s="139"/>
      <c r="EU33" s="139"/>
      <c r="EV33" s="139"/>
      <c r="EW33" s="139"/>
      <c r="EX33" s="139"/>
      <c r="EY33" s="139"/>
      <c r="EZ33" s="139"/>
      <c r="FA33" s="139"/>
      <c r="FB33" s="139"/>
      <c r="FC33" s="139"/>
      <c r="FD33" s="139"/>
      <c r="FE33" s="139"/>
      <c r="FF33" s="139"/>
      <c r="FG33" s="139"/>
      <c r="FH33" s="139"/>
      <c r="FI33" s="139"/>
      <c r="FJ33" s="139"/>
      <c r="FK33" s="139"/>
      <c r="FL33" s="139"/>
      <c r="FM33" s="139"/>
      <c r="FN33" s="139"/>
      <c r="FO33" s="139"/>
      <c r="FP33" s="139"/>
      <c r="FQ33" s="139"/>
      <c r="FR33" s="139"/>
      <c r="FS33" s="139"/>
      <c r="FT33" s="139"/>
      <c r="FU33" s="139"/>
      <c r="FV33" s="139"/>
      <c r="FW33" s="139"/>
      <c r="FX33" s="139"/>
      <c r="FY33" s="139"/>
      <c r="FZ33" s="139"/>
      <c r="GA33" s="139"/>
      <c r="GB33" s="139"/>
      <c r="GC33" s="139"/>
      <c r="GD33" s="139"/>
      <c r="GE33" s="139"/>
      <c r="GF33" s="139"/>
      <c r="GG33" s="139"/>
      <c r="GH33" s="139"/>
      <c r="GI33" s="139"/>
      <c r="GJ33" s="139"/>
      <c r="GK33" s="48"/>
      <c r="GL33" s="27"/>
    </row>
    <row r="34" spans="1:194" ht="17.25" thickBot="1" x14ac:dyDescent="0.35">
      <c r="A34" s="156"/>
      <c r="B34" s="158"/>
      <c r="C34" s="158"/>
      <c r="D34" s="158"/>
      <c r="E34" s="375"/>
      <c r="F34" s="158"/>
      <c r="G34" s="158"/>
      <c r="H34" s="157"/>
      <c r="I34" s="158"/>
      <c r="J34" s="158"/>
      <c r="K34" s="158"/>
      <c r="L34" s="158"/>
      <c r="M34" s="159"/>
      <c r="N34" s="159"/>
      <c r="O34" s="159"/>
      <c r="P34" s="159"/>
      <c r="Q34" s="159"/>
      <c r="R34" s="159"/>
      <c r="S34" s="159"/>
      <c r="T34" s="159"/>
      <c r="U34" s="159"/>
      <c r="V34" s="159"/>
      <c r="W34" s="159"/>
      <c r="X34" s="159"/>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1"/>
      <c r="AV34" s="158"/>
      <c r="AW34" s="158"/>
      <c r="AX34" s="162"/>
      <c r="AY34" s="162"/>
      <c r="AZ34" s="162"/>
      <c r="BA34" s="162"/>
      <c r="BB34" s="162"/>
      <c r="BC34" s="162"/>
      <c r="BD34" s="162"/>
      <c r="BE34" s="162"/>
      <c r="BF34" s="162"/>
      <c r="BG34" s="162"/>
      <c r="BH34" s="162"/>
      <c r="BI34" s="162"/>
      <c r="BJ34" s="163"/>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c r="ER34" s="162"/>
      <c r="ES34" s="162"/>
      <c r="ET34" s="162"/>
      <c r="EU34" s="162"/>
      <c r="EV34" s="162"/>
      <c r="EW34" s="162"/>
      <c r="EX34" s="162"/>
      <c r="EY34" s="162"/>
      <c r="EZ34" s="162"/>
      <c r="FA34" s="162"/>
      <c r="FB34" s="162"/>
      <c r="FC34" s="162"/>
      <c r="FD34" s="162"/>
      <c r="FE34" s="162"/>
      <c r="FF34" s="162"/>
      <c r="FG34" s="162"/>
      <c r="FH34" s="162"/>
      <c r="FI34" s="162"/>
      <c r="FJ34" s="162"/>
      <c r="FK34" s="162"/>
      <c r="FL34" s="162"/>
      <c r="FM34" s="162"/>
      <c r="FN34" s="162"/>
      <c r="FO34" s="162"/>
      <c r="FP34" s="162"/>
      <c r="FQ34" s="162"/>
      <c r="FR34" s="162"/>
      <c r="FS34" s="162"/>
      <c r="FT34" s="162"/>
      <c r="FU34" s="162"/>
      <c r="FV34" s="162"/>
      <c r="FW34" s="162"/>
      <c r="FX34" s="162"/>
      <c r="FY34" s="162"/>
      <c r="FZ34" s="162"/>
      <c r="GA34" s="162"/>
      <c r="GB34" s="162"/>
      <c r="GC34" s="162"/>
      <c r="GD34" s="162"/>
      <c r="GE34" s="162"/>
      <c r="GF34" s="162"/>
      <c r="GG34" s="162"/>
      <c r="GH34" s="162"/>
      <c r="GI34" s="162"/>
      <c r="GJ34" s="162"/>
      <c r="GK34" s="40"/>
      <c r="GL34" s="27"/>
    </row>
    <row r="35" spans="1:194" x14ac:dyDescent="0.3">
      <c r="A35" s="47"/>
      <c r="B35" s="41"/>
      <c r="C35" s="41"/>
      <c r="D35" s="41"/>
      <c r="E35" s="173"/>
      <c r="F35" s="173"/>
      <c r="G35" s="41"/>
      <c r="H35" s="41"/>
      <c r="I35" s="41"/>
      <c r="J35" s="41"/>
      <c r="K35" s="41"/>
      <c r="L35" s="41"/>
      <c r="M35" s="42"/>
      <c r="N35" s="42"/>
      <c r="O35" s="42"/>
      <c r="P35" s="42"/>
      <c r="Q35" s="42"/>
      <c r="R35" s="42"/>
      <c r="S35" s="42"/>
      <c r="T35" s="42"/>
      <c r="U35" s="42"/>
      <c r="V35" s="42"/>
      <c r="W35" s="42"/>
      <c r="X35" s="42"/>
      <c r="Y35" s="43"/>
      <c r="Z35" s="43"/>
      <c r="AA35" s="43"/>
      <c r="AB35" s="43"/>
      <c r="AC35" s="43"/>
      <c r="AD35" s="43"/>
      <c r="AE35" s="43"/>
      <c r="AF35" s="43"/>
      <c r="AG35" s="43"/>
      <c r="AH35" s="43"/>
      <c r="AI35" s="43"/>
      <c r="AJ35" s="43"/>
      <c r="AK35" s="43"/>
      <c r="AL35" s="43"/>
      <c r="AM35" s="43"/>
      <c r="AN35" s="43"/>
      <c r="AO35" s="43"/>
      <c r="AP35" s="43"/>
      <c r="AQ35" s="43"/>
      <c r="AR35" s="43"/>
      <c r="AS35" s="43"/>
      <c r="AT35" s="43"/>
      <c r="AU35" s="44"/>
      <c r="AV35" s="41"/>
      <c r="AW35" s="41"/>
      <c r="AX35" s="30"/>
      <c r="AY35" s="30"/>
      <c r="AZ35" s="30"/>
      <c r="BA35" s="30"/>
      <c r="BB35" s="30"/>
      <c r="BC35" s="30"/>
      <c r="BD35" s="30"/>
      <c r="BE35" s="30"/>
      <c r="BF35" s="30"/>
      <c r="BG35" s="30"/>
      <c r="BH35" s="30"/>
      <c r="BI35" s="30"/>
      <c r="BJ35" s="45"/>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48"/>
      <c r="GL35" s="27"/>
    </row>
    <row r="36" spans="1:194" x14ac:dyDescent="0.3">
      <c r="A36" s="47"/>
      <c r="B36" s="41"/>
      <c r="C36" s="41"/>
      <c r="D36" s="41"/>
      <c r="E36" s="173"/>
      <c r="F36" s="173"/>
      <c r="G36" s="41"/>
      <c r="H36" s="41"/>
      <c r="I36" s="41"/>
      <c r="J36" s="41"/>
      <c r="K36" s="41"/>
      <c r="L36" s="41"/>
      <c r="M36" s="42"/>
      <c r="N36" s="42"/>
      <c r="O36" s="42"/>
      <c r="P36" s="42"/>
      <c r="Q36" s="42"/>
      <c r="R36" s="42"/>
      <c r="S36" s="42"/>
      <c r="T36" s="42"/>
      <c r="U36" s="42"/>
      <c r="V36" s="42"/>
      <c r="W36" s="42"/>
      <c r="X36" s="42"/>
      <c r="Y36" s="43"/>
      <c r="Z36" s="43"/>
      <c r="AA36" s="43"/>
      <c r="AB36" s="43"/>
      <c r="AC36" s="43"/>
      <c r="AD36" s="43"/>
      <c r="AE36" s="43"/>
      <c r="AF36" s="43"/>
      <c r="AG36" s="43"/>
      <c r="AH36" s="43"/>
      <c r="AI36" s="43"/>
      <c r="AJ36" s="43"/>
      <c r="AK36" s="43"/>
      <c r="AL36" s="43"/>
      <c r="AM36" s="43"/>
      <c r="AN36" s="43"/>
      <c r="AO36" s="43"/>
      <c r="AP36" s="43"/>
      <c r="AQ36" s="43"/>
      <c r="AR36" s="43"/>
      <c r="AS36" s="43"/>
      <c r="AT36" s="43"/>
      <c r="AU36" s="44"/>
      <c r="AV36" s="41"/>
      <c r="AW36" s="41"/>
      <c r="AX36" s="30"/>
      <c r="AY36" s="30"/>
      <c r="AZ36" s="30"/>
      <c r="BA36" s="30"/>
      <c r="BB36" s="30"/>
      <c r="BC36" s="30"/>
      <c r="BD36" s="30"/>
      <c r="BE36" s="30"/>
      <c r="BF36" s="30"/>
      <c r="BG36" s="30"/>
      <c r="BH36" s="30"/>
      <c r="BI36" s="30"/>
      <c r="BJ36" s="45"/>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48"/>
      <c r="GL36" s="27"/>
    </row>
    <row r="37" spans="1:194" x14ac:dyDescent="0.3">
      <c r="A37" s="47"/>
      <c r="B37" s="41"/>
      <c r="C37" s="41"/>
      <c r="D37" s="41"/>
      <c r="E37" s="173"/>
      <c r="F37" s="173"/>
      <c r="G37" s="41"/>
      <c r="H37" s="41"/>
      <c r="I37" s="41"/>
      <c r="J37" s="41"/>
      <c r="K37" s="41"/>
      <c r="L37" s="41"/>
      <c r="M37" s="42"/>
      <c r="N37" s="42"/>
      <c r="O37" s="42"/>
      <c r="P37" s="42"/>
      <c r="Q37" s="42"/>
      <c r="R37" s="42"/>
      <c r="S37" s="42"/>
      <c r="T37" s="42"/>
      <c r="U37" s="42"/>
      <c r="V37" s="42"/>
      <c r="W37" s="42"/>
      <c r="X37" s="42"/>
      <c r="Y37" s="43"/>
      <c r="Z37" s="43"/>
      <c r="AA37" s="43"/>
      <c r="AB37" s="43"/>
      <c r="AC37" s="43"/>
      <c r="AD37" s="43"/>
      <c r="AE37" s="43"/>
      <c r="AF37" s="43"/>
      <c r="AG37" s="43"/>
      <c r="AH37" s="43"/>
      <c r="AI37" s="43"/>
      <c r="AJ37" s="43"/>
      <c r="AK37" s="43"/>
      <c r="AL37" s="43"/>
      <c r="AM37" s="43"/>
      <c r="AN37" s="43"/>
      <c r="AO37" s="43"/>
      <c r="AP37" s="43"/>
      <c r="AQ37" s="43"/>
      <c r="AR37" s="43"/>
      <c r="AS37" s="43"/>
      <c r="AT37" s="43"/>
      <c r="AU37" s="44"/>
      <c r="AV37" s="41"/>
      <c r="AW37" s="41"/>
      <c r="AX37" s="30"/>
      <c r="AY37" s="30"/>
      <c r="AZ37" s="30"/>
      <c r="BA37" s="30"/>
      <c r="BB37" s="30"/>
      <c r="BC37" s="30"/>
      <c r="BD37" s="30"/>
      <c r="BE37" s="30"/>
      <c r="BF37" s="30"/>
      <c r="BG37" s="30"/>
      <c r="BH37" s="30"/>
      <c r="BI37" s="30"/>
      <c r="BJ37" s="45"/>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48"/>
      <c r="GL37" s="27"/>
    </row>
    <row r="38" spans="1:194" x14ac:dyDescent="0.3">
      <c r="A38" s="47"/>
      <c r="B38" s="41"/>
      <c r="C38" s="41"/>
      <c r="D38" s="41"/>
      <c r="E38" s="173"/>
      <c r="F38" s="173"/>
      <c r="G38" s="41"/>
      <c r="H38" s="41"/>
      <c r="I38" s="41"/>
      <c r="J38" s="41"/>
      <c r="K38" s="41"/>
      <c r="L38" s="41"/>
      <c r="M38" s="42"/>
      <c r="N38" s="42"/>
      <c r="O38" s="42"/>
      <c r="P38" s="42"/>
      <c r="Q38" s="42"/>
      <c r="R38" s="42"/>
      <c r="S38" s="42"/>
      <c r="T38" s="42"/>
      <c r="U38" s="42"/>
      <c r="V38" s="42"/>
      <c r="W38" s="42"/>
      <c r="X38" s="42"/>
      <c r="Y38" s="43"/>
      <c r="Z38" s="43"/>
      <c r="AA38" s="43"/>
      <c r="AB38" s="43"/>
      <c r="AC38" s="43"/>
      <c r="AD38" s="43"/>
      <c r="AE38" s="43"/>
      <c r="AF38" s="43"/>
      <c r="AG38" s="43"/>
      <c r="AH38" s="43"/>
      <c r="AI38" s="43"/>
      <c r="AJ38" s="43"/>
      <c r="AK38" s="43"/>
      <c r="AL38" s="43"/>
      <c r="AM38" s="43"/>
      <c r="AN38" s="43"/>
      <c r="AO38" s="43"/>
      <c r="AP38" s="43"/>
      <c r="AQ38" s="43"/>
      <c r="AR38" s="43"/>
      <c r="AS38" s="43"/>
      <c r="AT38" s="43"/>
      <c r="AU38" s="44"/>
      <c r="AV38" s="41"/>
      <c r="AW38" s="41"/>
      <c r="AX38" s="30"/>
      <c r="AY38" s="30"/>
      <c r="AZ38" s="30"/>
      <c r="BA38" s="30"/>
      <c r="BB38" s="30"/>
      <c r="BC38" s="30"/>
      <c r="BD38" s="30"/>
      <c r="BE38" s="30"/>
      <c r="BF38" s="30"/>
      <c r="BG38" s="30"/>
      <c r="BH38" s="30"/>
      <c r="BI38" s="30"/>
      <c r="BJ38" s="45"/>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48"/>
      <c r="GL38" s="27"/>
    </row>
    <row r="39" spans="1:194" x14ac:dyDescent="0.3">
      <c r="A39" s="47"/>
      <c r="B39" s="41"/>
      <c r="C39" s="41"/>
      <c r="D39" s="41"/>
      <c r="E39" s="173"/>
      <c r="F39" s="173"/>
      <c r="G39" s="41"/>
      <c r="H39" s="41"/>
      <c r="I39" s="41"/>
      <c r="J39" s="41"/>
      <c r="K39" s="41"/>
      <c r="L39" s="41"/>
      <c r="M39" s="42"/>
      <c r="N39" s="42"/>
      <c r="O39" s="42"/>
      <c r="P39" s="42"/>
      <c r="Q39" s="42"/>
      <c r="R39" s="42"/>
      <c r="S39" s="42"/>
      <c r="T39" s="42"/>
      <c r="U39" s="42"/>
      <c r="V39" s="42"/>
      <c r="W39" s="42"/>
      <c r="X39" s="42"/>
      <c r="Y39" s="43"/>
      <c r="Z39" s="43"/>
      <c r="AA39" s="43"/>
      <c r="AB39" s="43"/>
      <c r="AC39" s="43"/>
      <c r="AD39" s="43"/>
      <c r="AE39" s="43"/>
      <c r="AF39" s="43"/>
      <c r="AG39" s="43"/>
      <c r="AH39" s="43"/>
      <c r="AI39" s="43"/>
      <c r="AJ39" s="43"/>
      <c r="AK39" s="43"/>
      <c r="AL39" s="43"/>
      <c r="AM39" s="43"/>
      <c r="AN39" s="43"/>
      <c r="AO39" s="43"/>
      <c r="AP39" s="43"/>
      <c r="AQ39" s="43"/>
      <c r="AR39" s="43"/>
      <c r="AS39" s="43"/>
      <c r="AT39" s="43"/>
      <c r="AU39" s="44"/>
      <c r="AV39" s="41"/>
      <c r="AW39" s="41"/>
      <c r="AX39" s="30"/>
      <c r="AY39" s="30"/>
      <c r="AZ39" s="30"/>
      <c r="BA39" s="30"/>
      <c r="BB39" s="30"/>
      <c r="BC39" s="30"/>
      <c r="BD39" s="30"/>
      <c r="BE39" s="30"/>
      <c r="BF39" s="30"/>
      <c r="BG39" s="30"/>
      <c r="BH39" s="30"/>
      <c r="BI39" s="30"/>
      <c r="BJ39" s="45"/>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c r="DK39" s="30"/>
      <c r="DL39" s="30"/>
      <c r="DM39" s="30"/>
      <c r="DN39" s="30"/>
      <c r="DO39" s="30"/>
      <c r="DP39" s="30"/>
      <c r="DQ39" s="30"/>
      <c r="DR39" s="30"/>
      <c r="DS39" s="30"/>
      <c r="DT39" s="30"/>
      <c r="DU39" s="30"/>
      <c r="DV39" s="30"/>
      <c r="DW39" s="30"/>
      <c r="DX39" s="30"/>
      <c r="DY39" s="30"/>
      <c r="DZ39" s="30"/>
      <c r="EA39" s="30"/>
      <c r="EB39" s="30"/>
      <c r="EC39" s="30"/>
      <c r="ED39" s="30"/>
      <c r="EE39" s="30"/>
      <c r="EF39" s="30"/>
      <c r="EG39" s="30"/>
      <c r="EH39" s="30"/>
      <c r="EI39" s="30"/>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48"/>
      <c r="GL39" s="27"/>
    </row>
    <row r="40" spans="1:194" x14ac:dyDescent="0.3">
      <c r="A40" s="47"/>
      <c r="B40" s="41"/>
      <c r="C40" s="41"/>
      <c r="D40" s="41"/>
      <c r="E40" s="173"/>
      <c r="F40" s="173"/>
      <c r="G40" s="41"/>
      <c r="H40" s="41"/>
      <c r="I40" s="41"/>
      <c r="J40" s="41"/>
      <c r="K40" s="41"/>
      <c r="L40" s="41"/>
      <c r="M40" s="42"/>
      <c r="N40" s="42"/>
      <c r="O40" s="42"/>
      <c r="P40" s="42"/>
      <c r="Q40" s="42"/>
      <c r="R40" s="42"/>
      <c r="S40" s="42"/>
      <c r="T40" s="42"/>
      <c r="U40" s="42"/>
      <c r="V40" s="42"/>
      <c r="W40" s="42"/>
      <c r="X40" s="42"/>
      <c r="Y40" s="43"/>
      <c r="Z40" s="43"/>
      <c r="AA40" s="43"/>
      <c r="AB40" s="43"/>
      <c r="AC40" s="43"/>
      <c r="AD40" s="43"/>
      <c r="AE40" s="43"/>
      <c r="AF40" s="43"/>
      <c r="AG40" s="43"/>
      <c r="AH40" s="43"/>
      <c r="AI40" s="43"/>
      <c r="AJ40" s="43"/>
      <c r="AK40" s="43"/>
      <c r="AL40" s="43"/>
      <c r="AM40" s="43"/>
      <c r="AN40" s="43"/>
      <c r="AO40" s="43"/>
      <c r="AP40" s="43"/>
      <c r="AQ40" s="43"/>
      <c r="AR40" s="43"/>
      <c r="AS40" s="43"/>
      <c r="AT40" s="43"/>
      <c r="AU40" s="44"/>
      <c r="AV40" s="41"/>
      <c r="AW40" s="41"/>
      <c r="AX40" s="30"/>
      <c r="AY40" s="30"/>
      <c r="AZ40" s="30"/>
      <c r="BA40" s="30"/>
      <c r="BB40" s="30"/>
      <c r="BC40" s="30"/>
      <c r="BD40" s="30"/>
      <c r="BE40" s="30"/>
      <c r="BF40" s="30"/>
      <c r="BG40" s="30"/>
      <c r="BH40" s="30"/>
      <c r="BI40" s="30"/>
      <c r="BJ40" s="45"/>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48"/>
      <c r="GL40" s="27"/>
    </row>
    <row r="41" spans="1:194" x14ac:dyDescent="0.3">
      <c r="A41" s="47"/>
      <c r="B41" s="41"/>
      <c r="C41" s="41"/>
      <c r="D41" s="41"/>
      <c r="E41" s="173"/>
      <c r="F41" s="173"/>
      <c r="G41" s="41"/>
      <c r="H41" s="41"/>
      <c r="I41" s="41"/>
      <c r="J41" s="41"/>
      <c r="K41" s="41"/>
      <c r="L41" s="41"/>
      <c r="M41" s="42"/>
      <c r="N41" s="42"/>
      <c r="O41" s="42"/>
      <c r="P41" s="42"/>
      <c r="Q41" s="42"/>
      <c r="R41" s="42"/>
      <c r="S41" s="42"/>
      <c r="T41" s="42"/>
      <c r="U41" s="42"/>
      <c r="V41" s="42"/>
      <c r="W41" s="42"/>
      <c r="X41" s="42"/>
      <c r="Y41" s="43"/>
      <c r="Z41" s="43"/>
      <c r="AA41" s="43"/>
      <c r="AB41" s="43"/>
      <c r="AC41" s="43"/>
      <c r="AD41" s="43"/>
      <c r="AE41" s="43"/>
      <c r="AF41" s="43"/>
      <c r="AG41" s="43"/>
      <c r="AH41" s="43"/>
      <c r="AI41" s="43"/>
      <c r="AJ41" s="43"/>
      <c r="AK41" s="43"/>
      <c r="AL41" s="43"/>
      <c r="AM41" s="43"/>
      <c r="AN41" s="43"/>
      <c r="AO41" s="43"/>
      <c r="AP41" s="43"/>
      <c r="AQ41" s="43"/>
      <c r="AR41" s="43"/>
      <c r="AS41" s="43"/>
      <c r="AT41" s="43"/>
      <c r="AU41" s="44"/>
      <c r="AV41" s="41"/>
      <c r="AW41" s="41"/>
      <c r="AX41" s="30"/>
      <c r="AY41" s="30"/>
      <c r="AZ41" s="30"/>
      <c r="BA41" s="30"/>
      <c r="BB41" s="30"/>
      <c r="BC41" s="30"/>
      <c r="BD41" s="30"/>
      <c r="BE41" s="30"/>
      <c r="BF41" s="30"/>
      <c r="BG41" s="30"/>
      <c r="BH41" s="30"/>
      <c r="BI41" s="30"/>
      <c r="BJ41" s="45"/>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48"/>
      <c r="GL41" s="27"/>
    </row>
    <row r="42" spans="1:194" ht="17.25" thickBot="1" x14ac:dyDescent="0.35">
      <c r="A42" s="33"/>
      <c r="B42" s="34"/>
      <c r="C42" s="34"/>
      <c r="D42" s="34"/>
      <c r="E42" s="174"/>
      <c r="F42" s="174"/>
      <c r="G42" s="34"/>
      <c r="H42" s="34"/>
      <c r="I42" s="34"/>
      <c r="J42" s="34"/>
      <c r="K42" s="34"/>
      <c r="L42" s="34"/>
      <c r="M42" s="35"/>
      <c r="N42" s="35"/>
      <c r="O42" s="35"/>
      <c r="P42" s="35"/>
      <c r="Q42" s="35"/>
      <c r="R42" s="35"/>
      <c r="S42" s="35"/>
      <c r="T42" s="35"/>
      <c r="U42" s="35"/>
      <c r="V42" s="35"/>
      <c r="W42" s="35"/>
      <c r="X42" s="35"/>
      <c r="Y42" s="36"/>
      <c r="Z42" s="36"/>
      <c r="AA42" s="36"/>
      <c r="AB42" s="36"/>
      <c r="AC42" s="36"/>
      <c r="AD42" s="36"/>
      <c r="AE42" s="36"/>
      <c r="AF42" s="36"/>
      <c r="AG42" s="36"/>
      <c r="AH42" s="36"/>
      <c r="AI42" s="36"/>
      <c r="AJ42" s="36"/>
      <c r="AK42" s="36"/>
      <c r="AL42" s="36"/>
      <c r="AM42" s="36"/>
      <c r="AN42" s="36"/>
      <c r="AO42" s="36"/>
      <c r="AP42" s="36"/>
      <c r="AQ42" s="36"/>
      <c r="AR42" s="36"/>
      <c r="AS42" s="36"/>
      <c r="AT42" s="36"/>
      <c r="AU42" s="37"/>
      <c r="AV42" s="34"/>
      <c r="AW42" s="34"/>
      <c r="AX42" s="38"/>
      <c r="AY42" s="38"/>
      <c r="AZ42" s="38"/>
      <c r="BA42" s="38"/>
      <c r="BB42" s="38"/>
      <c r="BC42" s="38"/>
      <c r="BD42" s="38"/>
      <c r="BE42" s="38"/>
      <c r="BF42" s="38"/>
      <c r="BG42" s="38"/>
      <c r="BH42" s="38"/>
      <c r="BI42" s="38"/>
      <c r="BJ42" s="39"/>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40"/>
      <c r="GL42" s="27"/>
    </row>
  </sheetData>
  <phoneticPr fontId="1" type="noConversion"/>
  <conditionalFormatting sqref="AV5:AW42 A5:X42">
    <cfRule type="expression" dxfId="73" priority="10">
      <formula>OR($D5="MA",$D5="운영")</formula>
    </cfRule>
  </conditionalFormatting>
  <conditionalFormatting sqref="AJ5:AT42">
    <cfRule type="expression" dxfId="72" priority="7">
      <formula>OR($D5="MA",$D5="운영")</formula>
    </cfRule>
  </conditionalFormatting>
  <conditionalFormatting sqref="Y5:AI42">
    <cfRule type="expression" dxfId="71" priority="4">
      <formula>OR($D5="MA",$D5="운영")</formula>
    </cfRule>
  </conditionalFormatting>
  <dataValidations count="1">
    <dataValidation type="list" allowBlank="1" showInputMessage="1" showErrorMessage="1" sqref="E5" xr:uid="{00000000-0002-0000-0A00-000000000000}">
      <formula1>INDIRECT($D$5)</formula1>
    </dataValidation>
  </dataValidations>
  <hyperlinks>
    <hyperlink ref="A1" location="HOME!A1" display="HOME" xr:uid="{00000000-0004-0000-0A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9699" r:id="rId4" name="OptionButton2">
          <controlPr defaultSize="0" autoFill="0" autoLine="0" autoPict="0" r:id="rId5">
            <anchor moveWithCells="1">
              <from>
                <xdr:col>6</xdr:col>
                <xdr:colOff>1057275</xdr:colOff>
                <xdr:row>0</xdr:row>
                <xdr:rowOff>0</xdr:rowOff>
              </from>
              <to>
                <xdr:col>9</xdr:col>
                <xdr:colOff>104775</xdr:colOff>
                <xdr:row>1</xdr:row>
                <xdr:rowOff>66675</xdr:rowOff>
              </to>
            </anchor>
          </controlPr>
        </control>
      </mc:Choice>
      <mc:Fallback>
        <control shapeId="29699" r:id="rId4" name="OptionButton2"/>
      </mc:Fallback>
    </mc:AlternateContent>
    <mc:AlternateContent xmlns:mc="http://schemas.openxmlformats.org/markup-compatibility/2006">
      <mc:Choice Requires="x14">
        <control shapeId="29698" r:id="rId6" name="OptionButton1">
          <controlPr defaultSize="0" disabled="1" autoFill="0" autoLine="0" r:id="rId7">
            <anchor moveWithCells="1">
              <from>
                <xdr:col>5</xdr:col>
                <xdr:colOff>238125</xdr:colOff>
                <xdr:row>0</xdr:row>
                <xdr:rowOff>19050</xdr:rowOff>
              </from>
              <to>
                <xdr:col>6</xdr:col>
                <xdr:colOff>552450</xdr:colOff>
                <xdr:row>1</xdr:row>
                <xdr:rowOff>38100</xdr:rowOff>
              </to>
            </anchor>
          </controlPr>
        </control>
      </mc:Choice>
      <mc:Fallback>
        <control shapeId="29698" r:id="rId6" name="OptionButton1"/>
      </mc:Fallback>
    </mc:AlternateContent>
    <mc:AlternateContent xmlns:mc="http://schemas.openxmlformats.org/markup-compatibility/2006">
      <mc:Choice Requires="x14">
        <control shapeId="29697" r:id="rId8" name="cmd_BL인건비">
          <controlPr defaultSize="0" autoFill="0" autoLine="0" r:id="rId9">
            <anchor moveWithCells="1">
              <from>
                <xdr:col>3</xdr:col>
                <xdr:colOff>171450</xdr:colOff>
                <xdr:row>0</xdr:row>
                <xdr:rowOff>0</xdr:rowOff>
              </from>
              <to>
                <xdr:col>4</xdr:col>
                <xdr:colOff>533400</xdr:colOff>
                <xdr:row>1</xdr:row>
                <xdr:rowOff>38100</xdr:rowOff>
              </to>
            </anchor>
          </controlPr>
        </control>
      </mc:Choice>
      <mc:Fallback>
        <control shapeId="29697" r:id="rId8" name="cmd_BL인건비"/>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2_Sheet">
    <tabColor theme="9" tint="0.39997558519241921"/>
  </sheetPr>
  <dimension ref="A1:GL42"/>
  <sheetViews>
    <sheetView showGridLines="0" zoomScale="70" zoomScaleNormal="70" workbookViewId="0">
      <selection sqref="A1:XFD1"/>
    </sheetView>
  </sheetViews>
  <sheetFormatPr defaultRowHeight="16.5" x14ac:dyDescent="0.3"/>
  <cols>
    <col min="1" max="1" width="12" bestFit="1" customWidth="1"/>
    <col min="2" max="2" width="9.125" bestFit="1" customWidth="1"/>
    <col min="3" max="5" width="7.625" customWidth="1"/>
    <col min="6" max="6" width="7.25" bestFit="1" customWidth="1"/>
    <col min="7" max="7" width="17.75" bestFit="1" customWidth="1"/>
    <col min="8" max="8" width="16.125" bestFit="1" customWidth="1"/>
    <col min="9" max="9" width="5.875" hidden="1" customWidth="1"/>
    <col min="10" max="10" width="7.625" customWidth="1"/>
    <col min="11" max="11" width="6.875" hidden="1" customWidth="1"/>
    <col min="12" max="12" width="5.875" customWidth="1"/>
    <col min="13" max="21" width="9.5" customWidth="1"/>
    <col min="22" max="23" width="10.5" customWidth="1"/>
    <col min="24" max="24" width="11.25" customWidth="1"/>
    <col min="25" max="34" width="13.25" bestFit="1" customWidth="1"/>
    <col min="35" max="35" width="10.5" customWidth="1"/>
    <col min="36" max="44" width="7.75" customWidth="1"/>
    <col min="45" max="46" width="8.75" customWidth="1"/>
    <col min="47" max="47" width="6.25" bestFit="1" customWidth="1"/>
    <col min="48" max="48" width="7.625" customWidth="1"/>
    <col min="49" max="49" width="5.875" customWidth="1"/>
    <col min="50" max="50" width="16.125" bestFit="1" customWidth="1"/>
    <col min="51" max="60" width="15" bestFit="1" customWidth="1"/>
    <col min="61" max="61" width="5.5" customWidth="1"/>
    <col min="62" max="93" width="13.25" bestFit="1" customWidth="1"/>
    <col min="94" max="145" width="13.875" bestFit="1" customWidth="1"/>
    <col min="146" max="181" width="13.25" bestFit="1" customWidth="1"/>
    <col min="182" max="190" width="8.75" customWidth="1"/>
    <col min="191" max="193" width="9.75" customWidth="1"/>
  </cols>
  <sheetData>
    <row r="1" spans="1:194" ht="21.75" customHeight="1" thickBot="1" x14ac:dyDescent="0.35">
      <c r="A1" s="113" t="s">
        <v>325</v>
      </c>
    </row>
    <row r="2" spans="1:194" ht="30" customHeight="1" x14ac:dyDescent="0.3">
      <c r="A2" s="114" t="s">
        <v>333</v>
      </c>
      <c r="M2" s="191">
        <v>260.32499999999999</v>
      </c>
      <c r="N2" s="191">
        <v>211.19918230143841</v>
      </c>
      <c r="O2" s="191">
        <v>190.86937962658743</v>
      </c>
      <c r="P2" s="191">
        <v>183.49032518455988</v>
      </c>
      <c r="Q2" s="191">
        <v>176.36829957836858</v>
      </c>
      <c r="R2" s="191">
        <v>169.58045007015474</v>
      </c>
      <c r="S2" s="191">
        <v>167.69166666666666</v>
      </c>
      <c r="T2" s="191">
        <v>0</v>
      </c>
      <c r="U2" s="191">
        <v>0</v>
      </c>
      <c r="V2" s="191">
        <v>0</v>
      </c>
      <c r="W2" s="51">
        <v>0</v>
      </c>
      <c r="Y2" s="52">
        <v>111257010.51916666</v>
      </c>
      <c r="Z2" s="52">
        <v>112925865.50210823</v>
      </c>
      <c r="AA2" s="52">
        <v>114420344.05234645</v>
      </c>
      <c r="AB2" s="52">
        <v>115940186.71826129</v>
      </c>
      <c r="AC2" s="52">
        <v>117485730.4107886</v>
      </c>
      <c r="AD2" s="52">
        <v>119057317.73813604</v>
      </c>
      <c r="AE2" s="52">
        <v>120655297.08173074</v>
      </c>
      <c r="AF2" s="52">
        <v>0</v>
      </c>
      <c r="AG2" s="52">
        <v>0</v>
      </c>
      <c r="AH2" s="52">
        <v>0</v>
      </c>
      <c r="AI2" s="52">
        <v>0</v>
      </c>
      <c r="AX2" s="53">
        <v>51290822407.612503</v>
      </c>
      <c r="AY2" s="53">
        <v>9351687100.052084</v>
      </c>
      <c r="AZ2" s="53">
        <v>7753359650.3978691</v>
      </c>
      <c r="BA2" s="53">
        <v>7154911776.3653984</v>
      </c>
      <c r="BB2" s="53">
        <v>6993488802.1394625</v>
      </c>
      <c r="BC2" s="53">
        <v>6784999630.9821701</v>
      </c>
      <c r="BD2" s="53">
        <v>6615766401.7305079</v>
      </c>
      <c r="BE2" s="53">
        <v>6636609045.9450188</v>
      </c>
      <c r="BF2" s="53">
        <v>0</v>
      </c>
      <c r="BG2" s="53">
        <v>0</v>
      </c>
      <c r="BH2" s="53">
        <v>0</v>
      </c>
      <c r="BI2" s="53">
        <v>0</v>
      </c>
      <c r="BJ2" s="54">
        <v>779307258.33767354</v>
      </c>
      <c r="BK2" s="54">
        <v>779307258.33767354</v>
      </c>
      <c r="BL2" s="54">
        <v>779307258.33767354</v>
      </c>
      <c r="BM2" s="54">
        <v>779307258.33767354</v>
      </c>
      <c r="BN2" s="54">
        <v>779307258.33767354</v>
      </c>
      <c r="BO2" s="54">
        <v>779307258.33767354</v>
      </c>
      <c r="BP2" s="54">
        <v>779307258.33767354</v>
      </c>
      <c r="BQ2" s="54">
        <v>779307258.33767354</v>
      </c>
      <c r="BR2" s="54">
        <v>779307258.33767354</v>
      </c>
      <c r="BS2" s="54">
        <v>779307258.33767354</v>
      </c>
      <c r="BT2" s="54">
        <v>779307258.33767354</v>
      </c>
      <c r="BU2" s="54">
        <v>779307258.33767354</v>
      </c>
      <c r="BV2" s="53">
        <v>646113304.19982243</v>
      </c>
      <c r="BW2" s="53">
        <v>646113304.19982243</v>
      </c>
      <c r="BX2" s="53">
        <v>646113304.19982243</v>
      </c>
      <c r="BY2" s="53">
        <v>646113304.19982243</v>
      </c>
      <c r="BZ2" s="53">
        <v>646113304.19982243</v>
      </c>
      <c r="CA2" s="53">
        <v>646113304.19982243</v>
      </c>
      <c r="CB2" s="53">
        <v>646113304.19982243</v>
      </c>
      <c r="CC2" s="53">
        <v>646113304.19982243</v>
      </c>
      <c r="CD2" s="53">
        <v>646113304.19982243</v>
      </c>
      <c r="CE2" s="53">
        <v>646113304.19982243</v>
      </c>
      <c r="CF2" s="53">
        <v>646113304.19982243</v>
      </c>
      <c r="CG2" s="53">
        <v>646113304.19982243</v>
      </c>
      <c r="CH2" s="54">
        <v>596242648.03044975</v>
      </c>
      <c r="CI2" s="54">
        <v>596242648.03044975</v>
      </c>
      <c r="CJ2" s="54">
        <v>596242648.03044975</v>
      </c>
      <c r="CK2" s="54">
        <v>596242648.03044975</v>
      </c>
      <c r="CL2" s="54">
        <v>596242648.03044975</v>
      </c>
      <c r="CM2" s="54">
        <v>596242648.03044975</v>
      </c>
      <c r="CN2" s="54">
        <v>596242648.03044975</v>
      </c>
      <c r="CO2" s="54">
        <v>596242648.03044975</v>
      </c>
      <c r="CP2" s="54">
        <v>10912426900.766064</v>
      </c>
      <c r="CQ2" s="54">
        <v>10912426900.766064</v>
      </c>
      <c r="CR2" s="54">
        <v>10912426900.766064</v>
      </c>
      <c r="CS2" s="54">
        <v>10912426900.766064</v>
      </c>
      <c r="CT2" s="53">
        <v>10961049846.642162</v>
      </c>
      <c r="CU2" s="53">
        <v>10961049846.642162</v>
      </c>
      <c r="CV2" s="53">
        <v>10961049846.642162</v>
      </c>
      <c r="CW2" s="53">
        <v>10961049846.642162</v>
      </c>
      <c r="CX2" s="53">
        <v>10961049846.642162</v>
      </c>
      <c r="CY2" s="53">
        <v>10961049846.642162</v>
      </c>
      <c r="CZ2" s="53">
        <v>10961049846.642162</v>
      </c>
      <c r="DA2" s="53">
        <v>10961049846.642162</v>
      </c>
      <c r="DB2" s="53">
        <v>10961049846.642162</v>
      </c>
      <c r="DC2" s="53">
        <v>10961049846.642162</v>
      </c>
      <c r="DD2" s="53">
        <v>10961049846.642162</v>
      </c>
      <c r="DE2" s="53">
        <v>10961049846.642162</v>
      </c>
      <c r="DF2" s="54">
        <v>11007691592.472082</v>
      </c>
      <c r="DG2" s="54">
        <v>11007691592.472082</v>
      </c>
      <c r="DH2" s="54">
        <v>11007691592.472082</v>
      </c>
      <c r="DI2" s="54">
        <v>11007691592.472082</v>
      </c>
      <c r="DJ2" s="54">
        <v>11007691592.472082</v>
      </c>
      <c r="DK2" s="54">
        <v>11007691592.472082</v>
      </c>
      <c r="DL2" s="54">
        <v>11007691592.472082</v>
      </c>
      <c r="DM2" s="54">
        <v>11007691592.472082</v>
      </c>
      <c r="DN2" s="54">
        <v>11007691592.472082</v>
      </c>
      <c r="DO2" s="54">
        <v>11007691592.472082</v>
      </c>
      <c r="DP2" s="54">
        <v>11007691592.472082</v>
      </c>
      <c r="DQ2" s="54">
        <v>11007691592.472082</v>
      </c>
      <c r="DR2" s="53">
        <v>11058991584.845865</v>
      </c>
      <c r="DS2" s="53">
        <v>11058991584.845865</v>
      </c>
      <c r="DT2" s="53">
        <v>11058991584.845865</v>
      </c>
      <c r="DU2" s="53">
        <v>11058991584.845865</v>
      </c>
      <c r="DV2" s="53">
        <v>11058991584.845865</v>
      </c>
      <c r="DW2" s="53">
        <v>11058991584.845865</v>
      </c>
      <c r="DX2" s="53">
        <v>11058991584.845865</v>
      </c>
      <c r="DY2" s="53">
        <v>11058991584.845865</v>
      </c>
      <c r="DZ2" s="53">
        <v>11058991584.845865</v>
      </c>
      <c r="EA2" s="53">
        <v>11058991584.845865</v>
      </c>
      <c r="EB2" s="53">
        <v>11058991584.845865</v>
      </c>
      <c r="EC2" s="53">
        <v>11058991584.845865</v>
      </c>
      <c r="ED2" s="54">
        <v>11240721583.639128</v>
      </c>
      <c r="EE2" s="54">
        <v>11240721583.639128</v>
      </c>
      <c r="EF2" s="54">
        <v>11240721583.639128</v>
      </c>
      <c r="EG2" s="54">
        <v>11240721583.639128</v>
      </c>
      <c r="EH2" s="54">
        <v>11240721583.639128</v>
      </c>
      <c r="EI2" s="54">
        <v>11240721583.639128</v>
      </c>
      <c r="EJ2" s="54">
        <v>11240721583.639128</v>
      </c>
      <c r="EK2" s="54">
        <v>11240721583.639128</v>
      </c>
      <c r="EL2" s="54">
        <v>11240721583.639128</v>
      </c>
      <c r="EM2" s="54">
        <v>11240721583.639128</v>
      </c>
      <c r="EN2" s="54">
        <v>11240721583.639128</v>
      </c>
      <c r="EO2" s="54">
        <v>11240721583.639128</v>
      </c>
      <c r="EP2" s="53">
        <v>7016458842.1273699</v>
      </c>
      <c r="EQ2" s="53">
        <v>7016458842.1273699</v>
      </c>
      <c r="ER2" s="53">
        <v>7016458842.1273699</v>
      </c>
      <c r="ES2" s="53">
        <v>7016458842.1273699</v>
      </c>
      <c r="ET2" s="53">
        <v>7016458842.1273699</v>
      </c>
      <c r="EU2" s="53">
        <v>7016458842.1273699</v>
      </c>
      <c r="EV2" s="53">
        <v>7016458842.1273699</v>
      </c>
      <c r="EW2" s="53">
        <v>7016458842.1273699</v>
      </c>
      <c r="EX2" s="53">
        <v>7016458842.1273699</v>
      </c>
      <c r="EY2" s="53">
        <v>7016458842.1273699</v>
      </c>
      <c r="EZ2" s="53">
        <v>7016458842.1273699</v>
      </c>
      <c r="FA2" s="53">
        <v>7016458842.1273699</v>
      </c>
      <c r="FB2" s="54">
        <v>7194050747.9303608</v>
      </c>
      <c r="FC2" s="54">
        <v>7194050747.9303608</v>
      </c>
      <c r="FD2" s="54">
        <v>7194050747.9303608</v>
      </c>
      <c r="FE2" s="54">
        <v>7194050747.9303608</v>
      </c>
      <c r="FF2" s="54">
        <v>7194050747.9303608</v>
      </c>
      <c r="FG2" s="54">
        <v>7194050747.9303608</v>
      </c>
      <c r="FH2" s="54">
        <v>7194050747.9303608</v>
      </c>
      <c r="FI2" s="54">
        <v>7194050747.9303608</v>
      </c>
      <c r="FJ2" s="54">
        <v>7194050747.9303608</v>
      </c>
      <c r="FK2" s="54">
        <v>7194050747.9303608</v>
      </c>
      <c r="FL2" s="54">
        <v>7194050747.9303608</v>
      </c>
      <c r="FM2" s="54">
        <v>7194050747.9303608</v>
      </c>
      <c r="FN2" s="53">
        <v>7376137639.8390474</v>
      </c>
      <c r="FO2" s="53">
        <v>7376137639.8390474</v>
      </c>
      <c r="FP2" s="53">
        <v>7376137639.8390474</v>
      </c>
      <c r="FQ2" s="53">
        <v>7376137639.8390474</v>
      </c>
      <c r="FR2" s="53">
        <v>7376137639.8390474</v>
      </c>
      <c r="FS2" s="53">
        <v>7376137639.8390474</v>
      </c>
      <c r="FT2" s="53">
        <v>7376137639.8390474</v>
      </c>
      <c r="FU2" s="53">
        <v>7376137639.8390474</v>
      </c>
      <c r="FV2" s="53">
        <v>7376137639.8390474</v>
      </c>
      <c r="FW2" s="53">
        <v>7376137639.8390474</v>
      </c>
      <c r="FX2" s="53">
        <v>7376137639.8390474</v>
      </c>
      <c r="FY2" s="53">
        <v>7376137639.8390474</v>
      </c>
      <c r="FZ2" s="54">
        <v>0</v>
      </c>
      <c r="GA2" s="54">
        <v>0</v>
      </c>
      <c r="GB2" s="54">
        <v>0</v>
      </c>
      <c r="GC2" s="54">
        <v>0</v>
      </c>
      <c r="GD2" s="54">
        <v>0</v>
      </c>
      <c r="GE2" s="54">
        <v>0</v>
      </c>
      <c r="GF2" s="54">
        <v>0</v>
      </c>
      <c r="GG2" s="54">
        <v>0</v>
      </c>
      <c r="GH2" s="54">
        <v>0</v>
      </c>
      <c r="GI2" s="54">
        <v>0</v>
      </c>
      <c r="GJ2" s="54">
        <v>0</v>
      </c>
      <c r="GK2" s="55">
        <v>0</v>
      </c>
    </row>
    <row r="3" spans="1:194" ht="17.25" thickBot="1" x14ac:dyDescent="0.35"/>
    <row r="4" spans="1:194" s="1" customFormat="1" ht="23.25" customHeight="1" x14ac:dyDescent="0.3">
      <c r="A4" s="149" t="s">
        <v>0</v>
      </c>
      <c r="B4" s="150" t="s">
        <v>1</v>
      </c>
      <c r="C4" s="150" t="s">
        <v>2</v>
      </c>
      <c r="D4" s="150" t="s">
        <v>3</v>
      </c>
      <c r="E4" s="150" t="s">
        <v>4</v>
      </c>
      <c r="F4" s="151" t="s">
        <v>148</v>
      </c>
      <c r="G4" s="151" t="s">
        <v>149</v>
      </c>
      <c r="H4" s="151" t="s">
        <v>150</v>
      </c>
      <c r="I4" s="152" t="s">
        <v>151</v>
      </c>
      <c r="J4" s="151" t="s">
        <v>5</v>
      </c>
      <c r="K4" s="152" t="s">
        <v>154</v>
      </c>
      <c r="L4" s="151" t="s">
        <v>6</v>
      </c>
      <c r="M4" s="153" t="s">
        <v>206</v>
      </c>
      <c r="N4" s="153" t="s">
        <v>207</v>
      </c>
      <c r="O4" s="153" t="s">
        <v>208</v>
      </c>
      <c r="P4" s="153" t="s">
        <v>209</v>
      </c>
      <c r="Q4" s="153" t="s">
        <v>210</v>
      </c>
      <c r="R4" s="153" t="s">
        <v>211</v>
      </c>
      <c r="S4" s="153" t="s">
        <v>212</v>
      </c>
      <c r="T4" s="153" t="s">
        <v>213</v>
      </c>
      <c r="U4" s="153" t="s">
        <v>214</v>
      </c>
      <c r="V4" s="153" t="s">
        <v>215</v>
      </c>
      <c r="W4" s="153" t="s">
        <v>216</v>
      </c>
      <c r="X4" s="151" t="s">
        <v>184</v>
      </c>
      <c r="Y4" s="150" t="s">
        <v>195</v>
      </c>
      <c r="Z4" s="150" t="s">
        <v>196</v>
      </c>
      <c r="AA4" s="150" t="s">
        <v>197</v>
      </c>
      <c r="AB4" s="150" t="s">
        <v>198</v>
      </c>
      <c r="AC4" s="150" t="s">
        <v>199</v>
      </c>
      <c r="AD4" s="150" t="s">
        <v>200</v>
      </c>
      <c r="AE4" s="150" t="s">
        <v>201</v>
      </c>
      <c r="AF4" s="150" t="s">
        <v>202</v>
      </c>
      <c r="AG4" s="150" t="s">
        <v>203</v>
      </c>
      <c r="AH4" s="150" t="s">
        <v>204</v>
      </c>
      <c r="AI4" s="150" t="s">
        <v>205</v>
      </c>
      <c r="AJ4" s="153" t="s">
        <v>158</v>
      </c>
      <c r="AK4" s="153" t="s">
        <v>159</v>
      </c>
      <c r="AL4" s="153" t="s">
        <v>160</v>
      </c>
      <c r="AM4" s="153" t="s">
        <v>161</v>
      </c>
      <c r="AN4" s="153" t="s">
        <v>162</v>
      </c>
      <c r="AO4" s="153" t="s">
        <v>163</v>
      </c>
      <c r="AP4" s="153" t="s">
        <v>164</v>
      </c>
      <c r="AQ4" s="153" t="s">
        <v>165</v>
      </c>
      <c r="AR4" s="153" t="s">
        <v>166</v>
      </c>
      <c r="AS4" s="153" t="s">
        <v>167</v>
      </c>
      <c r="AT4" s="153" t="s">
        <v>168</v>
      </c>
      <c r="AU4" s="151" t="s">
        <v>155</v>
      </c>
      <c r="AV4" s="151" t="s">
        <v>156</v>
      </c>
      <c r="AW4" s="151" t="s">
        <v>16</v>
      </c>
      <c r="AX4" s="151" t="s">
        <v>308</v>
      </c>
      <c r="AY4" s="151" t="s">
        <v>41</v>
      </c>
      <c r="AZ4" s="151" t="s">
        <v>139</v>
      </c>
      <c r="BA4" s="151" t="s">
        <v>140</v>
      </c>
      <c r="BB4" s="151" t="s">
        <v>141</v>
      </c>
      <c r="BC4" s="151" t="s">
        <v>142</v>
      </c>
      <c r="BD4" s="151" t="s">
        <v>143</v>
      </c>
      <c r="BE4" s="151" t="s">
        <v>144</v>
      </c>
      <c r="BF4" s="151" t="s">
        <v>145</v>
      </c>
      <c r="BG4" s="151" t="s">
        <v>146</v>
      </c>
      <c r="BH4" s="151" t="s">
        <v>147</v>
      </c>
      <c r="BI4" s="151" t="s">
        <v>182</v>
      </c>
      <c r="BJ4" s="153" t="s">
        <v>17</v>
      </c>
      <c r="BK4" s="153" t="s">
        <v>18</v>
      </c>
      <c r="BL4" s="153" t="s">
        <v>19</v>
      </c>
      <c r="BM4" s="153" t="s">
        <v>20</v>
      </c>
      <c r="BN4" s="153" t="s">
        <v>21</v>
      </c>
      <c r="BO4" s="153" t="s">
        <v>22</v>
      </c>
      <c r="BP4" s="153" t="s">
        <v>23</v>
      </c>
      <c r="BQ4" s="153" t="s">
        <v>24</v>
      </c>
      <c r="BR4" s="153" t="s">
        <v>25</v>
      </c>
      <c r="BS4" s="153" t="s">
        <v>26</v>
      </c>
      <c r="BT4" s="153" t="s">
        <v>27</v>
      </c>
      <c r="BU4" s="153" t="s">
        <v>28</v>
      </c>
      <c r="BV4" s="151" t="s">
        <v>29</v>
      </c>
      <c r="BW4" s="151" t="s">
        <v>30</v>
      </c>
      <c r="BX4" s="151" t="s">
        <v>31</v>
      </c>
      <c r="BY4" s="151" t="s">
        <v>32</v>
      </c>
      <c r="BZ4" s="151" t="s">
        <v>33</v>
      </c>
      <c r="CA4" s="151" t="s">
        <v>34</v>
      </c>
      <c r="CB4" s="151" t="s">
        <v>35</v>
      </c>
      <c r="CC4" s="151" t="s">
        <v>36</v>
      </c>
      <c r="CD4" s="151" t="s">
        <v>37</v>
      </c>
      <c r="CE4" s="151" t="s">
        <v>38</v>
      </c>
      <c r="CF4" s="151" t="s">
        <v>39</v>
      </c>
      <c r="CG4" s="151" t="s">
        <v>40</v>
      </c>
      <c r="CH4" s="153" t="s">
        <v>43</v>
      </c>
      <c r="CI4" s="153" t="s">
        <v>44</v>
      </c>
      <c r="CJ4" s="153" t="s">
        <v>45</v>
      </c>
      <c r="CK4" s="153" t="s">
        <v>46</v>
      </c>
      <c r="CL4" s="153" t="s">
        <v>47</v>
      </c>
      <c r="CM4" s="153" t="s">
        <v>48</v>
      </c>
      <c r="CN4" s="153" t="s">
        <v>49</v>
      </c>
      <c r="CO4" s="153" t="s">
        <v>50</v>
      </c>
      <c r="CP4" s="153" t="s">
        <v>51</v>
      </c>
      <c r="CQ4" s="153" t="s">
        <v>52</v>
      </c>
      <c r="CR4" s="153" t="s">
        <v>53</v>
      </c>
      <c r="CS4" s="153" t="s">
        <v>54</v>
      </c>
      <c r="CT4" s="151" t="s">
        <v>55</v>
      </c>
      <c r="CU4" s="151" t="s">
        <v>56</v>
      </c>
      <c r="CV4" s="151" t="s">
        <v>57</v>
      </c>
      <c r="CW4" s="151" t="s">
        <v>58</v>
      </c>
      <c r="CX4" s="151" t="s">
        <v>59</v>
      </c>
      <c r="CY4" s="151" t="s">
        <v>60</v>
      </c>
      <c r="CZ4" s="151" t="s">
        <v>61</v>
      </c>
      <c r="DA4" s="151" t="s">
        <v>62</v>
      </c>
      <c r="DB4" s="151" t="s">
        <v>63</v>
      </c>
      <c r="DC4" s="151" t="s">
        <v>64</v>
      </c>
      <c r="DD4" s="151" t="s">
        <v>65</v>
      </c>
      <c r="DE4" s="151" t="s">
        <v>66</v>
      </c>
      <c r="DF4" s="153" t="s">
        <v>67</v>
      </c>
      <c r="DG4" s="153" t="s">
        <v>68</v>
      </c>
      <c r="DH4" s="153" t="s">
        <v>69</v>
      </c>
      <c r="DI4" s="153" t="s">
        <v>70</v>
      </c>
      <c r="DJ4" s="153" t="s">
        <v>71</v>
      </c>
      <c r="DK4" s="153" t="s">
        <v>72</v>
      </c>
      <c r="DL4" s="153" t="s">
        <v>73</v>
      </c>
      <c r="DM4" s="153" t="s">
        <v>74</v>
      </c>
      <c r="DN4" s="153" t="s">
        <v>75</v>
      </c>
      <c r="DO4" s="153" t="s">
        <v>76</v>
      </c>
      <c r="DP4" s="153" t="s">
        <v>77</v>
      </c>
      <c r="DQ4" s="153" t="s">
        <v>78</v>
      </c>
      <c r="DR4" s="151" t="s">
        <v>79</v>
      </c>
      <c r="DS4" s="151" t="s">
        <v>80</v>
      </c>
      <c r="DT4" s="151" t="s">
        <v>81</v>
      </c>
      <c r="DU4" s="151" t="s">
        <v>82</v>
      </c>
      <c r="DV4" s="151" t="s">
        <v>83</v>
      </c>
      <c r="DW4" s="151" t="s">
        <v>84</v>
      </c>
      <c r="DX4" s="151" t="s">
        <v>85</v>
      </c>
      <c r="DY4" s="151" t="s">
        <v>86</v>
      </c>
      <c r="DZ4" s="151" t="s">
        <v>87</v>
      </c>
      <c r="EA4" s="151" t="s">
        <v>88</v>
      </c>
      <c r="EB4" s="151" t="s">
        <v>89</v>
      </c>
      <c r="EC4" s="151" t="s">
        <v>90</v>
      </c>
      <c r="ED4" s="153" t="s">
        <v>91</v>
      </c>
      <c r="EE4" s="153" t="s">
        <v>92</v>
      </c>
      <c r="EF4" s="153" t="s">
        <v>93</v>
      </c>
      <c r="EG4" s="153" t="s">
        <v>94</v>
      </c>
      <c r="EH4" s="153" t="s">
        <v>95</v>
      </c>
      <c r="EI4" s="153" t="s">
        <v>96</v>
      </c>
      <c r="EJ4" s="153" t="s">
        <v>97</v>
      </c>
      <c r="EK4" s="153" t="s">
        <v>98</v>
      </c>
      <c r="EL4" s="153" t="s">
        <v>99</v>
      </c>
      <c r="EM4" s="153" t="s">
        <v>100</v>
      </c>
      <c r="EN4" s="153" t="s">
        <v>101</v>
      </c>
      <c r="EO4" s="153" t="s">
        <v>102</v>
      </c>
      <c r="EP4" s="151" t="s">
        <v>103</v>
      </c>
      <c r="EQ4" s="151" t="s">
        <v>104</v>
      </c>
      <c r="ER4" s="151" t="s">
        <v>105</v>
      </c>
      <c r="ES4" s="151" t="s">
        <v>106</v>
      </c>
      <c r="ET4" s="151" t="s">
        <v>107</v>
      </c>
      <c r="EU4" s="151" t="s">
        <v>108</v>
      </c>
      <c r="EV4" s="151" t="s">
        <v>109</v>
      </c>
      <c r="EW4" s="151" t="s">
        <v>110</v>
      </c>
      <c r="EX4" s="151" t="s">
        <v>111</v>
      </c>
      <c r="EY4" s="151" t="s">
        <v>112</v>
      </c>
      <c r="EZ4" s="151" t="s">
        <v>113</v>
      </c>
      <c r="FA4" s="151" t="s">
        <v>114</v>
      </c>
      <c r="FB4" s="153" t="s">
        <v>115</v>
      </c>
      <c r="FC4" s="153" t="s">
        <v>116</v>
      </c>
      <c r="FD4" s="153" t="s">
        <v>117</v>
      </c>
      <c r="FE4" s="153" t="s">
        <v>118</v>
      </c>
      <c r="FF4" s="153" t="s">
        <v>119</v>
      </c>
      <c r="FG4" s="153" t="s">
        <v>120</v>
      </c>
      <c r="FH4" s="153" t="s">
        <v>121</v>
      </c>
      <c r="FI4" s="153" t="s">
        <v>122</v>
      </c>
      <c r="FJ4" s="153" t="s">
        <v>123</v>
      </c>
      <c r="FK4" s="153" t="s">
        <v>124</v>
      </c>
      <c r="FL4" s="153" t="s">
        <v>125</v>
      </c>
      <c r="FM4" s="153" t="s">
        <v>126</v>
      </c>
      <c r="FN4" s="151" t="s">
        <v>127</v>
      </c>
      <c r="FO4" s="151" t="s">
        <v>128</v>
      </c>
      <c r="FP4" s="151" t="s">
        <v>129</v>
      </c>
      <c r="FQ4" s="151" t="s">
        <v>130</v>
      </c>
      <c r="FR4" s="151" t="s">
        <v>131</v>
      </c>
      <c r="FS4" s="151" t="s">
        <v>132</v>
      </c>
      <c r="FT4" s="151" t="s">
        <v>133</v>
      </c>
      <c r="FU4" s="151" t="s">
        <v>134</v>
      </c>
      <c r="FV4" s="151" t="s">
        <v>135</v>
      </c>
      <c r="FW4" s="151" t="s">
        <v>136</v>
      </c>
      <c r="FX4" s="151" t="s">
        <v>137</v>
      </c>
      <c r="FY4" s="151" t="s">
        <v>138</v>
      </c>
      <c r="FZ4" s="153" t="s">
        <v>170</v>
      </c>
      <c r="GA4" s="153" t="s">
        <v>171</v>
      </c>
      <c r="GB4" s="153" t="s">
        <v>172</v>
      </c>
      <c r="GC4" s="153" t="s">
        <v>173</v>
      </c>
      <c r="GD4" s="153" t="s">
        <v>174</v>
      </c>
      <c r="GE4" s="153" t="s">
        <v>175</v>
      </c>
      <c r="GF4" s="153" t="s">
        <v>176</v>
      </c>
      <c r="GG4" s="153" t="s">
        <v>177</v>
      </c>
      <c r="GH4" s="153" t="s">
        <v>178</v>
      </c>
      <c r="GI4" s="153" t="s">
        <v>179</v>
      </c>
      <c r="GJ4" s="153" t="s">
        <v>180</v>
      </c>
      <c r="GK4" s="31" t="s">
        <v>181</v>
      </c>
    </row>
    <row r="5" spans="1:194" x14ac:dyDescent="0.3">
      <c r="A5" s="154" t="s">
        <v>334</v>
      </c>
      <c r="B5" s="142" t="s">
        <v>424</v>
      </c>
      <c r="C5" s="142" t="s">
        <v>277</v>
      </c>
      <c r="D5" s="142" t="s">
        <v>274</v>
      </c>
      <c r="E5" s="177" t="s">
        <v>169</v>
      </c>
      <c r="F5" s="193" t="s">
        <v>337</v>
      </c>
      <c r="G5" s="142" t="s">
        <v>338</v>
      </c>
      <c r="H5" s="142">
        <v>0</v>
      </c>
      <c r="I5" s="142">
        <v>0</v>
      </c>
      <c r="J5" s="142" t="s">
        <v>385</v>
      </c>
      <c r="K5" s="142">
        <v>0</v>
      </c>
      <c r="L5" s="142" t="s">
        <v>194</v>
      </c>
      <c r="M5" s="143">
        <f>IFERROR(INDEX('(참조)CS_인건비'!$S$3:$AG$40,MATCH(CS_인건비!$A5,'(참조)CS_인건비'!$S$3:$S$40,0),MATCH('(참조)CS_인건비'!X$2,'(참조)CS_인건비'!$S$2:$AG$2,0)),0)</f>
        <v>60.75</v>
      </c>
      <c r="N5" s="143">
        <f>IFERROR(INDEX('(참조)CS_인건비'!$S$3:$AG$40,MATCH(CS_인건비!$A5,'(참조)CS_인건비'!$S$3:$S$40,0),MATCH('(참조)CS_인건비'!Y$2,'(참조)CS_인건비'!$S$2:$AG$2,0)),0)</f>
        <v>51.833333333333336</v>
      </c>
      <c r="O5" s="143">
        <f>IFERROR(INDEX('(참조)CS_인건비'!$S$3:$AG$40,MATCH(CS_인건비!$A5,'(참조)CS_인건비'!$S$3:$S$40,0),MATCH('(참조)CS_인건비'!Z$2,'(참조)CS_인건비'!$S$2:$AG$2,0)),0)</f>
        <v>45.5</v>
      </c>
      <c r="P5" s="143">
        <f>IFERROR(INDEX('(참조)CS_인건비'!$S$3:$AG$40,MATCH(CS_인건비!$A5,'(참조)CS_인건비'!$S$3:$S$40,0),MATCH('(참조)CS_인건비'!AA$2,'(참조)CS_인건비'!$S$2:$AG$2,0)),0)</f>
        <v>40.833333333333336</v>
      </c>
      <c r="Q5" s="143">
        <f>IFERROR(INDEX('(참조)CS_인건비'!$S$3:$AG$40,MATCH(CS_인건비!$A5,'(참조)CS_인건비'!$S$3:$S$40,0),MATCH('(참조)CS_인건비'!AB$2,'(참조)CS_인건비'!$S$2:$AG$2,0)),0)</f>
        <v>38.916666666666664</v>
      </c>
      <c r="R5" s="143">
        <f>IFERROR(INDEX('(참조)CS_인건비'!$S$3:$AG$40,MATCH(CS_인건비!$A5,'(참조)CS_인건비'!$S$3:$S$40,0),MATCH('(참조)CS_인건비'!AC$2,'(참조)CS_인건비'!$S$2:$AG$2,0)),0)</f>
        <v>38</v>
      </c>
      <c r="S5" s="143">
        <f>IFERROR(INDEX('(참조)CS_인건비'!$S$3:$AG$40,MATCH(CS_인건비!$A5,'(참조)CS_인건비'!$S$3:$S$40,0),MATCH('(참조)CS_인건비'!AD$2,'(참조)CS_인건비'!$S$2:$AG$2,0)),0)</f>
        <v>37.083333333333336</v>
      </c>
      <c r="T5" s="143">
        <f>IFERROR(INDEX('(참조)CS_인건비'!$S$3:$AG$40,MATCH(CS_인건비!$A5,'(참조)CS_인건비'!$S$3:$S$40,0),MATCH('(참조)CS_인건비'!AE$2,'(참조)CS_인건비'!$S$2:$AG$2,0)),0)</f>
        <v>0</v>
      </c>
      <c r="U5" s="143">
        <f>IFERROR(INDEX('(참조)CS_인건비'!$S$3:$AG$40,MATCH(CS_인건비!$A5,'(참조)CS_인건비'!$S$3:$S$40,0),MATCH('(참조)CS_인건비'!AF$2,'(참조)CS_인건비'!$S$2:$AG$2,0)),0)</f>
        <v>0</v>
      </c>
      <c r="V5" s="143">
        <f>IFERROR(INDEX('(참조)CS_인건비'!$S$3:$AG$40,MATCH(CS_인건비!$A5,'(참조)CS_인건비'!$S$3:$S$40,0),MATCH('(참조)CS_인건비'!AG$2,'(참조)CS_인건비'!$S$2:$AG$2,0)),0)</f>
        <v>0</v>
      </c>
      <c r="W5" s="143">
        <f>IFERROR(INDEX('(참조)CS_인건비'!$S$3:$AG$40,MATCH(CS_인건비!$A5,'(참조)CS_인건비'!$S$3:$S$40,0),MATCH('(참조)CS_인건비'!AH$2,'(참조)CS_인건비'!$S$2:$AG$2,0)),0)</f>
        <v>0</v>
      </c>
      <c r="X5" s="144">
        <v>0</v>
      </c>
      <c r="Y5" s="144">
        <f>IFERROR(INDEX('(참조)CS_인건비'!$A$3:$O$40,MATCH(CS_인건비!$A5,'(참조)CS_인건비'!$A$3:$A$40,0),MATCH('(참조)CS_인건비'!F$2,'(참조)CS_인건비'!$A$2:$O$2,0)),0)</f>
        <v>2722000</v>
      </c>
      <c r="Z5" s="144">
        <f>IFERROR(INDEX('(참조)CS_인건비'!$A$3:$O$40,MATCH(CS_인건비!$A5,'(참조)CS_인건비'!$A$3:$A$40,0),MATCH('(참조)CS_인건비'!G$2,'(참조)CS_인건비'!$A$2:$O$2,0)),0)</f>
        <v>2762829.9999999995</v>
      </c>
      <c r="AA5" s="144">
        <f>IFERROR(INDEX('(참조)CS_인건비'!$A$3:$O$40,MATCH(CS_인건비!$A5,'(참조)CS_인건비'!$A$3:$A$40,0),MATCH('(참조)CS_인건비'!H$2,'(참조)CS_인건비'!$A$2:$O$2,0)),0)</f>
        <v>2804272.4499999993</v>
      </c>
      <c r="AB5" s="144">
        <f>IFERROR(INDEX('(참조)CS_인건비'!$A$3:$O$40,MATCH(CS_인건비!$A5,'(참조)CS_인건비'!$A$3:$A$40,0),MATCH('(참조)CS_인건비'!I$2,'(참조)CS_인건비'!$A$2:$O$2,0)),0)</f>
        <v>2846336.536749999</v>
      </c>
      <c r="AC5" s="144">
        <f>IFERROR(INDEX('(참조)CS_인건비'!$A$3:$O$40,MATCH(CS_인건비!$A5,'(참조)CS_인건비'!$A$3:$A$40,0),MATCH('(참조)CS_인건비'!J$2,'(참조)CS_인건비'!$A$2:$O$2,0)),0)</f>
        <v>2889031.5848012487</v>
      </c>
      <c r="AD5" s="144">
        <f>IFERROR(INDEX('(참조)CS_인건비'!$A$3:$O$40,MATCH(CS_인건비!$A5,'(참조)CS_인건비'!$A$3:$A$40,0),MATCH('(참조)CS_인건비'!K$2,'(참조)CS_인건비'!$A$2:$O$2,0)),0)</f>
        <v>2932367.058573267</v>
      </c>
      <c r="AE5" s="144">
        <f>IFERROR(INDEX('(참조)CS_인건비'!$A$3:$O$40,MATCH(CS_인건비!$A5,'(참조)CS_인건비'!$A$3:$A$40,0),MATCH('(참조)CS_인건비'!L$2,'(참조)CS_인건비'!$A$2:$O$2,0)),0)</f>
        <v>2976352.5644518659</v>
      </c>
      <c r="AF5" s="144">
        <f>IFERROR(INDEX('(참조)CS_인건비'!$A$3:$O$40,MATCH(CS_인건비!$A5,'(참조)CS_인건비'!$A$3:$A$40,0),MATCH('(참조)CS_인건비'!M$2,'(참조)CS_인건비'!$A$2:$O$2,0)),0)</f>
        <v>0</v>
      </c>
      <c r="AG5" s="144">
        <f>IFERROR(INDEX('(참조)CS_인건비'!$A$3:$O$40,MATCH(CS_인건비!$A5,'(참조)CS_인건비'!$A$3:$A$40,0),MATCH('(참조)CS_인건비'!N$2,'(참조)CS_인건비'!$A$2:$O$2,0)),0)</f>
        <v>0</v>
      </c>
      <c r="AH5" s="144">
        <f>IFERROR(INDEX('(참조)CS_인건비'!$A$3:$O$40,MATCH(CS_인건비!$A5,'(참조)CS_인건비'!$A$3:$A$40,0),MATCH('(참조)CS_인건비'!O$2,'(참조)CS_인건비'!$A$2:$O$2,0)),0)</f>
        <v>0</v>
      </c>
      <c r="AI5" s="144">
        <f>IFERROR(INDEX('(참조)CS_인건비'!$A$3:$O$40,MATCH(CS_인건비!$A5,'(참조)CS_인건비'!$A$3:$A$40,0),MATCH('(참조)CS_인건비'!P$2,'(참조)CS_인건비'!$A$2:$O$2,0)),0)</f>
        <v>0</v>
      </c>
      <c r="AJ5" s="144">
        <v>12</v>
      </c>
      <c r="AK5" s="144">
        <v>12</v>
      </c>
      <c r="AL5" s="144">
        <v>12</v>
      </c>
      <c r="AM5" s="144">
        <v>12</v>
      </c>
      <c r="AN5" s="144">
        <v>12</v>
      </c>
      <c r="AO5" s="144">
        <v>12</v>
      </c>
      <c r="AP5" s="144">
        <v>12</v>
      </c>
      <c r="AQ5" s="144">
        <v>12</v>
      </c>
      <c r="AR5" s="144">
        <v>12</v>
      </c>
      <c r="AS5" s="144">
        <v>12</v>
      </c>
      <c r="AT5" s="144">
        <v>12</v>
      </c>
      <c r="AU5" s="145">
        <v>1</v>
      </c>
      <c r="AV5" s="146">
        <v>1.02531076</v>
      </c>
      <c r="AW5" s="142">
        <v>0</v>
      </c>
      <c r="AX5" s="147">
        <v>10639469940.700169</v>
      </c>
      <c r="AY5" s="147">
        <v>1984338000</v>
      </c>
      <c r="AZ5" s="147">
        <v>1718480259.9999993</v>
      </c>
      <c r="BA5" s="147">
        <v>1531132757.6999991</v>
      </c>
      <c r="BB5" s="147">
        <v>1394704903.0074997</v>
      </c>
      <c r="BC5" s="147">
        <v>1349177750.1021826</v>
      </c>
      <c r="BD5" s="147">
        <v>1337159378.7094097</v>
      </c>
      <c r="BE5" s="147">
        <v>1324476891.1810801</v>
      </c>
      <c r="BF5" s="147">
        <v>0</v>
      </c>
      <c r="BG5" s="147">
        <v>0</v>
      </c>
      <c r="BH5" s="147">
        <v>0</v>
      </c>
      <c r="BI5" s="147">
        <v>0</v>
      </c>
      <c r="BJ5" s="148">
        <v>165361500</v>
      </c>
      <c r="BK5" s="147">
        <v>165361500</v>
      </c>
      <c r="BL5" s="147">
        <v>165361500</v>
      </c>
      <c r="BM5" s="147">
        <v>165361500</v>
      </c>
      <c r="BN5" s="147">
        <v>165361500</v>
      </c>
      <c r="BO5" s="147">
        <v>165361500</v>
      </c>
      <c r="BP5" s="147">
        <v>165361500</v>
      </c>
      <c r="BQ5" s="147">
        <v>165361500</v>
      </c>
      <c r="BR5" s="147">
        <v>165361500</v>
      </c>
      <c r="BS5" s="147">
        <v>165361500</v>
      </c>
      <c r="BT5" s="147">
        <v>165361500</v>
      </c>
      <c r="BU5" s="147">
        <v>165361500</v>
      </c>
      <c r="BV5" s="147">
        <v>143206688.33333331</v>
      </c>
      <c r="BW5" s="147">
        <v>143206688.33333331</v>
      </c>
      <c r="BX5" s="147">
        <v>143206688.33333331</v>
      </c>
      <c r="BY5" s="147">
        <v>143206688.33333331</v>
      </c>
      <c r="BZ5" s="147">
        <v>143206688.33333331</v>
      </c>
      <c r="CA5" s="147">
        <v>143206688.33333331</v>
      </c>
      <c r="CB5" s="147">
        <v>143206688.33333331</v>
      </c>
      <c r="CC5" s="147">
        <v>143206688.33333331</v>
      </c>
      <c r="CD5" s="147">
        <v>143206688.33333331</v>
      </c>
      <c r="CE5" s="147">
        <v>143206688.33333331</v>
      </c>
      <c r="CF5" s="147">
        <v>143206688.33333331</v>
      </c>
      <c r="CG5" s="147">
        <v>143206688.33333331</v>
      </c>
      <c r="CH5" s="147">
        <v>127594396.47499996</v>
      </c>
      <c r="CI5" s="147">
        <v>127594396.47499996</v>
      </c>
      <c r="CJ5" s="147">
        <v>127594396.47499996</v>
      </c>
      <c r="CK5" s="147">
        <v>127594396.47499996</v>
      </c>
      <c r="CL5" s="147">
        <v>127594396.47499996</v>
      </c>
      <c r="CM5" s="147">
        <v>127594396.47499996</v>
      </c>
      <c r="CN5" s="147">
        <v>127594396.47499996</v>
      </c>
      <c r="CO5" s="147">
        <v>127594396.47499996</v>
      </c>
      <c r="CP5" s="147">
        <v>127594396.47499996</v>
      </c>
      <c r="CQ5" s="147">
        <v>127594396.47499996</v>
      </c>
      <c r="CR5" s="147">
        <v>127594396.47499996</v>
      </c>
      <c r="CS5" s="147">
        <v>127594396.47499996</v>
      </c>
      <c r="CT5" s="147">
        <v>116225408.5839583</v>
      </c>
      <c r="CU5" s="147">
        <v>116225408.5839583</v>
      </c>
      <c r="CV5" s="147">
        <v>116225408.5839583</v>
      </c>
      <c r="CW5" s="147">
        <v>116225408.5839583</v>
      </c>
      <c r="CX5" s="147">
        <v>116225408.5839583</v>
      </c>
      <c r="CY5" s="147">
        <v>116225408.5839583</v>
      </c>
      <c r="CZ5" s="147">
        <v>116225408.5839583</v>
      </c>
      <c r="DA5" s="147">
        <v>116225408.5839583</v>
      </c>
      <c r="DB5" s="147">
        <v>116225408.5839583</v>
      </c>
      <c r="DC5" s="147">
        <v>116225408.5839583</v>
      </c>
      <c r="DD5" s="147">
        <v>116225408.5839583</v>
      </c>
      <c r="DE5" s="147">
        <v>116225408.5839583</v>
      </c>
      <c r="DF5" s="147">
        <v>112431479.17518193</v>
      </c>
      <c r="DG5" s="147">
        <v>112431479.17518193</v>
      </c>
      <c r="DH5" s="147">
        <v>112431479.17518193</v>
      </c>
      <c r="DI5" s="147">
        <v>112431479.17518193</v>
      </c>
      <c r="DJ5" s="147">
        <v>112431479.17518193</v>
      </c>
      <c r="DK5" s="147">
        <v>112431479.17518193</v>
      </c>
      <c r="DL5" s="147">
        <v>112431479.17518193</v>
      </c>
      <c r="DM5" s="147">
        <v>112431479.17518193</v>
      </c>
      <c r="DN5" s="147">
        <v>112431479.17518193</v>
      </c>
      <c r="DO5" s="147">
        <v>112431479.17518193</v>
      </c>
      <c r="DP5" s="147">
        <v>112431479.17518193</v>
      </c>
      <c r="DQ5" s="147">
        <v>112431479.17518193</v>
      </c>
      <c r="DR5" s="147">
        <v>111429948.22578414</v>
      </c>
      <c r="DS5" s="147">
        <v>111429948.22578414</v>
      </c>
      <c r="DT5" s="147">
        <v>111429948.22578414</v>
      </c>
      <c r="DU5" s="147">
        <v>111429948.22578414</v>
      </c>
      <c r="DV5" s="147">
        <v>111429948.22578414</v>
      </c>
      <c r="DW5" s="147">
        <v>111429948.22578414</v>
      </c>
      <c r="DX5" s="147">
        <v>111429948.22578414</v>
      </c>
      <c r="DY5" s="147">
        <v>111429948.22578414</v>
      </c>
      <c r="DZ5" s="147">
        <v>111429948.22578414</v>
      </c>
      <c r="EA5" s="147">
        <v>111429948.22578414</v>
      </c>
      <c r="EB5" s="147">
        <v>111429948.22578414</v>
      </c>
      <c r="EC5" s="147">
        <v>111429948.22578414</v>
      </c>
      <c r="ED5" s="147">
        <v>110373074.26509003</v>
      </c>
      <c r="EE5" s="147">
        <v>110373074.26509003</v>
      </c>
      <c r="EF5" s="147">
        <v>110373074.26509003</v>
      </c>
      <c r="EG5" s="147">
        <v>110373074.26509003</v>
      </c>
      <c r="EH5" s="147">
        <v>110373074.26509003</v>
      </c>
      <c r="EI5" s="147">
        <v>110373074.26509003</v>
      </c>
      <c r="EJ5" s="147">
        <v>110373074.26509003</v>
      </c>
      <c r="EK5" s="147">
        <v>110373074.26509003</v>
      </c>
      <c r="EL5" s="147">
        <v>110373074.26509003</v>
      </c>
      <c r="EM5" s="147">
        <v>110373074.26509003</v>
      </c>
      <c r="EN5" s="147">
        <v>110373074.26509003</v>
      </c>
      <c r="EO5" s="147">
        <v>110373074.26509003</v>
      </c>
      <c r="EP5" s="147">
        <v>0</v>
      </c>
      <c r="EQ5" s="147">
        <v>0</v>
      </c>
      <c r="ER5" s="147">
        <v>0</v>
      </c>
      <c r="ES5" s="147">
        <v>0</v>
      </c>
      <c r="ET5" s="147">
        <v>0</v>
      </c>
      <c r="EU5" s="147">
        <v>0</v>
      </c>
      <c r="EV5" s="147">
        <v>0</v>
      </c>
      <c r="EW5" s="147">
        <v>0</v>
      </c>
      <c r="EX5" s="147">
        <v>0</v>
      </c>
      <c r="EY5" s="147">
        <v>0</v>
      </c>
      <c r="EZ5" s="147">
        <v>0</v>
      </c>
      <c r="FA5" s="147">
        <v>0</v>
      </c>
      <c r="FB5" s="147">
        <v>0</v>
      </c>
      <c r="FC5" s="147">
        <v>0</v>
      </c>
      <c r="FD5" s="147">
        <v>0</v>
      </c>
      <c r="FE5" s="147">
        <v>0</v>
      </c>
      <c r="FF5" s="147">
        <v>0</v>
      </c>
      <c r="FG5" s="147">
        <v>0</v>
      </c>
      <c r="FH5" s="147">
        <v>0</v>
      </c>
      <c r="FI5" s="147">
        <v>0</v>
      </c>
      <c r="FJ5" s="147">
        <v>0</v>
      </c>
      <c r="FK5" s="147">
        <v>0</v>
      </c>
      <c r="FL5" s="147">
        <v>0</v>
      </c>
      <c r="FM5" s="147">
        <v>0</v>
      </c>
      <c r="FN5" s="147">
        <v>0</v>
      </c>
      <c r="FO5" s="147">
        <v>0</v>
      </c>
      <c r="FP5" s="147">
        <v>0</v>
      </c>
      <c r="FQ5" s="147">
        <v>0</v>
      </c>
      <c r="FR5" s="147">
        <v>0</v>
      </c>
      <c r="FS5" s="147">
        <v>0</v>
      </c>
      <c r="FT5" s="147">
        <v>0</v>
      </c>
      <c r="FU5" s="147">
        <v>0</v>
      </c>
      <c r="FV5" s="147">
        <v>0</v>
      </c>
      <c r="FW5" s="147">
        <v>0</v>
      </c>
      <c r="FX5" s="147">
        <v>0</v>
      </c>
      <c r="FY5" s="147">
        <v>0</v>
      </c>
      <c r="FZ5" s="147">
        <v>0</v>
      </c>
      <c r="GA5" s="147">
        <v>0</v>
      </c>
      <c r="GB5" s="147">
        <v>0</v>
      </c>
      <c r="GC5" s="147">
        <v>0</v>
      </c>
      <c r="GD5" s="147">
        <v>0</v>
      </c>
      <c r="GE5" s="147">
        <v>0</v>
      </c>
      <c r="GF5" s="147">
        <v>0</v>
      </c>
      <c r="GG5" s="147">
        <v>0</v>
      </c>
      <c r="GH5" s="147">
        <v>0</v>
      </c>
      <c r="GI5" s="147">
        <v>0</v>
      </c>
      <c r="GJ5" s="147">
        <v>0</v>
      </c>
      <c r="GK5" s="46">
        <v>0</v>
      </c>
      <c r="GL5" s="27"/>
    </row>
    <row r="6" spans="1:194" x14ac:dyDescent="0.3">
      <c r="A6" s="155" t="s">
        <v>360</v>
      </c>
      <c r="B6" s="135" t="s">
        <v>424</v>
      </c>
      <c r="C6" s="135" t="s">
        <v>277</v>
      </c>
      <c r="D6" s="135" t="s">
        <v>274</v>
      </c>
      <c r="E6" s="178" t="s">
        <v>169</v>
      </c>
      <c r="F6" s="194" t="s">
        <v>337</v>
      </c>
      <c r="G6" s="135" t="s">
        <v>339</v>
      </c>
      <c r="H6" s="135">
        <v>0</v>
      </c>
      <c r="I6" s="135">
        <v>0</v>
      </c>
      <c r="J6" s="135" t="s">
        <v>385</v>
      </c>
      <c r="K6" s="135">
        <v>0</v>
      </c>
      <c r="L6" s="135" t="s">
        <v>194</v>
      </c>
      <c r="M6" s="136">
        <f>IFERROR(INDEX('(참조)CS_인건비'!$S$3:$AG$40,MATCH(CS_인건비!$A6,'(참조)CS_인건비'!$S$3:$S$40,0),MATCH('(참조)CS_인건비'!X$2,'(참조)CS_인건비'!$S$2:$AG$2,0)),0)</f>
        <v>30</v>
      </c>
      <c r="N6" s="136">
        <f>IFERROR(INDEX('(참조)CS_인건비'!$S$3:$AG$40,MATCH(CS_인건비!$A6,'(참조)CS_인건비'!$S$3:$S$40,0),MATCH('(참조)CS_인건비'!Y$2,'(참조)CS_인건비'!$S$2:$AG$2,0)),0)</f>
        <v>22.166666666666668</v>
      </c>
      <c r="O6" s="136">
        <f>IFERROR(INDEX('(참조)CS_인건비'!$S$3:$AG$40,MATCH(CS_인건비!$A6,'(참조)CS_인건비'!$S$3:$S$40,0),MATCH('(참조)CS_인건비'!Z$2,'(참조)CS_인건비'!$S$2:$AG$2,0)),0)</f>
        <v>20.583333333333332</v>
      </c>
      <c r="P6" s="136">
        <f>IFERROR(INDEX('(참조)CS_인건비'!$S$3:$AG$40,MATCH(CS_인건비!$A6,'(참조)CS_인건비'!$S$3:$S$40,0),MATCH('(참조)CS_인건비'!AA$2,'(참조)CS_인건비'!$S$2:$AG$2,0)),0)</f>
        <v>19.75</v>
      </c>
      <c r="Q6" s="136">
        <f>IFERROR(INDEX('(참조)CS_인건비'!$S$3:$AG$40,MATCH(CS_인건비!$A6,'(참조)CS_인건비'!$S$3:$S$40,0),MATCH('(참조)CS_인건비'!AB$2,'(참조)CS_인건비'!$S$2:$AG$2,0)),0)</f>
        <v>19</v>
      </c>
      <c r="R6" s="136">
        <f>IFERROR(INDEX('(참조)CS_인건비'!$S$3:$AG$40,MATCH(CS_인건비!$A6,'(참조)CS_인건비'!$S$3:$S$40,0),MATCH('(참조)CS_인건비'!AC$2,'(참조)CS_인건비'!$S$2:$AG$2,0)),0)</f>
        <v>18.166666666666668</v>
      </c>
      <c r="S6" s="136">
        <f>IFERROR(INDEX('(참조)CS_인건비'!$S$3:$AG$40,MATCH(CS_인건비!$A6,'(참조)CS_인건비'!$S$3:$S$40,0),MATCH('(참조)CS_인건비'!AD$2,'(참조)CS_인건비'!$S$2:$AG$2,0)),0)</f>
        <v>17.491666666666664</v>
      </c>
      <c r="T6" s="136">
        <f>IFERROR(INDEX('(참조)CS_인건비'!$S$3:$AG$40,MATCH(CS_인건비!$A6,'(참조)CS_인건비'!$S$3:$S$40,0),MATCH('(참조)CS_인건비'!AE$2,'(참조)CS_인건비'!$S$2:$AG$2,0)),0)</f>
        <v>0</v>
      </c>
      <c r="U6" s="136">
        <f>IFERROR(INDEX('(참조)CS_인건비'!$S$3:$AG$40,MATCH(CS_인건비!$A6,'(참조)CS_인건비'!$S$3:$S$40,0),MATCH('(참조)CS_인건비'!AF$2,'(참조)CS_인건비'!$S$2:$AG$2,0)),0)</f>
        <v>0</v>
      </c>
      <c r="V6" s="136">
        <f>IFERROR(INDEX('(참조)CS_인건비'!$S$3:$AG$40,MATCH(CS_인건비!$A6,'(참조)CS_인건비'!$S$3:$S$40,0),MATCH('(참조)CS_인건비'!AG$2,'(참조)CS_인건비'!$S$2:$AG$2,0)),0)</f>
        <v>0</v>
      </c>
      <c r="W6" s="136">
        <f>IFERROR(INDEX('(참조)CS_인건비'!$S$3:$AG$40,MATCH(CS_인건비!$A6,'(참조)CS_인건비'!$S$3:$S$40,0),MATCH('(참조)CS_인건비'!AH$2,'(참조)CS_인건비'!$S$2:$AG$2,0)),0)</f>
        <v>0</v>
      </c>
      <c r="X6" s="137">
        <v>0</v>
      </c>
      <c r="Y6" s="137">
        <f>IFERROR(INDEX('(참조)CS_인건비'!$A$3:$O$40,MATCH(CS_인건비!$A6,'(참조)CS_인건비'!$A$3:$A$40,0),MATCH('(참조)CS_인건비'!F$2,'(참조)CS_인건비'!$A$2:$O$2,0)),0)</f>
        <v>3632371</v>
      </c>
      <c r="Z6" s="137">
        <f>IFERROR(INDEX('(참조)CS_인건비'!$A$3:$O$40,MATCH(CS_인건비!$A6,'(참조)CS_인건비'!$A$3:$A$40,0),MATCH('(참조)CS_인건비'!G$2,'(참조)CS_인건비'!$A$2:$O$2,0)),0)</f>
        <v>3686856.5649999995</v>
      </c>
      <c r="AA6" s="137">
        <f>IFERROR(INDEX('(참조)CS_인건비'!$A$3:$O$40,MATCH(CS_인건비!$A6,'(참조)CS_인건비'!$A$3:$A$40,0),MATCH('(참조)CS_인건비'!H$2,'(참조)CS_인건비'!$A$2:$O$2,0)),0)</f>
        <v>3742159.4134749989</v>
      </c>
      <c r="AB6" s="137">
        <f>IFERROR(INDEX('(참조)CS_인건비'!$A$3:$O$40,MATCH(CS_인건비!$A6,'(참조)CS_인건비'!$A$3:$A$40,0),MATCH('(참조)CS_인건비'!I$2,'(참조)CS_인건비'!$A$2:$O$2,0)),0)</f>
        <v>3798291.8046771237</v>
      </c>
      <c r="AC6" s="137">
        <f>IFERROR(INDEX('(참조)CS_인건비'!$A$3:$O$40,MATCH(CS_인건비!$A6,'(참조)CS_인건비'!$A$3:$A$40,0),MATCH('(참조)CS_인건비'!J$2,'(참조)CS_인건비'!$A$2:$O$2,0)),0)</f>
        <v>3855266.1817472801</v>
      </c>
      <c r="AD6" s="137">
        <f>IFERROR(INDEX('(참조)CS_인건비'!$A$3:$O$40,MATCH(CS_인건비!$A6,'(참조)CS_인건비'!$A$3:$A$40,0),MATCH('(참조)CS_인건비'!K$2,'(참조)CS_인건비'!$A$2:$O$2,0)),0)</f>
        <v>3913095.1744734887</v>
      </c>
      <c r="AE6" s="137">
        <f>IFERROR(INDEX('(참조)CS_인건비'!$A$3:$O$40,MATCH(CS_인건비!$A6,'(참조)CS_인건비'!$A$3:$A$40,0),MATCH('(참조)CS_인건비'!L$2,'(참조)CS_인건비'!$A$2:$O$2,0)),0)</f>
        <v>3971791.6020905906</v>
      </c>
      <c r="AF6" s="137">
        <f>IFERROR(INDEX('(참조)CS_인건비'!$A$3:$O$40,MATCH(CS_인건비!$A6,'(참조)CS_인건비'!$A$3:$A$40,0),MATCH('(참조)CS_인건비'!M$2,'(참조)CS_인건비'!$A$2:$O$2,0)),0)</f>
        <v>0</v>
      </c>
      <c r="AG6" s="137">
        <f>IFERROR(INDEX('(참조)CS_인건비'!$A$3:$O$40,MATCH(CS_인건비!$A6,'(참조)CS_인건비'!$A$3:$A$40,0),MATCH('(참조)CS_인건비'!N$2,'(참조)CS_인건비'!$A$2:$O$2,0)),0)</f>
        <v>0</v>
      </c>
      <c r="AH6" s="137">
        <f>IFERROR(INDEX('(참조)CS_인건비'!$A$3:$O$40,MATCH(CS_인건비!$A6,'(참조)CS_인건비'!$A$3:$A$40,0),MATCH('(참조)CS_인건비'!O$2,'(참조)CS_인건비'!$A$2:$O$2,0)),0)</f>
        <v>0</v>
      </c>
      <c r="AI6" s="137">
        <f>IFERROR(INDEX('(참조)CS_인건비'!$A$3:$O$40,MATCH(CS_인건비!$A6,'(참조)CS_인건비'!$A$3:$A$40,0),MATCH('(참조)CS_인건비'!P$2,'(참조)CS_인건비'!$A$2:$O$2,0)),0)</f>
        <v>0</v>
      </c>
      <c r="AJ6" s="137">
        <v>12</v>
      </c>
      <c r="AK6" s="137">
        <v>12</v>
      </c>
      <c r="AL6" s="137">
        <v>12</v>
      </c>
      <c r="AM6" s="137">
        <v>12</v>
      </c>
      <c r="AN6" s="137">
        <v>12</v>
      </c>
      <c r="AO6" s="137">
        <v>12</v>
      </c>
      <c r="AP6" s="137">
        <v>12</v>
      </c>
      <c r="AQ6" s="137">
        <v>12</v>
      </c>
      <c r="AR6" s="137">
        <v>12</v>
      </c>
      <c r="AS6" s="137">
        <v>12</v>
      </c>
      <c r="AT6" s="137">
        <v>12</v>
      </c>
      <c r="AU6" s="138">
        <v>1</v>
      </c>
      <c r="AV6" s="135">
        <v>0</v>
      </c>
      <c r="AW6" s="135">
        <v>0</v>
      </c>
      <c r="AX6" s="139">
        <v>6678600433.8792181</v>
      </c>
      <c r="AY6" s="139">
        <v>1307653560</v>
      </c>
      <c r="AZ6" s="139">
        <v>980703846.29000008</v>
      </c>
      <c r="BA6" s="139">
        <v>924313375.12832463</v>
      </c>
      <c r="BB6" s="139">
        <v>900195157.70847833</v>
      </c>
      <c r="BC6" s="139">
        <v>879000689.43837976</v>
      </c>
      <c r="BD6" s="139">
        <v>853054748.03522027</v>
      </c>
      <c r="BE6" s="139">
        <v>833679057.27881515</v>
      </c>
      <c r="BF6" s="139">
        <v>0</v>
      </c>
      <c r="BG6" s="139">
        <v>0</v>
      </c>
      <c r="BH6" s="139">
        <v>0</v>
      </c>
      <c r="BI6" s="139">
        <v>0</v>
      </c>
      <c r="BJ6" s="140">
        <v>108971130</v>
      </c>
      <c r="BK6" s="139">
        <v>108971130</v>
      </c>
      <c r="BL6" s="139">
        <v>108971130</v>
      </c>
      <c r="BM6" s="139">
        <v>108971130</v>
      </c>
      <c r="BN6" s="139">
        <v>108971130</v>
      </c>
      <c r="BO6" s="139">
        <v>108971130</v>
      </c>
      <c r="BP6" s="139">
        <v>108971130</v>
      </c>
      <c r="BQ6" s="139">
        <v>108971130</v>
      </c>
      <c r="BR6" s="139">
        <v>108971130</v>
      </c>
      <c r="BS6" s="139">
        <v>108971130</v>
      </c>
      <c r="BT6" s="139">
        <v>108971130</v>
      </c>
      <c r="BU6" s="139">
        <v>108971130</v>
      </c>
      <c r="BV6" s="139">
        <v>81725320.524166659</v>
      </c>
      <c r="BW6" s="139">
        <v>81725320.524166659</v>
      </c>
      <c r="BX6" s="139">
        <v>81725320.524166659</v>
      </c>
      <c r="BY6" s="139">
        <v>81725320.524166659</v>
      </c>
      <c r="BZ6" s="139">
        <v>81725320.524166659</v>
      </c>
      <c r="CA6" s="139">
        <v>81725320.524166659</v>
      </c>
      <c r="CB6" s="139">
        <v>81725320.524166659</v>
      </c>
      <c r="CC6" s="139">
        <v>81725320.524166659</v>
      </c>
      <c r="CD6" s="139">
        <v>81725320.524166659</v>
      </c>
      <c r="CE6" s="139">
        <v>81725320.524166659</v>
      </c>
      <c r="CF6" s="139">
        <v>81725320.524166659</v>
      </c>
      <c r="CG6" s="139">
        <v>81725320.524166659</v>
      </c>
      <c r="CH6" s="139">
        <v>77026114.594027057</v>
      </c>
      <c r="CI6" s="139">
        <v>77026114.594027057</v>
      </c>
      <c r="CJ6" s="139">
        <v>77026114.594027057</v>
      </c>
      <c r="CK6" s="139">
        <v>77026114.594027057</v>
      </c>
      <c r="CL6" s="139">
        <v>77026114.594027057</v>
      </c>
      <c r="CM6" s="139">
        <v>77026114.594027057</v>
      </c>
      <c r="CN6" s="139">
        <v>77026114.594027057</v>
      </c>
      <c r="CO6" s="139">
        <v>77026114.594027057</v>
      </c>
      <c r="CP6" s="139">
        <v>77026114.594027057</v>
      </c>
      <c r="CQ6" s="139">
        <v>77026114.594027057</v>
      </c>
      <c r="CR6" s="139">
        <v>77026114.594027057</v>
      </c>
      <c r="CS6" s="139">
        <v>77026114.594027057</v>
      </c>
      <c r="CT6" s="139">
        <v>75016263.142373189</v>
      </c>
      <c r="CU6" s="139">
        <v>75016263.142373189</v>
      </c>
      <c r="CV6" s="139">
        <v>75016263.142373189</v>
      </c>
      <c r="CW6" s="139">
        <v>75016263.142373189</v>
      </c>
      <c r="CX6" s="139">
        <v>75016263.142373189</v>
      </c>
      <c r="CY6" s="139">
        <v>75016263.142373189</v>
      </c>
      <c r="CZ6" s="139">
        <v>75016263.142373189</v>
      </c>
      <c r="DA6" s="139">
        <v>75016263.142373189</v>
      </c>
      <c r="DB6" s="139">
        <v>75016263.142373189</v>
      </c>
      <c r="DC6" s="139">
        <v>75016263.142373189</v>
      </c>
      <c r="DD6" s="139">
        <v>75016263.142373189</v>
      </c>
      <c r="DE6" s="139">
        <v>75016263.142373189</v>
      </c>
      <c r="DF6" s="139">
        <v>73250057.453198314</v>
      </c>
      <c r="DG6" s="139">
        <v>73250057.453198314</v>
      </c>
      <c r="DH6" s="139">
        <v>73250057.453198314</v>
      </c>
      <c r="DI6" s="139">
        <v>73250057.453198314</v>
      </c>
      <c r="DJ6" s="139">
        <v>73250057.453198314</v>
      </c>
      <c r="DK6" s="139">
        <v>73250057.453198314</v>
      </c>
      <c r="DL6" s="139">
        <v>73250057.453198314</v>
      </c>
      <c r="DM6" s="139">
        <v>73250057.453198314</v>
      </c>
      <c r="DN6" s="139">
        <v>73250057.453198314</v>
      </c>
      <c r="DO6" s="139">
        <v>73250057.453198314</v>
      </c>
      <c r="DP6" s="139">
        <v>73250057.453198314</v>
      </c>
      <c r="DQ6" s="139">
        <v>73250057.453198314</v>
      </c>
      <c r="DR6" s="139">
        <v>71087895.669601709</v>
      </c>
      <c r="DS6" s="139">
        <v>71087895.669601709</v>
      </c>
      <c r="DT6" s="139">
        <v>71087895.669601709</v>
      </c>
      <c r="DU6" s="139">
        <v>71087895.669601709</v>
      </c>
      <c r="DV6" s="139">
        <v>71087895.669601709</v>
      </c>
      <c r="DW6" s="139">
        <v>71087895.669601709</v>
      </c>
      <c r="DX6" s="139">
        <v>71087895.669601709</v>
      </c>
      <c r="DY6" s="139">
        <v>71087895.669601709</v>
      </c>
      <c r="DZ6" s="139">
        <v>71087895.669601709</v>
      </c>
      <c r="EA6" s="139">
        <v>71087895.669601709</v>
      </c>
      <c r="EB6" s="139">
        <v>71087895.669601709</v>
      </c>
      <c r="EC6" s="139">
        <v>71087895.669601709</v>
      </c>
      <c r="ED6" s="139">
        <v>69473254.773234576</v>
      </c>
      <c r="EE6" s="139">
        <v>69473254.773234576</v>
      </c>
      <c r="EF6" s="139">
        <v>69473254.773234576</v>
      </c>
      <c r="EG6" s="139">
        <v>69473254.773234576</v>
      </c>
      <c r="EH6" s="139">
        <v>69473254.773234576</v>
      </c>
      <c r="EI6" s="139">
        <v>69473254.773234576</v>
      </c>
      <c r="EJ6" s="139">
        <v>69473254.773234576</v>
      </c>
      <c r="EK6" s="139">
        <v>69473254.773234576</v>
      </c>
      <c r="EL6" s="139">
        <v>69473254.773234576</v>
      </c>
      <c r="EM6" s="139">
        <v>69473254.773234576</v>
      </c>
      <c r="EN6" s="139">
        <v>69473254.773234576</v>
      </c>
      <c r="EO6" s="139">
        <v>69473254.773234576</v>
      </c>
      <c r="EP6" s="139">
        <v>0</v>
      </c>
      <c r="EQ6" s="139">
        <v>0</v>
      </c>
      <c r="ER6" s="139">
        <v>0</v>
      </c>
      <c r="ES6" s="139">
        <v>0</v>
      </c>
      <c r="ET6" s="139">
        <v>0</v>
      </c>
      <c r="EU6" s="139">
        <v>0</v>
      </c>
      <c r="EV6" s="139">
        <v>0</v>
      </c>
      <c r="EW6" s="139">
        <v>0</v>
      </c>
      <c r="EX6" s="139">
        <v>0</v>
      </c>
      <c r="EY6" s="139">
        <v>0</v>
      </c>
      <c r="EZ6" s="139">
        <v>0</v>
      </c>
      <c r="FA6" s="139">
        <v>0</v>
      </c>
      <c r="FB6" s="139">
        <v>0</v>
      </c>
      <c r="FC6" s="139">
        <v>0</v>
      </c>
      <c r="FD6" s="139">
        <v>0</v>
      </c>
      <c r="FE6" s="139">
        <v>0</v>
      </c>
      <c r="FF6" s="139">
        <v>0</v>
      </c>
      <c r="FG6" s="139">
        <v>0</v>
      </c>
      <c r="FH6" s="139">
        <v>0</v>
      </c>
      <c r="FI6" s="139">
        <v>0</v>
      </c>
      <c r="FJ6" s="139">
        <v>0</v>
      </c>
      <c r="FK6" s="139">
        <v>0</v>
      </c>
      <c r="FL6" s="139">
        <v>0</v>
      </c>
      <c r="FM6" s="139">
        <v>0</v>
      </c>
      <c r="FN6" s="139">
        <v>0</v>
      </c>
      <c r="FO6" s="139">
        <v>0</v>
      </c>
      <c r="FP6" s="139">
        <v>0</v>
      </c>
      <c r="FQ6" s="139">
        <v>0</v>
      </c>
      <c r="FR6" s="139">
        <v>0</v>
      </c>
      <c r="FS6" s="139">
        <v>0</v>
      </c>
      <c r="FT6" s="139">
        <v>0</v>
      </c>
      <c r="FU6" s="139">
        <v>0</v>
      </c>
      <c r="FV6" s="139">
        <v>0</v>
      </c>
      <c r="FW6" s="139">
        <v>0</v>
      </c>
      <c r="FX6" s="139">
        <v>0</v>
      </c>
      <c r="FY6" s="139">
        <v>0</v>
      </c>
      <c r="FZ6" s="139">
        <v>0</v>
      </c>
      <c r="GA6" s="139">
        <v>0</v>
      </c>
      <c r="GB6" s="139">
        <v>0</v>
      </c>
      <c r="GC6" s="139">
        <v>0</v>
      </c>
      <c r="GD6" s="139">
        <v>0</v>
      </c>
      <c r="GE6" s="139">
        <v>0</v>
      </c>
      <c r="GF6" s="139">
        <v>0</v>
      </c>
      <c r="GG6" s="139">
        <v>0</v>
      </c>
      <c r="GH6" s="139">
        <v>0</v>
      </c>
      <c r="GI6" s="139">
        <v>0</v>
      </c>
      <c r="GJ6" s="139">
        <v>0</v>
      </c>
      <c r="GK6" s="48">
        <v>0</v>
      </c>
      <c r="GL6" s="27"/>
    </row>
    <row r="7" spans="1:194" x14ac:dyDescent="0.3">
      <c r="A7" s="155" t="s">
        <v>361</v>
      </c>
      <c r="B7" s="135" t="s">
        <v>424</v>
      </c>
      <c r="C7" s="135" t="s">
        <v>277</v>
      </c>
      <c r="D7" s="135" t="s">
        <v>274</v>
      </c>
      <c r="E7" s="178" t="s">
        <v>169</v>
      </c>
      <c r="F7" s="194" t="s">
        <v>337</v>
      </c>
      <c r="G7" s="135" t="s">
        <v>340</v>
      </c>
      <c r="H7" s="135">
        <v>0</v>
      </c>
      <c r="I7" s="135">
        <v>0</v>
      </c>
      <c r="J7" s="135" t="s">
        <v>385</v>
      </c>
      <c r="K7" s="135">
        <v>0</v>
      </c>
      <c r="L7" s="135" t="s">
        <v>194</v>
      </c>
      <c r="M7" s="136">
        <f>IFERROR(INDEX('(참조)CS_인건비'!$S$3:$AG$40,MATCH(CS_인건비!$A7,'(참조)CS_인건비'!$S$3:$S$40,0),MATCH('(참조)CS_인건비'!X$2,'(참조)CS_인건비'!$S$2:$AG$2,0)),0)</f>
        <v>13</v>
      </c>
      <c r="N7" s="136">
        <f>IFERROR(INDEX('(참조)CS_인건비'!$S$3:$AG$40,MATCH(CS_인건비!$A7,'(참조)CS_인건비'!$S$3:$S$40,0),MATCH('(참조)CS_인건비'!Y$2,'(참조)CS_인건비'!$S$2:$AG$2,0)),0)</f>
        <v>13.5</v>
      </c>
      <c r="O7" s="136">
        <f>IFERROR(INDEX('(참조)CS_인건비'!$S$3:$AG$40,MATCH(CS_인건비!$A7,'(참조)CS_인건비'!$S$3:$S$40,0),MATCH('(참조)CS_인건비'!Z$2,'(참조)CS_인건비'!$S$2:$AG$2,0)),0)</f>
        <v>13</v>
      </c>
      <c r="P7" s="136">
        <f>IFERROR(INDEX('(참조)CS_인건비'!$S$3:$AG$40,MATCH(CS_인건비!$A7,'(참조)CS_인건비'!$S$3:$S$40,0),MATCH('(참조)CS_인건비'!AA$2,'(참조)CS_인건비'!$S$2:$AG$2,0)),0)</f>
        <v>13</v>
      </c>
      <c r="Q7" s="136">
        <f>IFERROR(INDEX('(참조)CS_인건비'!$S$3:$AG$40,MATCH(CS_인건비!$A7,'(참조)CS_인건비'!$S$3:$S$40,0),MATCH('(참조)CS_인건비'!AB$2,'(참조)CS_인건비'!$S$2:$AG$2,0)),0)</f>
        <v>12.583333333333334</v>
      </c>
      <c r="R7" s="136">
        <f>IFERROR(INDEX('(참조)CS_인건비'!$S$3:$AG$40,MATCH(CS_인건비!$A7,'(참조)CS_인건비'!$S$3:$S$40,0),MATCH('(참조)CS_인건비'!AC$2,'(참조)CS_인건비'!$S$2:$AG$2,0)),0)</f>
        <v>11.583333333333334</v>
      </c>
      <c r="S7" s="136">
        <f>IFERROR(INDEX('(참조)CS_인건비'!$S$3:$AG$40,MATCH(CS_인건비!$A7,'(참조)CS_인건비'!$S$3:$S$40,0),MATCH('(참조)CS_인건비'!AD$2,'(참조)CS_인건비'!$S$2:$AG$2,0)),0)</f>
        <v>11.441666666666668</v>
      </c>
      <c r="T7" s="136">
        <f>IFERROR(INDEX('(참조)CS_인건비'!$S$3:$AG$40,MATCH(CS_인건비!$A7,'(참조)CS_인건비'!$S$3:$S$40,0),MATCH('(참조)CS_인건비'!AE$2,'(참조)CS_인건비'!$S$2:$AG$2,0)),0)</f>
        <v>0</v>
      </c>
      <c r="U7" s="136">
        <f>IFERROR(INDEX('(참조)CS_인건비'!$S$3:$AG$40,MATCH(CS_인건비!$A7,'(참조)CS_인건비'!$S$3:$S$40,0),MATCH('(참조)CS_인건비'!AF$2,'(참조)CS_인건비'!$S$2:$AG$2,0)),0)</f>
        <v>0</v>
      </c>
      <c r="V7" s="136">
        <f>IFERROR(INDEX('(참조)CS_인건비'!$S$3:$AG$40,MATCH(CS_인건비!$A7,'(참조)CS_인건비'!$S$3:$S$40,0),MATCH('(참조)CS_인건비'!AG$2,'(참조)CS_인건비'!$S$2:$AG$2,0)),0)</f>
        <v>0</v>
      </c>
      <c r="W7" s="136">
        <f>IFERROR(INDEX('(참조)CS_인건비'!$S$3:$AG$40,MATCH(CS_인건비!$A7,'(참조)CS_인건비'!$S$3:$S$40,0),MATCH('(참조)CS_인건비'!AH$2,'(참조)CS_인건비'!$S$2:$AG$2,0)),0)</f>
        <v>0</v>
      </c>
      <c r="X7" s="137">
        <v>0</v>
      </c>
      <c r="Y7" s="137">
        <f>IFERROR(INDEX('(참조)CS_인건비'!$A$3:$O$40,MATCH(CS_인건비!$A7,'(참조)CS_인건비'!$A$3:$A$40,0),MATCH('(참조)CS_인건비'!F$2,'(참조)CS_인건비'!$A$2:$O$2,0)),0)</f>
        <v>2915000</v>
      </c>
      <c r="Z7" s="137">
        <f>IFERROR(INDEX('(참조)CS_인건비'!$A$3:$O$40,MATCH(CS_인건비!$A7,'(참조)CS_인건비'!$A$3:$A$40,0),MATCH('(참조)CS_인건비'!G$2,'(참조)CS_인건비'!$A$2:$O$2,0)),0)</f>
        <v>2958724.9999999995</v>
      </c>
      <c r="AA7" s="137">
        <f>IFERROR(INDEX('(참조)CS_인건비'!$A$3:$O$40,MATCH(CS_인건비!$A7,'(참조)CS_인건비'!$A$3:$A$40,0),MATCH('(참조)CS_인건비'!H$2,'(참조)CS_인건비'!$A$2:$O$2,0)),0)</f>
        <v>3003105.8749999991</v>
      </c>
      <c r="AB7" s="137">
        <f>IFERROR(INDEX('(참조)CS_인건비'!$A$3:$O$40,MATCH(CS_인건비!$A7,'(참조)CS_인건비'!$A$3:$A$40,0),MATCH('(참조)CS_인건비'!I$2,'(참조)CS_인건비'!$A$2:$O$2,0)),0)</f>
        <v>3048152.4631249988</v>
      </c>
      <c r="AC7" s="137">
        <f>IFERROR(INDEX('(참조)CS_인건비'!$A$3:$O$40,MATCH(CS_인건비!$A7,'(참조)CS_인건비'!$A$3:$A$40,0),MATCH('(참조)CS_인건비'!J$2,'(참조)CS_인건비'!$A$2:$O$2,0)),0)</f>
        <v>3093874.7500718734</v>
      </c>
      <c r="AD7" s="137">
        <f>IFERROR(INDEX('(참조)CS_인건비'!$A$3:$O$40,MATCH(CS_인건비!$A7,'(참조)CS_인건비'!$A$3:$A$40,0),MATCH('(참조)CS_인건비'!K$2,'(참조)CS_인건비'!$A$2:$O$2,0)),0)</f>
        <v>3140282.8713229513</v>
      </c>
      <c r="AE7" s="137">
        <f>IFERROR(INDEX('(참조)CS_인건비'!$A$3:$O$40,MATCH(CS_인건비!$A7,'(참조)CS_인건비'!$A$3:$A$40,0),MATCH('(참조)CS_인건비'!L$2,'(참조)CS_인건비'!$A$2:$O$2,0)),0)</f>
        <v>3187387.1143927951</v>
      </c>
      <c r="AF7" s="137">
        <f>IFERROR(INDEX('(참조)CS_인건비'!$A$3:$O$40,MATCH(CS_인건비!$A7,'(참조)CS_인건비'!$A$3:$A$40,0),MATCH('(참조)CS_인건비'!M$2,'(참조)CS_인건비'!$A$2:$O$2,0)),0)</f>
        <v>0</v>
      </c>
      <c r="AG7" s="137">
        <f>IFERROR(INDEX('(참조)CS_인건비'!$A$3:$O$40,MATCH(CS_인건비!$A7,'(참조)CS_인건비'!$A$3:$A$40,0),MATCH('(참조)CS_인건비'!N$2,'(참조)CS_인건비'!$A$2:$O$2,0)),0)</f>
        <v>0</v>
      </c>
      <c r="AH7" s="137">
        <f>IFERROR(INDEX('(참조)CS_인건비'!$A$3:$O$40,MATCH(CS_인건비!$A7,'(참조)CS_인건비'!$A$3:$A$40,0),MATCH('(참조)CS_인건비'!O$2,'(참조)CS_인건비'!$A$2:$O$2,0)),0)</f>
        <v>0</v>
      </c>
      <c r="AI7" s="137">
        <f>IFERROR(INDEX('(참조)CS_인건비'!$A$3:$O$40,MATCH(CS_인건비!$A7,'(참조)CS_인건비'!$A$3:$A$40,0),MATCH('(참조)CS_인건비'!P$2,'(참조)CS_인건비'!$A$2:$O$2,0)),0)</f>
        <v>0</v>
      </c>
      <c r="AJ7" s="137">
        <v>12</v>
      </c>
      <c r="AK7" s="137">
        <v>12</v>
      </c>
      <c r="AL7" s="137">
        <v>12</v>
      </c>
      <c r="AM7" s="137">
        <v>12</v>
      </c>
      <c r="AN7" s="137">
        <v>12</v>
      </c>
      <c r="AO7" s="137">
        <v>12</v>
      </c>
      <c r="AP7" s="137">
        <v>12</v>
      </c>
      <c r="AQ7" s="137">
        <v>12</v>
      </c>
      <c r="AR7" s="137">
        <v>12</v>
      </c>
      <c r="AS7" s="137">
        <v>12</v>
      </c>
      <c r="AT7" s="137">
        <v>12</v>
      </c>
      <c r="AU7" s="138">
        <v>1</v>
      </c>
      <c r="AV7" s="135">
        <v>0</v>
      </c>
      <c r="AW7" s="135">
        <v>0</v>
      </c>
      <c r="AX7" s="139">
        <v>3219352407.9283738</v>
      </c>
      <c r="AY7" s="139">
        <v>454740000</v>
      </c>
      <c r="AZ7" s="139">
        <v>479313449.99999994</v>
      </c>
      <c r="BA7" s="139">
        <v>468484516.49999994</v>
      </c>
      <c r="BB7" s="139">
        <v>475511784.24749988</v>
      </c>
      <c r="BC7" s="139">
        <v>467175087.26085299</v>
      </c>
      <c r="BD7" s="139">
        <v>436499319.11389023</v>
      </c>
      <c r="BE7" s="139">
        <v>437628250.80613083</v>
      </c>
      <c r="BF7" s="139">
        <v>0</v>
      </c>
      <c r="BG7" s="139">
        <v>0</v>
      </c>
      <c r="BH7" s="139">
        <v>0</v>
      </c>
      <c r="BI7" s="139">
        <v>0</v>
      </c>
      <c r="BJ7" s="140">
        <v>37895000</v>
      </c>
      <c r="BK7" s="139">
        <v>37895000</v>
      </c>
      <c r="BL7" s="139">
        <v>37895000</v>
      </c>
      <c r="BM7" s="139">
        <v>37895000</v>
      </c>
      <c r="BN7" s="139">
        <v>37895000</v>
      </c>
      <c r="BO7" s="139">
        <v>37895000</v>
      </c>
      <c r="BP7" s="139">
        <v>37895000</v>
      </c>
      <c r="BQ7" s="139">
        <v>37895000</v>
      </c>
      <c r="BR7" s="139">
        <v>37895000</v>
      </c>
      <c r="BS7" s="139">
        <v>37895000</v>
      </c>
      <c r="BT7" s="139">
        <v>37895000</v>
      </c>
      <c r="BU7" s="139">
        <v>37895000</v>
      </c>
      <c r="BV7" s="139">
        <v>39942787.499999993</v>
      </c>
      <c r="BW7" s="139">
        <v>39942787.499999993</v>
      </c>
      <c r="BX7" s="139">
        <v>39942787.499999993</v>
      </c>
      <c r="BY7" s="139">
        <v>39942787.499999993</v>
      </c>
      <c r="BZ7" s="139">
        <v>39942787.499999993</v>
      </c>
      <c r="CA7" s="139">
        <v>39942787.499999993</v>
      </c>
      <c r="CB7" s="139">
        <v>39942787.499999993</v>
      </c>
      <c r="CC7" s="139">
        <v>39942787.499999993</v>
      </c>
      <c r="CD7" s="139">
        <v>39942787.499999993</v>
      </c>
      <c r="CE7" s="139">
        <v>39942787.499999993</v>
      </c>
      <c r="CF7" s="139">
        <v>39942787.499999993</v>
      </c>
      <c r="CG7" s="139">
        <v>39942787.499999993</v>
      </c>
      <c r="CH7" s="139">
        <v>39040376.374999985</v>
      </c>
      <c r="CI7" s="139">
        <v>39040376.374999985</v>
      </c>
      <c r="CJ7" s="139">
        <v>39040376.374999985</v>
      </c>
      <c r="CK7" s="139">
        <v>39040376.374999985</v>
      </c>
      <c r="CL7" s="139">
        <v>39040376.374999985</v>
      </c>
      <c r="CM7" s="139">
        <v>39040376.374999985</v>
      </c>
      <c r="CN7" s="139">
        <v>39040376.374999985</v>
      </c>
      <c r="CO7" s="139">
        <v>39040376.374999985</v>
      </c>
      <c r="CP7" s="139">
        <v>39040376.374999985</v>
      </c>
      <c r="CQ7" s="139">
        <v>39040376.374999985</v>
      </c>
      <c r="CR7" s="139">
        <v>39040376.374999985</v>
      </c>
      <c r="CS7" s="139">
        <v>39040376.374999985</v>
      </c>
      <c r="CT7" s="139">
        <v>39625982.020624988</v>
      </c>
      <c r="CU7" s="139">
        <v>39625982.020624988</v>
      </c>
      <c r="CV7" s="139">
        <v>39625982.020624988</v>
      </c>
      <c r="CW7" s="139">
        <v>39625982.020624988</v>
      </c>
      <c r="CX7" s="139">
        <v>39625982.020624988</v>
      </c>
      <c r="CY7" s="139">
        <v>39625982.020624988</v>
      </c>
      <c r="CZ7" s="139">
        <v>39625982.020624988</v>
      </c>
      <c r="DA7" s="139">
        <v>39625982.020624988</v>
      </c>
      <c r="DB7" s="139">
        <v>39625982.020624988</v>
      </c>
      <c r="DC7" s="139">
        <v>39625982.020624988</v>
      </c>
      <c r="DD7" s="139">
        <v>39625982.020624988</v>
      </c>
      <c r="DE7" s="139">
        <v>39625982.020624988</v>
      </c>
      <c r="DF7" s="139">
        <v>38931257.271737739</v>
      </c>
      <c r="DG7" s="139">
        <v>38931257.271737739</v>
      </c>
      <c r="DH7" s="139">
        <v>38931257.271737739</v>
      </c>
      <c r="DI7" s="139">
        <v>38931257.271737739</v>
      </c>
      <c r="DJ7" s="139">
        <v>38931257.271737739</v>
      </c>
      <c r="DK7" s="139">
        <v>38931257.271737739</v>
      </c>
      <c r="DL7" s="139">
        <v>38931257.271737739</v>
      </c>
      <c r="DM7" s="139">
        <v>38931257.271737739</v>
      </c>
      <c r="DN7" s="139">
        <v>38931257.271737739</v>
      </c>
      <c r="DO7" s="139">
        <v>38931257.271737739</v>
      </c>
      <c r="DP7" s="139">
        <v>38931257.271737739</v>
      </c>
      <c r="DQ7" s="139">
        <v>38931257.271737739</v>
      </c>
      <c r="DR7" s="139">
        <v>36374943.259490855</v>
      </c>
      <c r="DS7" s="139">
        <v>36374943.259490855</v>
      </c>
      <c r="DT7" s="139">
        <v>36374943.259490855</v>
      </c>
      <c r="DU7" s="139">
        <v>36374943.259490855</v>
      </c>
      <c r="DV7" s="139">
        <v>36374943.259490855</v>
      </c>
      <c r="DW7" s="139">
        <v>36374943.259490855</v>
      </c>
      <c r="DX7" s="139">
        <v>36374943.259490855</v>
      </c>
      <c r="DY7" s="139">
        <v>36374943.259490855</v>
      </c>
      <c r="DZ7" s="139">
        <v>36374943.259490855</v>
      </c>
      <c r="EA7" s="139">
        <v>36374943.259490855</v>
      </c>
      <c r="EB7" s="139">
        <v>36374943.259490855</v>
      </c>
      <c r="EC7" s="139">
        <v>36374943.259490855</v>
      </c>
      <c r="ED7" s="139">
        <v>36469020.9005109</v>
      </c>
      <c r="EE7" s="139">
        <v>36469020.9005109</v>
      </c>
      <c r="EF7" s="139">
        <v>36469020.9005109</v>
      </c>
      <c r="EG7" s="139">
        <v>36469020.9005109</v>
      </c>
      <c r="EH7" s="139">
        <v>36469020.9005109</v>
      </c>
      <c r="EI7" s="139">
        <v>36469020.9005109</v>
      </c>
      <c r="EJ7" s="139">
        <v>36469020.9005109</v>
      </c>
      <c r="EK7" s="139">
        <v>36469020.9005109</v>
      </c>
      <c r="EL7" s="139">
        <v>36469020.9005109</v>
      </c>
      <c r="EM7" s="139">
        <v>36469020.9005109</v>
      </c>
      <c r="EN7" s="139">
        <v>36469020.9005109</v>
      </c>
      <c r="EO7" s="139">
        <v>36469020.9005109</v>
      </c>
      <c r="EP7" s="139">
        <v>0</v>
      </c>
      <c r="EQ7" s="139">
        <v>0</v>
      </c>
      <c r="ER7" s="139">
        <v>0</v>
      </c>
      <c r="ES7" s="139">
        <v>0</v>
      </c>
      <c r="ET7" s="139">
        <v>0</v>
      </c>
      <c r="EU7" s="139">
        <v>0</v>
      </c>
      <c r="EV7" s="139">
        <v>0</v>
      </c>
      <c r="EW7" s="139">
        <v>0</v>
      </c>
      <c r="EX7" s="139">
        <v>0</v>
      </c>
      <c r="EY7" s="139">
        <v>0</v>
      </c>
      <c r="EZ7" s="139">
        <v>0</v>
      </c>
      <c r="FA7" s="139">
        <v>0</v>
      </c>
      <c r="FB7" s="139">
        <v>0</v>
      </c>
      <c r="FC7" s="139">
        <v>0</v>
      </c>
      <c r="FD7" s="139">
        <v>0</v>
      </c>
      <c r="FE7" s="139">
        <v>0</v>
      </c>
      <c r="FF7" s="139">
        <v>0</v>
      </c>
      <c r="FG7" s="139">
        <v>0</v>
      </c>
      <c r="FH7" s="139">
        <v>0</v>
      </c>
      <c r="FI7" s="139">
        <v>0</v>
      </c>
      <c r="FJ7" s="139">
        <v>0</v>
      </c>
      <c r="FK7" s="139">
        <v>0</v>
      </c>
      <c r="FL7" s="139">
        <v>0</v>
      </c>
      <c r="FM7" s="139">
        <v>0</v>
      </c>
      <c r="FN7" s="139">
        <v>0</v>
      </c>
      <c r="FO7" s="139">
        <v>0</v>
      </c>
      <c r="FP7" s="139">
        <v>0</v>
      </c>
      <c r="FQ7" s="139">
        <v>0</v>
      </c>
      <c r="FR7" s="139">
        <v>0</v>
      </c>
      <c r="FS7" s="139">
        <v>0</v>
      </c>
      <c r="FT7" s="139">
        <v>0</v>
      </c>
      <c r="FU7" s="139">
        <v>0</v>
      </c>
      <c r="FV7" s="139">
        <v>0</v>
      </c>
      <c r="FW7" s="139">
        <v>0</v>
      </c>
      <c r="FX7" s="139">
        <v>0</v>
      </c>
      <c r="FY7" s="139">
        <v>0</v>
      </c>
      <c r="FZ7" s="139">
        <v>0</v>
      </c>
      <c r="GA7" s="139">
        <v>0</v>
      </c>
      <c r="GB7" s="139">
        <v>0</v>
      </c>
      <c r="GC7" s="139">
        <v>0</v>
      </c>
      <c r="GD7" s="139">
        <v>0</v>
      </c>
      <c r="GE7" s="139">
        <v>0</v>
      </c>
      <c r="GF7" s="139">
        <v>0</v>
      </c>
      <c r="GG7" s="139">
        <v>0</v>
      </c>
      <c r="GH7" s="139">
        <v>0</v>
      </c>
      <c r="GI7" s="139">
        <v>0</v>
      </c>
      <c r="GJ7" s="139">
        <v>0</v>
      </c>
      <c r="GK7" s="48">
        <v>0</v>
      </c>
      <c r="GL7" s="27"/>
    </row>
    <row r="8" spans="1:194" x14ac:dyDescent="0.3">
      <c r="A8" s="155" t="s">
        <v>362</v>
      </c>
      <c r="B8" s="135" t="s">
        <v>424</v>
      </c>
      <c r="C8" s="135" t="s">
        <v>277</v>
      </c>
      <c r="D8" s="135" t="s">
        <v>274</v>
      </c>
      <c r="E8" s="178" t="s">
        <v>169</v>
      </c>
      <c r="F8" s="194" t="s">
        <v>337</v>
      </c>
      <c r="G8" s="135" t="s">
        <v>341</v>
      </c>
      <c r="H8" s="135">
        <v>0</v>
      </c>
      <c r="I8" s="135">
        <v>0</v>
      </c>
      <c r="J8" s="135" t="s">
        <v>385</v>
      </c>
      <c r="K8" s="135">
        <v>0</v>
      </c>
      <c r="L8" s="135" t="s">
        <v>194</v>
      </c>
      <c r="M8" s="136">
        <f>IFERROR(INDEX('(참조)CS_인건비'!$S$3:$AG$40,MATCH(CS_인건비!$A8,'(참조)CS_인건비'!$S$3:$S$40,0),MATCH('(참조)CS_인건비'!X$2,'(참조)CS_인건비'!$S$2:$AG$2,0)),0)</f>
        <v>3.0333333333333332</v>
      </c>
      <c r="N8" s="136">
        <f>IFERROR(INDEX('(참조)CS_인건비'!$S$3:$AG$40,MATCH(CS_인건비!$A8,'(참조)CS_인건비'!$S$3:$S$40,0),MATCH('(참조)CS_인건비'!Y$2,'(참조)CS_인건비'!$S$2:$AG$2,0)),0)</f>
        <v>3</v>
      </c>
      <c r="O8" s="136">
        <f>IFERROR(INDEX('(참조)CS_인건비'!$S$3:$AG$40,MATCH(CS_인건비!$A8,'(참조)CS_인건비'!$S$3:$S$40,0),MATCH('(참조)CS_인건비'!Z$2,'(참조)CS_인건비'!$S$2:$AG$2,0)),0)</f>
        <v>3</v>
      </c>
      <c r="P8" s="136">
        <f>IFERROR(INDEX('(참조)CS_인건비'!$S$3:$AG$40,MATCH(CS_인건비!$A8,'(참조)CS_인건비'!$S$3:$S$40,0),MATCH('(참조)CS_인건비'!AA$2,'(참조)CS_인건비'!$S$2:$AG$2,0)),0)</f>
        <v>3</v>
      </c>
      <c r="Q8" s="136">
        <f>IFERROR(INDEX('(참조)CS_인건비'!$S$3:$AG$40,MATCH(CS_인건비!$A8,'(참조)CS_인건비'!$S$3:$S$40,0),MATCH('(참조)CS_인건비'!AB$2,'(참조)CS_인건비'!$S$2:$AG$2,0)),0)</f>
        <v>3</v>
      </c>
      <c r="R8" s="136">
        <f>IFERROR(INDEX('(참조)CS_인건비'!$S$3:$AG$40,MATCH(CS_인건비!$A8,'(참조)CS_인건비'!$S$3:$S$40,0),MATCH('(참조)CS_인건비'!AC$2,'(참조)CS_인건비'!$S$2:$AG$2,0)),0)</f>
        <v>3</v>
      </c>
      <c r="S8" s="136">
        <f>IFERROR(INDEX('(참조)CS_인건비'!$S$3:$AG$40,MATCH(CS_인건비!$A8,'(참조)CS_인건비'!$S$3:$S$40,0),MATCH('(참조)CS_인건비'!AD$2,'(참조)CS_인건비'!$S$2:$AG$2,0)),0)</f>
        <v>3.4416666666666664</v>
      </c>
      <c r="T8" s="136">
        <f>IFERROR(INDEX('(참조)CS_인건비'!$S$3:$AG$40,MATCH(CS_인건비!$A8,'(참조)CS_인건비'!$S$3:$S$40,0),MATCH('(참조)CS_인건비'!AE$2,'(참조)CS_인건비'!$S$2:$AG$2,0)),0)</f>
        <v>0</v>
      </c>
      <c r="U8" s="136">
        <f>IFERROR(INDEX('(참조)CS_인건비'!$S$3:$AG$40,MATCH(CS_인건비!$A8,'(참조)CS_인건비'!$S$3:$S$40,0),MATCH('(참조)CS_인건비'!AF$2,'(참조)CS_인건비'!$S$2:$AG$2,0)),0)</f>
        <v>0</v>
      </c>
      <c r="V8" s="136">
        <f>IFERROR(INDEX('(참조)CS_인건비'!$S$3:$AG$40,MATCH(CS_인건비!$A8,'(참조)CS_인건비'!$S$3:$S$40,0),MATCH('(참조)CS_인건비'!AG$2,'(참조)CS_인건비'!$S$2:$AG$2,0)),0)</f>
        <v>0</v>
      </c>
      <c r="W8" s="136">
        <f>IFERROR(INDEX('(참조)CS_인건비'!$S$3:$AG$40,MATCH(CS_인건비!$A8,'(참조)CS_인건비'!$S$3:$S$40,0),MATCH('(참조)CS_인건비'!AH$2,'(참조)CS_인건비'!$S$2:$AG$2,0)),0)</f>
        <v>0</v>
      </c>
      <c r="X8" s="137">
        <v>0</v>
      </c>
      <c r="Y8" s="137">
        <f>IFERROR(INDEX('(참조)CS_인건비'!$A$3:$O$40,MATCH(CS_인건비!$A8,'(참조)CS_인건비'!$A$3:$A$40,0),MATCH('(참조)CS_인건비'!F$2,'(참조)CS_인건비'!$A$2:$O$2,0)),0)</f>
        <v>3178000</v>
      </c>
      <c r="Z8" s="137">
        <f>IFERROR(INDEX('(참조)CS_인건비'!$A$3:$O$40,MATCH(CS_인건비!$A8,'(참조)CS_인건비'!$A$3:$A$40,0),MATCH('(참조)CS_인건비'!G$2,'(참조)CS_인건비'!$A$2:$O$2,0)),0)</f>
        <v>3225669.9999999995</v>
      </c>
      <c r="AA8" s="137">
        <f>IFERROR(INDEX('(참조)CS_인건비'!$A$3:$O$40,MATCH(CS_인건비!$A8,'(참조)CS_인건비'!$A$3:$A$40,0),MATCH('(참조)CS_인건비'!H$2,'(참조)CS_인건비'!$A$2:$O$2,0)),0)</f>
        <v>3274055.0499999993</v>
      </c>
      <c r="AB8" s="137">
        <f>IFERROR(INDEX('(참조)CS_인건비'!$A$3:$O$40,MATCH(CS_인건비!$A8,'(참조)CS_인건비'!$A$3:$A$40,0),MATCH('(참조)CS_인건비'!I$2,'(참조)CS_인건비'!$A$2:$O$2,0)),0)</f>
        <v>3323165.8757499992</v>
      </c>
      <c r="AC8" s="137">
        <f>IFERROR(INDEX('(참조)CS_인건비'!$A$3:$O$40,MATCH(CS_인건비!$A8,'(참조)CS_인건비'!$A$3:$A$40,0),MATCH('(참조)CS_인건비'!J$2,'(참조)CS_인건비'!$A$2:$O$2,0)),0)</f>
        <v>3373013.3638862488</v>
      </c>
      <c r="AD8" s="137">
        <f>IFERROR(INDEX('(참조)CS_인건비'!$A$3:$O$40,MATCH(CS_인건비!$A8,'(참조)CS_인건비'!$A$3:$A$40,0),MATCH('(참조)CS_인건비'!K$2,'(참조)CS_인건비'!$A$2:$O$2,0)),0)</f>
        <v>3423608.5643445421</v>
      </c>
      <c r="AE8" s="137">
        <f>IFERROR(INDEX('(참조)CS_인건비'!$A$3:$O$40,MATCH(CS_인건비!$A8,'(참조)CS_인건비'!$A$3:$A$40,0),MATCH('(참조)CS_인건비'!L$2,'(참조)CS_인건비'!$A$2:$O$2,0)),0)</f>
        <v>3474962.6928097098</v>
      </c>
      <c r="AF8" s="137">
        <f>IFERROR(INDEX('(참조)CS_인건비'!$A$3:$O$40,MATCH(CS_인건비!$A8,'(참조)CS_인건비'!$A$3:$A$40,0),MATCH('(참조)CS_인건비'!M$2,'(참조)CS_인건비'!$A$2:$O$2,0)),0)</f>
        <v>0</v>
      </c>
      <c r="AG8" s="137">
        <f>IFERROR(INDEX('(참조)CS_인건비'!$A$3:$O$40,MATCH(CS_인건비!$A8,'(참조)CS_인건비'!$A$3:$A$40,0),MATCH('(참조)CS_인건비'!N$2,'(참조)CS_인건비'!$A$2:$O$2,0)),0)</f>
        <v>0</v>
      </c>
      <c r="AH8" s="137">
        <f>IFERROR(INDEX('(참조)CS_인건비'!$A$3:$O$40,MATCH(CS_인건비!$A8,'(참조)CS_인건비'!$A$3:$A$40,0),MATCH('(참조)CS_인건비'!O$2,'(참조)CS_인건비'!$A$2:$O$2,0)),0)</f>
        <v>0</v>
      </c>
      <c r="AI8" s="137">
        <f>IFERROR(INDEX('(참조)CS_인건비'!$A$3:$O$40,MATCH(CS_인건비!$A8,'(참조)CS_인건비'!$A$3:$A$40,0),MATCH('(참조)CS_인건비'!P$2,'(참조)CS_인건비'!$A$2:$O$2,0)),0)</f>
        <v>0</v>
      </c>
      <c r="AJ8" s="137">
        <v>12</v>
      </c>
      <c r="AK8" s="137">
        <v>12</v>
      </c>
      <c r="AL8" s="137">
        <v>12</v>
      </c>
      <c r="AM8" s="137">
        <v>12</v>
      </c>
      <c r="AN8" s="137">
        <v>12</v>
      </c>
      <c r="AO8" s="137">
        <v>12</v>
      </c>
      <c r="AP8" s="137">
        <v>12</v>
      </c>
      <c r="AQ8" s="137">
        <v>12</v>
      </c>
      <c r="AR8" s="137">
        <v>12</v>
      </c>
      <c r="AS8" s="137">
        <v>12</v>
      </c>
      <c r="AT8" s="137">
        <v>12</v>
      </c>
      <c r="AU8" s="138">
        <v>1</v>
      </c>
      <c r="AV8" s="135">
        <v>0</v>
      </c>
      <c r="AW8" s="135">
        <v>0</v>
      </c>
      <c r="AX8" s="139">
        <v>857497621.95634949</v>
      </c>
      <c r="AY8" s="139">
        <v>115679199.99999996</v>
      </c>
      <c r="AZ8" s="139">
        <v>116124119.99999999</v>
      </c>
      <c r="BA8" s="139">
        <v>117865981.80000001</v>
      </c>
      <c r="BB8" s="139">
        <v>119633971.527</v>
      </c>
      <c r="BC8" s="139">
        <v>121428481.09990494</v>
      </c>
      <c r="BD8" s="139">
        <v>123249908.31640349</v>
      </c>
      <c r="BE8" s="139">
        <v>143515959.21304104</v>
      </c>
      <c r="BF8" s="139">
        <v>0</v>
      </c>
      <c r="BG8" s="139">
        <v>0</v>
      </c>
      <c r="BH8" s="139">
        <v>0</v>
      </c>
      <c r="BI8" s="139">
        <v>0</v>
      </c>
      <c r="BJ8" s="140">
        <v>9639933.3333333321</v>
      </c>
      <c r="BK8" s="139">
        <v>9639933.3333333321</v>
      </c>
      <c r="BL8" s="139">
        <v>9639933.3333333321</v>
      </c>
      <c r="BM8" s="139">
        <v>9639933.3333333321</v>
      </c>
      <c r="BN8" s="139">
        <v>9639933.3333333321</v>
      </c>
      <c r="BO8" s="139">
        <v>9639933.3333333321</v>
      </c>
      <c r="BP8" s="139">
        <v>9639933.3333333321</v>
      </c>
      <c r="BQ8" s="139">
        <v>9639933.3333333321</v>
      </c>
      <c r="BR8" s="139">
        <v>9639933.3333333321</v>
      </c>
      <c r="BS8" s="139">
        <v>9639933.3333333321</v>
      </c>
      <c r="BT8" s="139">
        <v>9639933.3333333321</v>
      </c>
      <c r="BU8" s="139">
        <v>9639933.3333333321</v>
      </c>
      <c r="BV8" s="139">
        <v>9677009.9999999981</v>
      </c>
      <c r="BW8" s="139">
        <v>9677009.9999999981</v>
      </c>
      <c r="BX8" s="139">
        <v>9677009.9999999981</v>
      </c>
      <c r="BY8" s="139">
        <v>9677009.9999999981</v>
      </c>
      <c r="BZ8" s="139">
        <v>9677009.9999999981</v>
      </c>
      <c r="CA8" s="139">
        <v>9677009.9999999981</v>
      </c>
      <c r="CB8" s="139">
        <v>9677009.9999999981</v>
      </c>
      <c r="CC8" s="139">
        <v>9677009.9999999981</v>
      </c>
      <c r="CD8" s="139">
        <v>9677009.9999999981</v>
      </c>
      <c r="CE8" s="139">
        <v>9677009.9999999981</v>
      </c>
      <c r="CF8" s="139">
        <v>9677009.9999999981</v>
      </c>
      <c r="CG8" s="139">
        <v>9677009.9999999981</v>
      </c>
      <c r="CH8" s="139">
        <v>9822165.1499999985</v>
      </c>
      <c r="CI8" s="139">
        <v>9822165.1499999985</v>
      </c>
      <c r="CJ8" s="139">
        <v>9822165.1499999985</v>
      </c>
      <c r="CK8" s="139">
        <v>9822165.1499999985</v>
      </c>
      <c r="CL8" s="139">
        <v>9822165.1499999985</v>
      </c>
      <c r="CM8" s="139">
        <v>9822165.1499999985</v>
      </c>
      <c r="CN8" s="139">
        <v>9822165.1499999985</v>
      </c>
      <c r="CO8" s="139">
        <v>9822165.1499999985</v>
      </c>
      <c r="CP8" s="139">
        <v>9822165.1499999985</v>
      </c>
      <c r="CQ8" s="139">
        <v>9822165.1499999985</v>
      </c>
      <c r="CR8" s="139">
        <v>9822165.1499999985</v>
      </c>
      <c r="CS8" s="139">
        <v>9822165.1499999985</v>
      </c>
      <c r="CT8" s="139">
        <v>9969497.6272499971</v>
      </c>
      <c r="CU8" s="139">
        <v>9969497.6272499971</v>
      </c>
      <c r="CV8" s="139">
        <v>9969497.6272499971</v>
      </c>
      <c r="CW8" s="139">
        <v>9969497.6272499971</v>
      </c>
      <c r="CX8" s="139">
        <v>9969497.6272499971</v>
      </c>
      <c r="CY8" s="139">
        <v>9969497.6272499971</v>
      </c>
      <c r="CZ8" s="139">
        <v>9969497.6272499971</v>
      </c>
      <c r="DA8" s="139">
        <v>9969497.6272499971</v>
      </c>
      <c r="DB8" s="139">
        <v>9969497.6272499971</v>
      </c>
      <c r="DC8" s="139">
        <v>9969497.6272499971</v>
      </c>
      <c r="DD8" s="139">
        <v>9969497.6272499971</v>
      </c>
      <c r="DE8" s="139">
        <v>9969497.6272499971</v>
      </c>
      <c r="DF8" s="139">
        <v>10119040.091658747</v>
      </c>
      <c r="DG8" s="139">
        <v>10119040.091658747</v>
      </c>
      <c r="DH8" s="139">
        <v>10119040.091658747</v>
      </c>
      <c r="DI8" s="139">
        <v>10119040.091658747</v>
      </c>
      <c r="DJ8" s="139">
        <v>10119040.091658747</v>
      </c>
      <c r="DK8" s="139">
        <v>10119040.091658747</v>
      </c>
      <c r="DL8" s="139">
        <v>10119040.091658747</v>
      </c>
      <c r="DM8" s="139">
        <v>10119040.091658747</v>
      </c>
      <c r="DN8" s="139">
        <v>10119040.091658747</v>
      </c>
      <c r="DO8" s="139">
        <v>10119040.091658747</v>
      </c>
      <c r="DP8" s="139">
        <v>10119040.091658747</v>
      </c>
      <c r="DQ8" s="139">
        <v>10119040.091658747</v>
      </c>
      <c r="DR8" s="139">
        <v>10270825.693033626</v>
      </c>
      <c r="DS8" s="139">
        <v>10270825.693033626</v>
      </c>
      <c r="DT8" s="139">
        <v>10270825.693033626</v>
      </c>
      <c r="DU8" s="139">
        <v>10270825.693033626</v>
      </c>
      <c r="DV8" s="139">
        <v>10270825.693033626</v>
      </c>
      <c r="DW8" s="139">
        <v>10270825.693033626</v>
      </c>
      <c r="DX8" s="139">
        <v>10270825.693033626</v>
      </c>
      <c r="DY8" s="139">
        <v>10270825.693033626</v>
      </c>
      <c r="DZ8" s="139">
        <v>10270825.693033626</v>
      </c>
      <c r="EA8" s="139">
        <v>10270825.693033626</v>
      </c>
      <c r="EB8" s="139">
        <v>10270825.693033626</v>
      </c>
      <c r="EC8" s="139">
        <v>10270825.693033626</v>
      </c>
      <c r="ED8" s="139">
        <v>11959663.267753417</v>
      </c>
      <c r="EE8" s="139">
        <v>11959663.267753417</v>
      </c>
      <c r="EF8" s="139">
        <v>11959663.267753417</v>
      </c>
      <c r="EG8" s="139">
        <v>11959663.267753417</v>
      </c>
      <c r="EH8" s="139">
        <v>11959663.267753417</v>
      </c>
      <c r="EI8" s="139">
        <v>11959663.267753417</v>
      </c>
      <c r="EJ8" s="139">
        <v>11959663.267753417</v>
      </c>
      <c r="EK8" s="139">
        <v>11959663.267753417</v>
      </c>
      <c r="EL8" s="139">
        <v>11959663.267753417</v>
      </c>
      <c r="EM8" s="139">
        <v>11959663.267753417</v>
      </c>
      <c r="EN8" s="139">
        <v>11959663.267753417</v>
      </c>
      <c r="EO8" s="139">
        <v>11959663.267753417</v>
      </c>
      <c r="EP8" s="139">
        <v>0</v>
      </c>
      <c r="EQ8" s="139">
        <v>0</v>
      </c>
      <c r="ER8" s="139">
        <v>0</v>
      </c>
      <c r="ES8" s="139">
        <v>0</v>
      </c>
      <c r="ET8" s="139">
        <v>0</v>
      </c>
      <c r="EU8" s="139">
        <v>0</v>
      </c>
      <c r="EV8" s="139">
        <v>0</v>
      </c>
      <c r="EW8" s="139">
        <v>0</v>
      </c>
      <c r="EX8" s="139">
        <v>0</v>
      </c>
      <c r="EY8" s="139">
        <v>0</v>
      </c>
      <c r="EZ8" s="139">
        <v>0</v>
      </c>
      <c r="FA8" s="139">
        <v>0</v>
      </c>
      <c r="FB8" s="139">
        <v>0</v>
      </c>
      <c r="FC8" s="139">
        <v>0</v>
      </c>
      <c r="FD8" s="139">
        <v>0</v>
      </c>
      <c r="FE8" s="139">
        <v>0</v>
      </c>
      <c r="FF8" s="139">
        <v>0</v>
      </c>
      <c r="FG8" s="139">
        <v>0</v>
      </c>
      <c r="FH8" s="139">
        <v>0</v>
      </c>
      <c r="FI8" s="139">
        <v>0</v>
      </c>
      <c r="FJ8" s="139">
        <v>0</v>
      </c>
      <c r="FK8" s="139">
        <v>0</v>
      </c>
      <c r="FL8" s="139">
        <v>0</v>
      </c>
      <c r="FM8" s="139">
        <v>0</v>
      </c>
      <c r="FN8" s="139">
        <v>0</v>
      </c>
      <c r="FO8" s="139">
        <v>0</v>
      </c>
      <c r="FP8" s="139">
        <v>0</v>
      </c>
      <c r="FQ8" s="139">
        <v>0</v>
      </c>
      <c r="FR8" s="139">
        <v>0</v>
      </c>
      <c r="FS8" s="139">
        <v>0</v>
      </c>
      <c r="FT8" s="139">
        <v>0</v>
      </c>
      <c r="FU8" s="139">
        <v>0</v>
      </c>
      <c r="FV8" s="139">
        <v>0</v>
      </c>
      <c r="FW8" s="139">
        <v>0</v>
      </c>
      <c r="FX8" s="139">
        <v>0</v>
      </c>
      <c r="FY8" s="139">
        <v>0</v>
      </c>
      <c r="FZ8" s="139">
        <v>0</v>
      </c>
      <c r="GA8" s="139">
        <v>0</v>
      </c>
      <c r="GB8" s="139">
        <v>0</v>
      </c>
      <c r="GC8" s="139">
        <v>0</v>
      </c>
      <c r="GD8" s="139">
        <v>0</v>
      </c>
      <c r="GE8" s="139">
        <v>0</v>
      </c>
      <c r="GF8" s="139">
        <v>0</v>
      </c>
      <c r="GG8" s="139">
        <v>0</v>
      </c>
      <c r="GH8" s="139">
        <v>0</v>
      </c>
      <c r="GI8" s="139">
        <v>0</v>
      </c>
      <c r="GJ8" s="139">
        <v>0</v>
      </c>
      <c r="GK8" s="48">
        <v>0</v>
      </c>
      <c r="GL8" s="27"/>
    </row>
    <row r="9" spans="1:194" x14ac:dyDescent="0.3">
      <c r="A9" s="155" t="s">
        <v>363</v>
      </c>
      <c r="B9" s="135" t="s">
        <v>424</v>
      </c>
      <c r="C9" s="135" t="s">
        <v>277</v>
      </c>
      <c r="D9" s="135" t="s">
        <v>274</v>
      </c>
      <c r="E9" s="178" t="s">
        <v>169</v>
      </c>
      <c r="F9" s="194" t="s">
        <v>337</v>
      </c>
      <c r="G9" s="135" t="s">
        <v>342</v>
      </c>
      <c r="H9" s="135">
        <v>0</v>
      </c>
      <c r="I9" s="135">
        <v>0</v>
      </c>
      <c r="J9" s="135" t="s">
        <v>385</v>
      </c>
      <c r="K9" s="135">
        <v>0</v>
      </c>
      <c r="L9" s="135" t="s">
        <v>194</v>
      </c>
      <c r="M9" s="136">
        <f>IFERROR(INDEX('(참조)CS_인건비'!$S$3:$AG$40,MATCH(CS_인건비!$A9,'(참조)CS_인건비'!$S$3:$S$40,0),MATCH('(참조)CS_인건비'!X$2,'(참조)CS_인건비'!$S$2:$AG$2,0)),0)</f>
        <v>4</v>
      </c>
      <c r="N9" s="136">
        <f>IFERROR(INDEX('(참조)CS_인건비'!$S$3:$AG$40,MATCH(CS_인건비!$A9,'(참조)CS_인건비'!$S$3:$S$40,0),MATCH('(참조)CS_인건비'!Y$2,'(참조)CS_인건비'!$S$2:$AG$2,0)),0)</f>
        <v>4</v>
      </c>
      <c r="O9" s="136">
        <f>IFERROR(INDEX('(참조)CS_인건비'!$S$3:$AG$40,MATCH(CS_인건비!$A9,'(참조)CS_인건비'!$S$3:$S$40,0),MATCH('(참조)CS_인건비'!Z$2,'(참조)CS_인건비'!$S$2:$AG$2,0)),0)</f>
        <v>4</v>
      </c>
      <c r="P9" s="136">
        <f>IFERROR(INDEX('(참조)CS_인건비'!$S$3:$AG$40,MATCH(CS_인건비!$A9,'(참조)CS_인건비'!$S$3:$S$40,0),MATCH('(참조)CS_인건비'!AA$2,'(참조)CS_인건비'!$S$2:$AG$2,0)),0)</f>
        <v>4</v>
      </c>
      <c r="Q9" s="136">
        <f>IFERROR(INDEX('(참조)CS_인건비'!$S$3:$AG$40,MATCH(CS_인건비!$A9,'(참조)CS_인건비'!$S$3:$S$40,0),MATCH('(참조)CS_인건비'!AB$2,'(참조)CS_인건비'!$S$2:$AG$2,0)),0)</f>
        <v>4</v>
      </c>
      <c r="R9" s="136">
        <f>IFERROR(INDEX('(참조)CS_인건비'!$S$3:$AG$40,MATCH(CS_인건비!$A9,'(참조)CS_인건비'!$S$3:$S$40,0),MATCH('(참조)CS_인건비'!AC$2,'(참조)CS_인건비'!$S$2:$AG$2,0)),0)</f>
        <v>4</v>
      </c>
      <c r="S9" s="136">
        <f>IFERROR(INDEX('(참조)CS_인건비'!$S$3:$AG$40,MATCH(CS_인건비!$A9,'(참조)CS_인건비'!$S$3:$S$40,0),MATCH('(참조)CS_인건비'!AD$2,'(참조)CS_인건비'!$S$2:$AG$2,0)),0)</f>
        <v>4.45</v>
      </c>
      <c r="T9" s="136">
        <f>IFERROR(INDEX('(참조)CS_인건비'!$S$3:$AG$40,MATCH(CS_인건비!$A9,'(참조)CS_인건비'!$S$3:$S$40,0),MATCH('(참조)CS_인건비'!AE$2,'(참조)CS_인건비'!$S$2:$AG$2,0)),0)</f>
        <v>0</v>
      </c>
      <c r="U9" s="136">
        <f>IFERROR(INDEX('(참조)CS_인건비'!$S$3:$AG$40,MATCH(CS_인건비!$A9,'(참조)CS_인건비'!$S$3:$S$40,0),MATCH('(참조)CS_인건비'!AF$2,'(참조)CS_인건비'!$S$2:$AG$2,0)),0)</f>
        <v>0</v>
      </c>
      <c r="V9" s="136">
        <f>IFERROR(INDEX('(참조)CS_인건비'!$S$3:$AG$40,MATCH(CS_인건비!$A9,'(참조)CS_인건비'!$S$3:$S$40,0),MATCH('(참조)CS_인건비'!AG$2,'(참조)CS_인건비'!$S$2:$AG$2,0)),0)</f>
        <v>0</v>
      </c>
      <c r="W9" s="136">
        <f>IFERROR(INDEX('(참조)CS_인건비'!$S$3:$AG$40,MATCH(CS_인건비!$A9,'(참조)CS_인건비'!$S$3:$S$40,0),MATCH('(참조)CS_인건비'!AH$2,'(참조)CS_인건비'!$S$2:$AG$2,0)),0)</f>
        <v>0</v>
      </c>
      <c r="X9" s="137">
        <v>0</v>
      </c>
      <c r="Y9" s="137">
        <f>IFERROR(INDEX('(참조)CS_인건비'!$A$3:$O$40,MATCH(CS_인건비!$A9,'(참조)CS_인건비'!$A$3:$A$40,0),MATCH('(참조)CS_인건비'!F$2,'(참조)CS_인건비'!$A$2:$O$2,0)),0)</f>
        <v>2920914</v>
      </c>
      <c r="Z9" s="137">
        <f>IFERROR(INDEX('(참조)CS_인건비'!$A$3:$O$40,MATCH(CS_인건비!$A9,'(참조)CS_인건비'!$A$3:$A$40,0),MATCH('(참조)CS_인건비'!G$2,'(참조)CS_인건비'!$A$2:$O$2,0)),0)</f>
        <v>2964727.7099999995</v>
      </c>
      <c r="AA9" s="137">
        <f>IFERROR(INDEX('(참조)CS_인건비'!$A$3:$O$40,MATCH(CS_인건비!$A9,'(참조)CS_인건비'!$A$3:$A$40,0),MATCH('(참조)CS_인건비'!H$2,'(참조)CS_인건비'!$A$2:$O$2,0)),0)</f>
        <v>3009198.6256499994</v>
      </c>
      <c r="AB9" s="137">
        <f>IFERROR(INDEX('(참조)CS_인건비'!$A$3:$O$40,MATCH(CS_인건비!$A9,'(참조)CS_인건비'!$A$3:$A$40,0),MATCH('(참조)CS_인건비'!I$2,'(참조)CS_인건비'!$A$2:$O$2,0)),0)</f>
        <v>3054336.605034749</v>
      </c>
      <c r="AC9" s="137">
        <f>IFERROR(INDEX('(참조)CS_인건비'!$A$3:$O$40,MATCH(CS_인건비!$A9,'(참조)CS_인건비'!$A$3:$A$40,0),MATCH('(참조)CS_인건비'!J$2,'(참조)CS_인건비'!$A$2:$O$2,0)),0)</f>
        <v>3100151.6541102701</v>
      </c>
      <c r="AD9" s="137">
        <f>IFERROR(INDEX('(참조)CS_인건비'!$A$3:$O$40,MATCH(CS_인건비!$A9,'(참조)CS_인건비'!$A$3:$A$40,0),MATCH('(참조)CS_인건비'!K$2,'(참조)CS_인건비'!$A$2:$O$2,0)),0)</f>
        <v>3146653.928921924</v>
      </c>
      <c r="AE9" s="137">
        <f>IFERROR(INDEX('(참조)CS_인건비'!$A$3:$O$40,MATCH(CS_인건비!$A9,'(참조)CS_인건비'!$A$3:$A$40,0),MATCH('(참조)CS_인건비'!L$2,'(참조)CS_인건비'!$A$2:$O$2,0)),0)</f>
        <v>3193853.7378557525</v>
      </c>
      <c r="AF9" s="137">
        <f>IFERROR(INDEX('(참조)CS_인건비'!$A$3:$O$40,MATCH(CS_인건비!$A9,'(참조)CS_인건비'!$A$3:$A$40,0),MATCH('(참조)CS_인건비'!M$2,'(참조)CS_인건비'!$A$2:$O$2,0)),0)</f>
        <v>0</v>
      </c>
      <c r="AG9" s="137">
        <f>IFERROR(INDEX('(참조)CS_인건비'!$A$3:$O$40,MATCH(CS_인건비!$A9,'(참조)CS_인건비'!$A$3:$A$40,0),MATCH('(참조)CS_인건비'!N$2,'(참조)CS_인건비'!$A$2:$O$2,0)),0)</f>
        <v>0</v>
      </c>
      <c r="AH9" s="137">
        <f>IFERROR(INDEX('(참조)CS_인건비'!$A$3:$O$40,MATCH(CS_인건비!$A9,'(참조)CS_인건비'!$A$3:$A$40,0),MATCH('(참조)CS_인건비'!O$2,'(참조)CS_인건비'!$A$2:$O$2,0)),0)</f>
        <v>0</v>
      </c>
      <c r="AI9" s="137">
        <f>IFERROR(INDEX('(참조)CS_인건비'!$A$3:$O$40,MATCH(CS_인건비!$A9,'(참조)CS_인건비'!$A$3:$A$40,0),MATCH('(참조)CS_인건비'!P$2,'(참조)CS_인건비'!$A$2:$O$2,0)),0)</f>
        <v>0</v>
      </c>
      <c r="AJ9" s="137">
        <v>12</v>
      </c>
      <c r="AK9" s="137">
        <v>12</v>
      </c>
      <c r="AL9" s="137">
        <v>12</v>
      </c>
      <c r="AM9" s="137">
        <v>12</v>
      </c>
      <c r="AN9" s="137">
        <v>12</v>
      </c>
      <c r="AO9" s="137">
        <v>12</v>
      </c>
      <c r="AP9" s="137">
        <v>12</v>
      </c>
      <c r="AQ9" s="137">
        <v>12</v>
      </c>
      <c r="AR9" s="137">
        <v>12</v>
      </c>
      <c r="AS9" s="137">
        <v>12</v>
      </c>
      <c r="AT9" s="137">
        <v>12</v>
      </c>
      <c r="AU9" s="138">
        <v>1</v>
      </c>
      <c r="AV9" s="135">
        <v>0</v>
      </c>
      <c r="AW9" s="135">
        <v>0</v>
      </c>
      <c r="AX9" s="139">
        <v>1043958950.7399104</v>
      </c>
      <c r="AY9" s="139">
        <v>140203872</v>
      </c>
      <c r="AZ9" s="139">
        <v>142306930.08000001</v>
      </c>
      <c r="BA9" s="139">
        <v>144441534.03119996</v>
      </c>
      <c r="BB9" s="139">
        <v>146608157.04166797</v>
      </c>
      <c r="BC9" s="139">
        <v>148807279.39729297</v>
      </c>
      <c r="BD9" s="139">
        <v>151039388.58825234</v>
      </c>
      <c r="BE9" s="139">
        <v>170551789.60149717</v>
      </c>
      <c r="BF9" s="139">
        <v>0</v>
      </c>
      <c r="BG9" s="139">
        <v>0</v>
      </c>
      <c r="BH9" s="139">
        <v>0</v>
      </c>
      <c r="BI9" s="139">
        <v>0</v>
      </c>
      <c r="BJ9" s="140">
        <v>11683656</v>
      </c>
      <c r="BK9" s="139">
        <v>11683656</v>
      </c>
      <c r="BL9" s="139">
        <v>11683656</v>
      </c>
      <c r="BM9" s="139">
        <v>11683656</v>
      </c>
      <c r="BN9" s="139">
        <v>11683656</v>
      </c>
      <c r="BO9" s="139">
        <v>11683656</v>
      </c>
      <c r="BP9" s="139">
        <v>11683656</v>
      </c>
      <c r="BQ9" s="139">
        <v>11683656</v>
      </c>
      <c r="BR9" s="139">
        <v>11683656</v>
      </c>
      <c r="BS9" s="139">
        <v>11683656</v>
      </c>
      <c r="BT9" s="139">
        <v>11683656</v>
      </c>
      <c r="BU9" s="139">
        <v>11683656</v>
      </c>
      <c r="BV9" s="139">
        <v>11858910.839999998</v>
      </c>
      <c r="BW9" s="139">
        <v>11858910.839999998</v>
      </c>
      <c r="BX9" s="139">
        <v>11858910.839999998</v>
      </c>
      <c r="BY9" s="139">
        <v>11858910.839999998</v>
      </c>
      <c r="BZ9" s="139">
        <v>11858910.839999998</v>
      </c>
      <c r="CA9" s="139">
        <v>11858910.839999998</v>
      </c>
      <c r="CB9" s="139">
        <v>11858910.839999998</v>
      </c>
      <c r="CC9" s="139">
        <v>11858910.839999998</v>
      </c>
      <c r="CD9" s="139">
        <v>11858910.839999998</v>
      </c>
      <c r="CE9" s="139">
        <v>11858910.839999998</v>
      </c>
      <c r="CF9" s="139">
        <v>11858910.839999998</v>
      </c>
      <c r="CG9" s="139">
        <v>11858910.839999998</v>
      </c>
      <c r="CH9" s="139">
        <v>12036794.502599997</v>
      </c>
      <c r="CI9" s="139">
        <v>12036794.502599997</v>
      </c>
      <c r="CJ9" s="139">
        <v>12036794.502599997</v>
      </c>
      <c r="CK9" s="139">
        <v>12036794.502599997</v>
      </c>
      <c r="CL9" s="139">
        <v>12036794.502599997</v>
      </c>
      <c r="CM9" s="139">
        <v>12036794.502599997</v>
      </c>
      <c r="CN9" s="139">
        <v>12036794.502599997</v>
      </c>
      <c r="CO9" s="139">
        <v>12036794.502599997</v>
      </c>
      <c r="CP9" s="139">
        <v>12036794.502599997</v>
      </c>
      <c r="CQ9" s="139">
        <v>12036794.502599997</v>
      </c>
      <c r="CR9" s="139">
        <v>12036794.502599997</v>
      </c>
      <c r="CS9" s="139">
        <v>12036794.502599997</v>
      </c>
      <c r="CT9" s="139">
        <v>12217346.420138996</v>
      </c>
      <c r="CU9" s="139">
        <v>12217346.420138996</v>
      </c>
      <c r="CV9" s="139">
        <v>12217346.420138996</v>
      </c>
      <c r="CW9" s="139">
        <v>12217346.420138996</v>
      </c>
      <c r="CX9" s="139">
        <v>12217346.420138996</v>
      </c>
      <c r="CY9" s="139">
        <v>12217346.420138996</v>
      </c>
      <c r="CZ9" s="139">
        <v>12217346.420138996</v>
      </c>
      <c r="DA9" s="139">
        <v>12217346.420138996</v>
      </c>
      <c r="DB9" s="139">
        <v>12217346.420138996</v>
      </c>
      <c r="DC9" s="139">
        <v>12217346.420138996</v>
      </c>
      <c r="DD9" s="139">
        <v>12217346.420138996</v>
      </c>
      <c r="DE9" s="139">
        <v>12217346.420138996</v>
      </c>
      <c r="DF9" s="139">
        <v>12400606.61644108</v>
      </c>
      <c r="DG9" s="139">
        <v>12400606.61644108</v>
      </c>
      <c r="DH9" s="139">
        <v>12400606.61644108</v>
      </c>
      <c r="DI9" s="139">
        <v>12400606.61644108</v>
      </c>
      <c r="DJ9" s="139">
        <v>12400606.61644108</v>
      </c>
      <c r="DK9" s="139">
        <v>12400606.61644108</v>
      </c>
      <c r="DL9" s="139">
        <v>12400606.61644108</v>
      </c>
      <c r="DM9" s="139">
        <v>12400606.61644108</v>
      </c>
      <c r="DN9" s="139">
        <v>12400606.61644108</v>
      </c>
      <c r="DO9" s="139">
        <v>12400606.61644108</v>
      </c>
      <c r="DP9" s="139">
        <v>12400606.61644108</v>
      </c>
      <c r="DQ9" s="139">
        <v>12400606.61644108</v>
      </c>
      <c r="DR9" s="139">
        <v>12586615.715687696</v>
      </c>
      <c r="DS9" s="139">
        <v>12586615.715687696</v>
      </c>
      <c r="DT9" s="139">
        <v>12586615.715687696</v>
      </c>
      <c r="DU9" s="139">
        <v>12586615.715687696</v>
      </c>
      <c r="DV9" s="139">
        <v>12586615.715687696</v>
      </c>
      <c r="DW9" s="139">
        <v>12586615.715687696</v>
      </c>
      <c r="DX9" s="139">
        <v>12586615.715687696</v>
      </c>
      <c r="DY9" s="139">
        <v>12586615.715687696</v>
      </c>
      <c r="DZ9" s="139">
        <v>12586615.715687696</v>
      </c>
      <c r="EA9" s="139">
        <v>12586615.715687696</v>
      </c>
      <c r="EB9" s="139">
        <v>12586615.715687696</v>
      </c>
      <c r="EC9" s="139">
        <v>12586615.715687696</v>
      </c>
      <c r="ED9" s="139">
        <v>14212649.133458098</v>
      </c>
      <c r="EE9" s="139">
        <v>14212649.133458098</v>
      </c>
      <c r="EF9" s="139">
        <v>14212649.133458098</v>
      </c>
      <c r="EG9" s="139">
        <v>14212649.133458098</v>
      </c>
      <c r="EH9" s="139">
        <v>14212649.133458098</v>
      </c>
      <c r="EI9" s="139">
        <v>14212649.133458098</v>
      </c>
      <c r="EJ9" s="139">
        <v>14212649.133458098</v>
      </c>
      <c r="EK9" s="139">
        <v>14212649.133458098</v>
      </c>
      <c r="EL9" s="139">
        <v>14212649.133458098</v>
      </c>
      <c r="EM9" s="139">
        <v>14212649.133458098</v>
      </c>
      <c r="EN9" s="139">
        <v>14212649.133458098</v>
      </c>
      <c r="EO9" s="139">
        <v>14212649.133458098</v>
      </c>
      <c r="EP9" s="139">
        <v>0</v>
      </c>
      <c r="EQ9" s="139">
        <v>0</v>
      </c>
      <c r="ER9" s="139">
        <v>0</v>
      </c>
      <c r="ES9" s="139">
        <v>0</v>
      </c>
      <c r="ET9" s="139">
        <v>0</v>
      </c>
      <c r="EU9" s="139">
        <v>0</v>
      </c>
      <c r="EV9" s="139">
        <v>0</v>
      </c>
      <c r="EW9" s="139">
        <v>0</v>
      </c>
      <c r="EX9" s="139">
        <v>0</v>
      </c>
      <c r="EY9" s="139">
        <v>0</v>
      </c>
      <c r="EZ9" s="139">
        <v>0</v>
      </c>
      <c r="FA9" s="139">
        <v>0</v>
      </c>
      <c r="FB9" s="139">
        <v>0</v>
      </c>
      <c r="FC9" s="139">
        <v>0</v>
      </c>
      <c r="FD9" s="139">
        <v>0</v>
      </c>
      <c r="FE9" s="139">
        <v>0</v>
      </c>
      <c r="FF9" s="139">
        <v>0</v>
      </c>
      <c r="FG9" s="139">
        <v>0</v>
      </c>
      <c r="FH9" s="139">
        <v>0</v>
      </c>
      <c r="FI9" s="139">
        <v>0</v>
      </c>
      <c r="FJ9" s="139">
        <v>0</v>
      </c>
      <c r="FK9" s="139">
        <v>0</v>
      </c>
      <c r="FL9" s="139">
        <v>0</v>
      </c>
      <c r="FM9" s="139">
        <v>0</v>
      </c>
      <c r="FN9" s="139">
        <v>0</v>
      </c>
      <c r="FO9" s="139">
        <v>0</v>
      </c>
      <c r="FP9" s="139">
        <v>0</v>
      </c>
      <c r="FQ9" s="139">
        <v>0</v>
      </c>
      <c r="FR9" s="139">
        <v>0</v>
      </c>
      <c r="FS9" s="139">
        <v>0</v>
      </c>
      <c r="FT9" s="139">
        <v>0</v>
      </c>
      <c r="FU9" s="139">
        <v>0</v>
      </c>
      <c r="FV9" s="139">
        <v>0</v>
      </c>
      <c r="FW9" s="139">
        <v>0</v>
      </c>
      <c r="FX9" s="139">
        <v>0</v>
      </c>
      <c r="FY9" s="139">
        <v>0</v>
      </c>
      <c r="FZ9" s="139">
        <v>0</v>
      </c>
      <c r="GA9" s="139">
        <v>0</v>
      </c>
      <c r="GB9" s="139">
        <v>0</v>
      </c>
      <c r="GC9" s="139">
        <v>0</v>
      </c>
      <c r="GD9" s="139">
        <v>0</v>
      </c>
      <c r="GE9" s="139">
        <v>0</v>
      </c>
      <c r="GF9" s="139">
        <v>0</v>
      </c>
      <c r="GG9" s="139">
        <v>0</v>
      </c>
      <c r="GH9" s="139">
        <v>0</v>
      </c>
      <c r="GI9" s="139">
        <v>0</v>
      </c>
      <c r="GJ9" s="139">
        <v>0</v>
      </c>
      <c r="GK9" s="48">
        <v>0</v>
      </c>
      <c r="GL9" s="27"/>
    </row>
    <row r="10" spans="1:194" x14ac:dyDescent="0.3">
      <c r="A10" s="155" t="s">
        <v>364</v>
      </c>
      <c r="B10" s="135" t="s">
        <v>424</v>
      </c>
      <c r="C10" s="135" t="s">
        <v>277</v>
      </c>
      <c r="D10" s="135" t="s">
        <v>274</v>
      </c>
      <c r="E10" s="178" t="s">
        <v>169</v>
      </c>
      <c r="F10" s="194" t="s">
        <v>337</v>
      </c>
      <c r="G10" s="135" t="s">
        <v>343</v>
      </c>
      <c r="H10" s="135">
        <v>0</v>
      </c>
      <c r="I10" s="135">
        <v>0</v>
      </c>
      <c r="J10" s="135" t="s">
        <v>385</v>
      </c>
      <c r="K10" s="135">
        <v>0</v>
      </c>
      <c r="L10" s="135" t="s">
        <v>194</v>
      </c>
      <c r="M10" s="136">
        <f>IFERROR(INDEX('(참조)CS_인건비'!$S$3:$AG$40,MATCH(CS_인건비!$A10,'(참조)CS_인건비'!$S$3:$S$40,0),MATCH('(참조)CS_인건비'!X$2,'(참조)CS_인건비'!$S$2:$AG$2,0)),0)</f>
        <v>3</v>
      </c>
      <c r="N10" s="136">
        <f>IFERROR(INDEX('(참조)CS_인건비'!$S$3:$AG$40,MATCH(CS_인건비!$A10,'(참조)CS_인건비'!$S$3:$S$40,0),MATCH('(참조)CS_인건비'!Y$2,'(참조)CS_인건비'!$S$2:$AG$2,0)),0)</f>
        <v>3</v>
      </c>
      <c r="O10" s="136">
        <f>IFERROR(INDEX('(참조)CS_인건비'!$S$3:$AG$40,MATCH(CS_인건비!$A10,'(참조)CS_인건비'!$S$3:$S$40,0),MATCH('(참조)CS_인건비'!Z$2,'(참조)CS_인건비'!$S$2:$AG$2,0)),0)</f>
        <v>3</v>
      </c>
      <c r="P10" s="136">
        <f>IFERROR(INDEX('(참조)CS_인건비'!$S$3:$AG$40,MATCH(CS_인건비!$A10,'(참조)CS_인건비'!$S$3:$S$40,0),MATCH('(참조)CS_인건비'!AA$2,'(참조)CS_인건비'!$S$2:$AG$2,0)),0)</f>
        <v>3</v>
      </c>
      <c r="Q10" s="136">
        <f>IFERROR(INDEX('(참조)CS_인건비'!$S$3:$AG$40,MATCH(CS_인건비!$A10,'(참조)CS_인건비'!$S$3:$S$40,0),MATCH('(참조)CS_인건비'!AB$2,'(참조)CS_인건비'!$S$2:$AG$2,0)),0)</f>
        <v>3</v>
      </c>
      <c r="R10" s="136">
        <f>IFERROR(INDEX('(참조)CS_인건비'!$S$3:$AG$40,MATCH(CS_인건비!$A10,'(참조)CS_인건비'!$S$3:$S$40,0),MATCH('(참조)CS_인건비'!AC$2,'(참조)CS_인건비'!$S$2:$AG$2,0)),0)</f>
        <v>3</v>
      </c>
      <c r="S10" s="136">
        <f>IFERROR(INDEX('(참조)CS_인건비'!$S$3:$AG$40,MATCH(CS_인건비!$A10,'(참조)CS_인건비'!$S$3:$S$40,0),MATCH('(참조)CS_인건비'!AD$2,'(참조)CS_인건비'!$S$2:$AG$2,0)),0)</f>
        <v>3.4499999999999997</v>
      </c>
      <c r="T10" s="136">
        <f>IFERROR(INDEX('(참조)CS_인건비'!$S$3:$AG$40,MATCH(CS_인건비!$A10,'(참조)CS_인건비'!$S$3:$S$40,0),MATCH('(참조)CS_인건비'!AE$2,'(참조)CS_인건비'!$S$2:$AG$2,0)),0)</f>
        <v>0</v>
      </c>
      <c r="U10" s="136">
        <f>IFERROR(INDEX('(참조)CS_인건비'!$S$3:$AG$40,MATCH(CS_인건비!$A10,'(참조)CS_인건비'!$S$3:$S$40,0),MATCH('(참조)CS_인건비'!AF$2,'(참조)CS_인건비'!$S$2:$AG$2,0)),0)</f>
        <v>0</v>
      </c>
      <c r="V10" s="136">
        <f>IFERROR(INDEX('(참조)CS_인건비'!$S$3:$AG$40,MATCH(CS_인건비!$A10,'(참조)CS_인건비'!$S$3:$S$40,0),MATCH('(참조)CS_인건비'!AG$2,'(참조)CS_인건비'!$S$2:$AG$2,0)),0)</f>
        <v>0</v>
      </c>
      <c r="W10" s="136">
        <f>IFERROR(INDEX('(참조)CS_인건비'!$S$3:$AG$40,MATCH(CS_인건비!$A10,'(참조)CS_인건비'!$S$3:$S$40,0),MATCH('(참조)CS_인건비'!AH$2,'(참조)CS_인건비'!$S$2:$AG$2,0)),0)</f>
        <v>0</v>
      </c>
      <c r="X10" s="137">
        <v>0</v>
      </c>
      <c r="Y10" s="137">
        <f>IFERROR(INDEX('(참조)CS_인건비'!$A$3:$O$40,MATCH(CS_인건비!$A10,'(참조)CS_인건비'!$A$3:$A$40,0),MATCH('(참조)CS_인건비'!F$2,'(참조)CS_인건비'!$A$2:$O$2,0)),0)</f>
        <v>2920914</v>
      </c>
      <c r="Z10" s="137">
        <f>IFERROR(INDEX('(참조)CS_인건비'!$A$3:$O$40,MATCH(CS_인건비!$A10,'(참조)CS_인건비'!$A$3:$A$40,0),MATCH('(참조)CS_인건비'!G$2,'(참조)CS_인건비'!$A$2:$O$2,0)),0)</f>
        <v>2964727.7099999995</v>
      </c>
      <c r="AA10" s="137">
        <f>IFERROR(INDEX('(참조)CS_인건비'!$A$3:$O$40,MATCH(CS_인건비!$A10,'(참조)CS_인건비'!$A$3:$A$40,0),MATCH('(참조)CS_인건비'!H$2,'(참조)CS_인건비'!$A$2:$O$2,0)),0)</f>
        <v>3009198.6256499994</v>
      </c>
      <c r="AB10" s="137">
        <f>IFERROR(INDEX('(참조)CS_인건비'!$A$3:$O$40,MATCH(CS_인건비!$A10,'(참조)CS_인건비'!$A$3:$A$40,0),MATCH('(참조)CS_인건비'!I$2,'(참조)CS_인건비'!$A$2:$O$2,0)),0)</f>
        <v>3054336.605034749</v>
      </c>
      <c r="AC10" s="137">
        <f>IFERROR(INDEX('(참조)CS_인건비'!$A$3:$O$40,MATCH(CS_인건비!$A10,'(참조)CS_인건비'!$A$3:$A$40,0),MATCH('(참조)CS_인건비'!J$2,'(참조)CS_인건비'!$A$2:$O$2,0)),0)</f>
        <v>3100151.6541102701</v>
      </c>
      <c r="AD10" s="137">
        <f>IFERROR(INDEX('(참조)CS_인건비'!$A$3:$O$40,MATCH(CS_인건비!$A10,'(참조)CS_인건비'!$A$3:$A$40,0),MATCH('(참조)CS_인건비'!K$2,'(참조)CS_인건비'!$A$2:$O$2,0)),0)</f>
        <v>3146653.928921924</v>
      </c>
      <c r="AE10" s="137">
        <f>IFERROR(INDEX('(참조)CS_인건비'!$A$3:$O$40,MATCH(CS_인건비!$A10,'(참조)CS_인건비'!$A$3:$A$40,0),MATCH('(참조)CS_인건비'!L$2,'(참조)CS_인건비'!$A$2:$O$2,0)),0)</f>
        <v>3193853.7378557525</v>
      </c>
      <c r="AF10" s="137">
        <f>IFERROR(INDEX('(참조)CS_인건비'!$A$3:$O$40,MATCH(CS_인건비!$A10,'(참조)CS_인건비'!$A$3:$A$40,0),MATCH('(참조)CS_인건비'!M$2,'(참조)CS_인건비'!$A$2:$O$2,0)),0)</f>
        <v>0</v>
      </c>
      <c r="AG10" s="137">
        <f>IFERROR(INDEX('(참조)CS_인건비'!$A$3:$O$40,MATCH(CS_인건비!$A10,'(참조)CS_인건비'!$A$3:$A$40,0),MATCH('(참조)CS_인건비'!N$2,'(참조)CS_인건비'!$A$2:$O$2,0)),0)</f>
        <v>0</v>
      </c>
      <c r="AH10" s="137">
        <f>IFERROR(INDEX('(참조)CS_인건비'!$A$3:$O$40,MATCH(CS_인건비!$A10,'(참조)CS_인건비'!$A$3:$A$40,0),MATCH('(참조)CS_인건비'!O$2,'(참조)CS_인건비'!$A$2:$O$2,0)),0)</f>
        <v>0</v>
      </c>
      <c r="AI10" s="137">
        <f>IFERROR(INDEX('(참조)CS_인건비'!$A$3:$O$40,MATCH(CS_인건비!$A10,'(참조)CS_인건비'!$A$3:$A$40,0),MATCH('(참조)CS_인건비'!P$2,'(참조)CS_인건비'!$A$2:$O$2,0)),0)</f>
        <v>0</v>
      </c>
      <c r="AJ10" s="137">
        <v>12</v>
      </c>
      <c r="AK10" s="137">
        <v>12</v>
      </c>
      <c r="AL10" s="137">
        <v>12</v>
      </c>
      <c r="AM10" s="137">
        <v>12</v>
      </c>
      <c r="AN10" s="137">
        <v>12</v>
      </c>
      <c r="AO10" s="137">
        <v>12</v>
      </c>
      <c r="AP10" s="137">
        <v>12</v>
      </c>
      <c r="AQ10" s="137">
        <v>12</v>
      </c>
      <c r="AR10" s="137">
        <v>12</v>
      </c>
      <c r="AS10" s="137">
        <v>12</v>
      </c>
      <c r="AT10" s="137">
        <v>12</v>
      </c>
      <c r="AU10" s="138">
        <v>1</v>
      </c>
      <c r="AV10" s="135">
        <v>0</v>
      </c>
      <c r="AW10" s="135">
        <v>0</v>
      </c>
      <c r="AX10" s="139">
        <v>787280915.60103798</v>
      </c>
      <c r="AY10" s="139">
        <v>105152904</v>
      </c>
      <c r="AZ10" s="139">
        <v>106730197.55999996</v>
      </c>
      <c r="BA10" s="139">
        <v>108331150.52339996</v>
      </c>
      <c r="BB10" s="139">
        <v>109956117.78125095</v>
      </c>
      <c r="BC10" s="139">
        <v>111605459.54796976</v>
      </c>
      <c r="BD10" s="139">
        <v>113279541.44118924</v>
      </c>
      <c r="BE10" s="139">
        <v>132225544.74722815</v>
      </c>
      <c r="BF10" s="139">
        <v>0</v>
      </c>
      <c r="BG10" s="139">
        <v>0</v>
      </c>
      <c r="BH10" s="139">
        <v>0</v>
      </c>
      <c r="BI10" s="139">
        <v>0</v>
      </c>
      <c r="BJ10" s="140">
        <v>8762742</v>
      </c>
      <c r="BK10" s="139">
        <v>8762742</v>
      </c>
      <c r="BL10" s="139">
        <v>8762742</v>
      </c>
      <c r="BM10" s="139">
        <v>8762742</v>
      </c>
      <c r="BN10" s="139">
        <v>8762742</v>
      </c>
      <c r="BO10" s="139">
        <v>8762742</v>
      </c>
      <c r="BP10" s="139">
        <v>8762742</v>
      </c>
      <c r="BQ10" s="139">
        <v>8762742</v>
      </c>
      <c r="BR10" s="139">
        <v>8762742</v>
      </c>
      <c r="BS10" s="139">
        <v>8762742</v>
      </c>
      <c r="BT10" s="139">
        <v>8762742</v>
      </c>
      <c r="BU10" s="139">
        <v>8762742</v>
      </c>
      <c r="BV10" s="139">
        <v>8894183.129999999</v>
      </c>
      <c r="BW10" s="139">
        <v>8894183.129999999</v>
      </c>
      <c r="BX10" s="139">
        <v>8894183.129999999</v>
      </c>
      <c r="BY10" s="139">
        <v>8894183.129999999</v>
      </c>
      <c r="BZ10" s="139">
        <v>8894183.129999999</v>
      </c>
      <c r="CA10" s="139">
        <v>8894183.129999999</v>
      </c>
      <c r="CB10" s="139">
        <v>8894183.129999999</v>
      </c>
      <c r="CC10" s="139">
        <v>8894183.129999999</v>
      </c>
      <c r="CD10" s="139">
        <v>8894183.129999999</v>
      </c>
      <c r="CE10" s="139">
        <v>8894183.129999999</v>
      </c>
      <c r="CF10" s="139">
        <v>8894183.129999999</v>
      </c>
      <c r="CG10" s="139">
        <v>8894183.129999999</v>
      </c>
      <c r="CH10" s="139">
        <v>9027595.8769499976</v>
      </c>
      <c r="CI10" s="139">
        <v>9027595.8769499976</v>
      </c>
      <c r="CJ10" s="139">
        <v>9027595.8769499976</v>
      </c>
      <c r="CK10" s="139">
        <v>9027595.8769499976</v>
      </c>
      <c r="CL10" s="139">
        <v>9027595.8769499976</v>
      </c>
      <c r="CM10" s="139">
        <v>9027595.8769499976</v>
      </c>
      <c r="CN10" s="139">
        <v>9027595.8769499976</v>
      </c>
      <c r="CO10" s="139">
        <v>9027595.8769499976</v>
      </c>
      <c r="CP10" s="139">
        <v>9027595.8769499976</v>
      </c>
      <c r="CQ10" s="139">
        <v>9027595.8769499976</v>
      </c>
      <c r="CR10" s="139">
        <v>9027595.8769499976</v>
      </c>
      <c r="CS10" s="139">
        <v>9027595.8769499976</v>
      </c>
      <c r="CT10" s="139">
        <v>9163009.8151042461</v>
      </c>
      <c r="CU10" s="139">
        <v>9163009.8151042461</v>
      </c>
      <c r="CV10" s="139">
        <v>9163009.8151042461</v>
      </c>
      <c r="CW10" s="139">
        <v>9163009.8151042461</v>
      </c>
      <c r="CX10" s="139">
        <v>9163009.8151042461</v>
      </c>
      <c r="CY10" s="139">
        <v>9163009.8151042461</v>
      </c>
      <c r="CZ10" s="139">
        <v>9163009.8151042461</v>
      </c>
      <c r="DA10" s="139">
        <v>9163009.8151042461</v>
      </c>
      <c r="DB10" s="139">
        <v>9163009.8151042461</v>
      </c>
      <c r="DC10" s="139">
        <v>9163009.8151042461</v>
      </c>
      <c r="DD10" s="139">
        <v>9163009.8151042461</v>
      </c>
      <c r="DE10" s="139">
        <v>9163009.8151042461</v>
      </c>
      <c r="DF10" s="139">
        <v>9300454.9623308107</v>
      </c>
      <c r="DG10" s="139">
        <v>9300454.9623308107</v>
      </c>
      <c r="DH10" s="139">
        <v>9300454.9623308107</v>
      </c>
      <c r="DI10" s="139">
        <v>9300454.9623308107</v>
      </c>
      <c r="DJ10" s="139">
        <v>9300454.9623308107</v>
      </c>
      <c r="DK10" s="139">
        <v>9300454.9623308107</v>
      </c>
      <c r="DL10" s="139">
        <v>9300454.9623308107</v>
      </c>
      <c r="DM10" s="139">
        <v>9300454.9623308107</v>
      </c>
      <c r="DN10" s="139">
        <v>9300454.9623308107</v>
      </c>
      <c r="DO10" s="139">
        <v>9300454.9623308107</v>
      </c>
      <c r="DP10" s="139">
        <v>9300454.9623308107</v>
      </c>
      <c r="DQ10" s="139">
        <v>9300454.9623308107</v>
      </c>
      <c r="DR10" s="139">
        <v>9439961.7867657728</v>
      </c>
      <c r="DS10" s="139">
        <v>9439961.7867657728</v>
      </c>
      <c r="DT10" s="139">
        <v>9439961.7867657728</v>
      </c>
      <c r="DU10" s="139">
        <v>9439961.7867657728</v>
      </c>
      <c r="DV10" s="139">
        <v>9439961.7867657728</v>
      </c>
      <c r="DW10" s="139">
        <v>9439961.7867657728</v>
      </c>
      <c r="DX10" s="139">
        <v>9439961.7867657728</v>
      </c>
      <c r="DY10" s="139">
        <v>9439961.7867657728</v>
      </c>
      <c r="DZ10" s="139">
        <v>9439961.7867657728</v>
      </c>
      <c r="EA10" s="139">
        <v>9439961.7867657728</v>
      </c>
      <c r="EB10" s="139">
        <v>9439961.7867657728</v>
      </c>
      <c r="EC10" s="139">
        <v>9439961.7867657728</v>
      </c>
      <c r="ED10" s="139">
        <v>11018795.395602345</v>
      </c>
      <c r="EE10" s="139">
        <v>11018795.395602345</v>
      </c>
      <c r="EF10" s="139">
        <v>11018795.395602345</v>
      </c>
      <c r="EG10" s="139">
        <v>11018795.395602345</v>
      </c>
      <c r="EH10" s="139">
        <v>11018795.395602345</v>
      </c>
      <c r="EI10" s="139">
        <v>11018795.395602345</v>
      </c>
      <c r="EJ10" s="139">
        <v>11018795.395602345</v>
      </c>
      <c r="EK10" s="139">
        <v>11018795.395602345</v>
      </c>
      <c r="EL10" s="139">
        <v>11018795.395602345</v>
      </c>
      <c r="EM10" s="139">
        <v>11018795.395602345</v>
      </c>
      <c r="EN10" s="139">
        <v>11018795.395602345</v>
      </c>
      <c r="EO10" s="139">
        <v>11018795.395602345</v>
      </c>
      <c r="EP10" s="139">
        <v>0</v>
      </c>
      <c r="EQ10" s="139">
        <v>0</v>
      </c>
      <c r="ER10" s="139">
        <v>0</v>
      </c>
      <c r="ES10" s="139">
        <v>0</v>
      </c>
      <c r="ET10" s="139">
        <v>0</v>
      </c>
      <c r="EU10" s="139">
        <v>0</v>
      </c>
      <c r="EV10" s="139">
        <v>0</v>
      </c>
      <c r="EW10" s="139">
        <v>0</v>
      </c>
      <c r="EX10" s="139">
        <v>0</v>
      </c>
      <c r="EY10" s="139">
        <v>0</v>
      </c>
      <c r="EZ10" s="139">
        <v>0</v>
      </c>
      <c r="FA10" s="139">
        <v>0</v>
      </c>
      <c r="FB10" s="139">
        <v>0</v>
      </c>
      <c r="FC10" s="139">
        <v>0</v>
      </c>
      <c r="FD10" s="139">
        <v>0</v>
      </c>
      <c r="FE10" s="139">
        <v>0</v>
      </c>
      <c r="FF10" s="139">
        <v>0</v>
      </c>
      <c r="FG10" s="139">
        <v>0</v>
      </c>
      <c r="FH10" s="139">
        <v>0</v>
      </c>
      <c r="FI10" s="139">
        <v>0</v>
      </c>
      <c r="FJ10" s="139">
        <v>0</v>
      </c>
      <c r="FK10" s="139">
        <v>0</v>
      </c>
      <c r="FL10" s="139">
        <v>0</v>
      </c>
      <c r="FM10" s="139">
        <v>0</v>
      </c>
      <c r="FN10" s="139">
        <v>0</v>
      </c>
      <c r="FO10" s="139">
        <v>0</v>
      </c>
      <c r="FP10" s="139">
        <v>0</v>
      </c>
      <c r="FQ10" s="139">
        <v>0</v>
      </c>
      <c r="FR10" s="139">
        <v>0</v>
      </c>
      <c r="FS10" s="139">
        <v>0</v>
      </c>
      <c r="FT10" s="139">
        <v>0</v>
      </c>
      <c r="FU10" s="139">
        <v>0</v>
      </c>
      <c r="FV10" s="139">
        <v>0</v>
      </c>
      <c r="FW10" s="139">
        <v>0</v>
      </c>
      <c r="FX10" s="139">
        <v>0</v>
      </c>
      <c r="FY10" s="139">
        <v>0</v>
      </c>
      <c r="FZ10" s="139">
        <v>0</v>
      </c>
      <c r="GA10" s="139">
        <v>0</v>
      </c>
      <c r="GB10" s="139">
        <v>0</v>
      </c>
      <c r="GC10" s="139">
        <v>0</v>
      </c>
      <c r="GD10" s="139">
        <v>0</v>
      </c>
      <c r="GE10" s="139">
        <v>0</v>
      </c>
      <c r="GF10" s="139">
        <v>0</v>
      </c>
      <c r="GG10" s="139">
        <v>0</v>
      </c>
      <c r="GH10" s="139">
        <v>0</v>
      </c>
      <c r="GI10" s="139">
        <v>0</v>
      </c>
      <c r="GJ10" s="139">
        <v>0</v>
      </c>
      <c r="GK10" s="48">
        <v>0</v>
      </c>
      <c r="GL10" s="27"/>
    </row>
    <row r="11" spans="1:194" x14ac:dyDescent="0.3">
      <c r="A11" s="155" t="s">
        <v>365</v>
      </c>
      <c r="B11" s="135" t="s">
        <v>424</v>
      </c>
      <c r="C11" s="135" t="s">
        <v>277</v>
      </c>
      <c r="D11" s="135" t="s">
        <v>274</v>
      </c>
      <c r="E11" s="178" t="s">
        <v>169</v>
      </c>
      <c r="F11" s="194" t="s">
        <v>337</v>
      </c>
      <c r="G11" s="135" t="s">
        <v>344</v>
      </c>
      <c r="H11" s="135">
        <v>0</v>
      </c>
      <c r="I11" s="135">
        <v>0</v>
      </c>
      <c r="J11" s="135" t="s">
        <v>385</v>
      </c>
      <c r="K11" s="135">
        <v>0</v>
      </c>
      <c r="L11" s="135" t="s">
        <v>194</v>
      </c>
      <c r="M11" s="136">
        <f>IFERROR(INDEX('(참조)CS_인건비'!$S$3:$AG$40,MATCH(CS_인건비!$A11,'(참조)CS_인건비'!$S$3:$S$40,0),MATCH('(참조)CS_인건비'!X$2,'(참조)CS_인건비'!$S$2:$AG$2,0)),0)</f>
        <v>4</v>
      </c>
      <c r="N11" s="136">
        <f>IFERROR(INDEX('(참조)CS_인건비'!$S$3:$AG$40,MATCH(CS_인건비!$A11,'(참조)CS_인건비'!$S$3:$S$40,0),MATCH('(참조)CS_인건비'!Y$2,'(참조)CS_인건비'!$S$2:$AG$2,0)),0)</f>
        <v>4</v>
      </c>
      <c r="O11" s="136">
        <f>IFERROR(INDEX('(참조)CS_인건비'!$S$3:$AG$40,MATCH(CS_인건비!$A11,'(참조)CS_인건비'!$S$3:$S$40,0),MATCH('(참조)CS_인건비'!Z$2,'(참조)CS_인건비'!$S$2:$AG$2,0)),0)</f>
        <v>4</v>
      </c>
      <c r="P11" s="136">
        <f>IFERROR(INDEX('(참조)CS_인건비'!$S$3:$AG$40,MATCH(CS_인건비!$A11,'(참조)CS_인건비'!$S$3:$S$40,0),MATCH('(참조)CS_인건비'!AA$2,'(참조)CS_인건비'!$S$2:$AG$2,0)),0)</f>
        <v>4</v>
      </c>
      <c r="Q11" s="136">
        <f>IFERROR(INDEX('(참조)CS_인건비'!$S$3:$AG$40,MATCH(CS_인건비!$A11,'(참조)CS_인건비'!$S$3:$S$40,0),MATCH('(참조)CS_인건비'!AB$2,'(참조)CS_인건비'!$S$2:$AG$2,0)),0)</f>
        <v>4</v>
      </c>
      <c r="R11" s="136">
        <f>IFERROR(INDEX('(참조)CS_인건비'!$S$3:$AG$40,MATCH(CS_인건비!$A11,'(참조)CS_인건비'!$S$3:$S$40,0),MATCH('(참조)CS_인건비'!AC$2,'(참조)CS_인건비'!$S$2:$AG$2,0)),0)</f>
        <v>4</v>
      </c>
      <c r="S11" s="136">
        <f>IFERROR(INDEX('(참조)CS_인건비'!$S$3:$AG$40,MATCH(CS_인건비!$A11,'(참조)CS_인건비'!$S$3:$S$40,0),MATCH('(참조)CS_인건비'!AD$2,'(참조)CS_인건비'!$S$2:$AG$2,0)),0)</f>
        <v>4.416666666666667</v>
      </c>
      <c r="T11" s="136">
        <f>IFERROR(INDEX('(참조)CS_인건비'!$S$3:$AG$40,MATCH(CS_인건비!$A11,'(참조)CS_인건비'!$S$3:$S$40,0),MATCH('(참조)CS_인건비'!AE$2,'(참조)CS_인건비'!$S$2:$AG$2,0)),0)</f>
        <v>0</v>
      </c>
      <c r="U11" s="136">
        <f>IFERROR(INDEX('(참조)CS_인건비'!$S$3:$AG$40,MATCH(CS_인건비!$A11,'(참조)CS_인건비'!$S$3:$S$40,0),MATCH('(참조)CS_인건비'!AF$2,'(참조)CS_인건비'!$S$2:$AG$2,0)),0)</f>
        <v>0</v>
      </c>
      <c r="V11" s="136">
        <f>IFERROR(INDEX('(참조)CS_인건비'!$S$3:$AG$40,MATCH(CS_인건비!$A11,'(참조)CS_인건비'!$S$3:$S$40,0),MATCH('(참조)CS_인건비'!AG$2,'(참조)CS_인건비'!$S$2:$AG$2,0)),0)</f>
        <v>0</v>
      </c>
      <c r="W11" s="136">
        <f>IFERROR(INDEX('(참조)CS_인건비'!$S$3:$AG$40,MATCH(CS_인건비!$A11,'(참조)CS_인건비'!$S$3:$S$40,0),MATCH('(참조)CS_인건비'!AH$2,'(참조)CS_인건비'!$S$2:$AG$2,0)),0)</f>
        <v>0</v>
      </c>
      <c r="X11" s="137">
        <v>0</v>
      </c>
      <c r="Y11" s="137">
        <f>IFERROR(INDEX('(참조)CS_인건비'!$A$3:$O$40,MATCH(CS_인건비!$A11,'(참조)CS_인건비'!$A$3:$A$40,0),MATCH('(참조)CS_인건비'!F$2,'(참조)CS_인건비'!$A$2:$O$2,0)),0)</f>
        <v>2788300</v>
      </c>
      <c r="Z11" s="137">
        <f>IFERROR(INDEX('(참조)CS_인건비'!$A$3:$O$40,MATCH(CS_인건비!$A11,'(참조)CS_인건비'!$A$3:$A$40,0),MATCH('(참조)CS_인건비'!G$2,'(참조)CS_인건비'!$A$2:$O$2,0)),0)</f>
        <v>2830124.4999999995</v>
      </c>
      <c r="AA11" s="137">
        <f>IFERROR(INDEX('(참조)CS_인건비'!$A$3:$O$40,MATCH(CS_인건비!$A11,'(참조)CS_인건비'!$A$3:$A$40,0),MATCH('(참조)CS_인건비'!H$2,'(참조)CS_인건비'!$A$2:$O$2,0)),0)</f>
        <v>2872576.3674999992</v>
      </c>
      <c r="AB11" s="137">
        <f>IFERROR(INDEX('(참조)CS_인건비'!$A$3:$O$40,MATCH(CS_인건비!$A11,'(참조)CS_인건비'!$A$3:$A$40,0),MATCH('(참조)CS_인건비'!I$2,'(참조)CS_인건비'!$A$2:$O$2,0)),0)</f>
        <v>2915665.0130124991</v>
      </c>
      <c r="AC11" s="137">
        <f>IFERROR(INDEX('(참조)CS_인건비'!$A$3:$O$40,MATCH(CS_인건비!$A11,'(참조)CS_인건비'!$A$3:$A$40,0),MATCH('(참조)CS_인건비'!J$2,'(참조)CS_인건비'!$A$2:$O$2,0)),0)</f>
        <v>2959399.9882076862</v>
      </c>
      <c r="AD11" s="137">
        <f>IFERROR(INDEX('(참조)CS_인건비'!$A$3:$O$40,MATCH(CS_인건비!$A11,'(참조)CS_인건비'!$A$3:$A$40,0),MATCH('(참조)CS_인건비'!K$2,'(참조)CS_인건비'!$A$2:$O$2,0)),0)</f>
        <v>3003790.9880308011</v>
      </c>
      <c r="AE11" s="137">
        <f>IFERROR(INDEX('(참조)CS_인건비'!$A$3:$O$40,MATCH(CS_인건비!$A11,'(참조)CS_인건비'!$A$3:$A$40,0),MATCH('(참조)CS_인건비'!L$2,'(참조)CS_인건비'!$A$2:$O$2,0)),0)</f>
        <v>3048847.8528512628</v>
      </c>
      <c r="AF11" s="137">
        <f>IFERROR(INDEX('(참조)CS_인건비'!$A$3:$O$40,MATCH(CS_인건비!$A11,'(참조)CS_인건비'!$A$3:$A$40,0),MATCH('(참조)CS_인건비'!M$2,'(참조)CS_인건비'!$A$2:$O$2,0)),0)</f>
        <v>0</v>
      </c>
      <c r="AG11" s="137">
        <f>IFERROR(INDEX('(참조)CS_인건비'!$A$3:$O$40,MATCH(CS_인건비!$A11,'(참조)CS_인건비'!$A$3:$A$40,0),MATCH('(참조)CS_인건비'!N$2,'(참조)CS_인건비'!$A$2:$O$2,0)),0)</f>
        <v>0</v>
      </c>
      <c r="AH11" s="137">
        <f>IFERROR(INDEX('(참조)CS_인건비'!$A$3:$O$40,MATCH(CS_인건비!$A11,'(참조)CS_인건비'!$A$3:$A$40,0),MATCH('(참조)CS_인건비'!O$2,'(참조)CS_인건비'!$A$2:$O$2,0)),0)</f>
        <v>0</v>
      </c>
      <c r="AI11" s="137">
        <f>IFERROR(INDEX('(참조)CS_인건비'!$A$3:$O$40,MATCH(CS_인건비!$A11,'(참조)CS_인건비'!$A$3:$A$40,0),MATCH('(참조)CS_인건비'!P$2,'(참조)CS_인건비'!$A$2:$O$2,0)),0)</f>
        <v>0</v>
      </c>
      <c r="AJ11" s="137">
        <v>12</v>
      </c>
      <c r="AK11" s="137">
        <v>12</v>
      </c>
      <c r="AL11" s="137">
        <v>12</v>
      </c>
      <c r="AM11" s="137">
        <v>12</v>
      </c>
      <c r="AN11" s="137">
        <v>12</v>
      </c>
      <c r="AO11" s="137">
        <v>12</v>
      </c>
      <c r="AP11" s="137">
        <v>12</v>
      </c>
      <c r="AQ11" s="137">
        <v>12</v>
      </c>
      <c r="AR11" s="137">
        <v>12</v>
      </c>
      <c r="AS11" s="137">
        <v>12</v>
      </c>
      <c r="AT11" s="137">
        <v>12</v>
      </c>
      <c r="AU11" s="138">
        <v>1</v>
      </c>
      <c r="AV11" s="135">
        <v>0</v>
      </c>
      <c r="AW11" s="135">
        <v>0</v>
      </c>
      <c r="AX11" s="139">
        <v>995342065.3251642</v>
      </c>
      <c r="AY11" s="139">
        <v>133838400</v>
      </c>
      <c r="AZ11" s="139">
        <v>135845975.99999997</v>
      </c>
      <c r="BA11" s="139">
        <v>137883665.63999996</v>
      </c>
      <c r="BB11" s="139">
        <v>139951920.62459996</v>
      </c>
      <c r="BC11" s="139">
        <v>142051199.43396893</v>
      </c>
      <c r="BD11" s="139">
        <v>144181967.42547849</v>
      </c>
      <c r="BE11" s="139">
        <v>161588936.20111695</v>
      </c>
      <c r="BF11" s="139">
        <v>0</v>
      </c>
      <c r="BG11" s="139">
        <v>0</v>
      </c>
      <c r="BH11" s="139">
        <v>0</v>
      </c>
      <c r="BI11" s="139">
        <v>0</v>
      </c>
      <c r="BJ11" s="140">
        <v>11153200</v>
      </c>
      <c r="BK11" s="139">
        <v>11153200</v>
      </c>
      <c r="BL11" s="139">
        <v>11153200</v>
      </c>
      <c r="BM11" s="139">
        <v>11153200</v>
      </c>
      <c r="BN11" s="139">
        <v>11153200</v>
      </c>
      <c r="BO11" s="139">
        <v>11153200</v>
      </c>
      <c r="BP11" s="139">
        <v>11153200</v>
      </c>
      <c r="BQ11" s="139">
        <v>11153200</v>
      </c>
      <c r="BR11" s="139">
        <v>11153200</v>
      </c>
      <c r="BS11" s="139">
        <v>11153200</v>
      </c>
      <c r="BT11" s="139">
        <v>11153200</v>
      </c>
      <c r="BU11" s="139">
        <v>11153200</v>
      </c>
      <c r="BV11" s="139">
        <v>11320497.999999998</v>
      </c>
      <c r="BW11" s="139">
        <v>11320497.999999998</v>
      </c>
      <c r="BX11" s="139">
        <v>11320497.999999998</v>
      </c>
      <c r="BY11" s="139">
        <v>11320497.999999998</v>
      </c>
      <c r="BZ11" s="139">
        <v>11320497.999999998</v>
      </c>
      <c r="CA11" s="139">
        <v>11320497.999999998</v>
      </c>
      <c r="CB11" s="139">
        <v>11320497.999999998</v>
      </c>
      <c r="CC11" s="139">
        <v>11320497.999999998</v>
      </c>
      <c r="CD11" s="139">
        <v>11320497.999999998</v>
      </c>
      <c r="CE11" s="139">
        <v>11320497.999999998</v>
      </c>
      <c r="CF11" s="139">
        <v>11320497.999999998</v>
      </c>
      <c r="CG11" s="139">
        <v>11320497.999999998</v>
      </c>
      <c r="CH11" s="139">
        <v>11490305.469999997</v>
      </c>
      <c r="CI11" s="139">
        <v>11490305.469999997</v>
      </c>
      <c r="CJ11" s="139">
        <v>11490305.469999997</v>
      </c>
      <c r="CK11" s="139">
        <v>11490305.469999997</v>
      </c>
      <c r="CL11" s="139">
        <v>11490305.469999997</v>
      </c>
      <c r="CM11" s="139">
        <v>11490305.469999997</v>
      </c>
      <c r="CN11" s="139">
        <v>11490305.469999997</v>
      </c>
      <c r="CO11" s="139">
        <v>11490305.469999997</v>
      </c>
      <c r="CP11" s="139">
        <v>11490305.469999997</v>
      </c>
      <c r="CQ11" s="139">
        <v>11490305.469999997</v>
      </c>
      <c r="CR11" s="139">
        <v>11490305.469999997</v>
      </c>
      <c r="CS11" s="139">
        <v>11490305.469999997</v>
      </c>
      <c r="CT11" s="139">
        <v>11662660.052049996</v>
      </c>
      <c r="CU11" s="139">
        <v>11662660.052049996</v>
      </c>
      <c r="CV11" s="139">
        <v>11662660.052049996</v>
      </c>
      <c r="CW11" s="139">
        <v>11662660.052049996</v>
      </c>
      <c r="CX11" s="139">
        <v>11662660.052049996</v>
      </c>
      <c r="CY11" s="139">
        <v>11662660.052049996</v>
      </c>
      <c r="CZ11" s="139">
        <v>11662660.052049996</v>
      </c>
      <c r="DA11" s="139">
        <v>11662660.052049996</v>
      </c>
      <c r="DB11" s="139">
        <v>11662660.052049996</v>
      </c>
      <c r="DC11" s="139">
        <v>11662660.052049996</v>
      </c>
      <c r="DD11" s="139">
        <v>11662660.052049996</v>
      </c>
      <c r="DE11" s="139">
        <v>11662660.052049996</v>
      </c>
      <c r="DF11" s="139">
        <v>11837599.952830745</v>
      </c>
      <c r="DG11" s="139">
        <v>11837599.952830745</v>
      </c>
      <c r="DH11" s="139">
        <v>11837599.952830745</v>
      </c>
      <c r="DI11" s="139">
        <v>11837599.952830745</v>
      </c>
      <c r="DJ11" s="139">
        <v>11837599.952830745</v>
      </c>
      <c r="DK11" s="139">
        <v>11837599.952830745</v>
      </c>
      <c r="DL11" s="139">
        <v>11837599.952830745</v>
      </c>
      <c r="DM11" s="139">
        <v>11837599.952830745</v>
      </c>
      <c r="DN11" s="139">
        <v>11837599.952830745</v>
      </c>
      <c r="DO11" s="139">
        <v>11837599.952830745</v>
      </c>
      <c r="DP11" s="139">
        <v>11837599.952830745</v>
      </c>
      <c r="DQ11" s="139">
        <v>11837599.952830745</v>
      </c>
      <c r="DR11" s="139">
        <v>12015163.952123204</v>
      </c>
      <c r="DS11" s="139">
        <v>12015163.952123204</v>
      </c>
      <c r="DT11" s="139">
        <v>12015163.952123204</v>
      </c>
      <c r="DU11" s="139">
        <v>12015163.952123204</v>
      </c>
      <c r="DV11" s="139">
        <v>12015163.952123204</v>
      </c>
      <c r="DW11" s="139">
        <v>12015163.952123204</v>
      </c>
      <c r="DX11" s="139">
        <v>12015163.952123204</v>
      </c>
      <c r="DY11" s="139">
        <v>12015163.952123204</v>
      </c>
      <c r="DZ11" s="139">
        <v>12015163.952123204</v>
      </c>
      <c r="EA11" s="139">
        <v>12015163.952123204</v>
      </c>
      <c r="EB11" s="139">
        <v>12015163.952123204</v>
      </c>
      <c r="EC11" s="139">
        <v>12015163.952123204</v>
      </c>
      <c r="ED11" s="139">
        <v>13465744.683426412</v>
      </c>
      <c r="EE11" s="139">
        <v>13465744.683426412</v>
      </c>
      <c r="EF11" s="139">
        <v>13465744.683426412</v>
      </c>
      <c r="EG11" s="139">
        <v>13465744.683426412</v>
      </c>
      <c r="EH11" s="139">
        <v>13465744.683426412</v>
      </c>
      <c r="EI11" s="139">
        <v>13465744.683426412</v>
      </c>
      <c r="EJ11" s="139">
        <v>13465744.683426412</v>
      </c>
      <c r="EK11" s="139">
        <v>13465744.683426412</v>
      </c>
      <c r="EL11" s="139">
        <v>13465744.683426412</v>
      </c>
      <c r="EM11" s="139">
        <v>13465744.683426412</v>
      </c>
      <c r="EN11" s="139">
        <v>13465744.683426412</v>
      </c>
      <c r="EO11" s="139">
        <v>13465744.683426412</v>
      </c>
      <c r="EP11" s="139">
        <v>0</v>
      </c>
      <c r="EQ11" s="139">
        <v>0</v>
      </c>
      <c r="ER11" s="139">
        <v>0</v>
      </c>
      <c r="ES11" s="139">
        <v>0</v>
      </c>
      <c r="ET11" s="139">
        <v>0</v>
      </c>
      <c r="EU11" s="139">
        <v>0</v>
      </c>
      <c r="EV11" s="139">
        <v>0</v>
      </c>
      <c r="EW11" s="139">
        <v>0</v>
      </c>
      <c r="EX11" s="139">
        <v>0</v>
      </c>
      <c r="EY11" s="139">
        <v>0</v>
      </c>
      <c r="EZ11" s="139">
        <v>0</v>
      </c>
      <c r="FA11" s="139">
        <v>0</v>
      </c>
      <c r="FB11" s="139">
        <v>0</v>
      </c>
      <c r="FC11" s="139">
        <v>0</v>
      </c>
      <c r="FD11" s="139">
        <v>0</v>
      </c>
      <c r="FE11" s="139">
        <v>0</v>
      </c>
      <c r="FF11" s="139">
        <v>0</v>
      </c>
      <c r="FG11" s="139">
        <v>0</v>
      </c>
      <c r="FH11" s="139">
        <v>0</v>
      </c>
      <c r="FI11" s="139">
        <v>0</v>
      </c>
      <c r="FJ11" s="139">
        <v>0</v>
      </c>
      <c r="FK11" s="139">
        <v>0</v>
      </c>
      <c r="FL11" s="139">
        <v>0</v>
      </c>
      <c r="FM11" s="139">
        <v>0</v>
      </c>
      <c r="FN11" s="139">
        <v>0</v>
      </c>
      <c r="FO11" s="139">
        <v>0</v>
      </c>
      <c r="FP11" s="139">
        <v>0</v>
      </c>
      <c r="FQ11" s="139">
        <v>0</v>
      </c>
      <c r="FR11" s="139">
        <v>0</v>
      </c>
      <c r="FS11" s="139">
        <v>0</v>
      </c>
      <c r="FT11" s="139">
        <v>0</v>
      </c>
      <c r="FU11" s="139">
        <v>0</v>
      </c>
      <c r="FV11" s="139">
        <v>0</v>
      </c>
      <c r="FW11" s="139">
        <v>0</v>
      </c>
      <c r="FX11" s="139">
        <v>0</v>
      </c>
      <c r="FY11" s="139">
        <v>0</v>
      </c>
      <c r="FZ11" s="139">
        <v>0</v>
      </c>
      <c r="GA11" s="139">
        <v>0</v>
      </c>
      <c r="GB11" s="139">
        <v>0</v>
      </c>
      <c r="GC11" s="139">
        <v>0</v>
      </c>
      <c r="GD11" s="139">
        <v>0</v>
      </c>
      <c r="GE11" s="139">
        <v>0</v>
      </c>
      <c r="GF11" s="139">
        <v>0</v>
      </c>
      <c r="GG11" s="139">
        <v>0</v>
      </c>
      <c r="GH11" s="139">
        <v>0</v>
      </c>
      <c r="GI11" s="139">
        <v>0</v>
      </c>
      <c r="GJ11" s="139">
        <v>0</v>
      </c>
      <c r="GK11" s="48">
        <v>0</v>
      </c>
      <c r="GL11" s="27"/>
    </row>
    <row r="12" spans="1:194" x14ac:dyDescent="0.3">
      <c r="A12" s="155" t="s">
        <v>366</v>
      </c>
      <c r="B12" s="135" t="s">
        <v>424</v>
      </c>
      <c r="C12" s="135" t="s">
        <v>277</v>
      </c>
      <c r="D12" s="135" t="s">
        <v>274</v>
      </c>
      <c r="E12" s="178" t="s">
        <v>186</v>
      </c>
      <c r="F12" s="194" t="s">
        <v>337</v>
      </c>
      <c r="G12" s="135" t="s">
        <v>345</v>
      </c>
      <c r="H12" s="135">
        <v>0</v>
      </c>
      <c r="I12" s="135">
        <v>0</v>
      </c>
      <c r="J12" s="135" t="s">
        <v>385</v>
      </c>
      <c r="K12" s="135">
        <v>0</v>
      </c>
      <c r="L12" s="135" t="s">
        <v>194</v>
      </c>
      <c r="M12" s="136">
        <f>IFERROR(INDEX('(참조)CS_인건비'!$S$3:$AG$40,MATCH(CS_인건비!$A12,'(참조)CS_인건비'!$S$3:$S$40,0),MATCH('(참조)CS_인건비'!X$2,'(참조)CS_인건비'!$S$2:$AG$2,0)),0)</f>
        <v>7</v>
      </c>
      <c r="N12" s="136">
        <f>IFERROR(INDEX('(참조)CS_인건비'!$S$3:$AG$40,MATCH(CS_인건비!$A12,'(참조)CS_인건비'!$S$3:$S$40,0),MATCH('(참조)CS_인건비'!Y$2,'(참조)CS_인건비'!$S$2:$AG$2,0)),0)</f>
        <v>6.083333333333333</v>
      </c>
      <c r="O12" s="136">
        <f>IFERROR(INDEX('(참조)CS_인건비'!$S$3:$AG$40,MATCH(CS_인건비!$A12,'(참조)CS_인건비'!$S$3:$S$40,0),MATCH('(참조)CS_인건비'!Z$2,'(참조)CS_인건비'!$S$2:$AG$2,0)),0)</f>
        <v>6</v>
      </c>
      <c r="P12" s="136">
        <f>IFERROR(INDEX('(참조)CS_인건비'!$S$3:$AG$40,MATCH(CS_인건비!$A12,'(참조)CS_인건비'!$S$3:$S$40,0),MATCH('(참조)CS_인건비'!AA$2,'(참조)CS_인건비'!$S$2:$AG$2,0)),0)</f>
        <v>6</v>
      </c>
      <c r="Q12" s="136">
        <f>IFERROR(INDEX('(참조)CS_인건비'!$S$3:$AG$40,MATCH(CS_인건비!$A12,'(참조)CS_인건비'!$S$3:$S$40,0),MATCH('(참조)CS_인건비'!AB$2,'(참조)CS_인건비'!$S$2:$AG$2,0)),0)</f>
        <v>5.583333333333333</v>
      </c>
      <c r="R12" s="136">
        <f>IFERROR(INDEX('(참조)CS_인건비'!$S$3:$AG$40,MATCH(CS_인건비!$A12,'(참조)CS_인건비'!$S$3:$S$40,0),MATCH('(참조)CS_인건비'!AC$2,'(참조)CS_인건비'!$S$2:$AG$2,0)),0)</f>
        <v>5</v>
      </c>
      <c r="S12" s="136">
        <f>IFERROR(INDEX('(참조)CS_인건비'!$S$3:$AG$40,MATCH(CS_인건비!$A12,'(참조)CS_인건비'!$S$3:$S$40,0),MATCH('(참조)CS_인건비'!AD$2,'(참조)CS_인건비'!$S$2:$AG$2,0)),0)</f>
        <v>5</v>
      </c>
      <c r="T12" s="136">
        <f>IFERROR(INDEX('(참조)CS_인건비'!$S$3:$AG$40,MATCH(CS_인건비!$A12,'(참조)CS_인건비'!$S$3:$S$40,0),MATCH('(참조)CS_인건비'!AE$2,'(참조)CS_인건비'!$S$2:$AG$2,0)),0)</f>
        <v>0</v>
      </c>
      <c r="U12" s="136">
        <f>IFERROR(INDEX('(참조)CS_인건비'!$S$3:$AG$40,MATCH(CS_인건비!$A12,'(참조)CS_인건비'!$S$3:$S$40,0),MATCH('(참조)CS_인건비'!AF$2,'(참조)CS_인건비'!$S$2:$AG$2,0)),0)</f>
        <v>0</v>
      </c>
      <c r="V12" s="136">
        <f>IFERROR(INDEX('(참조)CS_인건비'!$S$3:$AG$40,MATCH(CS_인건비!$A12,'(참조)CS_인건비'!$S$3:$S$40,0),MATCH('(참조)CS_인건비'!AG$2,'(참조)CS_인건비'!$S$2:$AG$2,0)),0)</f>
        <v>0</v>
      </c>
      <c r="W12" s="136">
        <f>IFERROR(INDEX('(참조)CS_인건비'!$S$3:$AG$40,MATCH(CS_인건비!$A12,'(참조)CS_인건비'!$S$3:$S$40,0),MATCH('(참조)CS_인건비'!AH$2,'(참조)CS_인건비'!$S$2:$AG$2,0)),0)</f>
        <v>0</v>
      </c>
      <c r="X12" s="137">
        <v>0</v>
      </c>
      <c r="Y12" s="137">
        <f>IFERROR(INDEX('(참조)CS_인건비'!$A$3:$O$40,MATCH(CS_인건비!$A12,'(참조)CS_인건비'!$A$3:$A$40,0),MATCH('(참조)CS_인건비'!F$2,'(참조)CS_인건비'!$A$2:$O$2,0)),0)</f>
        <v>4152557</v>
      </c>
      <c r="Z12" s="137">
        <f>IFERROR(INDEX('(참조)CS_인건비'!$A$3:$O$40,MATCH(CS_인건비!$A12,'(참조)CS_인건비'!$A$3:$A$40,0),MATCH('(참조)CS_인건비'!G$2,'(참조)CS_인건비'!$A$2:$O$2,0)),0)</f>
        <v>4214845.3549999995</v>
      </c>
      <c r="AA12" s="137">
        <f>IFERROR(INDEX('(참조)CS_인건비'!$A$3:$O$40,MATCH(CS_인건비!$A12,'(참조)CS_인건비'!$A$3:$A$40,0),MATCH('(참조)CS_인건비'!H$2,'(참조)CS_인건비'!$A$2:$O$2,0)),0)</f>
        <v>4278068.0353249991</v>
      </c>
      <c r="AB12" s="137">
        <f>IFERROR(INDEX('(참조)CS_인건비'!$A$3:$O$40,MATCH(CS_인건비!$A12,'(참조)CS_인건비'!$A$3:$A$40,0),MATCH('(참조)CS_인건비'!I$2,'(참조)CS_인건비'!$A$2:$O$2,0)),0)</f>
        <v>4342239.0558548737</v>
      </c>
      <c r="AC12" s="137">
        <f>IFERROR(INDEX('(참조)CS_인건비'!$A$3:$O$40,MATCH(CS_인건비!$A12,'(참조)CS_인건비'!$A$3:$A$40,0),MATCH('(참조)CS_인건비'!J$2,'(참조)CS_인건비'!$A$2:$O$2,0)),0)</f>
        <v>4407372.6416926961</v>
      </c>
      <c r="AD12" s="137">
        <f>IFERROR(INDEX('(참조)CS_인건비'!$A$3:$O$40,MATCH(CS_인건비!$A12,'(참조)CS_인건비'!$A$3:$A$40,0),MATCH('(참조)CS_인건비'!K$2,'(참조)CS_인건비'!$A$2:$O$2,0)),0)</f>
        <v>4473483.2313180864</v>
      </c>
      <c r="AE12" s="137">
        <f>IFERROR(INDEX('(참조)CS_인건비'!$A$3:$O$40,MATCH(CS_인건비!$A12,'(참조)CS_인건비'!$A$3:$A$40,0),MATCH('(참조)CS_인건비'!L$2,'(참조)CS_인건비'!$A$2:$O$2,0)),0)</f>
        <v>4540585.4797878573</v>
      </c>
      <c r="AF12" s="137">
        <f>IFERROR(INDEX('(참조)CS_인건비'!$A$3:$O$40,MATCH(CS_인건비!$A12,'(참조)CS_인건비'!$A$3:$A$40,0),MATCH('(참조)CS_인건비'!M$2,'(참조)CS_인건비'!$A$2:$O$2,0)),0)</f>
        <v>0</v>
      </c>
      <c r="AG12" s="137">
        <f>IFERROR(INDEX('(참조)CS_인건비'!$A$3:$O$40,MATCH(CS_인건비!$A12,'(참조)CS_인건비'!$A$3:$A$40,0),MATCH('(참조)CS_인건비'!N$2,'(참조)CS_인건비'!$A$2:$O$2,0)),0)</f>
        <v>0</v>
      </c>
      <c r="AH12" s="137">
        <f>IFERROR(INDEX('(참조)CS_인건비'!$A$3:$O$40,MATCH(CS_인건비!$A12,'(참조)CS_인건비'!$A$3:$A$40,0),MATCH('(참조)CS_인건비'!O$2,'(참조)CS_인건비'!$A$2:$O$2,0)),0)</f>
        <v>0</v>
      </c>
      <c r="AI12" s="137">
        <f>IFERROR(INDEX('(참조)CS_인건비'!$A$3:$O$40,MATCH(CS_인건비!$A12,'(참조)CS_인건비'!$A$3:$A$40,0),MATCH('(참조)CS_인건비'!P$2,'(참조)CS_인건비'!$A$2:$O$2,0)),0)</f>
        <v>0</v>
      </c>
      <c r="AJ12" s="137">
        <v>12</v>
      </c>
      <c r="AK12" s="137">
        <v>12</v>
      </c>
      <c r="AL12" s="137">
        <v>12</v>
      </c>
      <c r="AM12" s="137">
        <v>12</v>
      </c>
      <c r="AN12" s="137">
        <v>12</v>
      </c>
      <c r="AO12" s="137">
        <v>12</v>
      </c>
      <c r="AP12" s="137">
        <v>12</v>
      </c>
      <c r="AQ12" s="137">
        <v>12</v>
      </c>
      <c r="AR12" s="137">
        <v>12</v>
      </c>
      <c r="AS12" s="137">
        <v>12</v>
      </c>
      <c r="AT12" s="137">
        <v>12</v>
      </c>
      <c r="AU12" s="138">
        <v>1</v>
      </c>
      <c r="AV12" s="135">
        <v>0</v>
      </c>
      <c r="AW12" s="135">
        <v>0</v>
      </c>
      <c r="AX12" s="139">
        <v>2113298699.1397181</v>
      </c>
      <c r="AY12" s="139">
        <v>348814788</v>
      </c>
      <c r="AZ12" s="139">
        <v>307683710.91499996</v>
      </c>
      <c r="BA12" s="139">
        <v>308020898.54339999</v>
      </c>
      <c r="BB12" s="139">
        <v>312641212.02155089</v>
      </c>
      <c r="BC12" s="139">
        <v>295293966.99341071</v>
      </c>
      <c r="BD12" s="139">
        <v>268408993.87908518</v>
      </c>
      <c r="BE12" s="139">
        <v>272435128.78727144</v>
      </c>
      <c r="BF12" s="139">
        <v>0</v>
      </c>
      <c r="BG12" s="139">
        <v>0</v>
      </c>
      <c r="BH12" s="139">
        <v>0</v>
      </c>
      <c r="BI12" s="139">
        <v>0</v>
      </c>
      <c r="BJ12" s="140">
        <v>29067899</v>
      </c>
      <c r="BK12" s="139">
        <v>29067899</v>
      </c>
      <c r="BL12" s="139">
        <v>29067899</v>
      </c>
      <c r="BM12" s="139">
        <v>29067899</v>
      </c>
      <c r="BN12" s="139">
        <v>29067899</v>
      </c>
      <c r="BO12" s="139">
        <v>29067899</v>
      </c>
      <c r="BP12" s="139">
        <v>29067899</v>
      </c>
      <c r="BQ12" s="139">
        <v>29067899</v>
      </c>
      <c r="BR12" s="139">
        <v>29067899</v>
      </c>
      <c r="BS12" s="139">
        <v>29067899</v>
      </c>
      <c r="BT12" s="139">
        <v>29067899</v>
      </c>
      <c r="BU12" s="139">
        <v>29067899</v>
      </c>
      <c r="BV12" s="139">
        <v>25640309.242916662</v>
      </c>
      <c r="BW12" s="139">
        <v>25640309.242916662</v>
      </c>
      <c r="BX12" s="139">
        <v>25640309.242916662</v>
      </c>
      <c r="BY12" s="139">
        <v>25640309.242916662</v>
      </c>
      <c r="BZ12" s="139">
        <v>25640309.242916662</v>
      </c>
      <c r="CA12" s="139">
        <v>25640309.242916662</v>
      </c>
      <c r="CB12" s="139">
        <v>25640309.242916662</v>
      </c>
      <c r="CC12" s="139">
        <v>25640309.242916662</v>
      </c>
      <c r="CD12" s="139">
        <v>25640309.242916662</v>
      </c>
      <c r="CE12" s="139">
        <v>25640309.242916662</v>
      </c>
      <c r="CF12" s="139">
        <v>25640309.242916662</v>
      </c>
      <c r="CG12" s="139">
        <v>25640309.242916662</v>
      </c>
      <c r="CH12" s="139">
        <v>25668408.211949997</v>
      </c>
      <c r="CI12" s="139">
        <v>25668408.211949997</v>
      </c>
      <c r="CJ12" s="139">
        <v>25668408.211949997</v>
      </c>
      <c r="CK12" s="139">
        <v>25668408.211949997</v>
      </c>
      <c r="CL12" s="139">
        <v>25668408.211949997</v>
      </c>
      <c r="CM12" s="139">
        <v>25668408.211949997</v>
      </c>
      <c r="CN12" s="139">
        <v>25668408.211949997</v>
      </c>
      <c r="CO12" s="139">
        <v>25668408.211949997</v>
      </c>
      <c r="CP12" s="139">
        <v>25668408.211949997</v>
      </c>
      <c r="CQ12" s="139">
        <v>25668408.211949997</v>
      </c>
      <c r="CR12" s="139">
        <v>25668408.211949997</v>
      </c>
      <c r="CS12" s="139">
        <v>25668408.211949997</v>
      </c>
      <c r="CT12" s="139">
        <v>26053434.335129242</v>
      </c>
      <c r="CU12" s="139">
        <v>26053434.335129242</v>
      </c>
      <c r="CV12" s="139">
        <v>26053434.335129242</v>
      </c>
      <c r="CW12" s="139">
        <v>26053434.335129242</v>
      </c>
      <c r="CX12" s="139">
        <v>26053434.335129242</v>
      </c>
      <c r="CY12" s="139">
        <v>26053434.335129242</v>
      </c>
      <c r="CZ12" s="139">
        <v>26053434.335129242</v>
      </c>
      <c r="DA12" s="139">
        <v>26053434.335129242</v>
      </c>
      <c r="DB12" s="139">
        <v>26053434.335129242</v>
      </c>
      <c r="DC12" s="139">
        <v>26053434.335129242</v>
      </c>
      <c r="DD12" s="139">
        <v>26053434.335129242</v>
      </c>
      <c r="DE12" s="139">
        <v>26053434.335129242</v>
      </c>
      <c r="DF12" s="139">
        <v>24607830.582784221</v>
      </c>
      <c r="DG12" s="139">
        <v>24607830.582784221</v>
      </c>
      <c r="DH12" s="139">
        <v>24607830.582784221</v>
      </c>
      <c r="DI12" s="139">
        <v>24607830.582784221</v>
      </c>
      <c r="DJ12" s="139">
        <v>24607830.582784221</v>
      </c>
      <c r="DK12" s="139">
        <v>24607830.582784221</v>
      </c>
      <c r="DL12" s="139">
        <v>24607830.582784221</v>
      </c>
      <c r="DM12" s="139">
        <v>24607830.582784221</v>
      </c>
      <c r="DN12" s="139">
        <v>24607830.582784221</v>
      </c>
      <c r="DO12" s="139">
        <v>24607830.582784221</v>
      </c>
      <c r="DP12" s="139">
        <v>24607830.582784221</v>
      </c>
      <c r="DQ12" s="139">
        <v>24607830.582784221</v>
      </c>
      <c r="DR12" s="139">
        <v>22367416.156590432</v>
      </c>
      <c r="DS12" s="139">
        <v>22367416.156590432</v>
      </c>
      <c r="DT12" s="139">
        <v>22367416.156590432</v>
      </c>
      <c r="DU12" s="139">
        <v>22367416.156590432</v>
      </c>
      <c r="DV12" s="139">
        <v>22367416.156590432</v>
      </c>
      <c r="DW12" s="139">
        <v>22367416.156590432</v>
      </c>
      <c r="DX12" s="139">
        <v>22367416.156590432</v>
      </c>
      <c r="DY12" s="139">
        <v>22367416.156590432</v>
      </c>
      <c r="DZ12" s="139">
        <v>22367416.156590432</v>
      </c>
      <c r="EA12" s="139">
        <v>22367416.156590432</v>
      </c>
      <c r="EB12" s="139">
        <v>22367416.156590432</v>
      </c>
      <c r="EC12" s="139">
        <v>22367416.156590432</v>
      </c>
      <c r="ED12" s="139">
        <v>22702927.398939285</v>
      </c>
      <c r="EE12" s="139">
        <v>22702927.398939285</v>
      </c>
      <c r="EF12" s="139">
        <v>22702927.398939285</v>
      </c>
      <c r="EG12" s="139">
        <v>22702927.398939285</v>
      </c>
      <c r="EH12" s="139">
        <v>22702927.398939285</v>
      </c>
      <c r="EI12" s="139">
        <v>22702927.398939285</v>
      </c>
      <c r="EJ12" s="139">
        <v>22702927.398939285</v>
      </c>
      <c r="EK12" s="139">
        <v>22702927.398939285</v>
      </c>
      <c r="EL12" s="139">
        <v>22702927.398939285</v>
      </c>
      <c r="EM12" s="139">
        <v>22702927.398939285</v>
      </c>
      <c r="EN12" s="139">
        <v>22702927.398939285</v>
      </c>
      <c r="EO12" s="139">
        <v>22702927.398939285</v>
      </c>
      <c r="EP12" s="139">
        <v>0</v>
      </c>
      <c r="EQ12" s="139">
        <v>0</v>
      </c>
      <c r="ER12" s="139">
        <v>0</v>
      </c>
      <c r="ES12" s="139">
        <v>0</v>
      </c>
      <c r="ET12" s="139">
        <v>0</v>
      </c>
      <c r="EU12" s="139">
        <v>0</v>
      </c>
      <c r="EV12" s="139">
        <v>0</v>
      </c>
      <c r="EW12" s="139">
        <v>0</v>
      </c>
      <c r="EX12" s="139">
        <v>0</v>
      </c>
      <c r="EY12" s="139">
        <v>0</v>
      </c>
      <c r="EZ12" s="139">
        <v>0</v>
      </c>
      <c r="FA12" s="139">
        <v>0</v>
      </c>
      <c r="FB12" s="139">
        <v>0</v>
      </c>
      <c r="FC12" s="139">
        <v>0</v>
      </c>
      <c r="FD12" s="139">
        <v>0</v>
      </c>
      <c r="FE12" s="139">
        <v>0</v>
      </c>
      <c r="FF12" s="139">
        <v>0</v>
      </c>
      <c r="FG12" s="139">
        <v>0</v>
      </c>
      <c r="FH12" s="139">
        <v>0</v>
      </c>
      <c r="FI12" s="139">
        <v>0</v>
      </c>
      <c r="FJ12" s="139">
        <v>0</v>
      </c>
      <c r="FK12" s="139">
        <v>0</v>
      </c>
      <c r="FL12" s="139">
        <v>0</v>
      </c>
      <c r="FM12" s="139">
        <v>0</v>
      </c>
      <c r="FN12" s="139">
        <v>0</v>
      </c>
      <c r="FO12" s="139">
        <v>0</v>
      </c>
      <c r="FP12" s="139">
        <v>0</v>
      </c>
      <c r="FQ12" s="139">
        <v>0</v>
      </c>
      <c r="FR12" s="139">
        <v>0</v>
      </c>
      <c r="FS12" s="139">
        <v>0</v>
      </c>
      <c r="FT12" s="139">
        <v>0</v>
      </c>
      <c r="FU12" s="139">
        <v>0</v>
      </c>
      <c r="FV12" s="139">
        <v>0</v>
      </c>
      <c r="FW12" s="139">
        <v>0</v>
      </c>
      <c r="FX12" s="139">
        <v>0</v>
      </c>
      <c r="FY12" s="139">
        <v>0</v>
      </c>
      <c r="FZ12" s="139">
        <v>0</v>
      </c>
      <c r="GA12" s="139">
        <v>0</v>
      </c>
      <c r="GB12" s="139">
        <v>0</v>
      </c>
      <c r="GC12" s="139">
        <v>0</v>
      </c>
      <c r="GD12" s="139">
        <v>0</v>
      </c>
      <c r="GE12" s="139">
        <v>0</v>
      </c>
      <c r="GF12" s="139">
        <v>0</v>
      </c>
      <c r="GG12" s="139">
        <v>0</v>
      </c>
      <c r="GH12" s="139">
        <v>0</v>
      </c>
      <c r="GI12" s="139">
        <v>0</v>
      </c>
      <c r="GJ12" s="139">
        <v>0</v>
      </c>
      <c r="GK12" s="48">
        <v>0</v>
      </c>
      <c r="GL12" s="27"/>
    </row>
    <row r="13" spans="1:194" x14ac:dyDescent="0.3">
      <c r="A13" s="155" t="s">
        <v>367</v>
      </c>
      <c r="B13" s="135" t="s">
        <v>424</v>
      </c>
      <c r="C13" s="135" t="s">
        <v>277</v>
      </c>
      <c r="D13" s="135" t="s">
        <v>274</v>
      </c>
      <c r="E13" s="178" t="s">
        <v>186</v>
      </c>
      <c r="F13" s="194" t="s">
        <v>337</v>
      </c>
      <c r="G13" s="135" t="s">
        <v>346</v>
      </c>
      <c r="H13" s="135">
        <v>0</v>
      </c>
      <c r="I13" s="135">
        <v>0</v>
      </c>
      <c r="J13" s="135" t="s">
        <v>385</v>
      </c>
      <c r="K13" s="135">
        <v>0</v>
      </c>
      <c r="L13" s="135" t="s">
        <v>194</v>
      </c>
      <c r="M13" s="136">
        <f>IFERROR(INDEX('(참조)CS_인건비'!$S$3:$AG$40,MATCH(CS_인건비!$A13,'(참조)CS_인건비'!$S$3:$S$40,0),MATCH('(참조)CS_인건비'!X$2,'(참조)CS_인건비'!$S$2:$AG$2,0)),0)</f>
        <v>2</v>
      </c>
      <c r="N13" s="136">
        <f>IFERROR(INDEX('(참조)CS_인건비'!$S$3:$AG$40,MATCH(CS_인건비!$A13,'(참조)CS_인건비'!$S$3:$S$40,0),MATCH('(참조)CS_인건비'!Y$2,'(참조)CS_인건비'!$S$2:$AG$2,0)),0)</f>
        <v>2</v>
      </c>
      <c r="O13" s="136">
        <f>IFERROR(INDEX('(참조)CS_인건비'!$S$3:$AG$40,MATCH(CS_인건비!$A13,'(참조)CS_인건비'!$S$3:$S$40,0),MATCH('(참조)CS_인건비'!Z$2,'(참조)CS_인건비'!$S$2:$AG$2,0)),0)</f>
        <v>2</v>
      </c>
      <c r="P13" s="136">
        <f>IFERROR(INDEX('(참조)CS_인건비'!$S$3:$AG$40,MATCH(CS_인건비!$A13,'(참조)CS_인건비'!$S$3:$S$40,0),MATCH('(참조)CS_인건비'!AA$2,'(참조)CS_인건비'!$S$2:$AG$2,0)),0)</f>
        <v>2</v>
      </c>
      <c r="Q13" s="136">
        <f>IFERROR(INDEX('(참조)CS_인건비'!$S$3:$AG$40,MATCH(CS_인건비!$A13,'(참조)CS_인건비'!$S$3:$S$40,0),MATCH('(참조)CS_인건비'!AB$2,'(참조)CS_인건비'!$S$2:$AG$2,0)),0)</f>
        <v>2</v>
      </c>
      <c r="R13" s="136">
        <f>IFERROR(INDEX('(참조)CS_인건비'!$S$3:$AG$40,MATCH(CS_인건비!$A13,'(참조)CS_인건비'!$S$3:$S$40,0),MATCH('(참조)CS_인건비'!AC$2,'(참조)CS_인건비'!$S$2:$AG$2,0)),0)</f>
        <v>2</v>
      </c>
      <c r="S13" s="136">
        <f>IFERROR(INDEX('(참조)CS_인건비'!$S$3:$AG$40,MATCH(CS_인건비!$A13,'(참조)CS_인건비'!$S$3:$S$40,0),MATCH('(참조)CS_인건비'!AD$2,'(참조)CS_인건비'!$S$2:$AG$2,0)),0)</f>
        <v>2</v>
      </c>
      <c r="T13" s="136">
        <f>IFERROR(INDEX('(참조)CS_인건비'!$S$3:$AG$40,MATCH(CS_인건비!$A13,'(참조)CS_인건비'!$S$3:$S$40,0),MATCH('(참조)CS_인건비'!AE$2,'(참조)CS_인건비'!$S$2:$AG$2,0)),0)</f>
        <v>0</v>
      </c>
      <c r="U13" s="136">
        <f>IFERROR(INDEX('(참조)CS_인건비'!$S$3:$AG$40,MATCH(CS_인건비!$A13,'(참조)CS_인건비'!$S$3:$S$40,0),MATCH('(참조)CS_인건비'!AF$2,'(참조)CS_인건비'!$S$2:$AG$2,0)),0)</f>
        <v>0</v>
      </c>
      <c r="V13" s="136">
        <f>IFERROR(INDEX('(참조)CS_인건비'!$S$3:$AG$40,MATCH(CS_인건비!$A13,'(참조)CS_인건비'!$S$3:$S$40,0),MATCH('(참조)CS_인건비'!AG$2,'(참조)CS_인건비'!$S$2:$AG$2,0)),0)</f>
        <v>0</v>
      </c>
      <c r="W13" s="136">
        <f>IFERROR(INDEX('(참조)CS_인건비'!$S$3:$AG$40,MATCH(CS_인건비!$A13,'(참조)CS_인건비'!$S$3:$S$40,0),MATCH('(참조)CS_인건비'!AH$2,'(참조)CS_인건비'!$S$2:$AG$2,0)),0)</f>
        <v>0</v>
      </c>
      <c r="X13" s="137">
        <v>0</v>
      </c>
      <c r="Y13" s="137">
        <f>IFERROR(INDEX('(참조)CS_인건비'!$A$3:$O$40,MATCH(CS_인건비!$A13,'(참조)CS_인건비'!$A$3:$A$40,0),MATCH('(참조)CS_인건비'!F$2,'(참조)CS_인건비'!$A$2:$O$2,0)),0)</f>
        <v>4075100</v>
      </c>
      <c r="Z13" s="137">
        <f>IFERROR(INDEX('(참조)CS_인건비'!$A$3:$O$40,MATCH(CS_인건비!$A13,'(참조)CS_인건비'!$A$3:$A$40,0),MATCH('(참조)CS_인건비'!G$2,'(참조)CS_인건비'!$A$2:$O$2,0)),0)</f>
        <v>4136226.4999999995</v>
      </c>
      <c r="AA13" s="137">
        <f>IFERROR(INDEX('(참조)CS_인건비'!$A$3:$O$40,MATCH(CS_인건비!$A13,'(참조)CS_인건비'!$A$3:$A$40,0),MATCH('(참조)CS_인건비'!H$2,'(참조)CS_인건비'!$A$2:$O$2,0)),0)</f>
        <v>4198269.897499999</v>
      </c>
      <c r="AB13" s="137">
        <f>IFERROR(INDEX('(참조)CS_인건비'!$A$3:$O$40,MATCH(CS_인건비!$A13,'(참조)CS_인건비'!$A$3:$A$40,0),MATCH('(참조)CS_인건비'!I$2,'(참조)CS_인건비'!$A$2:$O$2,0)),0)</f>
        <v>4261243.9459624989</v>
      </c>
      <c r="AC13" s="137">
        <f>IFERROR(INDEX('(참조)CS_인건비'!$A$3:$O$40,MATCH(CS_인건비!$A13,'(참조)CS_인건비'!$A$3:$A$40,0),MATCH('(참조)CS_인건비'!J$2,'(참조)CS_인건비'!$A$2:$O$2,0)),0)</f>
        <v>4325162.6051519364</v>
      </c>
      <c r="AD13" s="137">
        <f>IFERROR(INDEX('(참조)CS_인건비'!$A$3:$O$40,MATCH(CS_인건비!$A13,'(참조)CS_인건비'!$A$3:$A$40,0),MATCH('(참조)CS_인건비'!K$2,'(참조)CS_인건비'!$A$2:$O$2,0)),0)</f>
        <v>4390040.044229215</v>
      </c>
      <c r="AE13" s="137">
        <f>IFERROR(INDEX('(참조)CS_인건비'!$A$3:$O$40,MATCH(CS_인건비!$A13,'(참조)CS_인건비'!$A$3:$A$40,0),MATCH('(참조)CS_인건비'!L$2,'(참조)CS_인건비'!$A$2:$O$2,0)),0)</f>
        <v>4455890.6448926525</v>
      </c>
      <c r="AF13" s="137">
        <f>IFERROR(INDEX('(참조)CS_인건비'!$A$3:$O$40,MATCH(CS_인건비!$A13,'(참조)CS_인건비'!$A$3:$A$40,0),MATCH('(참조)CS_인건비'!M$2,'(참조)CS_인건비'!$A$2:$O$2,0)),0)</f>
        <v>0</v>
      </c>
      <c r="AG13" s="137">
        <f>IFERROR(INDEX('(참조)CS_인건비'!$A$3:$O$40,MATCH(CS_인건비!$A13,'(참조)CS_인건비'!$A$3:$A$40,0),MATCH('(참조)CS_인건비'!N$2,'(참조)CS_인건비'!$A$2:$O$2,0)),0)</f>
        <v>0</v>
      </c>
      <c r="AH13" s="137">
        <f>IFERROR(INDEX('(참조)CS_인건비'!$A$3:$O$40,MATCH(CS_인건비!$A13,'(참조)CS_인건비'!$A$3:$A$40,0),MATCH('(참조)CS_인건비'!O$2,'(참조)CS_인건비'!$A$2:$O$2,0)),0)</f>
        <v>0</v>
      </c>
      <c r="AI13" s="137">
        <f>IFERROR(INDEX('(참조)CS_인건비'!$A$3:$O$40,MATCH(CS_인건비!$A13,'(참조)CS_인건비'!$A$3:$A$40,0),MATCH('(참조)CS_인건비'!P$2,'(참조)CS_인건비'!$A$2:$O$2,0)),0)</f>
        <v>0</v>
      </c>
      <c r="AJ13" s="137">
        <v>12</v>
      </c>
      <c r="AK13" s="137">
        <v>12</v>
      </c>
      <c r="AL13" s="137">
        <v>12</v>
      </c>
      <c r="AM13" s="137">
        <v>12</v>
      </c>
      <c r="AN13" s="137">
        <v>12</v>
      </c>
      <c r="AO13" s="137">
        <v>12</v>
      </c>
      <c r="AP13" s="137">
        <v>12</v>
      </c>
      <c r="AQ13" s="137">
        <v>12</v>
      </c>
      <c r="AR13" s="137">
        <v>12</v>
      </c>
      <c r="AS13" s="137">
        <v>12</v>
      </c>
      <c r="AT13" s="137">
        <v>12</v>
      </c>
      <c r="AU13" s="138">
        <v>1</v>
      </c>
      <c r="AV13" s="135">
        <v>0</v>
      </c>
      <c r="AW13" s="135">
        <v>0</v>
      </c>
      <c r="AX13" s="139">
        <v>716206407.30567133</v>
      </c>
      <c r="AY13" s="139">
        <v>97802400</v>
      </c>
      <c r="AZ13" s="139">
        <v>99269435.999999985</v>
      </c>
      <c r="BA13" s="139">
        <v>100758477.54000001</v>
      </c>
      <c r="BB13" s="139">
        <v>102269854.70309995</v>
      </c>
      <c r="BC13" s="139">
        <v>103803902.52364647</v>
      </c>
      <c r="BD13" s="139">
        <v>105360961.06150119</v>
      </c>
      <c r="BE13" s="139">
        <v>106941375.47742368</v>
      </c>
      <c r="BF13" s="139">
        <v>0</v>
      </c>
      <c r="BG13" s="139">
        <v>0</v>
      </c>
      <c r="BH13" s="139">
        <v>0</v>
      </c>
      <c r="BI13" s="139">
        <v>0</v>
      </c>
      <c r="BJ13" s="140">
        <v>8150200</v>
      </c>
      <c r="BK13" s="139">
        <v>8150200</v>
      </c>
      <c r="BL13" s="139">
        <v>8150200</v>
      </c>
      <c r="BM13" s="139">
        <v>8150200</v>
      </c>
      <c r="BN13" s="139">
        <v>8150200</v>
      </c>
      <c r="BO13" s="139">
        <v>8150200</v>
      </c>
      <c r="BP13" s="139">
        <v>8150200</v>
      </c>
      <c r="BQ13" s="139">
        <v>8150200</v>
      </c>
      <c r="BR13" s="139">
        <v>8150200</v>
      </c>
      <c r="BS13" s="139">
        <v>8150200</v>
      </c>
      <c r="BT13" s="139">
        <v>8150200</v>
      </c>
      <c r="BU13" s="139">
        <v>8150200</v>
      </c>
      <c r="BV13" s="139">
        <v>8272452.9999999991</v>
      </c>
      <c r="BW13" s="139">
        <v>8272452.9999999991</v>
      </c>
      <c r="BX13" s="139">
        <v>8272452.9999999991</v>
      </c>
      <c r="BY13" s="139">
        <v>8272452.9999999991</v>
      </c>
      <c r="BZ13" s="139">
        <v>8272452.9999999991</v>
      </c>
      <c r="CA13" s="139">
        <v>8272452.9999999991</v>
      </c>
      <c r="CB13" s="139">
        <v>8272452.9999999991</v>
      </c>
      <c r="CC13" s="139">
        <v>8272452.9999999991</v>
      </c>
      <c r="CD13" s="139">
        <v>8272452.9999999991</v>
      </c>
      <c r="CE13" s="139">
        <v>8272452.9999999991</v>
      </c>
      <c r="CF13" s="139">
        <v>8272452.9999999991</v>
      </c>
      <c r="CG13" s="139">
        <v>8272452.9999999991</v>
      </c>
      <c r="CH13" s="139">
        <v>8396539.7949999981</v>
      </c>
      <c r="CI13" s="139">
        <v>8396539.7949999981</v>
      </c>
      <c r="CJ13" s="139">
        <v>8396539.7949999981</v>
      </c>
      <c r="CK13" s="139">
        <v>8396539.7949999981</v>
      </c>
      <c r="CL13" s="139">
        <v>8396539.7949999981</v>
      </c>
      <c r="CM13" s="139">
        <v>8396539.7949999981</v>
      </c>
      <c r="CN13" s="139">
        <v>8396539.7949999981</v>
      </c>
      <c r="CO13" s="139">
        <v>8396539.7949999981</v>
      </c>
      <c r="CP13" s="139">
        <v>8396539.7949999981</v>
      </c>
      <c r="CQ13" s="139">
        <v>8396539.7949999981</v>
      </c>
      <c r="CR13" s="139">
        <v>8396539.7949999981</v>
      </c>
      <c r="CS13" s="139">
        <v>8396539.7949999981</v>
      </c>
      <c r="CT13" s="139">
        <v>8522487.8919249978</v>
      </c>
      <c r="CU13" s="139">
        <v>8522487.8919249978</v>
      </c>
      <c r="CV13" s="139">
        <v>8522487.8919249978</v>
      </c>
      <c r="CW13" s="139">
        <v>8522487.8919249978</v>
      </c>
      <c r="CX13" s="139">
        <v>8522487.8919249978</v>
      </c>
      <c r="CY13" s="139">
        <v>8522487.8919249978</v>
      </c>
      <c r="CZ13" s="139">
        <v>8522487.8919249978</v>
      </c>
      <c r="DA13" s="139">
        <v>8522487.8919249978</v>
      </c>
      <c r="DB13" s="139">
        <v>8522487.8919249978</v>
      </c>
      <c r="DC13" s="139">
        <v>8522487.8919249978</v>
      </c>
      <c r="DD13" s="139">
        <v>8522487.8919249978</v>
      </c>
      <c r="DE13" s="139">
        <v>8522487.8919249978</v>
      </c>
      <c r="DF13" s="139">
        <v>8650325.2103038728</v>
      </c>
      <c r="DG13" s="139">
        <v>8650325.2103038728</v>
      </c>
      <c r="DH13" s="139">
        <v>8650325.2103038728</v>
      </c>
      <c r="DI13" s="139">
        <v>8650325.2103038728</v>
      </c>
      <c r="DJ13" s="139">
        <v>8650325.2103038728</v>
      </c>
      <c r="DK13" s="139">
        <v>8650325.2103038728</v>
      </c>
      <c r="DL13" s="139">
        <v>8650325.2103038728</v>
      </c>
      <c r="DM13" s="139">
        <v>8650325.2103038728</v>
      </c>
      <c r="DN13" s="139">
        <v>8650325.2103038728</v>
      </c>
      <c r="DO13" s="139">
        <v>8650325.2103038728</v>
      </c>
      <c r="DP13" s="139">
        <v>8650325.2103038728</v>
      </c>
      <c r="DQ13" s="139">
        <v>8650325.2103038728</v>
      </c>
      <c r="DR13" s="139">
        <v>8780080.08845843</v>
      </c>
      <c r="DS13" s="139">
        <v>8780080.08845843</v>
      </c>
      <c r="DT13" s="139">
        <v>8780080.08845843</v>
      </c>
      <c r="DU13" s="139">
        <v>8780080.08845843</v>
      </c>
      <c r="DV13" s="139">
        <v>8780080.08845843</v>
      </c>
      <c r="DW13" s="139">
        <v>8780080.08845843</v>
      </c>
      <c r="DX13" s="139">
        <v>8780080.08845843</v>
      </c>
      <c r="DY13" s="139">
        <v>8780080.08845843</v>
      </c>
      <c r="DZ13" s="139">
        <v>8780080.08845843</v>
      </c>
      <c r="EA13" s="139">
        <v>8780080.08845843</v>
      </c>
      <c r="EB13" s="139">
        <v>8780080.08845843</v>
      </c>
      <c r="EC13" s="139">
        <v>8780080.08845843</v>
      </c>
      <c r="ED13" s="139">
        <v>8911781.289785305</v>
      </c>
      <c r="EE13" s="139">
        <v>8911781.289785305</v>
      </c>
      <c r="EF13" s="139">
        <v>8911781.289785305</v>
      </c>
      <c r="EG13" s="139">
        <v>8911781.289785305</v>
      </c>
      <c r="EH13" s="139">
        <v>8911781.289785305</v>
      </c>
      <c r="EI13" s="139">
        <v>8911781.289785305</v>
      </c>
      <c r="EJ13" s="139">
        <v>8911781.289785305</v>
      </c>
      <c r="EK13" s="139">
        <v>8911781.289785305</v>
      </c>
      <c r="EL13" s="139">
        <v>8911781.289785305</v>
      </c>
      <c r="EM13" s="139">
        <v>8911781.289785305</v>
      </c>
      <c r="EN13" s="139">
        <v>8911781.289785305</v>
      </c>
      <c r="EO13" s="139">
        <v>8911781.289785305</v>
      </c>
      <c r="EP13" s="139">
        <v>0</v>
      </c>
      <c r="EQ13" s="139">
        <v>0</v>
      </c>
      <c r="ER13" s="139">
        <v>0</v>
      </c>
      <c r="ES13" s="139">
        <v>0</v>
      </c>
      <c r="ET13" s="139">
        <v>0</v>
      </c>
      <c r="EU13" s="139">
        <v>0</v>
      </c>
      <c r="EV13" s="139">
        <v>0</v>
      </c>
      <c r="EW13" s="139">
        <v>0</v>
      </c>
      <c r="EX13" s="139">
        <v>0</v>
      </c>
      <c r="EY13" s="139">
        <v>0</v>
      </c>
      <c r="EZ13" s="139">
        <v>0</v>
      </c>
      <c r="FA13" s="139">
        <v>0</v>
      </c>
      <c r="FB13" s="139">
        <v>0</v>
      </c>
      <c r="FC13" s="139">
        <v>0</v>
      </c>
      <c r="FD13" s="139">
        <v>0</v>
      </c>
      <c r="FE13" s="139">
        <v>0</v>
      </c>
      <c r="FF13" s="139">
        <v>0</v>
      </c>
      <c r="FG13" s="139">
        <v>0</v>
      </c>
      <c r="FH13" s="139">
        <v>0</v>
      </c>
      <c r="FI13" s="139">
        <v>0</v>
      </c>
      <c r="FJ13" s="139">
        <v>0</v>
      </c>
      <c r="FK13" s="139">
        <v>0</v>
      </c>
      <c r="FL13" s="139">
        <v>0</v>
      </c>
      <c r="FM13" s="139">
        <v>0</v>
      </c>
      <c r="FN13" s="139">
        <v>0</v>
      </c>
      <c r="FO13" s="139">
        <v>0</v>
      </c>
      <c r="FP13" s="139">
        <v>0</v>
      </c>
      <c r="FQ13" s="139">
        <v>0</v>
      </c>
      <c r="FR13" s="139">
        <v>0</v>
      </c>
      <c r="FS13" s="139">
        <v>0</v>
      </c>
      <c r="FT13" s="139">
        <v>0</v>
      </c>
      <c r="FU13" s="139">
        <v>0</v>
      </c>
      <c r="FV13" s="139">
        <v>0</v>
      </c>
      <c r="FW13" s="139">
        <v>0</v>
      </c>
      <c r="FX13" s="139">
        <v>0</v>
      </c>
      <c r="FY13" s="139">
        <v>0</v>
      </c>
      <c r="FZ13" s="139">
        <v>0</v>
      </c>
      <c r="GA13" s="139">
        <v>0</v>
      </c>
      <c r="GB13" s="139">
        <v>0</v>
      </c>
      <c r="GC13" s="139">
        <v>0</v>
      </c>
      <c r="GD13" s="139">
        <v>0</v>
      </c>
      <c r="GE13" s="139">
        <v>0</v>
      </c>
      <c r="GF13" s="139">
        <v>0</v>
      </c>
      <c r="GG13" s="139">
        <v>0</v>
      </c>
      <c r="GH13" s="139">
        <v>0</v>
      </c>
      <c r="GI13" s="139">
        <v>0</v>
      </c>
      <c r="GJ13" s="139">
        <v>0</v>
      </c>
      <c r="GK13" s="48">
        <v>0</v>
      </c>
      <c r="GL13" s="27"/>
    </row>
    <row r="14" spans="1:194" x14ac:dyDescent="0.3">
      <c r="A14" s="155" t="s">
        <v>368</v>
      </c>
      <c r="B14" s="135" t="s">
        <v>424</v>
      </c>
      <c r="C14" s="135" t="s">
        <v>277</v>
      </c>
      <c r="D14" s="135" t="s">
        <v>274</v>
      </c>
      <c r="E14" s="178" t="s">
        <v>186</v>
      </c>
      <c r="F14" s="194" t="s">
        <v>337</v>
      </c>
      <c r="G14" s="135" t="s">
        <v>347</v>
      </c>
      <c r="H14" s="135">
        <v>0</v>
      </c>
      <c r="I14" s="135">
        <v>0</v>
      </c>
      <c r="J14" s="135" t="s">
        <v>385</v>
      </c>
      <c r="K14" s="135">
        <v>0</v>
      </c>
      <c r="L14" s="135" t="s">
        <v>194</v>
      </c>
      <c r="M14" s="136">
        <f>IFERROR(INDEX('(참조)CS_인건비'!$S$3:$AG$40,MATCH(CS_인건비!$A14,'(참조)CS_인건비'!$S$3:$S$40,0),MATCH('(참조)CS_인건비'!X$2,'(참조)CS_인건비'!$S$2:$AG$2,0)),0)</f>
        <v>9</v>
      </c>
      <c r="N14" s="136">
        <f>IFERROR(INDEX('(참조)CS_인건비'!$S$3:$AG$40,MATCH(CS_인건비!$A14,'(참조)CS_인건비'!$S$3:$S$40,0),MATCH('(참조)CS_인건비'!Y$2,'(참조)CS_인건비'!$S$2:$AG$2,0)),0)</f>
        <v>5.166666666666667</v>
      </c>
      <c r="O14" s="136">
        <f>IFERROR(INDEX('(참조)CS_인건비'!$S$3:$AG$40,MATCH(CS_인건비!$A14,'(참조)CS_인건비'!$S$3:$S$40,0),MATCH('(참조)CS_인건비'!Z$2,'(참조)CS_인건비'!$S$2:$AG$2,0)),0)</f>
        <v>3.5833333333333335</v>
      </c>
      <c r="P14" s="136">
        <f>IFERROR(INDEX('(참조)CS_인건비'!$S$3:$AG$40,MATCH(CS_인건비!$A14,'(참조)CS_인건비'!$S$3:$S$40,0),MATCH('(참조)CS_인건비'!AA$2,'(참조)CS_인건비'!$S$2:$AG$2,0)),0)</f>
        <v>3</v>
      </c>
      <c r="Q14" s="136">
        <f>IFERROR(INDEX('(참조)CS_인건비'!$S$3:$AG$40,MATCH(CS_인건비!$A14,'(참조)CS_인건비'!$S$3:$S$40,0),MATCH('(참조)CS_인건비'!AB$2,'(참조)CS_인건비'!$S$2:$AG$2,0)),0)</f>
        <v>2.5833333333333335</v>
      </c>
      <c r="R14" s="136">
        <f>IFERROR(INDEX('(참조)CS_인건비'!$S$3:$AG$40,MATCH(CS_인건비!$A14,'(참조)CS_인건비'!$S$3:$S$40,0),MATCH('(참조)CS_인건비'!AC$2,'(참조)CS_인건비'!$S$2:$AG$2,0)),0)</f>
        <v>2</v>
      </c>
      <c r="S14" s="136">
        <f>IFERROR(INDEX('(참조)CS_인건비'!$S$3:$AG$40,MATCH(CS_인건비!$A14,'(참조)CS_인건비'!$S$3:$S$40,0),MATCH('(참조)CS_인건비'!AD$2,'(참조)CS_인건비'!$S$2:$AG$2,0)),0)</f>
        <v>2</v>
      </c>
      <c r="T14" s="136">
        <f>IFERROR(INDEX('(참조)CS_인건비'!$S$3:$AG$40,MATCH(CS_인건비!$A14,'(참조)CS_인건비'!$S$3:$S$40,0),MATCH('(참조)CS_인건비'!AE$2,'(참조)CS_인건비'!$S$2:$AG$2,0)),0)</f>
        <v>0</v>
      </c>
      <c r="U14" s="136">
        <f>IFERROR(INDEX('(참조)CS_인건비'!$S$3:$AG$40,MATCH(CS_인건비!$A14,'(참조)CS_인건비'!$S$3:$S$40,0),MATCH('(참조)CS_인건비'!AF$2,'(참조)CS_인건비'!$S$2:$AG$2,0)),0)</f>
        <v>0</v>
      </c>
      <c r="V14" s="136">
        <f>IFERROR(INDEX('(참조)CS_인건비'!$S$3:$AG$40,MATCH(CS_인건비!$A14,'(참조)CS_인건비'!$S$3:$S$40,0),MATCH('(참조)CS_인건비'!AG$2,'(참조)CS_인건비'!$S$2:$AG$2,0)),0)</f>
        <v>0</v>
      </c>
      <c r="W14" s="136">
        <f>IFERROR(INDEX('(참조)CS_인건비'!$S$3:$AG$40,MATCH(CS_인건비!$A14,'(참조)CS_인건비'!$S$3:$S$40,0),MATCH('(참조)CS_인건비'!AH$2,'(참조)CS_인건비'!$S$2:$AG$2,0)),0)</f>
        <v>0</v>
      </c>
      <c r="X14" s="137">
        <v>0</v>
      </c>
      <c r="Y14" s="137">
        <f>IFERROR(INDEX('(참조)CS_인건비'!$A$3:$O$40,MATCH(CS_인건비!$A14,'(참조)CS_인건비'!$A$3:$A$40,0),MATCH('(참조)CS_인건비'!F$2,'(참조)CS_인건비'!$A$2:$O$2,0)),0)</f>
        <v>3220000</v>
      </c>
      <c r="Z14" s="137">
        <f>IFERROR(INDEX('(참조)CS_인건비'!$A$3:$O$40,MATCH(CS_인건비!$A14,'(참조)CS_인건비'!$A$3:$A$40,0),MATCH('(참조)CS_인건비'!G$2,'(참조)CS_인건비'!$A$2:$O$2,0)),0)</f>
        <v>3268299.9999999995</v>
      </c>
      <c r="AA14" s="137">
        <f>IFERROR(INDEX('(참조)CS_인건비'!$A$3:$O$40,MATCH(CS_인건비!$A14,'(참조)CS_인건비'!$A$3:$A$40,0),MATCH('(참조)CS_인건비'!H$2,'(참조)CS_인건비'!$A$2:$O$2,0)),0)</f>
        <v>3317324.4999999991</v>
      </c>
      <c r="AB14" s="137">
        <f>IFERROR(INDEX('(참조)CS_인건비'!$A$3:$O$40,MATCH(CS_인건비!$A14,'(참조)CS_인건비'!$A$3:$A$40,0),MATCH('(참조)CS_인건비'!I$2,'(참조)CS_인건비'!$A$2:$O$2,0)),0)</f>
        <v>3367084.3674999988</v>
      </c>
      <c r="AC14" s="137">
        <f>IFERROR(INDEX('(참조)CS_인건비'!$A$3:$O$40,MATCH(CS_인건비!$A14,'(참조)CS_인건비'!$A$3:$A$40,0),MATCH('(참조)CS_인건비'!J$2,'(참조)CS_인건비'!$A$2:$O$2,0)),0)</f>
        <v>3417590.6330124983</v>
      </c>
      <c r="AD14" s="137">
        <f>IFERROR(INDEX('(참조)CS_인건비'!$A$3:$O$40,MATCH(CS_인건비!$A14,'(참조)CS_인건비'!$A$3:$A$40,0),MATCH('(참조)CS_인건비'!K$2,'(참조)CS_인건비'!$A$2:$O$2,0)),0)</f>
        <v>3468854.4925076854</v>
      </c>
      <c r="AE14" s="137">
        <f>IFERROR(INDEX('(참조)CS_인건비'!$A$3:$O$40,MATCH(CS_인건비!$A14,'(참조)CS_인건비'!$A$3:$A$40,0),MATCH('(참조)CS_인건비'!L$2,'(참조)CS_인건비'!$A$2:$O$2,0)),0)</f>
        <v>3520887.3098953003</v>
      </c>
      <c r="AF14" s="137">
        <f>IFERROR(INDEX('(참조)CS_인건비'!$A$3:$O$40,MATCH(CS_인건비!$A14,'(참조)CS_인건비'!$A$3:$A$40,0),MATCH('(참조)CS_인건비'!M$2,'(참조)CS_인건비'!$A$2:$O$2,0)),0)</f>
        <v>0</v>
      </c>
      <c r="AG14" s="137">
        <f>IFERROR(INDEX('(참조)CS_인건비'!$A$3:$O$40,MATCH(CS_인건비!$A14,'(참조)CS_인건비'!$A$3:$A$40,0),MATCH('(참조)CS_인건비'!N$2,'(참조)CS_인건비'!$A$2:$O$2,0)),0)</f>
        <v>0</v>
      </c>
      <c r="AH14" s="137">
        <f>IFERROR(INDEX('(참조)CS_인건비'!$A$3:$O$40,MATCH(CS_인건비!$A14,'(참조)CS_인건비'!$A$3:$A$40,0),MATCH('(참조)CS_인건비'!O$2,'(참조)CS_인건비'!$A$2:$O$2,0)),0)</f>
        <v>0</v>
      </c>
      <c r="AI14" s="137">
        <f>IFERROR(INDEX('(참조)CS_인건비'!$A$3:$O$40,MATCH(CS_인건비!$A14,'(참조)CS_인건비'!$A$3:$A$40,0),MATCH('(참조)CS_인건비'!P$2,'(참조)CS_인건비'!$A$2:$O$2,0)),0)</f>
        <v>0</v>
      </c>
      <c r="AJ14" s="137">
        <v>12</v>
      </c>
      <c r="AK14" s="137">
        <v>12</v>
      </c>
      <c r="AL14" s="137">
        <v>12</v>
      </c>
      <c r="AM14" s="137">
        <v>12</v>
      </c>
      <c r="AN14" s="137">
        <v>12</v>
      </c>
      <c r="AO14" s="137">
        <v>12</v>
      </c>
      <c r="AP14" s="137">
        <v>12</v>
      </c>
      <c r="AQ14" s="137">
        <v>12</v>
      </c>
      <c r="AR14" s="137">
        <v>12</v>
      </c>
      <c r="AS14" s="137">
        <v>12</v>
      </c>
      <c r="AT14" s="137">
        <v>12</v>
      </c>
      <c r="AU14" s="138">
        <v>1</v>
      </c>
      <c r="AV14" s="135">
        <v>0</v>
      </c>
      <c r="AW14" s="135">
        <v>0</v>
      </c>
      <c r="AX14" s="139">
        <v>1087953703.611059</v>
      </c>
      <c r="AY14" s="139">
        <v>347760000</v>
      </c>
      <c r="AZ14" s="139">
        <v>202634599.99999991</v>
      </c>
      <c r="BA14" s="139">
        <v>142644953.49999997</v>
      </c>
      <c r="BB14" s="139">
        <v>121215037.22999991</v>
      </c>
      <c r="BC14" s="139">
        <v>105945309.62338744</v>
      </c>
      <c r="BD14" s="139">
        <v>83252507.820184469</v>
      </c>
      <c r="BE14" s="139">
        <v>84501295.4374872</v>
      </c>
      <c r="BF14" s="139">
        <v>0</v>
      </c>
      <c r="BG14" s="139">
        <v>0</v>
      </c>
      <c r="BH14" s="139">
        <v>0</v>
      </c>
      <c r="BI14" s="139">
        <v>0</v>
      </c>
      <c r="BJ14" s="140">
        <v>28980000</v>
      </c>
      <c r="BK14" s="139">
        <v>28980000</v>
      </c>
      <c r="BL14" s="139">
        <v>28980000</v>
      </c>
      <c r="BM14" s="139">
        <v>28980000</v>
      </c>
      <c r="BN14" s="139">
        <v>28980000</v>
      </c>
      <c r="BO14" s="139">
        <v>28980000</v>
      </c>
      <c r="BP14" s="139">
        <v>28980000</v>
      </c>
      <c r="BQ14" s="139">
        <v>28980000</v>
      </c>
      <c r="BR14" s="139">
        <v>28980000</v>
      </c>
      <c r="BS14" s="139">
        <v>28980000</v>
      </c>
      <c r="BT14" s="139">
        <v>28980000</v>
      </c>
      <c r="BU14" s="139">
        <v>28980000</v>
      </c>
      <c r="BV14" s="139">
        <v>16886216.666666664</v>
      </c>
      <c r="BW14" s="139">
        <v>16886216.666666664</v>
      </c>
      <c r="BX14" s="139">
        <v>16886216.666666664</v>
      </c>
      <c r="BY14" s="139">
        <v>16886216.666666664</v>
      </c>
      <c r="BZ14" s="139">
        <v>16886216.666666664</v>
      </c>
      <c r="CA14" s="139">
        <v>16886216.666666664</v>
      </c>
      <c r="CB14" s="139">
        <v>16886216.666666664</v>
      </c>
      <c r="CC14" s="139">
        <v>16886216.666666664</v>
      </c>
      <c r="CD14" s="139">
        <v>16886216.666666664</v>
      </c>
      <c r="CE14" s="139">
        <v>16886216.666666664</v>
      </c>
      <c r="CF14" s="139">
        <v>16886216.666666664</v>
      </c>
      <c r="CG14" s="139">
        <v>16886216.666666664</v>
      </c>
      <c r="CH14" s="139">
        <v>11887079.45833333</v>
      </c>
      <c r="CI14" s="139">
        <v>11887079.45833333</v>
      </c>
      <c r="CJ14" s="139">
        <v>11887079.45833333</v>
      </c>
      <c r="CK14" s="139">
        <v>11887079.45833333</v>
      </c>
      <c r="CL14" s="139">
        <v>11887079.45833333</v>
      </c>
      <c r="CM14" s="139">
        <v>11887079.45833333</v>
      </c>
      <c r="CN14" s="139">
        <v>11887079.45833333</v>
      </c>
      <c r="CO14" s="139">
        <v>11887079.45833333</v>
      </c>
      <c r="CP14" s="139">
        <v>11887079.45833333</v>
      </c>
      <c r="CQ14" s="139">
        <v>11887079.45833333</v>
      </c>
      <c r="CR14" s="139">
        <v>11887079.45833333</v>
      </c>
      <c r="CS14" s="139">
        <v>11887079.45833333</v>
      </c>
      <c r="CT14" s="139">
        <v>10101253.102499995</v>
      </c>
      <c r="CU14" s="139">
        <v>10101253.102499995</v>
      </c>
      <c r="CV14" s="139">
        <v>10101253.102499995</v>
      </c>
      <c r="CW14" s="139">
        <v>10101253.102499995</v>
      </c>
      <c r="CX14" s="139">
        <v>10101253.102499995</v>
      </c>
      <c r="CY14" s="139">
        <v>10101253.102499995</v>
      </c>
      <c r="CZ14" s="139">
        <v>10101253.102499995</v>
      </c>
      <c r="DA14" s="139">
        <v>10101253.102499995</v>
      </c>
      <c r="DB14" s="139">
        <v>10101253.102499995</v>
      </c>
      <c r="DC14" s="139">
        <v>10101253.102499995</v>
      </c>
      <c r="DD14" s="139">
        <v>10101253.102499995</v>
      </c>
      <c r="DE14" s="139">
        <v>10101253.102499995</v>
      </c>
      <c r="DF14" s="139">
        <v>8828775.8019489553</v>
      </c>
      <c r="DG14" s="139">
        <v>8828775.8019489553</v>
      </c>
      <c r="DH14" s="139">
        <v>8828775.8019489553</v>
      </c>
      <c r="DI14" s="139">
        <v>8828775.8019489553</v>
      </c>
      <c r="DJ14" s="139">
        <v>8828775.8019489553</v>
      </c>
      <c r="DK14" s="139">
        <v>8828775.8019489553</v>
      </c>
      <c r="DL14" s="139">
        <v>8828775.8019489553</v>
      </c>
      <c r="DM14" s="139">
        <v>8828775.8019489553</v>
      </c>
      <c r="DN14" s="139">
        <v>8828775.8019489553</v>
      </c>
      <c r="DO14" s="139">
        <v>8828775.8019489553</v>
      </c>
      <c r="DP14" s="139">
        <v>8828775.8019489553</v>
      </c>
      <c r="DQ14" s="139">
        <v>8828775.8019489553</v>
      </c>
      <c r="DR14" s="139">
        <v>6937708.9850153709</v>
      </c>
      <c r="DS14" s="139">
        <v>6937708.9850153709</v>
      </c>
      <c r="DT14" s="139">
        <v>6937708.9850153709</v>
      </c>
      <c r="DU14" s="139">
        <v>6937708.9850153709</v>
      </c>
      <c r="DV14" s="139">
        <v>6937708.9850153709</v>
      </c>
      <c r="DW14" s="139">
        <v>6937708.9850153709</v>
      </c>
      <c r="DX14" s="139">
        <v>6937708.9850153709</v>
      </c>
      <c r="DY14" s="139">
        <v>6937708.9850153709</v>
      </c>
      <c r="DZ14" s="139">
        <v>6937708.9850153709</v>
      </c>
      <c r="EA14" s="139">
        <v>6937708.9850153709</v>
      </c>
      <c r="EB14" s="139">
        <v>6937708.9850153709</v>
      </c>
      <c r="EC14" s="139">
        <v>6937708.9850153709</v>
      </c>
      <c r="ED14" s="139">
        <v>7041774.6197906006</v>
      </c>
      <c r="EE14" s="139">
        <v>7041774.6197906006</v>
      </c>
      <c r="EF14" s="139">
        <v>7041774.6197906006</v>
      </c>
      <c r="EG14" s="139">
        <v>7041774.6197906006</v>
      </c>
      <c r="EH14" s="139">
        <v>7041774.6197906006</v>
      </c>
      <c r="EI14" s="139">
        <v>7041774.6197906006</v>
      </c>
      <c r="EJ14" s="139">
        <v>7041774.6197906006</v>
      </c>
      <c r="EK14" s="139">
        <v>7041774.6197906006</v>
      </c>
      <c r="EL14" s="139">
        <v>7041774.6197906006</v>
      </c>
      <c r="EM14" s="139">
        <v>7041774.6197906006</v>
      </c>
      <c r="EN14" s="139">
        <v>7041774.6197906006</v>
      </c>
      <c r="EO14" s="139">
        <v>7041774.6197906006</v>
      </c>
      <c r="EP14" s="139">
        <v>0</v>
      </c>
      <c r="EQ14" s="139">
        <v>0</v>
      </c>
      <c r="ER14" s="139">
        <v>0</v>
      </c>
      <c r="ES14" s="139">
        <v>0</v>
      </c>
      <c r="ET14" s="139">
        <v>0</v>
      </c>
      <c r="EU14" s="139">
        <v>0</v>
      </c>
      <c r="EV14" s="139">
        <v>0</v>
      </c>
      <c r="EW14" s="139">
        <v>0</v>
      </c>
      <c r="EX14" s="139">
        <v>0</v>
      </c>
      <c r="EY14" s="139">
        <v>0</v>
      </c>
      <c r="EZ14" s="139">
        <v>0</v>
      </c>
      <c r="FA14" s="139">
        <v>0</v>
      </c>
      <c r="FB14" s="139">
        <v>0</v>
      </c>
      <c r="FC14" s="139">
        <v>0</v>
      </c>
      <c r="FD14" s="139">
        <v>0</v>
      </c>
      <c r="FE14" s="139">
        <v>0</v>
      </c>
      <c r="FF14" s="139">
        <v>0</v>
      </c>
      <c r="FG14" s="139">
        <v>0</v>
      </c>
      <c r="FH14" s="139">
        <v>0</v>
      </c>
      <c r="FI14" s="139">
        <v>0</v>
      </c>
      <c r="FJ14" s="139">
        <v>0</v>
      </c>
      <c r="FK14" s="139">
        <v>0</v>
      </c>
      <c r="FL14" s="139">
        <v>0</v>
      </c>
      <c r="FM14" s="139">
        <v>0</v>
      </c>
      <c r="FN14" s="139">
        <v>0</v>
      </c>
      <c r="FO14" s="139">
        <v>0</v>
      </c>
      <c r="FP14" s="139">
        <v>0</v>
      </c>
      <c r="FQ14" s="139">
        <v>0</v>
      </c>
      <c r="FR14" s="139">
        <v>0</v>
      </c>
      <c r="FS14" s="139">
        <v>0</v>
      </c>
      <c r="FT14" s="139">
        <v>0</v>
      </c>
      <c r="FU14" s="139">
        <v>0</v>
      </c>
      <c r="FV14" s="139">
        <v>0</v>
      </c>
      <c r="FW14" s="139">
        <v>0</v>
      </c>
      <c r="FX14" s="139">
        <v>0</v>
      </c>
      <c r="FY14" s="139">
        <v>0</v>
      </c>
      <c r="FZ14" s="139">
        <v>0</v>
      </c>
      <c r="GA14" s="139">
        <v>0</v>
      </c>
      <c r="GB14" s="139">
        <v>0</v>
      </c>
      <c r="GC14" s="139">
        <v>0</v>
      </c>
      <c r="GD14" s="139">
        <v>0</v>
      </c>
      <c r="GE14" s="139">
        <v>0</v>
      </c>
      <c r="GF14" s="139">
        <v>0</v>
      </c>
      <c r="GG14" s="139">
        <v>0</v>
      </c>
      <c r="GH14" s="139">
        <v>0</v>
      </c>
      <c r="GI14" s="139">
        <v>0</v>
      </c>
      <c r="GJ14" s="139">
        <v>0</v>
      </c>
      <c r="GK14" s="48">
        <v>0</v>
      </c>
      <c r="GL14" s="27"/>
    </row>
    <row r="15" spans="1:194" x14ac:dyDescent="0.3">
      <c r="A15" s="155" t="s">
        <v>369</v>
      </c>
      <c r="B15" s="135" t="s">
        <v>424</v>
      </c>
      <c r="C15" s="135" t="s">
        <v>277</v>
      </c>
      <c r="D15" s="135" t="s">
        <v>274</v>
      </c>
      <c r="E15" s="178" t="s">
        <v>186</v>
      </c>
      <c r="F15" s="194" t="s">
        <v>337</v>
      </c>
      <c r="G15" s="135" t="s">
        <v>218</v>
      </c>
      <c r="H15" s="135">
        <v>0</v>
      </c>
      <c r="I15" s="135">
        <v>0</v>
      </c>
      <c r="J15" s="135" t="s">
        <v>385</v>
      </c>
      <c r="K15" s="135">
        <v>0</v>
      </c>
      <c r="L15" s="135" t="s">
        <v>194</v>
      </c>
      <c r="M15" s="136">
        <f>IFERROR(INDEX('(참조)CS_인건비'!$S$3:$AG$40,MATCH(CS_인건비!$A15,'(참조)CS_인건비'!$S$3:$S$40,0),MATCH('(참조)CS_인건비'!X$2,'(참조)CS_인건비'!$S$2:$AG$2,0)),0)</f>
        <v>1</v>
      </c>
      <c r="N15" s="136">
        <f>IFERROR(INDEX('(참조)CS_인건비'!$S$3:$AG$40,MATCH(CS_인건비!$A15,'(참조)CS_인건비'!$S$3:$S$40,0),MATCH('(참조)CS_인건비'!Y$2,'(참조)CS_인건비'!$S$2:$AG$2,0)),0)</f>
        <v>1</v>
      </c>
      <c r="O15" s="136">
        <f>IFERROR(INDEX('(참조)CS_인건비'!$S$3:$AG$40,MATCH(CS_인건비!$A15,'(참조)CS_인건비'!$S$3:$S$40,0),MATCH('(참조)CS_인건비'!Z$2,'(참조)CS_인건비'!$S$2:$AG$2,0)),0)</f>
        <v>1</v>
      </c>
      <c r="P15" s="136">
        <f>IFERROR(INDEX('(참조)CS_인건비'!$S$3:$AG$40,MATCH(CS_인건비!$A15,'(참조)CS_인건비'!$S$3:$S$40,0),MATCH('(참조)CS_인건비'!AA$2,'(참조)CS_인건비'!$S$2:$AG$2,0)),0)</f>
        <v>1</v>
      </c>
      <c r="Q15" s="136">
        <f>IFERROR(INDEX('(참조)CS_인건비'!$S$3:$AG$40,MATCH(CS_인건비!$A15,'(참조)CS_인건비'!$S$3:$S$40,0),MATCH('(참조)CS_인건비'!AB$2,'(참조)CS_인건비'!$S$2:$AG$2,0)),0)</f>
        <v>1</v>
      </c>
      <c r="R15" s="136">
        <f>IFERROR(INDEX('(참조)CS_인건비'!$S$3:$AG$40,MATCH(CS_인건비!$A15,'(참조)CS_인건비'!$S$3:$S$40,0),MATCH('(참조)CS_인건비'!AC$2,'(참조)CS_인건비'!$S$2:$AG$2,0)),0)</f>
        <v>1</v>
      </c>
      <c r="S15" s="136">
        <f>IFERROR(INDEX('(참조)CS_인건비'!$S$3:$AG$40,MATCH(CS_인건비!$A15,'(참조)CS_인건비'!$S$3:$S$40,0),MATCH('(참조)CS_인건비'!AD$2,'(참조)CS_인건비'!$S$2:$AG$2,0)),0)</f>
        <v>1</v>
      </c>
      <c r="T15" s="136">
        <f>IFERROR(INDEX('(참조)CS_인건비'!$S$3:$AG$40,MATCH(CS_인건비!$A15,'(참조)CS_인건비'!$S$3:$S$40,0),MATCH('(참조)CS_인건비'!AE$2,'(참조)CS_인건비'!$S$2:$AG$2,0)),0)</f>
        <v>0</v>
      </c>
      <c r="U15" s="136">
        <f>IFERROR(INDEX('(참조)CS_인건비'!$S$3:$AG$40,MATCH(CS_인건비!$A15,'(참조)CS_인건비'!$S$3:$S$40,0),MATCH('(참조)CS_인건비'!AF$2,'(참조)CS_인건비'!$S$2:$AG$2,0)),0)</f>
        <v>0</v>
      </c>
      <c r="V15" s="136">
        <f>IFERROR(INDEX('(참조)CS_인건비'!$S$3:$AG$40,MATCH(CS_인건비!$A15,'(참조)CS_인건비'!$S$3:$S$40,0),MATCH('(참조)CS_인건비'!AG$2,'(참조)CS_인건비'!$S$2:$AG$2,0)),0)</f>
        <v>0</v>
      </c>
      <c r="W15" s="136">
        <f>IFERROR(INDEX('(참조)CS_인건비'!$S$3:$AG$40,MATCH(CS_인건비!$A15,'(참조)CS_인건비'!$S$3:$S$40,0),MATCH('(참조)CS_인건비'!AH$2,'(참조)CS_인건비'!$S$2:$AG$2,0)),0)</f>
        <v>0</v>
      </c>
      <c r="X15" s="137">
        <v>0</v>
      </c>
      <c r="Y15" s="137">
        <f>IFERROR(INDEX('(참조)CS_인건비'!$A$3:$O$40,MATCH(CS_인건비!$A15,'(참조)CS_인건비'!$A$3:$A$40,0),MATCH('(참조)CS_인건비'!F$2,'(참조)CS_인건비'!$A$2:$O$2,0)),0)</f>
        <v>5690000</v>
      </c>
      <c r="Z15" s="137">
        <f>IFERROR(INDEX('(참조)CS_인건비'!$A$3:$O$40,MATCH(CS_인건비!$A15,'(참조)CS_인건비'!$A$3:$A$40,0),MATCH('(참조)CS_인건비'!G$2,'(참조)CS_인건비'!$A$2:$O$2,0)),0)</f>
        <v>5775349.9999999991</v>
      </c>
      <c r="AA15" s="137">
        <f>IFERROR(INDEX('(참조)CS_인건비'!$A$3:$O$40,MATCH(CS_인건비!$A15,'(참조)CS_인건비'!$A$3:$A$40,0),MATCH('(참조)CS_인건비'!H$2,'(참조)CS_인건비'!$A$2:$O$2,0)),0)</f>
        <v>5861980.2499999981</v>
      </c>
      <c r="AB15" s="137">
        <f>IFERROR(INDEX('(참조)CS_인건비'!$A$3:$O$40,MATCH(CS_인건비!$A15,'(참조)CS_인건비'!$A$3:$A$40,0),MATCH('(참조)CS_인건비'!I$2,'(참조)CS_인건비'!$A$2:$O$2,0)),0)</f>
        <v>5949909.9537499975</v>
      </c>
      <c r="AC15" s="137">
        <f>IFERROR(INDEX('(참조)CS_인건비'!$A$3:$O$40,MATCH(CS_인건비!$A15,'(참조)CS_인건비'!$A$3:$A$40,0),MATCH('(참조)CS_인건비'!J$2,'(참조)CS_인건비'!$A$2:$O$2,0)),0)</f>
        <v>6039158.6030562473</v>
      </c>
      <c r="AD15" s="137">
        <f>IFERROR(INDEX('(참조)CS_인건비'!$A$3:$O$40,MATCH(CS_인건비!$A15,'(참조)CS_인건비'!$A$3:$A$40,0),MATCH('(참조)CS_인건비'!K$2,'(참조)CS_인건비'!$A$2:$O$2,0)),0)</f>
        <v>6129745.9821020905</v>
      </c>
      <c r="AE15" s="137">
        <f>IFERROR(INDEX('(참조)CS_인건비'!$A$3:$O$40,MATCH(CS_인건비!$A15,'(참조)CS_인건비'!$A$3:$A$40,0),MATCH('(참조)CS_인건비'!L$2,'(참조)CS_인건비'!$A$2:$O$2,0)),0)</f>
        <v>6221692.1718336213</v>
      </c>
      <c r="AF15" s="137">
        <f>IFERROR(INDEX('(참조)CS_인건비'!$A$3:$O$40,MATCH(CS_인건비!$A15,'(참조)CS_인건비'!$A$3:$A$40,0),MATCH('(참조)CS_인건비'!M$2,'(참조)CS_인건비'!$A$2:$O$2,0)),0)</f>
        <v>0</v>
      </c>
      <c r="AG15" s="137">
        <f>IFERROR(INDEX('(참조)CS_인건비'!$A$3:$O$40,MATCH(CS_인건비!$A15,'(참조)CS_인건비'!$A$3:$A$40,0),MATCH('(참조)CS_인건비'!N$2,'(참조)CS_인건비'!$A$2:$O$2,0)),0)</f>
        <v>0</v>
      </c>
      <c r="AH15" s="137">
        <f>IFERROR(INDEX('(참조)CS_인건비'!$A$3:$O$40,MATCH(CS_인건비!$A15,'(참조)CS_인건비'!$A$3:$A$40,0),MATCH('(참조)CS_인건비'!O$2,'(참조)CS_인건비'!$A$2:$O$2,0)),0)</f>
        <v>0</v>
      </c>
      <c r="AI15" s="137">
        <f>IFERROR(INDEX('(참조)CS_인건비'!$A$3:$O$40,MATCH(CS_인건비!$A15,'(참조)CS_인건비'!$A$3:$A$40,0),MATCH('(참조)CS_인건비'!P$2,'(참조)CS_인건비'!$A$2:$O$2,0)),0)</f>
        <v>0</v>
      </c>
      <c r="AJ15" s="137">
        <v>12</v>
      </c>
      <c r="AK15" s="137">
        <v>12</v>
      </c>
      <c r="AL15" s="137">
        <v>12</v>
      </c>
      <c r="AM15" s="137">
        <v>12</v>
      </c>
      <c r="AN15" s="137">
        <v>12</v>
      </c>
      <c r="AO15" s="137">
        <v>12</v>
      </c>
      <c r="AP15" s="137">
        <v>12</v>
      </c>
      <c r="AQ15" s="137">
        <v>12</v>
      </c>
      <c r="AR15" s="137">
        <v>12</v>
      </c>
      <c r="AS15" s="137">
        <v>12</v>
      </c>
      <c r="AT15" s="137">
        <v>12</v>
      </c>
      <c r="AU15" s="138">
        <v>1</v>
      </c>
      <c r="AV15" s="135">
        <v>0</v>
      </c>
      <c r="AW15" s="135">
        <v>0</v>
      </c>
      <c r="AX15" s="139">
        <v>500014043.52890348</v>
      </c>
      <c r="AY15" s="139">
        <v>68280000</v>
      </c>
      <c r="AZ15" s="139">
        <v>69304199.999999985</v>
      </c>
      <c r="BA15" s="139">
        <v>70343762.999999985</v>
      </c>
      <c r="BB15" s="139">
        <v>71398919.444999978</v>
      </c>
      <c r="BC15" s="139">
        <v>72469903.23667495</v>
      </c>
      <c r="BD15" s="139">
        <v>73556951.785225078</v>
      </c>
      <c r="BE15" s="139">
        <v>74660306.062003449</v>
      </c>
      <c r="BF15" s="139">
        <v>0</v>
      </c>
      <c r="BG15" s="139">
        <v>0</v>
      </c>
      <c r="BH15" s="139">
        <v>0</v>
      </c>
      <c r="BI15" s="139">
        <v>0</v>
      </c>
      <c r="BJ15" s="140">
        <v>5690000</v>
      </c>
      <c r="BK15" s="139">
        <v>5690000</v>
      </c>
      <c r="BL15" s="139">
        <v>5690000</v>
      </c>
      <c r="BM15" s="139">
        <v>5690000</v>
      </c>
      <c r="BN15" s="139">
        <v>5690000</v>
      </c>
      <c r="BO15" s="139">
        <v>5690000</v>
      </c>
      <c r="BP15" s="139">
        <v>5690000</v>
      </c>
      <c r="BQ15" s="139">
        <v>5690000</v>
      </c>
      <c r="BR15" s="139">
        <v>5690000</v>
      </c>
      <c r="BS15" s="139">
        <v>5690000</v>
      </c>
      <c r="BT15" s="139">
        <v>5690000</v>
      </c>
      <c r="BU15" s="139">
        <v>5690000</v>
      </c>
      <c r="BV15" s="139">
        <v>5775349.9999999991</v>
      </c>
      <c r="BW15" s="139">
        <v>5775349.9999999991</v>
      </c>
      <c r="BX15" s="139">
        <v>5775349.9999999991</v>
      </c>
      <c r="BY15" s="139">
        <v>5775349.9999999991</v>
      </c>
      <c r="BZ15" s="139">
        <v>5775349.9999999991</v>
      </c>
      <c r="CA15" s="139">
        <v>5775349.9999999991</v>
      </c>
      <c r="CB15" s="139">
        <v>5775349.9999999991</v>
      </c>
      <c r="CC15" s="139">
        <v>5775349.9999999991</v>
      </c>
      <c r="CD15" s="139">
        <v>5775349.9999999991</v>
      </c>
      <c r="CE15" s="139">
        <v>5775349.9999999991</v>
      </c>
      <c r="CF15" s="139">
        <v>5775349.9999999991</v>
      </c>
      <c r="CG15" s="139">
        <v>5775349.9999999991</v>
      </c>
      <c r="CH15" s="139">
        <v>5861980.2499999981</v>
      </c>
      <c r="CI15" s="139">
        <v>5861980.2499999981</v>
      </c>
      <c r="CJ15" s="139">
        <v>5861980.2499999981</v>
      </c>
      <c r="CK15" s="139">
        <v>5861980.2499999981</v>
      </c>
      <c r="CL15" s="139">
        <v>5861980.2499999981</v>
      </c>
      <c r="CM15" s="139">
        <v>5861980.2499999981</v>
      </c>
      <c r="CN15" s="139">
        <v>5861980.2499999981</v>
      </c>
      <c r="CO15" s="139">
        <v>5861980.2499999981</v>
      </c>
      <c r="CP15" s="139">
        <v>5861980.2499999981</v>
      </c>
      <c r="CQ15" s="139">
        <v>5861980.2499999981</v>
      </c>
      <c r="CR15" s="139">
        <v>5861980.2499999981</v>
      </c>
      <c r="CS15" s="139">
        <v>5861980.2499999981</v>
      </c>
      <c r="CT15" s="139">
        <v>5949909.9537499975</v>
      </c>
      <c r="CU15" s="139">
        <v>5949909.9537499975</v>
      </c>
      <c r="CV15" s="139">
        <v>5949909.9537499975</v>
      </c>
      <c r="CW15" s="139">
        <v>5949909.9537499975</v>
      </c>
      <c r="CX15" s="139">
        <v>5949909.9537499975</v>
      </c>
      <c r="CY15" s="139">
        <v>5949909.9537499975</v>
      </c>
      <c r="CZ15" s="139">
        <v>5949909.9537499975</v>
      </c>
      <c r="DA15" s="139">
        <v>5949909.9537499975</v>
      </c>
      <c r="DB15" s="139">
        <v>5949909.9537499975</v>
      </c>
      <c r="DC15" s="139">
        <v>5949909.9537499975</v>
      </c>
      <c r="DD15" s="139">
        <v>5949909.9537499975</v>
      </c>
      <c r="DE15" s="139">
        <v>5949909.9537499975</v>
      </c>
      <c r="DF15" s="139">
        <v>6039158.6030562473</v>
      </c>
      <c r="DG15" s="139">
        <v>6039158.6030562473</v>
      </c>
      <c r="DH15" s="139">
        <v>6039158.6030562473</v>
      </c>
      <c r="DI15" s="139">
        <v>6039158.6030562473</v>
      </c>
      <c r="DJ15" s="139">
        <v>6039158.6030562473</v>
      </c>
      <c r="DK15" s="139">
        <v>6039158.6030562473</v>
      </c>
      <c r="DL15" s="139">
        <v>6039158.6030562473</v>
      </c>
      <c r="DM15" s="139">
        <v>6039158.6030562473</v>
      </c>
      <c r="DN15" s="139">
        <v>6039158.6030562473</v>
      </c>
      <c r="DO15" s="139">
        <v>6039158.6030562473</v>
      </c>
      <c r="DP15" s="139">
        <v>6039158.6030562473</v>
      </c>
      <c r="DQ15" s="139">
        <v>6039158.6030562473</v>
      </c>
      <c r="DR15" s="139">
        <v>6129745.9821020905</v>
      </c>
      <c r="DS15" s="139">
        <v>6129745.9821020905</v>
      </c>
      <c r="DT15" s="139">
        <v>6129745.9821020905</v>
      </c>
      <c r="DU15" s="139">
        <v>6129745.9821020905</v>
      </c>
      <c r="DV15" s="139">
        <v>6129745.9821020905</v>
      </c>
      <c r="DW15" s="139">
        <v>6129745.9821020905</v>
      </c>
      <c r="DX15" s="139">
        <v>6129745.9821020905</v>
      </c>
      <c r="DY15" s="139">
        <v>6129745.9821020905</v>
      </c>
      <c r="DZ15" s="139">
        <v>6129745.9821020905</v>
      </c>
      <c r="EA15" s="139">
        <v>6129745.9821020905</v>
      </c>
      <c r="EB15" s="139">
        <v>6129745.9821020905</v>
      </c>
      <c r="EC15" s="139">
        <v>6129745.9821020905</v>
      </c>
      <c r="ED15" s="139">
        <v>6221692.1718336213</v>
      </c>
      <c r="EE15" s="139">
        <v>6221692.1718336213</v>
      </c>
      <c r="EF15" s="139">
        <v>6221692.1718336213</v>
      </c>
      <c r="EG15" s="139">
        <v>6221692.1718336213</v>
      </c>
      <c r="EH15" s="139">
        <v>6221692.1718336213</v>
      </c>
      <c r="EI15" s="139">
        <v>6221692.1718336213</v>
      </c>
      <c r="EJ15" s="139">
        <v>6221692.1718336213</v>
      </c>
      <c r="EK15" s="139">
        <v>6221692.1718336213</v>
      </c>
      <c r="EL15" s="139">
        <v>6221692.1718336213</v>
      </c>
      <c r="EM15" s="139">
        <v>6221692.1718336213</v>
      </c>
      <c r="EN15" s="139">
        <v>6221692.1718336213</v>
      </c>
      <c r="EO15" s="139">
        <v>6221692.1718336213</v>
      </c>
      <c r="EP15" s="139">
        <v>0</v>
      </c>
      <c r="EQ15" s="139">
        <v>0</v>
      </c>
      <c r="ER15" s="139">
        <v>0</v>
      </c>
      <c r="ES15" s="139">
        <v>0</v>
      </c>
      <c r="ET15" s="139">
        <v>0</v>
      </c>
      <c r="EU15" s="139">
        <v>0</v>
      </c>
      <c r="EV15" s="139">
        <v>0</v>
      </c>
      <c r="EW15" s="139">
        <v>0</v>
      </c>
      <c r="EX15" s="139">
        <v>0</v>
      </c>
      <c r="EY15" s="139">
        <v>0</v>
      </c>
      <c r="EZ15" s="139">
        <v>0</v>
      </c>
      <c r="FA15" s="139">
        <v>0</v>
      </c>
      <c r="FB15" s="139">
        <v>0</v>
      </c>
      <c r="FC15" s="139">
        <v>0</v>
      </c>
      <c r="FD15" s="139">
        <v>0</v>
      </c>
      <c r="FE15" s="139">
        <v>0</v>
      </c>
      <c r="FF15" s="139">
        <v>0</v>
      </c>
      <c r="FG15" s="139">
        <v>0</v>
      </c>
      <c r="FH15" s="139">
        <v>0</v>
      </c>
      <c r="FI15" s="139">
        <v>0</v>
      </c>
      <c r="FJ15" s="139">
        <v>0</v>
      </c>
      <c r="FK15" s="139">
        <v>0</v>
      </c>
      <c r="FL15" s="139">
        <v>0</v>
      </c>
      <c r="FM15" s="139">
        <v>0</v>
      </c>
      <c r="FN15" s="139">
        <v>0</v>
      </c>
      <c r="FO15" s="139">
        <v>0</v>
      </c>
      <c r="FP15" s="139">
        <v>0</v>
      </c>
      <c r="FQ15" s="139">
        <v>0</v>
      </c>
      <c r="FR15" s="139">
        <v>0</v>
      </c>
      <c r="FS15" s="139">
        <v>0</v>
      </c>
      <c r="FT15" s="139">
        <v>0</v>
      </c>
      <c r="FU15" s="139">
        <v>0</v>
      </c>
      <c r="FV15" s="139">
        <v>0</v>
      </c>
      <c r="FW15" s="139">
        <v>0</v>
      </c>
      <c r="FX15" s="139">
        <v>0</v>
      </c>
      <c r="FY15" s="139">
        <v>0</v>
      </c>
      <c r="FZ15" s="139">
        <v>0</v>
      </c>
      <c r="GA15" s="139">
        <v>0</v>
      </c>
      <c r="GB15" s="139">
        <v>0</v>
      </c>
      <c r="GC15" s="139">
        <v>0</v>
      </c>
      <c r="GD15" s="139">
        <v>0</v>
      </c>
      <c r="GE15" s="139">
        <v>0</v>
      </c>
      <c r="GF15" s="139">
        <v>0</v>
      </c>
      <c r="GG15" s="139">
        <v>0</v>
      </c>
      <c r="GH15" s="139">
        <v>0</v>
      </c>
      <c r="GI15" s="139">
        <v>0</v>
      </c>
      <c r="GJ15" s="139">
        <v>0</v>
      </c>
      <c r="GK15" s="48">
        <v>0</v>
      </c>
      <c r="GL15" s="27"/>
    </row>
    <row r="16" spans="1:194" x14ac:dyDescent="0.3">
      <c r="A16" s="155" t="s">
        <v>370</v>
      </c>
      <c r="B16" s="135" t="s">
        <v>424</v>
      </c>
      <c r="C16" s="135" t="s">
        <v>277</v>
      </c>
      <c r="D16" s="135" t="s">
        <v>274</v>
      </c>
      <c r="E16" s="178" t="s">
        <v>186</v>
      </c>
      <c r="F16" s="194" t="s">
        <v>337</v>
      </c>
      <c r="G16" s="135" t="s">
        <v>187</v>
      </c>
      <c r="H16" s="135">
        <v>0</v>
      </c>
      <c r="I16" s="135">
        <v>0</v>
      </c>
      <c r="J16" s="135" t="s">
        <v>385</v>
      </c>
      <c r="K16" s="135">
        <v>0</v>
      </c>
      <c r="L16" s="135" t="s">
        <v>194</v>
      </c>
      <c r="M16" s="136">
        <f>IFERROR(INDEX('(참조)CS_인건비'!$S$3:$AG$40,MATCH(CS_인건비!$A16,'(참조)CS_인건비'!$S$3:$S$40,0),MATCH('(참조)CS_인건비'!X$2,'(참조)CS_인건비'!$S$2:$AG$2,0)),0)</f>
        <v>1</v>
      </c>
      <c r="N16" s="136">
        <f>IFERROR(INDEX('(참조)CS_인건비'!$S$3:$AG$40,MATCH(CS_인건비!$A16,'(참조)CS_인건비'!$S$3:$S$40,0),MATCH('(참조)CS_인건비'!Y$2,'(참조)CS_인건비'!$S$2:$AG$2,0)),0)</f>
        <v>1</v>
      </c>
      <c r="O16" s="136">
        <f>IFERROR(INDEX('(참조)CS_인건비'!$S$3:$AG$40,MATCH(CS_인건비!$A16,'(참조)CS_인건비'!$S$3:$S$40,0),MATCH('(참조)CS_인건비'!Z$2,'(참조)CS_인건비'!$S$2:$AG$2,0)),0)</f>
        <v>1</v>
      </c>
      <c r="P16" s="136">
        <f>IFERROR(INDEX('(참조)CS_인건비'!$S$3:$AG$40,MATCH(CS_인건비!$A16,'(참조)CS_인건비'!$S$3:$S$40,0),MATCH('(참조)CS_인건비'!AA$2,'(참조)CS_인건비'!$S$2:$AG$2,0)),0)</f>
        <v>1</v>
      </c>
      <c r="Q16" s="136">
        <f>IFERROR(INDEX('(참조)CS_인건비'!$S$3:$AG$40,MATCH(CS_인건비!$A16,'(참조)CS_인건비'!$S$3:$S$40,0),MATCH('(참조)CS_인건비'!AB$2,'(참조)CS_인건비'!$S$2:$AG$2,0)),0)</f>
        <v>1</v>
      </c>
      <c r="R16" s="136">
        <f>IFERROR(INDEX('(참조)CS_인건비'!$S$3:$AG$40,MATCH(CS_인건비!$A16,'(참조)CS_인건비'!$S$3:$S$40,0),MATCH('(참조)CS_인건비'!AC$2,'(참조)CS_인건비'!$S$2:$AG$2,0)),0)</f>
        <v>1</v>
      </c>
      <c r="S16" s="136">
        <f>IFERROR(INDEX('(참조)CS_인건비'!$S$3:$AG$40,MATCH(CS_인건비!$A16,'(참조)CS_인건비'!$S$3:$S$40,0),MATCH('(참조)CS_인건비'!AD$2,'(참조)CS_인건비'!$S$2:$AG$2,0)),0)</f>
        <v>1</v>
      </c>
      <c r="T16" s="136">
        <f>IFERROR(INDEX('(참조)CS_인건비'!$S$3:$AG$40,MATCH(CS_인건비!$A16,'(참조)CS_인건비'!$S$3:$S$40,0),MATCH('(참조)CS_인건비'!AE$2,'(참조)CS_인건비'!$S$2:$AG$2,0)),0)</f>
        <v>0</v>
      </c>
      <c r="U16" s="136">
        <f>IFERROR(INDEX('(참조)CS_인건비'!$S$3:$AG$40,MATCH(CS_인건비!$A16,'(참조)CS_인건비'!$S$3:$S$40,0),MATCH('(참조)CS_인건비'!AF$2,'(참조)CS_인건비'!$S$2:$AG$2,0)),0)</f>
        <v>0</v>
      </c>
      <c r="V16" s="136">
        <f>IFERROR(INDEX('(참조)CS_인건비'!$S$3:$AG$40,MATCH(CS_인건비!$A16,'(참조)CS_인건비'!$S$3:$S$40,0),MATCH('(참조)CS_인건비'!AG$2,'(참조)CS_인건비'!$S$2:$AG$2,0)),0)</f>
        <v>0</v>
      </c>
      <c r="W16" s="136">
        <f>IFERROR(INDEX('(참조)CS_인건비'!$S$3:$AG$40,MATCH(CS_인건비!$A16,'(참조)CS_인건비'!$S$3:$S$40,0),MATCH('(참조)CS_인건비'!AH$2,'(참조)CS_인건비'!$S$2:$AG$2,0)),0)</f>
        <v>0</v>
      </c>
      <c r="X16" s="137">
        <v>0</v>
      </c>
      <c r="Y16" s="137">
        <f>IFERROR(INDEX('(참조)CS_인건비'!$A$3:$O$40,MATCH(CS_인건비!$A16,'(참조)CS_인건비'!$A$3:$A$40,0),MATCH('(참조)CS_인건비'!F$2,'(참조)CS_인건비'!$A$2:$O$2,0)),0)</f>
        <v>6300000</v>
      </c>
      <c r="Z16" s="137">
        <f>IFERROR(INDEX('(참조)CS_인건비'!$A$3:$O$40,MATCH(CS_인건비!$A16,'(참조)CS_인건비'!$A$3:$A$40,0),MATCH('(참조)CS_인건비'!G$2,'(참조)CS_인건비'!$A$2:$O$2,0)),0)</f>
        <v>6394499.9999999991</v>
      </c>
      <c r="AA16" s="137">
        <f>IFERROR(INDEX('(참조)CS_인건비'!$A$3:$O$40,MATCH(CS_인건비!$A16,'(참조)CS_인건비'!$A$3:$A$40,0),MATCH('(참조)CS_인건비'!H$2,'(참조)CS_인건비'!$A$2:$O$2,0)),0)</f>
        <v>6490417.4999999981</v>
      </c>
      <c r="AB16" s="137">
        <f>IFERROR(INDEX('(참조)CS_인건비'!$A$3:$O$40,MATCH(CS_인건비!$A16,'(참조)CS_인건비'!$A$3:$A$40,0),MATCH('(참조)CS_인건비'!I$2,'(참조)CS_인건비'!$A$2:$O$2,0)),0)</f>
        <v>6587773.7624999974</v>
      </c>
      <c r="AC16" s="137">
        <f>IFERROR(INDEX('(참조)CS_인건비'!$A$3:$O$40,MATCH(CS_인건비!$A16,'(참조)CS_인건비'!$A$3:$A$40,0),MATCH('(참조)CS_인건비'!J$2,'(참조)CS_인건비'!$A$2:$O$2,0)),0)</f>
        <v>6686590.368937497</v>
      </c>
      <c r="AD16" s="137">
        <f>IFERROR(INDEX('(참조)CS_인건비'!$A$3:$O$40,MATCH(CS_인건비!$A16,'(참조)CS_인건비'!$A$3:$A$40,0),MATCH('(참조)CS_인건비'!K$2,'(참조)CS_인건비'!$A$2:$O$2,0)),0)</f>
        <v>6786889.2244715588</v>
      </c>
      <c r="AE16" s="137">
        <f>IFERROR(INDEX('(참조)CS_인건비'!$A$3:$O$40,MATCH(CS_인건비!$A16,'(참조)CS_인건비'!$A$3:$A$40,0),MATCH('(참조)CS_인건비'!L$2,'(참조)CS_인건비'!$A$2:$O$2,0)),0)</f>
        <v>6888692.5628386317</v>
      </c>
      <c r="AF16" s="137">
        <f>IFERROR(INDEX('(참조)CS_인건비'!$A$3:$O$40,MATCH(CS_인건비!$A16,'(참조)CS_인건비'!$A$3:$A$40,0),MATCH('(참조)CS_인건비'!M$2,'(참조)CS_인건비'!$A$2:$O$2,0)),0)</f>
        <v>0</v>
      </c>
      <c r="AG16" s="137">
        <f>IFERROR(INDEX('(참조)CS_인건비'!$A$3:$O$40,MATCH(CS_인건비!$A16,'(참조)CS_인건비'!$A$3:$A$40,0),MATCH('(참조)CS_인건비'!N$2,'(참조)CS_인건비'!$A$2:$O$2,0)),0)</f>
        <v>0</v>
      </c>
      <c r="AH16" s="137">
        <f>IFERROR(INDEX('(참조)CS_인건비'!$A$3:$O$40,MATCH(CS_인건비!$A16,'(참조)CS_인건비'!$A$3:$A$40,0),MATCH('(참조)CS_인건비'!O$2,'(참조)CS_인건비'!$A$2:$O$2,0)),0)</f>
        <v>0</v>
      </c>
      <c r="AI16" s="137">
        <f>IFERROR(INDEX('(참조)CS_인건비'!$A$3:$O$40,MATCH(CS_인건비!$A16,'(참조)CS_인건비'!$A$3:$A$40,0),MATCH('(참조)CS_인건비'!P$2,'(참조)CS_인건비'!$A$2:$O$2,0)),0)</f>
        <v>0</v>
      </c>
      <c r="AJ16" s="137">
        <v>12</v>
      </c>
      <c r="AK16" s="137">
        <v>12</v>
      </c>
      <c r="AL16" s="137">
        <v>12</v>
      </c>
      <c r="AM16" s="137">
        <v>12</v>
      </c>
      <c r="AN16" s="137">
        <v>12</v>
      </c>
      <c r="AO16" s="137">
        <v>12</v>
      </c>
      <c r="AP16" s="137">
        <v>12</v>
      </c>
      <c r="AQ16" s="137">
        <v>12</v>
      </c>
      <c r="AR16" s="137">
        <v>12</v>
      </c>
      <c r="AS16" s="137">
        <v>12</v>
      </c>
      <c r="AT16" s="137">
        <v>12</v>
      </c>
      <c r="AU16" s="138">
        <v>1</v>
      </c>
      <c r="AV16" s="135">
        <v>0</v>
      </c>
      <c r="AW16" s="135">
        <v>0</v>
      </c>
      <c r="AX16" s="139">
        <v>553618361.0249722</v>
      </c>
      <c r="AY16" s="139">
        <v>75600000</v>
      </c>
      <c r="AZ16" s="139">
        <v>76733999.999999985</v>
      </c>
      <c r="BA16" s="139">
        <v>77885009.999999985</v>
      </c>
      <c r="BB16" s="139">
        <v>79053285.149999961</v>
      </c>
      <c r="BC16" s="139">
        <v>80239084.427249968</v>
      </c>
      <c r="BD16" s="139">
        <v>81442670.69365871</v>
      </c>
      <c r="BE16" s="139">
        <v>82664310.754063562</v>
      </c>
      <c r="BF16" s="139">
        <v>0</v>
      </c>
      <c r="BG16" s="139">
        <v>0</v>
      </c>
      <c r="BH16" s="139">
        <v>0</v>
      </c>
      <c r="BI16" s="139">
        <v>0</v>
      </c>
      <c r="BJ16" s="140">
        <v>6300000</v>
      </c>
      <c r="BK16" s="139">
        <v>6300000</v>
      </c>
      <c r="BL16" s="139">
        <v>6300000</v>
      </c>
      <c r="BM16" s="139">
        <v>6300000</v>
      </c>
      <c r="BN16" s="139">
        <v>6300000</v>
      </c>
      <c r="BO16" s="139">
        <v>6300000</v>
      </c>
      <c r="BP16" s="139">
        <v>6300000</v>
      </c>
      <c r="BQ16" s="139">
        <v>6300000</v>
      </c>
      <c r="BR16" s="139">
        <v>6300000</v>
      </c>
      <c r="BS16" s="139">
        <v>6300000</v>
      </c>
      <c r="BT16" s="139">
        <v>6300000</v>
      </c>
      <c r="BU16" s="139">
        <v>6300000</v>
      </c>
      <c r="BV16" s="139">
        <v>6394499.9999999991</v>
      </c>
      <c r="BW16" s="139">
        <v>6394499.9999999991</v>
      </c>
      <c r="BX16" s="139">
        <v>6394499.9999999991</v>
      </c>
      <c r="BY16" s="139">
        <v>6394499.9999999991</v>
      </c>
      <c r="BZ16" s="139">
        <v>6394499.9999999991</v>
      </c>
      <c r="CA16" s="139">
        <v>6394499.9999999991</v>
      </c>
      <c r="CB16" s="139">
        <v>6394499.9999999991</v>
      </c>
      <c r="CC16" s="139">
        <v>6394499.9999999991</v>
      </c>
      <c r="CD16" s="139">
        <v>6394499.9999999991</v>
      </c>
      <c r="CE16" s="139">
        <v>6394499.9999999991</v>
      </c>
      <c r="CF16" s="139">
        <v>6394499.9999999991</v>
      </c>
      <c r="CG16" s="139">
        <v>6394499.9999999991</v>
      </c>
      <c r="CH16" s="139">
        <v>6490417.4999999981</v>
      </c>
      <c r="CI16" s="139">
        <v>6490417.4999999981</v>
      </c>
      <c r="CJ16" s="139">
        <v>6490417.4999999981</v>
      </c>
      <c r="CK16" s="139">
        <v>6490417.4999999981</v>
      </c>
      <c r="CL16" s="139">
        <v>6490417.4999999981</v>
      </c>
      <c r="CM16" s="139">
        <v>6490417.4999999981</v>
      </c>
      <c r="CN16" s="139">
        <v>6490417.4999999981</v>
      </c>
      <c r="CO16" s="139">
        <v>6490417.4999999981</v>
      </c>
      <c r="CP16" s="139">
        <v>6490417.4999999981</v>
      </c>
      <c r="CQ16" s="139">
        <v>6490417.4999999981</v>
      </c>
      <c r="CR16" s="139">
        <v>6490417.4999999981</v>
      </c>
      <c r="CS16" s="139">
        <v>6490417.4999999981</v>
      </c>
      <c r="CT16" s="139">
        <v>6587773.7624999974</v>
      </c>
      <c r="CU16" s="139">
        <v>6587773.7624999974</v>
      </c>
      <c r="CV16" s="139">
        <v>6587773.7624999974</v>
      </c>
      <c r="CW16" s="139">
        <v>6587773.7624999974</v>
      </c>
      <c r="CX16" s="139">
        <v>6587773.7624999974</v>
      </c>
      <c r="CY16" s="139">
        <v>6587773.7624999974</v>
      </c>
      <c r="CZ16" s="139">
        <v>6587773.7624999974</v>
      </c>
      <c r="DA16" s="139">
        <v>6587773.7624999974</v>
      </c>
      <c r="DB16" s="139">
        <v>6587773.7624999974</v>
      </c>
      <c r="DC16" s="139">
        <v>6587773.7624999974</v>
      </c>
      <c r="DD16" s="139">
        <v>6587773.7624999974</v>
      </c>
      <c r="DE16" s="139">
        <v>6587773.7624999974</v>
      </c>
      <c r="DF16" s="139">
        <v>6686590.368937497</v>
      </c>
      <c r="DG16" s="139">
        <v>6686590.368937497</v>
      </c>
      <c r="DH16" s="139">
        <v>6686590.368937497</v>
      </c>
      <c r="DI16" s="139">
        <v>6686590.368937497</v>
      </c>
      <c r="DJ16" s="139">
        <v>6686590.368937497</v>
      </c>
      <c r="DK16" s="139">
        <v>6686590.368937497</v>
      </c>
      <c r="DL16" s="139">
        <v>6686590.368937497</v>
      </c>
      <c r="DM16" s="139">
        <v>6686590.368937497</v>
      </c>
      <c r="DN16" s="139">
        <v>6686590.368937497</v>
      </c>
      <c r="DO16" s="139">
        <v>6686590.368937497</v>
      </c>
      <c r="DP16" s="139">
        <v>6686590.368937497</v>
      </c>
      <c r="DQ16" s="139">
        <v>6686590.368937497</v>
      </c>
      <c r="DR16" s="139">
        <v>6786889.2244715588</v>
      </c>
      <c r="DS16" s="139">
        <v>6786889.2244715588</v>
      </c>
      <c r="DT16" s="139">
        <v>6786889.2244715588</v>
      </c>
      <c r="DU16" s="139">
        <v>6786889.2244715588</v>
      </c>
      <c r="DV16" s="139">
        <v>6786889.2244715588</v>
      </c>
      <c r="DW16" s="139">
        <v>6786889.2244715588</v>
      </c>
      <c r="DX16" s="139">
        <v>6786889.2244715588</v>
      </c>
      <c r="DY16" s="139">
        <v>6786889.2244715588</v>
      </c>
      <c r="DZ16" s="139">
        <v>6786889.2244715588</v>
      </c>
      <c r="EA16" s="139">
        <v>6786889.2244715588</v>
      </c>
      <c r="EB16" s="139">
        <v>6786889.2244715588</v>
      </c>
      <c r="EC16" s="139">
        <v>6786889.2244715588</v>
      </c>
      <c r="ED16" s="139">
        <v>6888692.5628386317</v>
      </c>
      <c r="EE16" s="139">
        <v>6888692.5628386317</v>
      </c>
      <c r="EF16" s="139">
        <v>6888692.5628386317</v>
      </c>
      <c r="EG16" s="139">
        <v>6888692.5628386317</v>
      </c>
      <c r="EH16" s="139">
        <v>6888692.5628386317</v>
      </c>
      <c r="EI16" s="139">
        <v>6888692.5628386317</v>
      </c>
      <c r="EJ16" s="139">
        <v>6888692.5628386317</v>
      </c>
      <c r="EK16" s="139">
        <v>6888692.5628386317</v>
      </c>
      <c r="EL16" s="139">
        <v>6888692.5628386317</v>
      </c>
      <c r="EM16" s="139">
        <v>6888692.5628386317</v>
      </c>
      <c r="EN16" s="139">
        <v>6888692.5628386317</v>
      </c>
      <c r="EO16" s="139">
        <v>6888692.5628386317</v>
      </c>
      <c r="EP16" s="139">
        <v>0</v>
      </c>
      <c r="EQ16" s="139">
        <v>0</v>
      </c>
      <c r="ER16" s="139">
        <v>0</v>
      </c>
      <c r="ES16" s="139">
        <v>0</v>
      </c>
      <c r="ET16" s="139">
        <v>0</v>
      </c>
      <c r="EU16" s="139">
        <v>0</v>
      </c>
      <c r="EV16" s="139">
        <v>0</v>
      </c>
      <c r="EW16" s="139">
        <v>0</v>
      </c>
      <c r="EX16" s="139">
        <v>0</v>
      </c>
      <c r="EY16" s="139">
        <v>0</v>
      </c>
      <c r="EZ16" s="139">
        <v>0</v>
      </c>
      <c r="FA16" s="139">
        <v>0</v>
      </c>
      <c r="FB16" s="139">
        <v>0</v>
      </c>
      <c r="FC16" s="139">
        <v>0</v>
      </c>
      <c r="FD16" s="139">
        <v>0</v>
      </c>
      <c r="FE16" s="139">
        <v>0</v>
      </c>
      <c r="FF16" s="139">
        <v>0</v>
      </c>
      <c r="FG16" s="139">
        <v>0</v>
      </c>
      <c r="FH16" s="139">
        <v>0</v>
      </c>
      <c r="FI16" s="139">
        <v>0</v>
      </c>
      <c r="FJ16" s="139">
        <v>0</v>
      </c>
      <c r="FK16" s="139">
        <v>0</v>
      </c>
      <c r="FL16" s="139">
        <v>0</v>
      </c>
      <c r="FM16" s="139">
        <v>0</v>
      </c>
      <c r="FN16" s="139">
        <v>0</v>
      </c>
      <c r="FO16" s="139">
        <v>0</v>
      </c>
      <c r="FP16" s="139">
        <v>0</v>
      </c>
      <c r="FQ16" s="139">
        <v>0</v>
      </c>
      <c r="FR16" s="139">
        <v>0</v>
      </c>
      <c r="FS16" s="139">
        <v>0</v>
      </c>
      <c r="FT16" s="139">
        <v>0</v>
      </c>
      <c r="FU16" s="139">
        <v>0</v>
      </c>
      <c r="FV16" s="139">
        <v>0</v>
      </c>
      <c r="FW16" s="139">
        <v>0</v>
      </c>
      <c r="FX16" s="139">
        <v>0</v>
      </c>
      <c r="FY16" s="139">
        <v>0</v>
      </c>
      <c r="FZ16" s="139">
        <v>0</v>
      </c>
      <c r="GA16" s="139">
        <v>0</v>
      </c>
      <c r="GB16" s="139">
        <v>0</v>
      </c>
      <c r="GC16" s="139">
        <v>0</v>
      </c>
      <c r="GD16" s="139">
        <v>0</v>
      </c>
      <c r="GE16" s="139">
        <v>0</v>
      </c>
      <c r="GF16" s="139">
        <v>0</v>
      </c>
      <c r="GG16" s="139">
        <v>0</v>
      </c>
      <c r="GH16" s="139">
        <v>0</v>
      </c>
      <c r="GI16" s="139">
        <v>0</v>
      </c>
      <c r="GJ16" s="139">
        <v>0</v>
      </c>
      <c r="GK16" s="48">
        <v>0</v>
      </c>
      <c r="GL16" s="27"/>
    </row>
    <row r="17" spans="1:194" x14ac:dyDescent="0.3">
      <c r="A17" s="155" t="s">
        <v>371</v>
      </c>
      <c r="B17" s="135" t="s">
        <v>424</v>
      </c>
      <c r="C17" s="135" t="s">
        <v>277</v>
      </c>
      <c r="D17" s="135" t="s">
        <v>274</v>
      </c>
      <c r="E17" s="178" t="s">
        <v>186</v>
      </c>
      <c r="F17" s="194" t="s">
        <v>348</v>
      </c>
      <c r="G17" s="135" t="s">
        <v>349</v>
      </c>
      <c r="H17" s="135">
        <v>0</v>
      </c>
      <c r="I17" s="135">
        <v>0</v>
      </c>
      <c r="J17" s="135" t="s">
        <v>385</v>
      </c>
      <c r="K17" s="135">
        <v>0</v>
      </c>
      <c r="L17" s="135" t="s">
        <v>194</v>
      </c>
      <c r="M17" s="136">
        <f>IFERROR(INDEX('(참조)CS_인건비'!$S$3:$AG$40,MATCH(CS_인건비!$A17,'(참조)CS_인건비'!$S$3:$S$40,0),MATCH('(참조)CS_인건비'!X$2,'(참조)CS_인건비'!$S$2:$AG$2,0)),0)</f>
        <v>1</v>
      </c>
      <c r="N17" s="136">
        <f>IFERROR(INDEX('(참조)CS_인건비'!$S$3:$AG$40,MATCH(CS_인건비!$A17,'(참조)CS_인건비'!$S$3:$S$40,0),MATCH('(참조)CS_인건비'!Y$2,'(참조)CS_인건비'!$S$2:$AG$2,0)),0)</f>
        <v>1</v>
      </c>
      <c r="O17" s="136">
        <f>IFERROR(INDEX('(참조)CS_인건비'!$S$3:$AG$40,MATCH(CS_인건비!$A17,'(참조)CS_인건비'!$S$3:$S$40,0),MATCH('(참조)CS_인건비'!Z$2,'(참조)CS_인건비'!$S$2:$AG$2,0)),0)</f>
        <v>1</v>
      </c>
      <c r="P17" s="136">
        <f>IFERROR(INDEX('(참조)CS_인건비'!$S$3:$AG$40,MATCH(CS_인건비!$A17,'(참조)CS_인건비'!$S$3:$S$40,0),MATCH('(참조)CS_인건비'!AA$2,'(참조)CS_인건비'!$S$2:$AG$2,0)),0)</f>
        <v>1</v>
      </c>
      <c r="Q17" s="136">
        <f>IFERROR(INDEX('(참조)CS_인건비'!$S$3:$AG$40,MATCH(CS_인건비!$A17,'(참조)CS_인건비'!$S$3:$S$40,0),MATCH('(참조)CS_인건비'!AB$2,'(참조)CS_인건비'!$S$2:$AG$2,0)),0)</f>
        <v>1</v>
      </c>
      <c r="R17" s="136">
        <f>IFERROR(INDEX('(참조)CS_인건비'!$S$3:$AG$40,MATCH(CS_인건비!$A17,'(참조)CS_인건비'!$S$3:$S$40,0),MATCH('(참조)CS_인건비'!AC$2,'(참조)CS_인건비'!$S$2:$AG$2,0)),0)</f>
        <v>1</v>
      </c>
      <c r="S17" s="136">
        <f>IFERROR(INDEX('(참조)CS_인건비'!$S$3:$AG$40,MATCH(CS_인건비!$A17,'(참조)CS_인건비'!$S$3:$S$40,0),MATCH('(참조)CS_인건비'!AD$2,'(참조)CS_인건비'!$S$2:$AG$2,0)),0)</f>
        <v>1</v>
      </c>
      <c r="T17" s="136">
        <f>IFERROR(INDEX('(참조)CS_인건비'!$S$3:$AG$40,MATCH(CS_인건비!$A17,'(참조)CS_인건비'!$S$3:$S$40,0),MATCH('(참조)CS_인건비'!AE$2,'(참조)CS_인건비'!$S$2:$AG$2,0)),0)</f>
        <v>0</v>
      </c>
      <c r="U17" s="136">
        <f>IFERROR(INDEX('(참조)CS_인건비'!$S$3:$AG$40,MATCH(CS_인건비!$A17,'(참조)CS_인건비'!$S$3:$S$40,0),MATCH('(참조)CS_인건비'!AF$2,'(참조)CS_인건비'!$S$2:$AG$2,0)),0)</f>
        <v>0</v>
      </c>
      <c r="V17" s="136">
        <f>IFERROR(INDEX('(참조)CS_인건비'!$S$3:$AG$40,MATCH(CS_인건비!$A17,'(참조)CS_인건비'!$S$3:$S$40,0),MATCH('(참조)CS_인건비'!AG$2,'(참조)CS_인건비'!$S$2:$AG$2,0)),0)</f>
        <v>0</v>
      </c>
      <c r="W17" s="136">
        <f>IFERROR(INDEX('(참조)CS_인건비'!$S$3:$AG$40,MATCH(CS_인건비!$A17,'(참조)CS_인건비'!$S$3:$S$40,0),MATCH('(참조)CS_인건비'!AH$2,'(참조)CS_인건비'!$S$2:$AG$2,0)),0)</f>
        <v>0</v>
      </c>
      <c r="X17" s="137">
        <v>0</v>
      </c>
      <c r="Y17" s="137">
        <f>IFERROR(INDEX('(참조)CS_인건비'!$A$3:$O$40,MATCH(CS_인건비!$A17,'(참조)CS_인건비'!$A$3:$A$40,0),MATCH('(참조)CS_인건비'!F$2,'(참조)CS_인건비'!$A$2:$O$2,0)),0)</f>
        <v>5063256.0041666664</v>
      </c>
      <c r="Z17" s="137">
        <f>IFERROR(INDEX('(참조)CS_인건비'!$A$3:$O$40,MATCH(CS_인건비!$A17,'(참조)CS_인건비'!$A$3:$A$40,0),MATCH('(참조)CS_인건비'!G$2,'(참조)CS_인건비'!$A$2:$O$2,0)),0)</f>
        <v>5139204.8442291655</v>
      </c>
      <c r="AA17" s="137">
        <f>IFERROR(INDEX('(참조)CS_인건비'!$A$3:$O$40,MATCH(CS_인건비!$A17,'(참조)CS_인건비'!$A$3:$A$40,0),MATCH('(참조)CS_인건비'!H$2,'(참조)CS_인건비'!$A$2:$O$2,0)),0)</f>
        <v>5216292.9168926021</v>
      </c>
      <c r="AB17" s="137">
        <f>IFERROR(INDEX('(참조)CS_인건비'!$A$3:$O$40,MATCH(CS_인건비!$A17,'(참조)CS_인건비'!$A$3:$A$40,0),MATCH('(참조)CS_인건비'!I$2,'(참조)CS_인건비'!$A$2:$O$2,0)),0)</f>
        <v>5294537.310645991</v>
      </c>
      <c r="AC17" s="137">
        <f>IFERROR(INDEX('(참조)CS_인건비'!$A$3:$O$40,MATCH(CS_인건비!$A17,'(참조)CS_인건비'!$A$3:$A$40,0),MATCH('(참조)CS_인건비'!J$2,'(참조)CS_인건비'!$A$2:$O$2,0)),0)</f>
        <v>5373955.3703056807</v>
      </c>
      <c r="AD17" s="137">
        <f>IFERROR(INDEX('(참조)CS_인건비'!$A$3:$O$40,MATCH(CS_인건비!$A17,'(참조)CS_인건비'!$A$3:$A$40,0),MATCH('(참조)CS_인건비'!K$2,'(참조)CS_인건비'!$A$2:$O$2,0)),0)</f>
        <v>5454564.7008602656</v>
      </c>
      <c r="AE17" s="137">
        <f>IFERROR(INDEX('(참조)CS_인건비'!$A$3:$O$40,MATCH(CS_인건비!$A17,'(참조)CS_인건비'!$A$3:$A$40,0),MATCH('(참조)CS_인건비'!L$2,'(참조)CS_인건비'!$A$2:$O$2,0)),0)</f>
        <v>5536383.1713731689</v>
      </c>
      <c r="AF17" s="137">
        <f>IFERROR(INDEX('(참조)CS_인건비'!$A$3:$O$40,MATCH(CS_인건비!$A17,'(참조)CS_인건비'!$A$3:$A$40,0),MATCH('(참조)CS_인건비'!M$2,'(참조)CS_인건비'!$A$2:$O$2,0)),0)</f>
        <v>0</v>
      </c>
      <c r="AG17" s="137">
        <f>IFERROR(INDEX('(참조)CS_인건비'!$A$3:$O$40,MATCH(CS_인건비!$A17,'(참조)CS_인건비'!$A$3:$A$40,0),MATCH('(참조)CS_인건비'!N$2,'(참조)CS_인건비'!$A$2:$O$2,0)),0)</f>
        <v>0</v>
      </c>
      <c r="AH17" s="137">
        <f>IFERROR(INDEX('(참조)CS_인건비'!$A$3:$O$40,MATCH(CS_인건비!$A17,'(참조)CS_인건비'!$A$3:$A$40,0),MATCH('(참조)CS_인건비'!O$2,'(참조)CS_인건비'!$A$2:$O$2,0)),0)</f>
        <v>0</v>
      </c>
      <c r="AI17" s="137">
        <f>IFERROR(INDEX('(참조)CS_인건비'!$A$3:$O$40,MATCH(CS_인건비!$A17,'(참조)CS_인건비'!$A$3:$A$40,0),MATCH('(참조)CS_인건비'!P$2,'(참조)CS_인건비'!$A$2:$O$2,0)),0)</f>
        <v>0</v>
      </c>
      <c r="AJ17" s="137">
        <v>12</v>
      </c>
      <c r="AK17" s="137">
        <v>12</v>
      </c>
      <c r="AL17" s="137">
        <v>12</v>
      </c>
      <c r="AM17" s="137">
        <v>12</v>
      </c>
      <c r="AN17" s="137">
        <v>12</v>
      </c>
      <c r="AO17" s="137">
        <v>12</v>
      </c>
      <c r="AP17" s="137">
        <v>12</v>
      </c>
      <c r="AQ17" s="137">
        <v>12</v>
      </c>
      <c r="AR17" s="137">
        <v>12</v>
      </c>
      <c r="AS17" s="137">
        <v>12</v>
      </c>
      <c r="AT17" s="137">
        <v>12</v>
      </c>
      <c r="AU17" s="138">
        <v>1</v>
      </c>
      <c r="AV17" s="135">
        <v>0</v>
      </c>
      <c r="AW17" s="135">
        <v>0</v>
      </c>
      <c r="AX17" s="139">
        <v>444938331.82168245</v>
      </c>
      <c r="AY17" s="139">
        <v>60759072.049999982</v>
      </c>
      <c r="AZ17" s="139">
        <v>61670458.130749971</v>
      </c>
      <c r="BA17" s="139">
        <v>62595515.002711229</v>
      </c>
      <c r="BB17" s="139">
        <v>63534447.727751888</v>
      </c>
      <c r="BC17" s="139">
        <v>64487464.443668164</v>
      </c>
      <c r="BD17" s="139">
        <v>65454776.410323173</v>
      </c>
      <c r="BE17" s="139">
        <v>66436598.056478016</v>
      </c>
      <c r="BF17" s="139">
        <v>0</v>
      </c>
      <c r="BG17" s="139">
        <v>0</v>
      </c>
      <c r="BH17" s="139">
        <v>0</v>
      </c>
      <c r="BI17" s="139">
        <v>0</v>
      </c>
      <c r="BJ17" s="140">
        <v>5063256.0041666664</v>
      </c>
      <c r="BK17" s="139">
        <v>5063256.0041666664</v>
      </c>
      <c r="BL17" s="139">
        <v>5063256.0041666664</v>
      </c>
      <c r="BM17" s="139">
        <v>5063256.0041666664</v>
      </c>
      <c r="BN17" s="139">
        <v>5063256.0041666664</v>
      </c>
      <c r="BO17" s="139">
        <v>5063256.0041666664</v>
      </c>
      <c r="BP17" s="139">
        <v>5063256.0041666664</v>
      </c>
      <c r="BQ17" s="139">
        <v>5063256.0041666664</v>
      </c>
      <c r="BR17" s="139">
        <v>5063256.0041666664</v>
      </c>
      <c r="BS17" s="139">
        <v>5063256.0041666664</v>
      </c>
      <c r="BT17" s="139">
        <v>5063256.0041666664</v>
      </c>
      <c r="BU17" s="139">
        <v>5063256.0041666664</v>
      </c>
      <c r="BV17" s="139">
        <v>5139204.8442291655</v>
      </c>
      <c r="BW17" s="139">
        <v>5139204.8442291655</v>
      </c>
      <c r="BX17" s="139">
        <v>5139204.8442291655</v>
      </c>
      <c r="BY17" s="139">
        <v>5139204.8442291655</v>
      </c>
      <c r="BZ17" s="139">
        <v>5139204.8442291655</v>
      </c>
      <c r="CA17" s="139">
        <v>5139204.8442291655</v>
      </c>
      <c r="CB17" s="139">
        <v>5139204.8442291655</v>
      </c>
      <c r="CC17" s="139">
        <v>5139204.8442291655</v>
      </c>
      <c r="CD17" s="139">
        <v>5139204.8442291655</v>
      </c>
      <c r="CE17" s="139">
        <v>5139204.8442291655</v>
      </c>
      <c r="CF17" s="139">
        <v>5139204.8442291655</v>
      </c>
      <c r="CG17" s="139">
        <v>5139204.8442291655</v>
      </c>
      <c r="CH17" s="139">
        <v>5216292.9168926021</v>
      </c>
      <c r="CI17" s="139">
        <v>5216292.9168926021</v>
      </c>
      <c r="CJ17" s="139">
        <v>5216292.9168926021</v>
      </c>
      <c r="CK17" s="139">
        <v>5216292.9168926021</v>
      </c>
      <c r="CL17" s="139">
        <v>5216292.9168926021</v>
      </c>
      <c r="CM17" s="139">
        <v>5216292.9168926021</v>
      </c>
      <c r="CN17" s="139">
        <v>5216292.9168926021</v>
      </c>
      <c r="CO17" s="139">
        <v>5216292.9168926021</v>
      </c>
      <c r="CP17" s="139">
        <v>5216292.9168926021</v>
      </c>
      <c r="CQ17" s="139">
        <v>5216292.9168926021</v>
      </c>
      <c r="CR17" s="139">
        <v>5216292.9168926021</v>
      </c>
      <c r="CS17" s="139">
        <v>5216292.9168926021</v>
      </c>
      <c r="CT17" s="139">
        <v>5294537.310645991</v>
      </c>
      <c r="CU17" s="139">
        <v>5294537.310645991</v>
      </c>
      <c r="CV17" s="139">
        <v>5294537.310645991</v>
      </c>
      <c r="CW17" s="139">
        <v>5294537.310645991</v>
      </c>
      <c r="CX17" s="139">
        <v>5294537.310645991</v>
      </c>
      <c r="CY17" s="139">
        <v>5294537.310645991</v>
      </c>
      <c r="CZ17" s="139">
        <v>5294537.310645991</v>
      </c>
      <c r="DA17" s="139">
        <v>5294537.310645991</v>
      </c>
      <c r="DB17" s="139">
        <v>5294537.310645991</v>
      </c>
      <c r="DC17" s="139">
        <v>5294537.310645991</v>
      </c>
      <c r="DD17" s="139">
        <v>5294537.310645991</v>
      </c>
      <c r="DE17" s="139">
        <v>5294537.310645991</v>
      </c>
      <c r="DF17" s="139">
        <v>5373955.3703056807</v>
      </c>
      <c r="DG17" s="139">
        <v>5373955.3703056807</v>
      </c>
      <c r="DH17" s="139">
        <v>5373955.3703056807</v>
      </c>
      <c r="DI17" s="139">
        <v>5373955.3703056807</v>
      </c>
      <c r="DJ17" s="139">
        <v>5373955.3703056807</v>
      </c>
      <c r="DK17" s="139">
        <v>5373955.3703056807</v>
      </c>
      <c r="DL17" s="139">
        <v>5373955.3703056807</v>
      </c>
      <c r="DM17" s="139">
        <v>5373955.3703056807</v>
      </c>
      <c r="DN17" s="139">
        <v>5373955.3703056807</v>
      </c>
      <c r="DO17" s="139">
        <v>5373955.3703056807</v>
      </c>
      <c r="DP17" s="139">
        <v>5373955.3703056807</v>
      </c>
      <c r="DQ17" s="139">
        <v>5373955.3703056807</v>
      </c>
      <c r="DR17" s="139">
        <v>5454564.7008602656</v>
      </c>
      <c r="DS17" s="139">
        <v>5454564.7008602656</v>
      </c>
      <c r="DT17" s="139">
        <v>5454564.7008602656</v>
      </c>
      <c r="DU17" s="139">
        <v>5454564.7008602656</v>
      </c>
      <c r="DV17" s="139">
        <v>5454564.7008602656</v>
      </c>
      <c r="DW17" s="139">
        <v>5454564.7008602656</v>
      </c>
      <c r="DX17" s="139">
        <v>5454564.7008602656</v>
      </c>
      <c r="DY17" s="139">
        <v>5454564.7008602656</v>
      </c>
      <c r="DZ17" s="139">
        <v>5454564.7008602656</v>
      </c>
      <c r="EA17" s="139">
        <v>5454564.7008602656</v>
      </c>
      <c r="EB17" s="139">
        <v>5454564.7008602656</v>
      </c>
      <c r="EC17" s="139">
        <v>5454564.7008602656</v>
      </c>
      <c r="ED17" s="139">
        <v>5536383.1713731689</v>
      </c>
      <c r="EE17" s="139">
        <v>5536383.1713731689</v>
      </c>
      <c r="EF17" s="139">
        <v>5536383.1713731689</v>
      </c>
      <c r="EG17" s="139">
        <v>5536383.1713731689</v>
      </c>
      <c r="EH17" s="139">
        <v>5536383.1713731689</v>
      </c>
      <c r="EI17" s="139">
        <v>5536383.1713731689</v>
      </c>
      <c r="EJ17" s="139">
        <v>5536383.1713731689</v>
      </c>
      <c r="EK17" s="139">
        <v>5536383.1713731689</v>
      </c>
      <c r="EL17" s="139">
        <v>5536383.1713731689</v>
      </c>
      <c r="EM17" s="139">
        <v>5536383.1713731689</v>
      </c>
      <c r="EN17" s="139">
        <v>5536383.1713731689</v>
      </c>
      <c r="EO17" s="139">
        <v>5536383.1713731689</v>
      </c>
      <c r="EP17" s="139">
        <v>0</v>
      </c>
      <c r="EQ17" s="139">
        <v>0</v>
      </c>
      <c r="ER17" s="139">
        <v>0</v>
      </c>
      <c r="ES17" s="139">
        <v>0</v>
      </c>
      <c r="ET17" s="139">
        <v>0</v>
      </c>
      <c r="EU17" s="139">
        <v>0</v>
      </c>
      <c r="EV17" s="139">
        <v>0</v>
      </c>
      <c r="EW17" s="139">
        <v>0</v>
      </c>
      <c r="EX17" s="139">
        <v>0</v>
      </c>
      <c r="EY17" s="139">
        <v>0</v>
      </c>
      <c r="EZ17" s="139">
        <v>0</v>
      </c>
      <c r="FA17" s="139">
        <v>0</v>
      </c>
      <c r="FB17" s="139">
        <v>0</v>
      </c>
      <c r="FC17" s="139">
        <v>0</v>
      </c>
      <c r="FD17" s="139">
        <v>0</v>
      </c>
      <c r="FE17" s="139">
        <v>0</v>
      </c>
      <c r="FF17" s="139">
        <v>0</v>
      </c>
      <c r="FG17" s="139">
        <v>0</v>
      </c>
      <c r="FH17" s="139">
        <v>0</v>
      </c>
      <c r="FI17" s="139">
        <v>0</v>
      </c>
      <c r="FJ17" s="139">
        <v>0</v>
      </c>
      <c r="FK17" s="139">
        <v>0</v>
      </c>
      <c r="FL17" s="139">
        <v>0</v>
      </c>
      <c r="FM17" s="139">
        <v>0</v>
      </c>
      <c r="FN17" s="139">
        <v>0</v>
      </c>
      <c r="FO17" s="139">
        <v>0</v>
      </c>
      <c r="FP17" s="139">
        <v>0</v>
      </c>
      <c r="FQ17" s="139">
        <v>0</v>
      </c>
      <c r="FR17" s="139">
        <v>0</v>
      </c>
      <c r="FS17" s="139">
        <v>0</v>
      </c>
      <c r="FT17" s="139">
        <v>0</v>
      </c>
      <c r="FU17" s="139">
        <v>0</v>
      </c>
      <c r="FV17" s="139">
        <v>0</v>
      </c>
      <c r="FW17" s="139">
        <v>0</v>
      </c>
      <c r="FX17" s="139">
        <v>0</v>
      </c>
      <c r="FY17" s="139">
        <v>0</v>
      </c>
      <c r="FZ17" s="139">
        <v>0</v>
      </c>
      <c r="GA17" s="139">
        <v>0</v>
      </c>
      <c r="GB17" s="139">
        <v>0</v>
      </c>
      <c r="GC17" s="139">
        <v>0</v>
      </c>
      <c r="GD17" s="139">
        <v>0</v>
      </c>
      <c r="GE17" s="139">
        <v>0</v>
      </c>
      <c r="GF17" s="139">
        <v>0</v>
      </c>
      <c r="GG17" s="139">
        <v>0</v>
      </c>
      <c r="GH17" s="139">
        <v>0</v>
      </c>
      <c r="GI17" s="139">
        <v>0</v>
      </c>
      <c r="GJ17" s="139">
        <v>0</v>
      </c>
      <c r="GK17" s="48">
        <v>0</v>
      </c>
      <c r="GL17" s="27"/>
    </row>
    <row r="18" spans="1:194" x14ac:dyDescent="0.3">
      <c r="A18" s="155" t="s">
        <v>372</v>
      </c>
      <c r="B18" s="135" t="s">
        <v>424</v>
      </c>
      <c r="C18" s="135" t="s">
        <v>277</v>
      </c>
      <c r="D18" s="135" t="s">
        <v>274</v>
      </c>
      <c r="E18" s="178" t="s">
        <v>186</v>
      </c>
      <c r="F18" s="194" t="s">
        <v>348</v>
      </c>
      <c r="G18" s="135" t="s">
        <v>345</v>
      </c>
      <c r="H18" s="135">
        <v>0</v>
      </c>
      <c r="I18" s="135">
        <v>0</v>
      </c>
      <c r="J18" s="135" t="s">
        <v>385</v>
      </c>
      <c r="K18" s="135">
        <v>0</v>
      </c>
      <c r="L18" s="135" t="s">
        <v>194</v>
      </c>
      <c r="M18" s="136">
        <f>IFERROR(INDEX('(참조)CS_인건비'!$S$3:$AG$40,MATCH(CS_인건비!$A18,'(참조)CS_인건비'!$S$3:$S$40,0),MATCH('(참조)CS_인건비'!X$2,'(참조)CS_인건비'!$S$2:$AG$2,0)),0)</f>
        <v>3.9583333333333335</v>
      </c>
      <c r="N18" s="136">
        <f>IFERROR(INDEX('(참조)CS_인건비'!$S$3:$AG$40,MATCH(CS_인건비!$A18,'(참조)CS_인건비'!$S$3:$S$40,0),MATCH('(참조)CS_인건비'!Y$2,'(참조)CS_인건비'!$S$2:$AG$2,0)),0)</f>
        <v>3</v>
      </c>
      <c r="O18" s="136">
        <f>IFERROR(INDEX('(참조)CS_인건비'!$S$3:$AG$40,MATCH(CS_인건비!$A18,'(참조)CS_인건비'!$S$3:$S$40,0),MATCH('(참조)CS_인건비'!Z$2,'(참조)CS_인건비'!$S$2:$AG$2,0)),0)</f>
        <v>3</v>
      </c>
      <c r="P18" s="136">
        <f>IFERROR(INDEX('(참조)CS_인건비'!$S$3:$AG$40,MATCH(CS_인건비!$A18,'(참조)CS_인건비'!$S$3:$S$40,0),MATCH('(참조)CS_인건비'!AA$2,'(참조)CS_인건비'!$S$2:$AG$2,0)),0)</f>
        <v>3</v>
      </c>
      <c r="Q18" s="136">
        <f>IFERROR(INDEX('(참조)CS_인건비'!$S$3:$AG$40,MATCH(CS_인건비!$A18,'(참조)CS_인건비'!$S$3:$S$40,0),MATCH('(참조)CS_인건비'!AB$2,'(참조)CS_인건비'!$S$2:$AG$2,0)),0)</f>
        <v>3</v>
      </c>
      <c r="R18" s="136">
        <f>IFERROR(INDEX('(참조)CS_인건비'!$S$3:$AG$40,MATCH(CS_인건비!$A18,'(참조)CS_인건비'!$S$3:$S$40,0),MATCH('(참조)CS_인건비'!AC$2,'(참조)CS_인건비'!$S$2:$AG$2,0)),0)</f>
        <v>2.75</v>
      </c>
      <c r="S18" s="136">
        <f>IFERROR(INDEX('(참조)CS_인건비'!$S$3:$AG$40,MATCH(CS_인건비!$A18,'(참조)CS_인건비'!$S$3:$S$40,0),MATCH('(참조)CS_인건비'!AD$2,'(참조)CS_인건비'!$S$2:$AG$2,0)),0)</f>
        <v>2.5</v>
      </c>
      <c r="T18" s="136">
        <f>IFERROR(INDEX('(참조)CS_인건비'!$S$3:$AG$40,MATCH(CS_인건비!$A18,'(참조)CS_인건비'!$S$3:$S$40,0),MATCH('(참조)CS_인건비'!AE$2,'(참조)CS_인건비'!$S$2:$AG$2,0)),0)</f>
        <v>0</v>
      </c>
      <c r="U18" s="136">
        <f>IFERROR(INDEX('(참조)CS_인건비'!$S$3:$AG$40,MATCH(CS_인건비!$A18,'(참조)CS_인건비'!$S$3:$S$40,0),MATCH('(참조)CS_인건비'!AF$2,'(참조)CS_인건비'!$S$2:$AG$2,0)),0)</f>
        <v>0</v>
      </c>
      <c r="V18" s="136">
        <f>IFERROR(INDEX('(참조)CS_인건비'!$S$3:$AG$40,MATCH(CS_인건비!$A18,'(참조)CS_인건비'!$S$3:$S$40,0),MATCH('(참조)CS_인건비'!AG$2,'(참조)CS_인건비'!$S$2:$AG$2,0)),0)</f>
        <v>0</v>
      </c>
      <c r="W18" s="136">
        <f>IFERROR(INDEX('(참조)CS_인건비'!$S$3:$AG$40,MATCH(CS_인건비!$A18,'(참조)CS_인건비'!$S$3:$S$40,0),MATCH('(참조)CS_인건비'!AH$2,'(참조)CS_인건비'!$S$2:$AG$2,0)),0)</f>
        <v>0</v>
      </c>
      <c r="X18" s="137">
        <v>0</v>
      </c>
      <c r="Y18" s="137">
        <f>IFERROR(INDEX('(참조)CS_인건비'!$A$3:$O$40,MATCH(CS_인건비!$A18,'(참조)CS_인건비'!$A$3:$A$40,0),MATCH('(참조)CS_인건비'!F$2,'(참조)CS_인건비'!$A$2:$O$2,0)),0)</f>
        <v>3508024.7833333332</v>
      </c>
      <c r="Z18" s="137">
        <f>IFERROR(INDEX('(참조)CS_인건비'!$A$3:$O$40,MATCH(CS_인건비!$A18,'(참조)CS_인건비'!$A$3:$A$40,0),MATCH('(참조)CS_인건비'!G$2,'(참조)CS_인건비'!$A$2:$O$2,0)),0)</f>
        <v>3560645.1550833327</v>
      </c>
      <c r="AA18" s="137">
        <f>IFERROR(INDEX('(참조)CS_인건비'!$A$3:$O$40,MATCH(CS_인건비!$A18,'(참조)CS_인건비'!$A$3:$A$40,0),MATCH('(참조)CS_인건비'!H$2,'(참조)CS_인건비'!$A$2:$O$2,0)),0)</f>
        <v>3614054.8324095821</v>
      </c>
      <c r="AB18" s="137">
        <f>IFERROR(INDEX('(참조)CS_인건비'!$A$3:$O$40,MATCH(CS_인건비!$A18,'(참조)CS_인건비'!$A$3:$A$40,0),MATCH('(참조)CS_인건비'!I$2,'(참조)CS_인건비'!$A$2:$O$2,0)),0)</f>
        <v>3668265.6548957257</v>
      </c>
      <c r="AC18" s="137">
        <f>IFERROR(INDEX('(참조)CS_인건비'!$A$3:$O$40,MATCH(CS_인건비!$A18,'(참조)CS_인건비'!$A$3:$A$40,0),MATCH('(참조)CS_인건비'!J$2,'(참조)CS_인건비'!$A$2:$O$2,0)),0)</f>
        <v>3723289.6397191612</v>
      </c>
      <c r="AD18" s="137">
        <f>IFERROR(INDEX('(참조)CS_인건비'!$A$3:$O$40,MATCH(CS_인건비!$A18,'(참조)CS_인건비'!$A$3:$A$40,0),MATCH('(참조)CS_인건비'!K$2,'(참조)CS_인건비'!$A$2:$O$2,0)),0)</f>
        <v>3779138.9843149483</v>
      </c>
      <c r="AE18" s="137">
        <f>IFERROR(INDEX('(참조)CS_인건비'!$A$3:$O$40,MATCH(CS_인건비!$A18,'(참조)CS_인건비'!$A$3:$A$40,0),MATCH('(참조)CS_인건비'!L$2,'(참조)CS_인건비'!$A$2:$O$2,0)),0)</f>
        <v>3835826.069079672</v>
      </c>
      <c r="AF18" s="137">
        <f>IFERROR(INDEX('(참조)CS_인건비'!$A$3:$O$40,MATCH(CS_인건비!$A18,'(참조)CS_인건비'!$A$3:$A$40,0),MATCH('(참조)CS_인건비'!M$2,'(참조)CS_인건비'!$A$2:$O$2,0)),0)</f>
        <v>0</v>
      </c>
      <c r="AG18" s="137">
        <f>IFERROR(INDEX('(참조)CS_인건비'!$A$3:$O$40,MATCH(CS_인건비!$A18,'(참조)CS_인건비'!$A$3:$A$40,0),MATCH('(참조)CS_인건비'!N$2,'(참조)CS_인건비'!$A$2:$O$2,0)),0)</f>
        <v>0</v>
      </c>
      <c r="AH18" s="137">
        <f>IFERROR(INDEX('(참조)CS_인건비'!$A$3:$O$40,MATCH(CS_인건비!$A18,'(참조)CS_인건비'!$A$3:$A$40,0),MATCH('(참조)CS_인건비'!O$2,'(참조)CS_인건비'!$A$2:$O$2,0)),0)</f>
        <v>0</v>
      </c>
      <c r="AI18" s="137">
        <f>IFERROR(INDEX('(참조)CS_인건비'!$A$3:$O$40,MATCH(CS_인건비!$A18,'(참조)CS_인건비'!$A$3:$A$40,0),MATCH('(참조)CS_인건비'!P$2,'(참조)CS_인건비'!$A$2:$O$2,0)),0)</f>
        <v>0</v>
      </c>
      <c r="AJ18" s="137">
        <v>12</v>
      </c>
      <c r="AK18" s="137">
        <v>12</v>
      </c>
      <c r="AL18" s="137">
        <v>12</v>
      </c>
      <c r="AM18" s="137">
        <v>12</v>
      </c>
      <c r="AN18" s="137">
        <v>12</v>
      </c>
      <c r="AO18" s="137">
        <v>12</v>
      </c>
      <c r="AP18" s="137">
        <v>12</v>
      </c>
      <c r="AQ18" s="137">
        <v>12</v>
      </c>
      <c r="AR18" s="137">
        <v>12</v>
      </c>
      <c r="AS18" s="137">
        <v>12</v>
      </c>
      <c r="AT18" s="137">
        <v>12</v>
      </c>
      <c r="AU18" s="138">
        <v>1</v>
      </c>
      <c r="AV18" s="135">
        <v>0</v>
      </c>
      <c r="AW18" s="135">
        <v>0</v>
      </c>
      <c r="AX18" s="139">
        <v>930802735.91899765</v>
      </c>
      <c r="AY18" s="139">
        <v>166631177.20833337</v>
      </c>
      <c r="AZ18" s="139">
        <v>128183225.58299999</v>
      </c>
      <c r="BA18" s="139">
        <v>130105973.96674491</v>
      </c>
      <c r="BB18" s="139">
        <v>132057563.57624608</v>
      </c>
      <c r="BC18" s="139">
        <v>134038427.02988976</v>
      </c>
      <c r="BD18" s="139">
        <v>124711586.48239332</v>
      </c>
      <c r="BE18" s="139">
        <v>115074782.07239018</v>
      </c>
      <c r="BF18" s="139">
        <v>0</v>
      </c>
      <c r="BG18" s="139">
        <v>0</v>
      </c>
      <c r="BH18" s="139">
        <v>0</v>
      </c>
      <c r="BI18" s="139">
        <v>0</v>
      </c>
      <c r="BJ18" s="140">
        <v>13885931.434027778</v>
      </c>
      <c r="BK18" s="139">
        <v>13885931.434027778</v>
      </c>
      <c r="BL18" s="139">
        <v>13885931.434027778</v>
      </c>
      <c r="BM18" s="139">
        <v>13885931.434027778</v>
      </c>
      <c r="BN18" s="139">
        <v>13885931.434027778</v>
      </c>
      <c r="BO18" s="139">
        <v>13885931.434027778</v>
      </c>
      <c r="BP18" s="139">
        <v>13885931.434027778</v>
      </c>
      <c r="BQ18" s="139">
        <v>13885931.434027778</v>
      </c>
      <c r="BR18" s="139">
        <v>13885931.434027778</v>
      </c>
      <c r="BS18" s="139">
        <v>13885931.434027778</v>
      </c>
      <c r="BT18" s="139">
        <v>13885931.434027778</v>
      </c>
      <c r="BU18" s="139">
        <v>13885931.434027778</v>
      </c>
      <c r="BV18" s="139">
        <v>10681935.465249998</v>
      </c>
      <c r="BW18" s="139">
        <v>10681935.465249998</v>
      </c>
      <c r="BX18" s="139">
        <v>10681935.465249998</v>
      </c>
      <c r="BY18" s="139">
        <v>10681935.465249998</v>
      </c>
      <c r="BZ18" s="139">
        <v>10681935.465249998</v>
      </c>
      <c r="CA18" s="139">
        <v>10681935.465249998</v>
      </c>
      <c r="CB18" s="139">
        <v>10681935.465249998</v>
      </c>
      <c r="CC18" s="139">
        <v>10681935.465249998</v>
      </c>
      <c r="CD18" s="139">
        <v>10681935.465249998</v>
      </c>
      <c r="CE18" s="139">
        <v>10681935.465249998</v>
      </c>
      <c r="CF18" s="139">
        <v>10681935.465249998</v>
      </c>
      <c r="CG18" s="139">
        <v>10681935.465249998</v>
      </c>
      <c r="CH18" s="139">
        <v>10842164.497228745</v>
      </c>
      <c r="CI18" s="139">
        <v>10842164.497228745</v>
      </c>
      <c r="CJ18" s="139">
        <v>10842164.497228745</v>
      </c>
      <c r="CK18" s="139">
        <v>10842164.497228745</v>
      </c>
      <c r="CL18" s="139">
        <v>10842164.497228745</v>
      </c>
      <c r="CM18" s="139">
        <v>10842164.497228745</v>
      </c>
      <c r="CN18" s="139">
        <v>10842164.497228745</v>
      </c>
      <c r="CO18" s="139">
        <v>10842164.497228745</v>
      </c>
      <c r="CP18" s="139">
        <v>10842164.497228745</v>
      </c>
      <c r="CQ18" s="139">
        <v>10842164.497228745</v>
      </c>
      <c r="CR18" s="139">
        <v>10842164.497228745</v>
      </c>
      <c r="CS18" s="139">
        <v>10842164.497228745</v>
      </c>
      <c r="CT18" s="139">
        <v>11004796.964687176</v>
      </c>
      <c r="CU18" s="139">
        <v>11004796.964687176</v>
      </c>
      <c r="CV18" s="139">
        <v>11004796.964687176</v>
      </c>
      <c r="CW18" s="139">
        <v>11004796.964687176</v>
      </c>
      <c r="CX18" s="139">
        <v>11004796.964687176</v>
      </c>
      <c r="CY18" s="139">
        <v>11004796.964687176</v>
      </c>
      <c r="CZ18" s="139">
        <v>11004796.964687176</v>
      </c>
      <c r="DA18" s="139">
        <v>11004796.964687176</v>
      </c>
      <c r="DB18" s="139">
        <v>11004796.964687176</v>
      </c>
      <c r="DC18" s="139">
        <v>11004796.964687176</v>
      </c>
      <c r="DD18" s="139">
        <v>11004796.964687176</v>
      </c>
      <c r="DE18" s="139">
        <v>11004796.964687176</v>
      </c>
      <c r="DF18" s="139">
        <v>11169868.919157483</v>
      </c>
      <c r="DG18" s="139">
        <v>11169868.919157483</v>
      </c>
      <c r="DH18" s="139">
        <v>11169868.919157483</v>
      </c>
      <c r="DI18" s="139">
        <v>11169868.919157483</v>
      </c>
      <c r="DJ18" s="139">
        <v>11169868.919157483</v>
      </c>
      <c r="DK18" s="139">
        <v>11169868.919157483</v>
      </c>
      <c r="DL18" s="139">
        <v>11169868.919157483</v>
      </c>
      <c r="DM18" s="139">
        <v>11169868.919157483</v>
      </c>
      <c r="DN18" s="139">
        <v>11169868.919157483</v>
      </c>
      <c r="DO18" s="139">
        <v>11169868.919157483</v>
      </c>
      <c r="DP18" s="139">
        <v>11169868.919157483</v>
      </c>
      <c r="DQ18" s="139">
        <v>11169868.919157483</v>
      </c>
      <c r="DR18" s="139">
        <v>10392632.206866108</v>
      </c>
      <c r="DS18" s="139">
        <v>10392632.206866108</v>
      </c>
      <c r="DT18" s="139">
        <v>10392632.206866108</v>
      </c>
      <c r="DU18" s="139">
        <v>10392632.206866108</v>
      </c>
      <c r="DV18" s="139">
        <v>10392632.206866108</v>
      </c>
      <c r="DW18" s="139">
        <v>10392632.206866108</v>
      </c>
      <c r="DX18" s="139">
        <v>10392632.206866108</v>
      </c>
      <c r="DY18" s="139">
        <v>10392632.206866108</v>
      </c>
      <c r="DZ18" s="139">
        <v>10392632.206866108</v>
      </c>
      <c r="EA18" s="139">
        <v>10392632.206866108</v>
      </c>
      <c r="EB18" s="139">
        <v>10392632.206866108</v>
      </c>
      <c r="EC18" s="139">
        <v>10392632.206866108</v>
      </c>
      <c r="ED18" s="139">
        <v>9589565.1726991795</v>
      </c>
      <c r="EE18" s="139">
        <v>9589565.1726991795</v>
      </c>
      <c r="EF18" s="139">
        <v>9589565.1726991795</v>
      </c>
      <c r="EG18" s="139">
        <v>9589565.1726991795</v>
      </c>
      <c r="EH18" s="139">
        <v>9589565.1726991795</v>
      </c>
      <c r="EI18" s="139">
        <v>9589565.1726991795</v>
      </c>
      <c r="EJ18" s="139">
        <v>9589565.1726991795</v>
      </c>
      <c r="EK18" s="139">
        <v>9589565.1726991795</v>
      </c>
      <c r="EL18" s="139">
        <v>9589565.1726991795</v>
      </c>
      <c r="EM18" s="139">
        <v>9589565.1726991795</v>
      </c>
      <c r="EN18" s="139">
        <v>9589565.1726991795</v>
      </c>
      <c r="EO18" s="139">
        <v>9589565.1726991795</v>
      </c>
      <c r="EP18" s="139">
        <v>0</v>
      </c>
      <c r="EQ18" s="139">
        <v>0</v>
      </c>
      <c r="ER18" s="139">
        <v>0</v>
      </c>
      <c r="ES18" s="139">
        <v>0</v>
      </c>
      <c r="ET18" s="139">
        <v>0</v>
      </c>
      <c r="EU18" s="139">
        <v>0</v>
      </c>
      <c r="EV18" s="139">
        <v>0</v>
      </c>
      <c r="EW18" s="139">
        <v>0</v>
      </c>
      <c r="EX18" s="139">
        <v>0</v>
      </c>
      <c r="EY18" s="139">
        <v>0</v>
      </c>
      <c r="EZ18" s="139">
        <v>0</v>
      </c>
      <c r="FA18" s="139">
        <v>0</v>
      </c>
      <c r="FB18" s="139">
        <v>0</v>
      </c>
      <c r="FC18" s="139">
        <v>0</v>
      </c>
      <c r="FD18" s="139">
        <v>0</v>
      </c>
      <c r="FE18" s="139">
        <v>0</v>
      </c>
      <c r="FF18" s="139">
        <v>0</v>
      </c>
      <c r="FG18" s="139">
        <v>0</v>
      </c>
      <c r="FH18" s="139">
        <v>0</v>
      </c>
      <c r="FI18" s="139">
        <v>0</v>
      </c>
      <c r="FJ18" s="139">
        <v>0</v>
      </c>
      <c r="FK18" s="139">
        <v>0</v>
      </c>
      <c r="FL18" s="139">
        <v>0</v>
      </c>
      <c r="FM18" s="139">
        <v>0</v>
      </c>
      <c r="FN18" s="139">
        <v>0</v>
      </c>
      <c r="FO18" s="139">
        <v>0</v>
      </c>
      <c r="FP18" s="139">
        <v>0</v>
      </c>
      <c r="FQ18" s="139">
        <v>0</v>
      </c>
      <c r="FR18" s="139">
        <v>0</v>
      </c>
      <c r="FS18" s="139">
        <v>0</v>
      </c>
      <c r="FT18" s="139">
        <v>0</v>
      </c>
      <c r="FU18" s="139">
        <v>0</v>
      </c>
      <c r="FV18" s="139">
        <v>0</v>
      </c>
      <c r="FW18" s="139">
        <v>0</v>
      </c>
      <c r="FX18" s="139">
        <v>0</v>
      </c>
      <c r="FY18" s="139">
        <v>0</v>
      </c>
      <c r="FZ18" s="139">
        <v>0</v>
      </c>
      <c r="GA18" s="139">
        <v>0</v>
      </c>
      <c r="GB18" s="139">
        <v>0</v>
      </c>
      <c r="GC18" s="139">
        <v>0</v>
      </c>
      <c r="GD18" s="139">
        <v>0</v>
      </c>
      <c r="GE18" s="139">
        <v>0</v>
      </c>
      <c r="GF18" s="139">
        <v>0</v>
      </c>
      <c r="GG18" s="139">
        <v>0</v>
      </c>
      <c r="GH18" s="139">
        <v>0</v>
      </c>
      <c r="GI18" s="139">
        <v>0</v>
      </c>
      <c r="GJ18" s="139">
        <v>0</v>
      </c>
      <c r="GK18" s="48">
        <v>0</v>
      </c>
      <c r="GL18" s="27"/>
    </row>
    <row r="19" spans="1:194" x14ac:dyDescent="0.3">
      <c r="A19" s="155" t="s">
        <v>373</v>
      </c>
      <c r="B19" s="135" t="s">
        <v>424</v>
      </c>
      <c r="C19" s="135" t="s">
        <v>277</v>
      </c>
      <c r="D19" s="135" t="s">
        <v>274</v>
      </c>
      <c r="E19" s="178" t="s">
        <v>186</v>
      </c>
      <c r="F19" s="194" t="s">
        <v>348</v>
      </c>
      <c r="G19" s="135" t="s">
        <v>350</v>
      </c>
      <c r="H19" s="135">
        <v>0</v>
      </c>
      <c r="I19" s="135">
        <v>0</v>
      </c>
      <c r="J19" s="135" t="s">
        <v>385</v>
      </c>
      <c r="K19" s="135">
        <v>0</v>
      </c>
      <c r="L19" s="135" t="s">
        <v>194</v>
      </c>
      <c r="M19" s="136">
        <f>IFERROR(INDEX('(참조)CS_인건비'!$S$3:$AG$40,MATCH(CS_인건비!$A19,'(참조)CS_인건비'!$S$3:$S$40,0),MATCH('(참조)CS_인건비'!X$2,'(참조)CS_인건비'!$S$2:$AG$2,0)),0)</f>
        <v>1</v>
      </c>
      <c r="N19" s="136">
        <f>IFERROR(INDEX('(참조)CS_인건비'!$S$3:$AG$40,MATCH(CS_인건비!$A19,'(참조)CS_인건비'!$S$3:$S$40,0),MATCH('(참조)CS_인건비'!Y$2,'(참조)CS_인건비'!$S$2:$AG$2,0)),0)</f>
        <v>0</v>
      </c>
      <c r="O19" s="136">
        <f>IFERROR(INDEX('(참조)CS_인건비'!$S$3:$AG$40,MATCH(CS_인건비!$A19,'(참조)CS_인건비'!$S$3:$S$40,0),MATCH('(참조)CS_인건비'!Z$2,'(참조)CS_인건비'!$S$2:$AG$2,0)),0)</f>
        <v>0</v>
      </c>
      <c r="P19" s="136">
        <f>IFERROR(INDEX('(참조)CS_인건비'!$S$3:$AG$40,MATCH(CS_인건비!$A19,'(참조)CS_인건비'!$S$3:$S$40,0),MATCH('(참조)CS_인건비'!AA$2,'(참조)CS_인건비'!$S$2:$AG$2,0)),0)</f>
        <v>0</v>
      </c>
      <c r="Q19" s="136">
        <f>IFERROR(INDEX('(참조)CS_인건비'!$S$3:$AG$40,MATCH(CS_인건비!$A19,'(참조)CS_인건비'!$S$3:$S$40,0),MATCH('(참조)CS_인건비'!AB$2,'(참조)CS_인건비'!$S$2:$AG$2,0)),0)</f>
        <v>0</v>
      </c>
      <c r="R19" s="136">
        <f>IFERROR(INDEX('(참조)CS_인건비'!$S$3:$AG$40,MATCH(CS_인건비!$A19,'(참조)CS_인건비'!$S$3:$S$40,0),MATCH('(참조)CS_인건비'!AC$2,'(참조)CS_인건비'!$S$2:$AG$2,0)),0)</f>
        <v>0</v>
      </c>
      <c r="S19" s="136">
        <f>IFERROR(INDEX('(참조)CS_인건비'!$S$3:$AG$40,MATCH(CS_인건비!$A19,'(참조)CS_인건비'!$S$3:$S$40,0),MATCH('(참조)CS_인건비'!AD$2,'(참조)CS_인건비'!$S$2:$AG$2,0)),0)</f>
        <v>0</v>
      </c>
      <c r="T19" s="136">
        <f>IFERROR(INDEX('(참조)CS_인건비'!$S$3:$AG$40,MATCH(CS_인건비!$A19,'(참조)CS_인건비'!$S$3:$S$40,0),MATCH('(참조)CS_인건비'!AE$2,'(참조)CS_인건비'!$S$2:$AG$2,0)),0)</f>
        <v>0</v>
      </c>
      <c r="U19" s="136">
        <f>IFERROR(INDEX('(참조)CS_인건비'!$S$3:$AG$40,MATCH(CS_인건비!$A19,'(참조)CS_인건비'!$S$3:$S$40,0),MATCH('(참조)CS_인건비'!AF$2,'(참조)CS_인건비'!$S$2:$AG$2,0)),0)</f>
        <v>0</v>
      </c>
      <c r="V19" s="136">
        <f>IFERROR(INDEX('(참조)CS_인건비'!$S$3:$AG$40,MATCH(CS_인건비!$A19,'(참조)CS_인건비'!$S$3:$S$40,0),MATCH('(참조)CS_인건비'!AG$2,'(참조)CS_인건비'!$S$2:$AG$2,0)),0)</f>
        <v>0</v>
      </c>
      <c r="W19" s="136">
        <f>IFERROR(INDEX('(참조)CS_인건비'!$S$3:$AG$40,MATCH(CS_인건비!$A19,'(참조)CS_인건비'!$S$3:$S$40,0),MATCH('(참조)CS_인건비'!AH$2,'(참조)CS_인건비'!$S$2:$AG$2,0)),0)</f>
        <v>0</v>
      </c>
      <c r="X19" s="137">
        <v>0</v>
      </c>
      <c r="Y19" s="137">
        <f>IFERROR(INDEX('(참조)CS_인건비'!$A$3:$O$40,MATCH(CS_인건비!$A19,'(참조)CS_인건비'!$A$3:$A$40,0),MATCH('(참조)CS_인건비'!F$2,'(참조)CS_인건비'!$A$2:$O$2,0)),0)</f>
        <v>3149125.2708333335</v>
      </c>
      <c r="Z19" s="137">
        <f>IFERROR(INDEX('(참조)CS_인건비'!$A$3:$O$40,MATCH(CS_인건비!$A19,'(참조)CS_인건비'!$A$3:$A$40,0),MATCH('(참조)CS_인건비'!G$2,'(참조)CS_인건비'!$A$2:$O$2,0)),0)</f>
        <v>3196362.1498958333</v>
      </c>
      <c r="AA19" s="137">
        <f>IFERROR(INDEX('(참조)CS_인건비'!$A$3:$O$40,MATCH(CS_인건비!$A19,'(참조)CS_인건비'!$A$3:$A$40,0),MATCH('(참조)CS_인건비'!H$2,'(참조)CS_인건비'!$A$2:$O$2,0)),0)</f>
        <v>3244307.5821442707</v>
      </c>
      <c r="AB19" s="137">
        <f>IFERROR(INDEX('(참조)CS_인건비'!$A$3:$O$40,MATCH(CS_인건비!$A19,'(참조)CS_인건비'!$A$3:$A$40,0),MATCH('(참조)CS_인건비'!I$2,'(참조)CS_인건비'!$A$2:$O$2,0)),0)</f>
        <v>3292972.1958764344</v>
      </c>
      <c r="AC19" s="137">
        <f>IFERROR(INDEX('(참조)CS_인건비'!$A$3:$O$40,MATCH(CS_인건비!$A19,'(참조)CS_인건비'!$A$3:$A$40,0),MATCH('(참조)CS_인건비'!J$2,'(참조)CS_인건비'!$A$2:$O$2,0)),0)</f>
        <v>3342366.7788145808</v>
      </c>
      <c r="AD19" s="137">
        <f>IFERROR(INDEX('(참조)CS_인건비'!$A$3:$O$40,MATCH(CS_인건비!$A19,'(참조)CS_인건비'!$A$3:$A$40,0),MATCH('(참조)CS_인건비'!K$2,'(참조)CS_인건비'!$A$2:$O$2,0)),0)</f>
        <v>3392502.2804967989</v>
      </c>
      <c r="AE19" s="137">
        <f>IFERROR(INDEX('(참조)CS_인건비'!$A$3:$O$40,MATCH(CS_인건비!$A19,'(참조)CS_인건비'!$A$3:$A$40,0),MATCH('(참조)CS_인건비'!L$2,'(참조)CS_인건비'!$A$2:$O$2,0)),0)</f>
        <v>3443389.8147042505</v>
      </c>
      <c r="AF19" s="137">
        <f>IFERROR(INDEX('(참조)CS_인건비'!$A$3:$O$40,MATCH(CS_인건비!$A19,'(참조)CS_인건비'!$A$3:$A$40,0),MATCH('(참조)CS_인건비'!M$2,'(참조)CS_인건비'!$A$2:$O$2,0)),0)</f>
        <v>0</v>
      </c>
      <c r="AG19" s="137">
        <f>IFERROR(INDEX('(참조)CS_인건비'!$A$3:$O$40,MATCH(CS_인건비!$A19,'(참조)CS_인건비'!$A$3:$A$40,0),MATCH('(참조)CS_인건비'!N$2,'(참조)CS_인건비'!$A$2:$O$2,0)),0)</f>
        <v>0</v>
      </c>
      <c r="AH19" s="137">
        <f>IFERROR(INDEX('(참조)CS_인건비'!$A$3:$O$40,MATCH(CS_인건비!$A19,'(참조)CS_인건비'!$A$3:$A$40,0),MATCH('(참조)CS_인건비'!O$2,'(참조)CS_인건비'!$A$2:$O$2,0)),0)</f>
        <v>0</v>
      </c>
      <c r="AI19" s="137">
        <f>IFERROR(INDEX('(참조)CS_인건비'!$A$3:$O$40,MATCH(CS_인건비!$A19,'(참조)CS_인건비'!$A$3:$A$40,0),MATCH('(참조)CS_인건비'!P$2,'(참조)CS_인건비'!$A$2:$O$2,0)),0)</f>
        <v>0</v>
      </c>
      <c r="AJ19" s="137">
        <v>12</v>
      </c>
      <c r="AK19" s="137">
        <v>12</v>
      </c>
      <c r="AL19" s="137">
        <v>12</v>
      </c>
      <c r="AM19" s="137">
        <v>12</v>
      </c>
      <c r="AN19" s="137">
        <v>12</v>
      </c>
      <c r="AO19" s="137">
        <v>12</v>
      </c>
      <c r="AP19" s="137">
        <v>12</v>
      </c>
      <c r="AQ19" s="137">
        <v>12</v>
      </c>
      <c r="AR19" s="137">
        <v>12</v>
      </c>
      <c r="AS19" s="137">
        <v>12</v>
      </c>
      <c r="AT19" s="137">
        <v>12</v>
      </c>
      <c r="AU19" s="138">
        <v>1</v>
      </c>
      <c r="AV19" s="135">
        <v>0</v>
      </c>
      <c r="AW19" s="135">
        <v>0</v>
      </c>
      <c r="AX19" s="139">
        <v>37789503.25</v>
      </c>
      <c r="AY19" s="139">
        <v>37789503.25</v>
      </c>
      <c r="AZ19" s="139">
        <v>0</v>
      </c>
      <c r="BA19" s="139">
        <v>0</v>
      </c>
      <c r="BB19" s="139">
        <v>0</v>
      </c>
      <c r="BC19" s="139">
        <v>0</v>
      </c>
      <c r="BD19" s="139">
        <v>0</v>
      </c>
      <c r="BE19" s="139">
        <v>0</v>
      </c>
      <c r="BF19" s="139">
        <v>0</v>
      </c>
      <c r="BG19" s="139">
        <v>0</v>
      </c>
      <c r="BH19" s="139">
        <v>0</v>
      </c>
      <c r="BI19" s="139">
        <v>0</v>
      </c>
      <c r="BJ19" s="140">
        <v>3149125.2708333335</v>
      </c>
      <c r="BK19" s="139">
        <v>3149125.2708333335</v>
      </c>
      <c r="BL19" s="139">
        <v>3149125.2708333335</v>
      </c>
      <c r="BM19" s="139">
        <v>3149125.2708333335</v>
      </c>
      <c r="BN19" s="139">
        <v>3149125.2708333335</v>
      </c>
      <c r="BO19" s="139">
        <v>3149125.2708333335</v>
      </c>
      <c r="BP19" s="139">
        <v>3149125.2708333335</v>
      </c>
      <c r="BQ19" s="139">
        <v>3149125.2708333335</v>
      </c>
      <c r="BR19" s="139">
        <v>3149125.2708333335</v>
      </c>
      <c r="BS19" s="139">
        <v>3149125.2708333335</v>
      </c>
      <c r="BT19" s="139">
        <v>3149125.2708333335</v>
      </c>
      <c r="BU19" s="139">
        <v>3149125.2708333335</v>
      </c>
      <c r="BV19" s="139">
        <v>0</v>
      </c>
      <c r="BW19" s="139">
        <v>0</v>
      </c>
      <c r="BX19" s="139">
        <v>0</v>
      </c>
      <c r="BY19" s="139">
        <v>0</v>
      </c>
      <c r="BZ19" s="139">
        <v>0</v>
      </c>
      <c r="CA19" s="139">
        <v>0</v>
      </c>
      <c r="CB19" s="139">
        <v>0</v>
      </c>
      <c r="CC19" s="139">
        <v>0</v>
      </c>
      <c r="CD19" s="139">
        <v>0</v>
      </c>
      <c r="CE19" s="139">
        <v>0</v>
      </c>
      <c r="CF19" s="139">
        <v>0</v>
      </c>
      <c r="CG19" s="139">
        <v>0</v>
      </c>
      <c r="CH19" s="139">
        <v>0</v>
      </c>
      <c r="CI19" s="139">
        <v>0</v>
      </c>
      <c r="CJ19" s="139">
        <v>0</v>
      </c>
      <c r="CK19" s="139">
        <v>0</v>
      </c>
      <c r="CL19" s="139">
        <v>0</v>
      </c>
      <c r="CM19" s="139">
        <v>0</v>
      </c>
      <c r="CN19" s="139">
        <v>0</v>
      </c>
      <c r="CO19" s="139">
        <v>0</v>
      </c>
      <c r="CP19" s="139">
        <v>0</v>
      </c>
      <c r="CQ19" s="139">
        <v>0</v>
      </c>
      <c r="CR19" s="139">
        <v>0</v>
      </c>
      <c r="CS19" s="139">
        <v>0</v>
      </c>
      <c r="CT19" s="139">
        <v>0</v>
      </c>
      <c r="CU19" s="139">
        <v>0</v>
      </c>
      <c r="CV19" s="139">
        <v>0</v>
      </c>
      <c r="CW19" s="139">
        <v>0</v>
      </c>
      <c r="CX19" s="139">
        <v>0</v>
      </c>
      <c r="CY19" s="139">
        <v>0</v>
      </c>
      <c r="CZ19" s="139">
        <v>0</v>
      </c>
      <c r="DA19" s="139">
        <v>0</v>
      </c>
      <c r="DB19" s="139">
        <v>0</v>
      </c>
      <c r="DC19" s="139">
        <v>0</v>
      </c>
      <c r="DD19" s="139">
        <v>0</v>
      </c>
      <c r="DE19" s="139">
        <v>0</v>
      </c>
      <c r="DF19" s="139">
        <v>0</v>
      </c>
      <c r="DG19" s="139">
        <v>0</v>
      </c>
      <c r="DH19" s="139">
        <v>0</v>
      </c>
      <c r="DI19" s="139">
        <v>0</v>
      </c>
      <c r="DJ19" s="139">
        <v>0</v>
      </c>
      <c r="DK19" s="139">
        <v>0</v>
      </c>
      <c r="DL19" s="139">
        <v>0</v>
      </c>
      <c r="DM19" s="139">
        <v>0</v>
      </c>
      <c r="DN19" s="139">
        <v>0</v>
      </c>
      <c r="DO19" s="139">
        <v>0</v>
      </c>
      <c r="DP19" s="139">
        <v>0</v>
      </c>
      <c r="DQ19" s="139">
        <v>0</v>
      </c>
      <c r="DR19" s="139">
        <v>0</v>
      </c>
      <c r="DS19" s="139">
        <v>0</v>
      </c>
      <c r="DT19" s="139">
        <v>0</v>
      </c>
      <c r="DU19" s="139">
        <v>0</v>
      </c>
      <c r="DV19" s="139">
        <v>0</v>
      </c>
      <c r="DW19" s="139">
        <v>0</v>
      </c>
      <c r="DX19" s="139">
        <v>0</v>
      </c>
      <c r="DY19" s="139">
        <v>0</v>
      </c>
      <c r="DZ19" s="139">
        <v>0</v>
      </c>
      <c r="EA19" s="139">
        <v>0</v>
      </c>
      <c r="EB19" s="139">
        <v>0</v>
      </c>
      <c r="EC19" s="139">
        <v>0</v>
      </c>
      <c r="ED19" s="139">
        <v>0</v>
      </c>
      <c r="EE19" s="139">
        <v>0</v>
      </c>
      <c r="EF19" s="139">
        <v>0</v>
      </c>
      <c r="EG19" s="139">
        <v>0</v>
      </c>
      <c r="EH19" s="139">
        <v>0</v>
      </c>
      <c r="EI19" s="139">
        <v>0</v>
      </c>
      <c r="EJ19" s="139">
        <v>0</v>
      </c>
      <c r="EK19" s="139">
        <v>0</v>
      </c>
      <c r="EL19" s="139">
        <v>0</v>
      </c>
      <c r="EM19" s="139">
        <v>0</v>
      </c>
      <c r="EN19" s="139">
        <v>0</v>
      </c>
      <c r="EO19" s="139">
        <v>0</v>
      </c>
      <c r="EP19" s="139">
        <v>0</v>
      </c>
      <c r="EQ19" s="139">
        <v>0</v>
      </c>
      <c r="ER19" s="139">
        <v>0</v>
      </c>
      <c r="ES19" s="139">
        <v>0</v>
      </c>
      <c r="ET19" s="139">
        <v>0</v>
      </c>
      <c r="EU19" s="139">
        <v>0</v>
      </c>
      <c r="EV19" s="139">
        <v>0</v>
      </c>
      <c r="EW19" s="139">
        <v>0</v>
      </c>
      <c r="EX19" s="139">
        <v>0</v>
      </c>
      <c r="EY19" s="139">
        <v>0</v>
      </c>
      <c r="EZ19" s="139">
        <v>0</v>
      </c>
      <c r="FA19" s="139">
        <v>0</v>
      </c>
      <c r="FB19" s="139">
        <v>0</v>
      </c>
      <c r="FC19" s="139">
        <v>0</v>
      </c>
      <c r="FD19" s="139">
        <v>0</v>
      </c>
      <c r="FE19" s="139">
        <v>0</v>
      </c>
      <c r="FF19" s="139">
        <v>0</v>
      </c>
      <c r="FG19" s="139">
        <v>0</v>
      </c>
      <c r="FH19" s="139">
        <v>0</v>
      </c>
      <c r="FI19" s="139">
        <v>0</v>
      </c>
      <c r="FJ19" s="139">
        <v>0</v>
      </c>
      <c r="FK19" s="139">
        <v>0</v>
      </c>
      <c r="FL19" s="139">
        <v>0</v>
      </c>
      <c r="FM19" s="139">
        <v>0</v>
      </c>
      <c r="FN19" s="139">
        <v>0</v>
      </c>
      <c r="FO19" s="139">
        <v>0</v>
      </c>
      <c r="FP19" s="139">
        <v>0</v>
      </c>
      <c r="FQ19" s="139">
        <v>0</v>
      </c>
      <c r="FR19" s="139">
        <v>0</v>
      </c>
      <c r="FS19" s="139">
        <v>0</v>
      </c>
      <c r="FT19" s="139">
        <v>0</v>
      </c>
      <c r="FU19" s="139">
        <v>0</v>
      </c>
      <c r="FV19" s="139">
        <v>0</v>
      </c>
      <c r="FW19" s="139">
        <v>0</v>
      </c>
      <c r="FX19" s="139">
        <v>0</v>
      </c>
      <c r="FY19" s="139">
        <v>0</v>
      </c>
      <c r="FZ19" s="139">
        <v>0</v>
      </c>
      <c r="GA19" s="139">
        <v>0</v>
      </c>
      <c r="GB19" s="139">
        <v>0</v>
      </c>
      <c r="GC19" s="139">
        <v>0</v>
      </c>
      <c r="GD19" s="139">
        <v>0</v>
      </c>
      <c r="GE19" s="139">
        <v>0</v>
      </c>
      <c r="GF19" s="139">
        <v>0</v>
      </c>
      <c r="GG19" s="139">
        <v>0</v>
      </c>
      <c r="GH19" s="139">
        <v>0</v>
      </c>
      <c r="GI19" s="139">
        <v>0</v>
      </c>
      <c r="GJ19" s="139">
        <v>0</v>
      </c>
      <c r="GK19" s="48">
        <v>0</v>
      </c>
      <c r="GL19" s="27"/>
    </row>
    <row r="20" spans="1:194" x14ac:dyDescent="0.3">
      <c r="A20" s="155" t="s">
        <v>374</v>
      </c>
      <c r="B20" s="135" t="s">
        <v>424</v>
      </c>
      <c r="C20" s="135" t="s">
        <v>277</v>
      </c>
      <c r="D20" s="135" t="s">
        <v>274</v>
      </c>
      <c r="E20" s="178" t="s">
        <v>186</v>
      </c>
      <c r="F20" s="194" t="s">
        <v>348</v>
      </c>
      <c r="G20" s="141" t="s">
        <v>347</v>
      </c>
      <c r="H20" s="141">
        <v>0</v>
      </c>
      <c r="I20" s="135">
        <v>0</v>
      </c>
      <c r="J20" s="135" t="s">
        <v>385</v>
      </c>
      <c r="K20" s="135">
        <v>0</v>
      </c>
      <c r="L20" s="135" t="s">
        <v>194</v>
      </c>
      <c r="M20" s="136">
        <f>IFERROR(INDEX('(참조)CS_인건비'!$S$3:$AG$40,MATCH(CS_인건비!$A20,'(참조)CS_인건비'!$S$3:$S$40,0),MATCH('(참조)CS_인건비'!X$2,'(참조)CS_인건비'!$S$2:$AG$2,0)),0)</f>
        <v>1</v>
      </c>
      <c r="N20" s="136">
        <f>IFERROR(INDEX('(참조)CS_인건비'!$S$3:$AG$40,MATCH(CS_인건비!$A20,'(참조)CS_인건비'!$S$3:$S$40,0),MATCH('(참조)CS_인건비'!Y$2,'(참조)CS_인건비'!$S$2:$AG$2,0)),0)</f>
        <v>1</v>
      </c>
      <c r="O20" s="136">
        <f>IFERROR(INDEX('(참조)CS_인건비'!$S$3:$AG$40,MATCH(CS_인건비!$A20,'(참조)CS_인건비'!$S$3:$S$40,0),MATCH('(참조)CS_인건비'!Z$2,'(참조)CS_인건비'!$S$2:$AG$2,0)),0)</f>
        <v>1</v>
      </c>
      <c r="P20" s="136">
        <f>IFERROR(INDEX('(참조)CS_인건비'!$S$3:$AG$40,MATCH(CS_인건비!$A20,'(참조)CS_인건비'!$S$3:$S$40,0),MATCH('(참조)CS_인건비'!AA$2,'(참조)CS_인건비'!$S$2:$AG$2,0)),0)</f>
        <v>1</v>
      </c>
      <c r="Q20" s="136">
        <f>IFERROR(INDEX('(참조)CS_인건비'!$S$3:$AG$40,MATCH(CS_인건비!$A20,'(참조)CS_인건비'!$S$3:$S$40,0),MATCH('(참조)CS_인건비'!AB$2,'(참조)CS_인건비'!$S$2:$AG$2,0)),0)</f>
        <v>1</v>
      </c>
      <c r="R20" s="136">
        <f>IFERROR(INDEX('(참조)CS_인건비'!$S$3:$AG$40,MATCH(CS_인건비!$A20,'(참조)CS_인건비'!$S$3:$S$40,0),MATCH('(참조)CS_인건비'!AC$2,'(참조)CS_인건비'!$S$2:$AG$2,0)),0)</f>
        <v>1</v>
      </c>
      <c r="S20" s="136">
        <f>IFERROR(INDEX('(참조)CS_인건비'!$S$3:$AG$40,MATCH(CS_인건비!$A20,'(참조)CS_인건비'!$S$3:$S$40,0),MATCH('(참조)CS_인건비'!AD$2,'(참조)CS_인건비'!$S$2:$AG$2,0)),0)</f>
        <v>1</v>
      </c>
      <c r="T20" s="136">
        <f>IFERROR(INDEX('(참조)CS_인건비'!$S$3:$AG$40,MATCH(CS_인건비!$A20,'(참조)CS_인건비'!$S$3:$S$40,0),MATCH('(참조)CS_인건비'!AE$2,'(참조)CS_인건비'!$S$2:$AG$2,0)),0)</f>
        <v>0</v>
      </c>
      <c r="U20" s="136">
        <f>IFERROR(INDEX('(참조)CS_인건비'!$S$3:$AG$40,MATCH(CS_인건비!$A20,'(참조)CS_인건비'!$S$3:$S$40,0),MATCH('(참조)CS_인건비'!AF$2,'(참조)CS_인건비'!$S$2:$AG$2,0)),0)</f>
        <v>0</v>
      </c>
      <c r="V20" s="136">
        <f>IFERROR(INDEX('(참조)CS_인건비'!$S$3:$AG$40,MATCH(CS_인건비!$A20,'(참조)CS_인건비'!$S$3:$S$40,0),MATCH('(참조)CS_인건비'!AG$2,'(참조)CS_인건비'!$S$2:$AG$2,0)),0)</f>
        <v>0</v>
      </c>
      <c r="W20" s="136">
        <f>IFERROR(INDEX('(참조)CS_인건비'!$S$3:$AG$40,MATCH(CS_인건비!$A20,'(참조)CS_인건비'!$S$3:$S$40,0),MATCH('(참조)CS_인건비'!AH$2,'(참조)CS_인건비'!$S$2:$AG$2,0)),0)</f>
        <v>0</v>
      </c>
      <c r="X20" s="137">
        <v>0</v>
      </c>
      <c r="Y20" s="137">
        <f>IFERROR(INDEX('(참조)CS_인건비'!$A$3:$O$40,MATCH(CS_인건비!$A20,'(참조)CS_인건비'!$A$3:$A$40,0),MATCH('(참조)CS_인건비'!F$2,'(참조)CS_인건비'!$A$2:$O$2,0)),0)</f>
        <v>2670592.5874999999</v>
      </c>
      <c r="Z20" s="137">
        <f>IFERROR(INDEX('(참조)CS_인건비'!$A$3:$O$40,MATCH(CS_인건비!$A20,'(참조)CS_인건비'!$A$3:$A$40,0),MATCH('(참조)CS_인건비'!G$2,'(참조)CS_인건비'!$A$2:$O$2,0)),0)</f>
        <v>2710651.4763124995</v>
      </c>
      <c r="AA20" s="137">
        <f>IFERROR(INDEX('(참조)CS_인건비'!$A$3:$O$40,MATCH(CS_인건비!$A20,'(참조)CS_인건비'!$A$3:$A$40,0),MATCH('(참조)CS_인건비'!H$2,'(참조)CS_인건비'!$A$2:$O$2,0)),0)</f>
        <v>2751311.2484571869</v>
      </c>
      <c r="AB20" s="137">
        <f>IFERROR(INDEX('(참조)CS_인건비'!$A$3:$O$40,MATCH(CS_인건비!$A20,'(참조)CS_인건비'!$A$3:$A$40,0),MATCH('(참조)CS_인건비'!I$2,'(참조)CS_인건비'!$A$2:$O$2,0)),0)</f>
        <v>2792580.9171840446</v>
      </c>
      <c r="AC20" s="137">
        <f>IFERROR(INDEX('(참조)CS_인건비'!$A$3:$O$40,MATCH(CS_인건비!$A20,'(참조)CS_인건비'!$A$3:$A$40,0),MATCH('(참조)CS_인건비'!J$2,'(참조)CS_인건비'!$A$2:$O$2,0)),0)</f>
        <v>2834469.630941805</v>
      </c>
      <c r="AD20" s="137">
        <f>IFERROR(INDEX('(참조)CS_인건비'!$A$3:$O$40,MATCH(CS_인건비!$A20,'(참조)CS_인건비'!$A$3:$A$40,0),MATCH('(참조)CS_인건비'!K$2,'(참조)CS_인건비'!$A$2:$O$2,0)),0)</f>
        <v>2876986.6754059317</v>
      </c>
      <c r="AE20" s="137">
        <f>IFERROR(INDEX('(참조)CS_인건비'!$A$3:$O$40,MATCH(CS_인건비!$A20,'(참조)CS_인건비'!$A$3:$A$40,0),MATCH('(참조)CS_인건비'!L$2,'(참조)CS_인건비'!$A$2:$O$2,0)),0)</f>
        <v>2920141.4755370202</v>
      </c>
      <c r="AF20" s="137">
        <f>IFERROR(INDEX('(참조)CS_인건비'!$A$3:$O$40,MATCH(CS_인건비!$A20,'(참조)CS_인건비'!$A$3:$A$40,0),MATCH('(참조)CS_인건비'!M$2,'(참조)CS_인건비'!$A$2:$O$2,0)),0)</f>
        <v>0</v>
      </c>
      <c r="AG20" s="137">
        <f>IFERROR(INDEX('(참조)CS_인건비'!$A$3:$O$40,MATCH(CS_인건비!$A20,'(참조)CS_인건비'!$A$3:$A$40,0),MATCH('(참조)CS_인건비'!N$2,'(참조)CS_인건비'!$A$2:$O$2,0)),0)</f>
        <v>0</v>
      </c>
      <c r="AH20" s="137">
        <f>IFERROR(INDEX('(참조)CS_인건비'!$A$3:$O$40,MATCH(CS_인건비!$A20,'(참조)CS_인건비'!$A$3:$A$40,0),MATCH('(참조)CS_인건비'!O$2,'(참조)CS_인건비'!$A$2:$O$2,0)),0)</f>
        <v>0</v>
      </c>
      <c r="AI20" s="137">
        <f>IFERROR(INDEX('(참조)CS_인건비'!$A$3:$O$40,MATCH(CS_인건비!$A20,'(참조)CS_인건비'!$A$3:$A$40,0),MATCH('(참조)CS_인건비'!P$2,'(참조)CS_인건비'!$A$2:$O$2,0)),0)</f>
        <v>0</v>
      </c>
      <c r="AJ20" s="137">
        <v>12</v>
      </c>
      <c r="AK20" s="137">
        <v>12</v>
      </c>
      <c r="AL20" s="137">
        <v>12</v>
      </c>
      <c r="AM20" s="137">
        <v>12</v>
      </c>
      <c r="AN20" s="137">
        <v>12</v>
      </c>
      <c r="AO20" s="137">
        <v>12</v>
      </c>
      <c r="AP20" s="137">
        <v>12</v>
      </c>
      <c r="AQ20" s="137">
        <v>12</v>
      </c>
      <c r="AR20" s="137">
        <v>12</v>
      </c>
      <c r="AS20" s="137">
        <v>12</v>
      </c>
      <c r="AT20" s="137">
        <v>12</v>
      </c>
      <c r="AU20" s="138">
        <v>1</v>
      </c>
      <c r="AV20" s="135">
        <v>0</v>
      </c>
      <c r="AW20" s="135">
        <v>0</v>
      </c>
      <c r="AX20" s="139">
        <v>234680808.13606182</v>
      </c>
      <c r="AY20" s="139">
        <v>32047111.049999993</v>
      </c>
      <c r="AZ20" s="139">
        <v>32527817.715749994</v>
      </c>
      <c r="BA20" s="139">
        <v>33015734.981486235</v>
      </c>
      <c r="BB20" s="139">
        <v>33510971.006208528</v>
      </c>
      <c r="BC20" s="139">
        <v>34013635.571301661</v>
      </c>
      <c r="BD20" s="139">
        <v>34523840.104871176</v>
      </c>
      <c r="BE20" s="139">
        <v>35041697.706444241</v>
      </c>
      <c r="BF20" s="139">
        <v>0</v>
      </c>
      <c r="BG20" s="139">
        <v>0</v>
      </c>
      <c r="BH20" s="139">
        <v>0</v>
      </c>
      <c r="BI20" s="139">
        <v>0</v>
      </c>
      <c r="BJ20" s="140">
        <v>2670592.5874999999</v>
      </c>
      <c r="BK20" s="139">
        <v>2670592.5874999999</v>
      </c>
      <c r="BL20" s="139">
        <v>2670592.5874999999</v>
      </c>
      <c r="BM20" s="139">
        <v>2670592.5874999999</v>
      </c>
      <c r="BN20" s="139">
        <v>2670592.5874999999</v>
      </c>
      <c r="BO20" s="139">
        <v>2670592.5874999999</v>
      </c>
      <c r="BP20" s="139">
        <v>2670592.5874999999</v>
      </c>
      <c r="BQ20" s="139">
        <v>2670592.5874999999</v>
      </c>
      <c r="BR20" s="139">
        <v>2670592.5874999999</v>
      </c>
      <c r="BS20" s="139">
        <v>2670592.5874999999</v>
      </c>
      <c r="BT20" s="139">
        <v>2670592.5874999999</v>
      </c>
      <c r="BU20" s="139">
        <v>2670592.5874999999</v>
      </c>
      <c r="BV20" s="139">
        <v>2710651.4763124995</v>
      </c>
      <c r="BW20" s="139">
        <v>2710651.4763124995</v>
      </c>
      <c r="BX20" s="139">
        <v>2710651.4763124995</v>
      </c>
      <c r="BY20" s="139">
        <v>2710651.4763124995</v>
      </c>
      <c r="BZ20" s="139">
        <v>2710651.4763124995</v>
      </c>
      <c r="CA20" s="139">
        <v>2710651.4763124995</v>
      </c>
      <c r="CB20" s="139">
        <v>2710651.4763124995</v>
      </c>
      <c r="CC20" s="139">
        <v>2710651.4763124995</v>
      </c>
      <c r="CD20" s="139">
        <v>2710651.4763124995</v>
      </c>
      <c r="CE20" s="139">
        <v>2710651.4763124995</v>
      </c>
      <c r="CF20" s="139">
        <v>2710651.4763124995</v>
      </c>
      <c r="CG20" s="139">
        <v>2710651.4763124995</v>
      </c>
      <c r="CH20" s="139">
        <v>2751311.2484571869</v>
      </c>
      <c r="CI20" s="139">
        <v>2751311.2484571869</v>
      </c>
      <c r="CJ20" s="139">
        <v>2751311.2484571869</v>
      </c>
      <c r="CK20" s="139">
        <v>2751311.2484571869</v>
      </c>
      <c r="CL20" s="139">
        <v>2751311.2484571869</v>
      </c>
      <c r="CM20" s="139">
        <v>2751311.2484571869</v>
      </c>
      <c r="CN20" s="139">
        <v>2751311.2484571869</v>
      </c>
      <c r="CO20" s="139">
        <v>2751311.2484571869</v>
      </c>
      <c r="CP20" s="139">
        <v>2751311.2484571869</v>
      </c>
      <c r="CQ20" s="139">
        <v>2751311.2484571869</v>
      </c>
      <c r="CR20" s="139">
        <v>2751311.2484571869</v>
      </c>
      <c r="CS20" s="139">
        <v>2751311.2484571869</v>
      </c>
      <c r="CT20" s="139">
        <v>2792580.9171840446</v>
      </c>
      <c r="CU20" s="139">
        <v>2792580.9171840446</v>
      </c>
      <c r="CV20" s="139">
        <v>2792580.9171840446</v>
      </c>
      <c r="CW20" s="139">
        <v>2792580.9171840446</v>
      </c>
      <c r="CX20" s="139">
        <v>2792580.9171840446</v>
      </c>
      <c r="CY20" s="139">
        <v>2792580.9171840446</v>
      </c>
      <c r="CZ20" s="139">
        <v>2792580.9171840446</v>
      </c>
      <c r="DA20" s="139">
        <v>2792580.9171840446</v>
      </c>
      <c r="DB20" s="139">
        <v>2792580.9171840446</v>
      </c>
      <c r="DC20" s="139">
        <v>2792580.9171840446</v>
      </c>
      <c r="DD20" s="139">
        <v>2792580.9171840446</v>
      </c>
      <c r="DE20" s="139">
        <v>2792580.9171840446</v>
      </c>
      <c r="DF20" s="139">
        <v>2834469.630941805</v>
      </c>
      <c r="DG20" s="139">
        <v>2834469.630941805</v>
      </c>
      <c r="DH20" s="139">
        <v>2834469.630941805</v>
      </c>
      <c r="DI20" s="139">
        <v>2834469.630941805</v>
      </c>
      <c r="DJ20" s="139">
        <v>2834469.630941805</v>
      </c>
      <c r="DK20" s="139">
        <v>2834469.630941805</v>
      </c>
      <c r="DL20" s="139">
        <v>2834469.630941805</v>
      </c>
      <c r="DM20" s="139">
        <v>2834469.630941805</v>
      </c>
      <c r="DN20" s="139">
        <v>2834469.630941805</v>
      </c>
      <c r="DO20" s="139">
        <v>2834469.630941805</v>
      </c>
      <c r="DP20" s="139">
        <v>2834469.630941805</v>
      </c>
      <c r="DQ20" s="139">
        <v>2834469.630941805</v>
      </c>
      <c r="DR20" s="139">
        <v>2876986.6754059317</v>
      </c>
      <c r="DS20" s="139">
        <v>2876986.6754059317</v>
      </c>
      <c r="DT20" s="139">
        <v>2876986.6754059317</v>
      </c>
      <c r="DU20" s="139">
        <v>2876986.6754059317</v>
      </c>
      <c r="DV20" s="139">
        <v>2876986.6754059317</v>
      </c>
      <c r="DW20" s="139">
        <v>2876986.6754059317</v>
      </c>
      <c r="DX20" s="139">
        <v>2876986.6754059317</v>
      </c>
      <c r="DY20" s="139">
        <v>2876986.6754059317</v>
      </c>
      <c r="DZ20" s="139">
        <v>2876986.6754059317</v>
      </c>
      <c r="EA20" s="139">
        <v>2876986.6754059317</v>
      </c>
      <c r="EB20" s="139">
        <v>2876986.6754059317</v>
      </c>
      <c r="EC20" s="139">
        <v>2876986.6754059317</v>
      </c>
      <c r="ED20" s="139">
        <v>2920141.4755370202</v>
      </c>
      <c r="EE20" s="139">
        <v>2920141.4755370202</v>
      </c>
      <c r="EF20" s="139">
        <v>2920141.4755370202</v>
      </c>
      <c r="EG20" s="139">
        <v>2920141.4755370202</v>
      </c>
      <c r="EH20" s="139">
        <v>2920141.4755370202</v>
      </c>
      <c r="EI20" s="139">
        <v>2920141.4755370202</v>
      </c>
      <c r="EJ20" s="139">
        <v>2920141.4755370202</v>
      </c>
      <c r="EK20" s="139">
        <v>2920141.4755370202</v>
      </c>
      <c r="EL20" s="139">
        <v>2920141.4755370202</v>
      </c>
      <c r="EM20" s="139">
        <v>2920141.4755370202</v>
      </c>
      <c r="EN20" s="139">
        <v>2920141.4755370202</v>
      </c>
      <c r="EO20" s="139">
        <v>2920141.4755370202</v>
      </c>
      <c r="EP20" s="139">
        <v>0</v>
      </c>
      <c r="EQ20" s="139">
        <v>0</v>
      </c>
      <c r="ER20" s="139">
        <v>0</v>
      </c>
      <c r="ES20" s="139">
        <v>0</v>
      </c>
      <c r="ET20" s="139">
        <v>0</v>
      </c>
      <c r="EU20" s="139">
        <v>0</v>
      </c>
      <c r="EV20" s="139">
        <v>0</v>
      </c>
      <c r="EW20" s="139">
        <v>0</v>
      </c>
      <c r="EX20" s="139">
        <v>0</v>
      </c>
      <c r="EY20" s="139">
        <v>0</v>
      </c>
      <c r="EZ20" s="139">
        <v>0</v>
      </c>
      <c r="FA20" s="139">
        <v>0</v>
      </c>
      <c r="FB20" s="139">
        <v>0</v>
      </c>
      <c r="FC20" s="139">
        <v>0</v>
      </c>
      <c r="FD20" s="139">
        <v>0</v>
      </c>
      <c r="FE20" s="139">
        <v>0</v>
      </c>
      <c r="FF20" s="139">
        <v>0</v>
      </c>
      <c r="FG20" s="139">
        <v>0</v>
      </c>
      <c r="FH20" s="139">
        <v>0</v>
      </c>
      <c r="FI20" s="139">
        <v>0</v>
      </c>
      <c r="FJ20" s="139">
        <v>0</v>
      </c>
      <c r="FK20" s="139">
        <v>0</v>
      </c>
      <c r="FL20" s="139">
        <v>0</v>
      </c>
      <c r="FM20" s="139">
        <v>0</v>
      </c>
      <c r="FN20" s="139">
        <v>0</v>
      </c>
      <c r="FO20" s="139">
        <v>0</v>
      </c>
      <c r="FP20" s="139">
        <v>0</v>
      </c>
      <c r="FQ20" s="139">
        <v>0</v>
      </c>
      <c r="FR20" s="139">
        <v>0</v>
      </c>
      <c r="FS20" s="139">
        <v>0</v>
      </c>
      <c r="FT20" s="139">
        <v>0</v>
      </c>
      <c r="FU20" s="139">
        <v>0</v>
      </c>
      <c r="FV20" s="139">
        <v>0</v>
      </c>
      <c r="FW20" s="139">
        <v>0</v>
      </c>
      <c r="FX20" s="139">
        <v>0</v>
      </c>
      <c r="FY20" s="139">
        <v>0</v>
      </c>
      <c r="FZ20" s="139">
        <v>0</v>
      </c>
      <c r="GA20" s="139">
        <v>0</v>
      </c>
      <c r="GB20" s="139">
        <v>0</v>
      </c>
      <c r="GC20" s="139">
        <v>0</v>
      </c>
      <c r="GD20" s="139">
        <v>0</v>
      </c>
      <c r="GE20" s="139">
        <v>0</v>
      </c>
      <c r="GF20" s="139">
        <v>0</v>
      </c>
      <c r="GG20" s="139">
        <v>0</v>
      </c>
      <c r="GH20" s="139">
        <v>0</v>
      </c>
      <c r="GI20" s="139">
        <v>0</v>
      </c>
      <c r="GJ20" s="139">
        <v>0</v>
      </c>
      <c r="GK20" s="48">
        <v>0</v>
      </c>
      <c r="GL20" s="27"/>
    </row>
    <row r="21" spans="1:194" x14ac:dyDescent="0.3">
      <c r="A21" s="155" t="s">
        <v>375</v>
      </c>
      <c r="B21" s="135" t="s">
        <v>424</v>
      </c>
      <c r="C21" s="135" t="s">
        <v>277</v>
      </c>
      <c r="D21" s="135" t="s">
        <v>274</v>
      </c>
      <c r="E21" s="178" t="s">
        <v>169</v>
      </c>
      <c r="F21" s="194" t="s">
        <v>348</v>
      </c>
      <c r="G21" s="141" t="s">
        <v>351</v>
      </c>
      <c r="H21" s="141">
        <v>0</v>
      </c>
      <c r="I21" s="135">
        <v>0</v>
      </c>
      <c r="J21" s="135" t="s">
        <v>385</v>
      </c>
      <c r="K21" s="135">
        <v>0</v>
      </c>
      <c r="L21" s="135" t="s">
        <v>194</v>
      </c>
      <c r="M21" s="136">
        <f>IFERROR(INDEX('(참조)CS_인건비'!$S$3:$AG$40,MATCH(CS_인건비!$A21,'(참조)CS_인건비'!$S$3:$S$40,0),MATCH('(참조)CS_인건비'!X$2,'(참조)CS_인건비'!$S$2:$AG$2,0)),0)</f>
        <v>22</v>
      </c>
      <c r="N21" s="136">
        <f>IFERROR(INDEX('(참조)CS_인건비'!$S$3:$AG$40,MATCH(CS_인건비!$A21,'(참조)CS_인건비'!$S$3:$S$40,0),MATCH('(참조)CS_인건비'!Y$2,'(참조)CS_인건비'!$S$2:$AG$2,0)),0)</f>
        <v>17.333333333333332</v>
      </c>
      <c r="O21" s="136">
        <f>IFERROR(INDEX('(참조)CS_인건비'!$S$3:$AG$40,MATCH(CS_인건비!$A21,'(참조)CS_인건비'!$S$3:$S$40,0),MATCH('(참조)CS_인건비'!Z$2,'(참조)CS_인건비'!$S$2:$AG$2,0)),0)</f>
        <v>13.752712959920752</v>
      </c>
      <c r="P21" s="136">
        <f>IFERROR(INDEX('(참조)CS_인건비'!$S$3:$AG$40,MATCH(CS_인건비!$A21,'(참조)CS_인건비'!$S$3:$S$40,0),MATCH('(참조)CS_인건비'!AA$2,'(참조)CS_인건비'!$S$2:$AG$2,0)),0)</f>
        <v>12.986478220798285</v>
      </c>
      <c r="Q21" s="136">
        <f>IFERROR(INDEX('(참조)CS_인건비'!$S$3:$AG$40,MATCH(CS_인건비!$A21,'(참조)CS_인건비'!$S$3:$S$40,0),MATCH('(참조)CS_인건비'!AB$2,'(참조)CS_인건비'!$S$2:$AG$2,0)),0)</f>
        <v>12.54643745419795</v>
      </c>
      <c r="R21" s="136">
        <f>IFERROR(INDEX('(참조)CS_인건비'!$S$3:$AG$40,MATCH(CS_인건비!$A21,'(참조)CS_인건비'!$S$3:$S$40,0),MATCH('(참조)CS_인건비'!AC$2,'(참조)CS_인건비'!$S$2:$AG$2,0)),0)</f>
        <v>11.86901511770589</v>
      </c>
      <c r="S21" s="136">
        <f>IFERROR(INDEX('(참조)CS_인건비'!$S$3:$AG$40,MATCH(CS_인건비!$A21,'(참조)CS_인건비'!$S$3:$S$40,0),MATCH('(참조)CS_인건비'!AD$2,'(참조)CS_인건비'!$S$2:$AG$2,0)),0)</f>
        <v>12</v>
      </c>
      <c r="T21" s="136">
        <f>IFERROR(INDEX('(참조)CS_인건비'!$S$3:$AG$40,MATCH(CS_인건비!$A21,'(참조)CS_인건비'!$S$3:$S$40,0),MATCH('(참조)CS_인건비'!AE$2,'(참조)CS_인건비'!$S$2:$AG$2,0)),0)</f>
        <v>0</v>
      </c>
      <c r="U21" s="136">
        <f>IFERROR(INDEX('(참조)CS_인건비'!$S$3:$AG$40,MATCH(CS_인건비!$A21,'(참조)CS_인건비'!$S$3:$S$40,0),MATCH('(참조)CS_인건비'!AF$2,'(참조)CS_인건비'!$S$2:$AG$2,0)),0)</f>
        <v>0</v>
      </c>
      <c r="V21" s="136">
        <f>IFERROR(INDEX('(참조)CS_인건비'!$S$3:$AG$40,MATCH(CS_인건비!$A21,'(참조)CS_인건비'!$S$3:$S$40,0),MATCH('(참조)CS_인건비'!AG$2,'(참조)CS_인건비'!$S$2:$AG$2,0)),0)</f>
        <v>0</v>
      </c>
      <c r="W21" s="136">
        <f>IFERROR(INDEX('(참조)CS_인건비'!$S$3:$AG$40,MATCH(CS_인건비!$A21,'(참조)CS_인건비'!$S$3:$S$40,0),MATCH('(참조)CS_인건비'!AH$2,'(참조)CS_인건비'!$S$2:$AG$2,0)),0)</f>
        <v>0</v>
      </c>
      <c r="X21" s="137">
        <v>0</v>
      </c>
      <c r="Y21" s="137">
        <f>IFERROR(INDEX('(참조)CS_인건비'!$A$3:$O$40,MATCH(CS_인건비!$A21,'(참조)CS_인건비'!$A$3:$A$40,0),MATCH('(참조)CS_인건비'!F$2,'(참조)CS_인건비'!$A$2:$O$2,0)),0)</f>
        <v>2670592.5874999999</v>
      </c>
      <c r="Z21" s="137">
        <f>IFERROR(INDEX('(참조)CS_인건비'!$A$3:$O$40,MATCH(CS_인건비!$A21,'(참조)CS_인건비'!$A$3:$A$40,0),MATCH('(참조)CS_인건비'!G$2,'(참조)CS_인건비'!$A$2:$O$2,0)),0)</f>
        <v>2710651.4763124995</v>
      </c>
      <c r="AA21" s="137">
        <f>IFERROR(INDEX('(참조)CS_인건비'!$A$3:$O$40,MATCH(CS_인건비!$A21,'(참조)CS_인건비'!$A$3:$A$40,0),MATCH('(참조)CS_인건비'!H$2,'(참조)CS_인건비'!$A$2:$O$2,0)),0)</f>
        <v>2751311.2484571869</v>
      </c>
      <c r="AB21" s="137">
        <f>IFERROR(INDEX('(참조)CS_인건비'!$A$3:$O$40,MATCH(CS_인건비!$A21,'(참조)CS_인건비'!$A$3:$A$40,0),MATCH('(참조)CS_인건비'!I$2,'(참조)CS_인건비'!$A$2:$O$2,0)),0)</f>
        <v>2792580.9171840446</v>
      </c>
      <c r="AC21" s="137">
        <f>IFERROR(INDEX('(참조)CS_인건비'!$A$3:$O$40,MATCH(CS_인건비!$A21,'(참조)CS_인건비'!$A$3:$A$40,0),MATCH('(참조)CS_인건비'!J$2,'(참조)CS_인건비'!$A$2:$O$2,0)),0)</f>
        <v>2834469.630941805</v>
      </c>
      <c r="AD21" s="137">
        <f>IFERROR(INDEX('(참조)CS_인건비'!$A$3:$O$40,MATCH(CS_인건비!$A21,'(참조)CS_인건비'!$A$3:$A$40,0),MATCH('(참조)CS_인건비'!K$2,'(참조)CS_인건비'!$A$2:$O$2,0)),0)</f>
        <v>2876986.6754059317</v>
      </c>
      <c r="AE21" s="137">
        <f>IFERROR(INDEX('(참조)CS_인건비'!$A$3:$O$40,MATCH(CS_인건비!$A21,'(참조)CS_인건비'!$A$3:$A$40,0),MATCH('(참조)CS_인건비'!L$2,'(참조)CS_인건비'!$A$2:$O$2,0)),0)</f>
        <v>2920141.4755370202</v>
      </c>
      <c r="AF21" s="137">
        <f>IFERROR(INDEX('(참조)CS_인건비'!$A$3:$O$40,MATCH(CS_인건비!$A21,'(참조)CS_인건비'!$A$3:$A$40,0),MATCH('(참조)CS_인건비'!M$2,'(참조)CS_인건비'!$A$2:$O$2,0)),0)</f>
        <v>0</v>
      </c>
      <c r="AG21" s="137">
        <f>IFERROR(INDEX('(참조)CS_인건비'!$A$3:$O$40,MATCH(CS_인건비!$A21,'(참조)CS_인건비'!$A$3:$A$40,0),MATCH('(참조)CS_인건비'!N$2,'(참조)CS_인건비'!$A$2:$O$2,0)),0)</f>
        <v>0</v>
      </c>
      <c r="AH21" s="137">
        <f>IFERROR(INDEX('(참조)CS_인건비'!$A$3:$O$40,MATCH(CS_인건비!$A21,'(참조)CS_인건비'!$A$3:$A$40,0),MATCH('(참조)CS_인건비'!O$2,'(참조)CS_인건비'!$A$2:$O$2,0)),0)</f>
        <v>0</v>
      </c>
      <c r="AI21" s="137">
        <f>IFERROR(INDEX('(참조)CS_인건비'!$A$3:$O$40,MATCH(CS_인건비!$A21,'(참조)CS_인건비'!$A$3:$A$40,0),MATCH('(참조)CS_인건비'!P$2,'(참조)CS_인건비'!$A$2:$O$2,0)),0)</f>
        <v>0</v>
      </c>
      <c r="AJ21" s="137">
        <v>12</v>
      </c>
      <c r="AK21" s="137">
        <v>12</v>
      </c>
      <c r="AL21" s="137">
        <v>12</v>
      </c>
      <c r="AM21" s="137">
        <v>12</v>
      </c>
      <c r="AN21" s="137">
        <v>12</v>
      </c>
      <c r="AO21" s="137">
        <v>12</v>
      </c>
      <c r="AP21" s="137">
        <v>12</v>
      </c>
      <c r="AQ21" s="137">
        <v>12</v>
      </c>
      <c r="AR21" s="137">
        <v>12</v>
      </c>
      <c r="AS21" s="137">
        <v>12</v>
      </c>
      <c r="AT21" s="137">
        <v>12</v>
      </c>
      <c r="AU21" s="138">
        <v>1</v>
      </c>
      <c r="AV21" s="135">
        <v>0</v>
      </c>
      <c r="AW21" s="135">
        <v>0</v>
      </c>
      <c r="AX21" s="139">
        <v>3415111675.5526509</v>
      </c>
      <c r="AY21" s="139">
        <v>705036443.0999999</v>
      </c>
      <c r="AZ21" s="139">
        <v>563815507.07299972</v>
      </c>
      <c r="BA21" s="139">
        <v>454055926.36119467</v>
      </c>
      <c r="BB21" s="139">
        <v>435189495.12992984</v>
      </c>
      <c r="BC21" s="139">
        <v>426749951.28521895</v>
      </c>
      <c r="BD21" s="139">
        <v>409763980.12597698</v>
      </c>
      <c r="BE21" s="139">
        <v>420500372.47733098</v>
      </c>
      <c r="BF21" s="139">
        <v>0</v>
      </c>
      <c r="BG21" s="139">
        <v>0</v>
      </c>
      <c r="BH21" s="139">
        <v>0</v>
      </c>
      <c r="BI21" s="139">
        <v>0</v>
      </c>
      <c r="BJ21" s="140">
        <v>58753036.924999997</v>
      </c>
      <c r="BK21" s="139">
        <v>58753036.924999997</v>
      </c>
      <c r="BL21" s="139">
        <v>58753036.924999997</v>
      </c>
      <c r="BM21" s="139">
        <v>58753036.924999997</v>
      </c>
      <c r="BN21" s="139">
        <v>58753036.924999997</v>
      </c>
      <c r="BO21" s="139">
        <v>58753036.924999997</v>
      </c>
      <c r="BP21" s="139">
        <v>58753036.924999997</v>
      </c>
      <c r="BQ21" s="139">
        <v>58753036.924999997</v>
      </c>
      <c r="BR21" s="139">
        <v>58753036.924999997</v>
      </c>
      <c r="BS21" s="139">
        <v>58753036.924999997</v>
      </c>
      <c r="BT21" s="139">
        <v>58753036.924999997</v>
      </c>
      <c r="BU21" s="139">
        <v>58753036.924999997</v>
      </c>
      <c r="BV21" s="139">
        <v>46984625.589416653</v>
      </c>
      <c r="BW21" s="139">
        <v>46984625.589416653</v>
      </c>
      <c r="BX21" s="139">
        <v>46984625.589416653</v>
      </c>
      <c r="BY21" s="139">
        <v>46984625.589416653</v>
      </c>
      <c r="BZ21" s="139">
        <v>46984625.589416653</v>
      </c>
      <c r="CA21" s="139">
        <v>46984625.589416653</v>
      </c>
      <c r="CB21" s="139">
        <v>46984625.589416653</v>
      </c>
      <c r="CC21" s="139">
        <v>46984625.589416653</v>
      </c>
      <c r="CD21" s="139">
        <v>46984625.589416653</v>
      </c>
      <c r="CE21" s="139">
        <v>46984625.589416653</v>
      </c>
      <c r="CF21" s="139">
        <v>46984625.589416653</v>
      </c>
      <c r="CG21" s="139">
        <v>46984625.589416653</v>
      </c>
      <c r="CH21" s="139">
        <v>37837993.863432899</v>
      </c>
      <c r="CI21" s="139">
        <v>37837993.863432899</v>
      </c>
      <c r="CJ21" s="139">
        <v>37837993.863432899</v>
      </c>
      <c r="CK21" s="139">
        <v>37837993.863432899</v>
      </c>
      <c r="CL21" s="139">
        <v>37837993.863432899</v>
      </c>
      <c r="CM21" s="139">
        <v>37837993.863432899</v>
      </c>
      <c r="CN21" s="139">
        <v>37837993.863432899</v>
      </c>
      <c r="CO21" s="139">
        <v>37837993.863432899</v>
      </c>
      <c r="CP21" s="139">
        <v>37837993.863432899</v>
      </c>
      <c r="CQ21" s="139">
        <v>37837993.863432899</v>
      </c>
      <c r="CR21" s="139">
        <v>37837993.863432899</v>
      </c>
      <c r="CS21" s="139">
        <v>37837993.863432899</v>
      </c>
      <c r="CT21" s="139">
        <v>36265791.260827497</v>
      </c>
      <c r="CU21" s="139">
        <v>36265791.260827497</v>
      </c>
      <c r="CV21" s="139">
        <v>36265791.260827497</v>
      </c>
      <c r="CW21" s="139">
        <v>36265791.260827497</v>
      </c>
      <c r="CX21" s="139">
        <v>36265791.260827497</v>
      </c>
      <c r="CY21" s="139">
        <v>36265791.260827497</v>
      </c>
      <c r="CZ21" s="139">
        <v>36265791.260827497</v>
      </c>
      <c r="DA21" s="139">
        <v>36265791.260827497</v>
      </c>
      <c r="DB21" s="139">
        <v>36265791.260827497</v>
      </c>
      <c r="DC21" s="139">
        <v>36265791.260827497</v>
      </c>
      <c r="DD21" s="139">
        <v>36265791.260827497</v>
      </c>
      <c r="DE21" s="139">
        <v>36265791.260827497</v>
      </c>
      <c r="DF21" s="139">
        <v>35562495.940434903</v>
      </c>
      <c r="DG21" s="139">
        <v>35562495.940434903</v>
      </c>
      <c r="DH21" s="139">
        <v>35562495.940434903</v>
      </c>
      <c r="DI21" s="139">
        <v>35562495.940434903</v>
      </c>
      <c r="DJ21" s="139">
        <v>35562495.940434903</v>
      </c>
      <c r="DK21" s="139">
        <v>35562495.940434903</v>
      </c>
      <c r="DL21" s="139">
        <v>35562495.940434903</v>
      </c>
      <c r="DM21" s="139">
        <v>35562495.940434903</v>
      </c>
      <c r="DN21" s="139">
        <v>35562495.940434903</v>
      </c>
      <c r="DO21" s="139">
        <v>35562495.940434903</v>
      </c>
      <c r="DP21" s="139">
        <v>35562495.940434903</v>
      </c>
      <c r="DQ21" s="139">
        <v>35562495.940434903</v>
      </c>
      <c r="DR21" s="139">
        <v>34146998.343831412</v>
      </c>
      <c r="DS21" s="139">
        <v>34146998.343831412</v>
      </c>
      <c r="DT21" s="139">
        <v>34146998.343831412</v>
      </c>
      <c r="DU21" s="139">
        <v>34146998.343831412</v>
      </c>
      <c r="DV21" s="139">
        <v>34146998.343831412</v>
      </c>
      <c r="DW21" s="139">
        <v>34146998.343831412</v>
      </c>
      <c r="DX21" s="139">
        <v>34146998.343831412</v>
      </c>
      <c r="DY21" s="139">
        <v>34146998.343831412</v>
      </c>
      <c r="DZ21" s="139">
        <v>34146998.343831412</v>
      </c>
      <c r="EA21" s="139">
        <v>34146998.343831412</v>
      </c>
      <c r="EB21" s="139">
        <v>34146998.343831412</v>
      </c>
      <c r="EC21" s="139">
        <v>34146998.343831412</v>
      </c>
      <c r="ED21" s="139">
        <v>35041697.706444241</v>
      </c>
      <c r="EE21" s="139">
        <v>35041697.706444241</v>
      </c>
      <c r="EF21" s="139">
        <v>35041697.706444241</v>
      </c>
      <c r="EG21" s="139">
        <v>35041697.706444241</v>
      </c>
      <c r="EH21" s="139">
        <v>35041697.706444241</v>
      </c>
      <c r="EI21" s="139">
        <v>35041697.706444241</v>
      </c>
      <c r="EJ21" s="139">
        <v>35041697.706444241</v>
      </c>
      <c r="EK21" s="139">
        <v>35041697.706444241</v>
      </c>
      <c r="EL21" s="139">
        <v>35041697.706444241</v>
      </c>
      <c r="EM21" s="139">
        <v>35041697.706444241</v>
      </c>
      <c r="EN21" s="139">
        <v>35041697.706444241</v>
      </c>
      <c r="EO21" s="139">
        <v>35041697.706444241</v>
      </c>
      <c r="EP21" s="139">
        <v>0</v>
      </c>
      <c r="EQ21" s="139">
        <v>0</v>
      </c>
      <c r="ER21" s="139">
        <v>0</v>
      </c>
      <c r="ES21" s="139">
        <v>0</v>
      </c>
      <c r="ET21" s="139">
        <v>0</v>
      </c>
      <c r="EU21" s="139">
        <v>0</v>
      </c>
      <c r="EV21" s="139">
        <v>0</v>
      </c>
      <c r="EW21" s="139">
        <v>0</v>
      </c>
      <c r="EX21" s="139">
        <v>0</v>
      </c>
      <c r="EY21" s="139">
        <v>0</v>
      </c>
      <c r="EZ21" s="139">
        <v>0</v>
      </c>
      <c r="FA21" s="139">
        <v>0</v>
      </c>
      <c r="FB21" s="139">
        <v>0</v>
      </c>
      <c r="FC21" s="139">
        <v>0</v>
      </c>
      <c r="FD21" s="139">
        <v>0</v>
      </c>
      <c r="FE21" s="139">
        <v>0</v>
      </c>
      <c r="FF21" s="139">
        <v>0</v>
      </c>
      <c r="FG21" s="139">
        <v>0</v>
      </c>
      <c r="FH21" s="139">
        <v>0</v>
      </c>
      <c r="FI21" s="139">
        <v>0</v>
      </c>
      <c r="FJ21" s="139">
        <v>0</v>
      </c>
      <c r="FK21" s="139">
        <v>0</v>
      </c>
      <c r="FL21" s="139">
        <v>0</v>
      </c>
      <c r="FM21" s="139">
        <v>0</v>
      </c>
      <c r="FN21" s="139">
        <v>0</v>
      </c>
      <c r="FO21" s="139">
        <v>0</v>
      </c>
      <c r="FP21" s="139">
        <v>0</v>
      </c>
      <c r="FQ21" s="139">
        <v>0</v>
      </c>
      <c r="FR21" s="139">
        <v>0</v>
      </c>
      <c r="FS21" s="139">
        <v>0</v>
      </c>
      <c r="FT21" s="139">
        <v>0</v>
      </c>
      <c r="FU21" s="139">
        <v>0</v>
      </c>
      <c r="FV21" s="139">
        <v>0</v>
      </c>
      <c r="FW21" s="139">
        <v>0</v>
      </c>
      <c r="FX21" s="139">
        <v>0</v>
      </c>
      <c r="FY21" s="139">
        <v>0</v>
      </c>
      <c r="FZ21" s="139">
        <v>0</v>
      </c>
      <c r="GA21" s="139">
        <v>0</v>
      </c>
      <c r="GB21" s="139">
        <v>0</v>
      </c>
      <c r="GC21" s="139">
        <v>0</v>
      </c>
      <c r="GD21" s="139">
        <v>0</v>
      </c>
      <c r="GE21" s="139">
        <v>0</v>
      </c>
      <c r="GF21" s="139">
        <v>0</v>
      </c>
      <c r="GG21" s="139">
        <v>0</v>
      </c>
      <c r="GH21" s="139">
        <v>0</v>
      </c>
      <c r="GI21" s="139">
        <v>0</v>
      </c>
      <c r="GJ21" s="139">
        <v>0</v>
      </c>
      <c r="GK21" s="48">
        <v>0</v>
      </c>
      <c r="GL21" s="27"/>
    </row>
    <row r="22" spans="1:194" x14ac:dyDescent="0.3">
      <c r="A22" s="155" t="s">
        <v>376</v>
      </c>
      <c r="B22" s="135" t="s">
        <v>424</v>
      </c>
      <c r="C22" s="135" t="s">
        <v>277</v>
      </c>
      <c r="D22" s="135" t="s">
        <v>274</v>
      </c>
      <c r="E22" s="178" t="s">
        <v>169</v>
      </c>
      <c r="F22" s="194" t="s">
        <v>348</v>
      </c>
      <c r="G22" s="141" t="s">
        <v>352</v>
      </c>
      <c r="H22" s="141">
        <v>0</v>
      </c>
      <c r="I22" s="135">
        <v>0</v>
      </c>
      <c r="J22" s="135" t="s">
        <v>385</v>
      </c>
      <c r="K22" s="135">
        <v>0</v>
      </c>
      <c r="L22" s="135" t="s">
        <v>194</v>
      </c>
      <c r="M22" s="136">
        <f>IFERROR(INDEX('(참조)CS_인건비'!$S$3:$AG$40,MATCH(CS_인건비!$A22,'(참조)CS_인건비'!$S$3:$S$40,0),MATCH('(참조)CS_인건비'!X$2,'(참조)CS_인건비'!$S$2:$AG$2,0)),0)</f>
        <v>27.833333333333332</v>
      </c>
      <c r="N22" s="136">
        <f>IFERROR(INDEX('(참조)CS_인건비'!$S$3:$AG$40,MATCH(CS_인건비!$A22,'(참조)CS_인건비'!$S$3:$S$40,0),MATCH('(참조)CS_인건비'!Y$2,'(참조)CS_인건비'!$S$2:$AG$2,0)),0)</f>
        <v>20.25</v>
      </c>
      <c r="O22" s="136">
        <f>IFERROR(INDEX('(참조)CS_인건비'!$S$3:$AG$40,MATCH(CS_인건비!$A22,'(참조)CS_인건비'!$S$3:$S$40,0),MATCH('(참조)CS_인건비'!Z$2,'(참조)CS_인건비'!$S$2:$AG$2,0)),0)</f>
        <v>19.083333333333332</v>
      </c>
      <c r="P22" s="136">
        <f>IFERROR(INDEX('(참조)CS_인건비'!$S$3:$AG$40,MATCH(CS_인건비!$A22,'(참조)CS_인건비'!$S$3:$S$40,0),MATCH('(참조)CS_인건비'!AA$2,'(참조)CS_인건비'!$S$2:$AG$2,0)),0)</f>
        <v>19</v>
      </c>
      <c r="Q22" s="136">
        <f>IFERROR(INDEX('(참조)CS_인건비'!$S$3:$AG$40,MATCH(CS_인건비!$A22,'(참조)CS_인건비'!$S$3:$S$40,0),MATCH('(참조)CS_인건비'!AB$2,'(참조)CS_인건비'!$S$2:$AG$2,0)),0)</f>
        <v>19</v>
      </c>
      <c r="R22" s="136">
        <f>IFERROR(INDEX('(참조)CS_인건비'!$S$3:$AG$40,MATCH(CS_인건비!$A22,'(참조)CS_인건비'!$S$3:$S$40,0),MATCH('(참조)CS_인건비'!AC$2,'(참조)CS_인건비'!$S$2:$AG$2,0)),0)</f>
        <v>19</v>
      </c>
      <c r="S22" s="136">
        <f>IFERROR(INDEX('(참조)CS_인건비'!$S$3:$AG$40,MATCH(CS_인건비!$A22,'(참조)CS_인건비'!$S$3:$S$40,0),MATCH('(참조)CS_인건비'!AD$2,'(참조)CS_인건비'!$S$2:$AG$2,0)),0)</f>
        <v>19</v>
      </c>
      <c r="T22" s="136">
        <f>IFERROR(INDEX('(참조)CS_인건비'!$S$3:$AG$40,MATCH(CS_인건비!$A22,'(참조)CS_인건비'!$S$3:$S$40,0),MATCH('(참조)CS_인건비'!AE$2,'(참조)CS_인건비'!$S$2:$AG$2,0)),0)</f>
        <v>0</v>
      </c>
      <c r="U22" s="136">
        <f>IFERROR(INDEX('(참조)CS_인건비'!$S$3:$AG$40,MATCH(CS_인건비!$A22,'(참조)CS_인건비'!$S$3:$S$40,0),MATCH('(참조)CS_인건비'!AF$2,'(참조)CS_인건비'!$S$2:$AG$2,0)),0)</f>
        <v>0</v>
      </c>
      <c r="V22" s="136">
        <f>IFERROR(INDEX('(참조)CS_인건비'!$S$3:$AG$40,MATCH(CS_인건비!$A22,'(참조)CS_인건비'!$S$3:$S$40,0),MATCH('(참조)CS_인건비'!AG$2,'(참조)CS_인건비'!$S$2:$AG$2,0)),0)</f>
        <v>0</v>
      </c>
      <c r="W22" s="136">
        <f>IFERROR(INDEX('(참조)CS_인건비'!$S$3:$AG$40,MATCH(CS_인건비!$A22,'(참조)CS_인건비'!$S$3:$S$40,0),MATCH('(참조)CS_인건비'!AH$2,'(참조)CS_인건비'!$S$2:$AG$2,0)),0)</f>
        <v>0</v>
      </c>
      <c r="X22" s="137">
        <v>0</v>
      </c>
      <c r="Y22" s="137">
        <f>IFERROR(INDEX('(참조)CS_인건비'!$A$3:$O$40,MATCH(CS_인건비!$A22,'(참조)CS_인건비'!$A$3:$A$40,0),MATCH('(참조)CS_인건비'!F$2,'(참조)CS_인건비'!$A$2:$O$2,0)),0)</f>
        <v>2670592.5874999999</v>
      </c>
      <c r="Z22" s="137">
        <f>IFERROR(INDEX('(참조)CS_인건비'!$A$3:$O$40,MATCH(CS_인건비!$A22,'(참조)CS_인건비'!$A$3:$A$40,0),MATCH('(참조)CS_인건비'!G$2,'(참조)CS_인건비'!$A$2:$O$2,0)),0)</f>
        <v>2710651.4763124995</v>
      </c>
      <c r="AA22" s="137">
        <f>IFERROR(INDEX('(참조)CS_인건비'!$A$3:$O$40,MATCH(CS_인건비!$A22,'(참조)CS_인건비'!$A$3:$A$40,0),MATCH('(참조)CS_인건비'!H$2,'(참조)CS_인건비'!$A$2:$O$2,0)),0)</f>
        <v>2751311.2484571869</v>
      </c>
      <c r="AB22" s="137">
        <f>IFERROR(INDEX('(참조)CS_인건비'!$A$3:$O$40,MATCH(CS_인건비!$A22,'(참조)CS_인건비'!$A$3:$A$40,0),MATCH('(참조)CS_인건비'!I$2,'(참조)CS_인건비'!$A$2:$O$2,0)),0)</f>
        <v>2792580.9171840446</v>
      </c>
      <c r="AC22" s="137">
        <f>IFERROR(INDEX('(참조)CS_인건비'!$A$3:$O$40,MATCH(CS_인건비!$A22,'(참조)CS_인건비'!$A$3:$A$40,0),MATCH('(참조)CS_인건비'!J$2,'(참조)CS_인건비'!$A$2:$O$2,0)),0)</f>
        <v>2834469.630941805</v>
      </c>
      <c r="AD22" s="137">
        <f>IFERROR(INDEX('(참조)CS_인건비'!$A$3:$O$40,MATCH(CS_인건비!$A22,'(참조)CS_인건비'!$A$3:$A$40,0),MATCH('(참조)CS_인건비'!K$2,'(참조)CS_인건비'!$A$2:$O$2,0)),0)</f>
        <v>2876986.6754059317</v>
      </c>
      <c r="AE22" s="137">
        <f>IFERROR(INDEX('(참조)CS_인건비'!$A$3:$O$40,MATCH(CS_인건비!$A22,'(참조)CS_인건비'!$A$3:$A$40,0),MATCH('(참조)CS_인건비'!L$2,'(참조)CS_인건비'!$A$2:$O$2,0)),0)</f>
        <v>2920141.4755370202</v>
      </c>
      <c r="AF22" s="137">
        <f>IFERROR(INDEX('(참조)CS_인건비'!$A$3:$O$40,MATCH(CS_인건비!$A22,'(참조)CS_인건비'!$A$3:$A$40,0),MATCH('(참조)CS_인건비'!M$2,'(참조)CS_인건비'!$A$2:$O$2,0)),0)</f>
        <v>0</v>
      </c>
      <c r="AG22" s="137">
        <f>IFERROR(INDEX('(참조)CS_인건비'!$A$3:$O$40,MATCH(CS_인건비!$A22,'(참조)CS_인건비'!$A$3:$A$40,0),MATCH('(참조)CS_인건비'!N$2,'(참조)CS_인건비'!$A$2:$O$2,0)),0)</f>
        <v>0</v>
      </c>
      <c r="AH22" s="137">
        <f>IFERROR(INDEX('(참조)CS_인건비'!$A$3:$O$40,MATCH(CS_인건비!$A22,'(참조)CS_인건비'!$A$3:$A$40,0),MATCH('(참조)CS_인건비'!O$2,'(참조)CS_인건비'!$A$2:$O$2,0)),0)</f>
        <v>0</v>
      </c>
      <c r="AI22" s="137">
        <f>IFERROR(INDEX('(참조)CS_인건비'!$A$3:$O$40,MATCH(CS_인건비!$A22,'(참조)CS_인건비'!$A$3:$A$40,0),MATCH('(참조)CS_인건비'!P$2,'(참조)CS_인건비'!$A$2:$O$2,0)),0)</f>
        <v>0</v>
      </c>
      <c r="AJ22" s="137">
        <v>12</v>
      </c>
      <c r="AK22" s="137">
        <v>12</v>
      </c>
      <c r="AL22" s="137">
        <v>12</v>
      </c>
      <c r="AM22" s="137">
        <v>12</v>
      </c>
      <c r="AN22" s="137">
        <v>12</v>
      </c>
      <c r="AO22" s="137">
        <v>12</v>
      </c>
      <c r="AP22" s="137">
        <v>12</v>
      </c>
      <c r="AQ22" s="137">
        <v>12</v>
      </c>
      <c r="AR22" s="137">
        <v>12</v>
      </c>
      <c r="AS22" s="137">
        <v>12</v>
      </c>
      <c r="AT22" s="137">
        <v>12</v>
      </c>
      <c r="AU22" s="138">
        <v>1</v>
      </c>
      <c r="AV22" s="135">
        <v>0</v>
      </c>
      <c r="AW22" s="135">
        <v>0</v>
      </c>
      <c r="AX22" s="139">
        <v>4785429252.2533197</v>
      </c>
      <c r="AY22" s="139">
        <v>891977924.22500002</v>
      </c>
      <c r="AZ22" s="139">
        <v>658688308.74393749</v>
      </c>
      <c r="BA22" s="139">
        <v>630050275.89669573</v>
      </c>
      <c r="BB22" s="139">
        <v>636708449.11796224</v>
      </c>
      <c r="BC22" s="139">
        <v>646259075.85473156</v>
      </c>
      <c r="BD22" s="139">
        <v>655952961.99255228</v>
      </c>
      <c r="BE22" s="139">
        <v>665792256.42244053</v>
      </c>
      <c r="BF22" s="139">
        <v>0</v>
      </c>
      <c r="BG22" s="139">
        <v>0</v>
      </c>
      <c r="BH22" s="139">
        <v>0</v>
      </c>
      <c r="BI22" s="139">
        <v>0</v>
      </c>
      <c r="BJ22" s="140">
        <v>74331493.685416654</v>
      </c>
      <c r="BK22" s="139">
        <v>74331493.685416654</v>
      </c>
      <c r="BL22" s="139">
        <v>74331493.685416654</v>
      </c>
      <c r="BM22" s="139">
        <v>74331493.685416654</v>
      </c>
      <c r="BN22" s="139">
        <v>74331493.685416654</v>
      </c>
      <c r="BO22" s="139">
        <v>74331493.685416654</v>
      </c>
      <c r="BP22" s="139">
        <v>74331493.685416654</v>
      </c>
      <c r="BQ22" s="139">
        <v>74331493.685416654</v>
      </c>
      <c r="BR22" s="139">
        <v>74331493.685416654</v>
      </c>
      <c r="BS22" s="139">
        <v>74331493.685416654</v>
      </c>
      <c r="BT22" s="139">
        <v>74331493.685416654</v>
      </c>
      <c r="BU22" s="139">
        <v>74331493.685416654</v>
      </c>
      <c r="BV22" s="139">
        <v>54890692.395328112</v>
      </c>
      <c r="BW22" s="139">
        <v>54890692.395328112</v>
      </c>
      <c r="BX22" s="139">
        <v>54890692.395328112</v>
      </c>
      <c r="BY22" s="139">
        <v>54890692.395328112</v>
      </c>
      <c r="BZ22" s="139">
        <v>54890692.395328112</v>
      </c>
      <c r="CA22" s="139">
        <v>54890692.395328112</v>
      </c>
      <c r="CB22" s="139">
        <v>54890692.395328112</v>
      </c>
      <c r="CC22" s="139">
        <v>54890692.395328112</v>
      </c>
      <c r="CD22" s="139">
        <v>54890692.395328112</v>
      </c>
      <c r="CE22" s="139">
        <v>54890692.395328112</v>
      </c>
      <c r="CF22" s="139">
        <v>54890692.395328112</v>
      </c>
      <c r="CG22" s="139">
        <v>54890692.395328112</v>
      </c>
      <c r="CH22" s="139">
        <v>52504189.65805798</v>
      </c>
      <c r="CI22" s="139">
        <v>52504189.65805798</v>
      </c>
      <c r="CJ22" s="139">
        <v>52504189.65805798</v>
      </c>
      <c r="CK22" s="139">
        <v>52504189.65805798</v>
      </c>
      <c r="CL22" s="139">
        <v>52504189.65805798</v>
      </c>
      <c r="CM22" s="139">
        <v>52504189.65805798</v>
      </c>
      <c r="CN22" s="139">
        <v>52504189.65805798</v>
      </c>
      <c r="CO22" s="139">
        <v>52504189.65805798</v>
      </c>
      <c r="CP22" s="139">
        <v>52504189.65805798</v>
      </c>
      <c r="CQ22" s="139">
        <v>52504189.65805798</v>
      </c>
      <c r="CR22" s="139">
        <v>52504189.65805798</v>
      </c>
      <c r="CS22" s="139">
        <v>52504189.65805798</v>
      </c>
      <c r="CT22" s="139">
        <v>53059037.426496848</v>
      </c>
      <c r="CU22" s="139">
        <v>53059037.426496848</v>
      </c>
      <c r="CV22" s="139">
        <v>53059037.426496848</v>
      </c>
      <c r="CW22" s="139">
        <v>53059037.426496848</v>
      </c>
      <c r="CX22" s="139">
        <v>53059037.426496848</v>
      </c>
      <c r="CY22" s="139">
        <v>53059037.426496848</v>
      </c>
      <c r="CZ22" s="139">
        <v>53059037.426496848</v>
      </c>
      <c r="DA22" s="139">
        <v>53059037.426496848</v>
      </c>
      <c r="DB22" s="139">
        <v>53059037.426496848</v>
      </c>
      <c r="DC22" s="139">
        <v>53059037.426496848</v>
      </c>
      <c r="DD22" s="139">
        <v>53059037.426496848</v>
      </c>
      <c r="DE22" s="139">
        <v>53059037.426496848</v>
      </c>
      <c r="DF22" s="139">
        <v>53854922.987894297</v>
      </c>
      <c r="DG22" s="139">
        <v>53854922.987894297</v>
      </c>
      <c r="DH22" s="139">
        <v>53854922.987894297</v>
      </c>
      <c r="DI22" s="139">
        <v>53854922.987894297</v>
      </c>
      <c r="DJ22" s="139">
        <v>53854922.987894297</v>
      </c>
      <c r="DK22" s="139">
        <v>53854922.987894297</v>
      </c>
      <c r="DL22" s="139">
        <v>53854922.987894297</v>
      </c>
      <c r="DM22" s="139">
        <v>53854922.987894297</v>
      </c>
      <c r="DN22" s="139">
        <v>53854922.987894297</v>
      </c>
      <c r="DO22" s="139">
        <v>53854922.987894297</v>
      </c>
      <c r="DP22" s="139">
        <v>53854922.987894297</v>
      </c>
      <c r="DQ22" s="139">
        <v>53854922.987894297</v>
      </c>
      <c r="DR22" s="139">
        <v>54662746.832712702</v>
      </c>
      <c r="DS22" s="139">
        <v>54662746.832712702</v>
      </c>
      <c r="DT22" s="139">
        <v>54662746.832712702</v>
      </c>
      <c r="DU22" s="139">
        <v>54662746.832712702</v>
      </c>
      <c r="DV22" s="139">
        <v>54662746.832712702</v>
      </c>
      <c r="DW22" s="139">
        <v>54662746.832712702</v>
      </c>
      <c r="DX22" s="139">
        <v>54662746.832712702</v>
      </c>
      <c r="DY22" s="139">
        <v>54662746.832712702</v>
      </c>
      <c r="DZ22" s="139">
        <v>54662746.832712702</v>
      </c>
      <c r="EA22" s="139">
        <v>54662746.832712702</v>
      </c>
      <c r="EB22" s="139">
        <v>54662746.832712702</v>
      </c>
      <c r="EC22" s="139">
        <v>54662746.832712702</v>
      </c>
      <c r="ED22" s="139">
        <v>55482688.035203382</v>
      </c>
      <c r="EE22" s="139">
        <v>55482688.035203382</v>
      </c>
      <c r="EF22" s="139">
        <v>55482688.035203382</v>
      </c>
      <c r="EG22" s="139">
        <v>55482688.035203382</v>
      </c>
      <c r="EH22" s="139">
        <v>55482688.035203382</v>
      </c>
      <c r="EI22" s="139">
        <v>55482688.035203382</v>
      </c>
      <c r="EJ22" s="139">
        <v>55482688.035203382</v>
      </c>
      <c r="EK22" s="139">
        <v>55482688.035203382</v>
      </c>
      <c r="EL22" s="139">
        <v>55482688.035203382</v>
      </c>
      <c r="EM22" s="139">
        <v>55482688.035203382</v>
      </c>
      <c r="EN22" s="139">
        <v>55482688.035203382</v>
      </c>
      <c r="EO22" s="139">
        <v>55482688.035203382</v>
      </c>
      <c r="EP22" s="139">
        <v>0</v>
      </c>
      <c r="EQ22" s="139">
        <v>0</v>
      </c>
      <c r="ER22" s="139">
        <v>0</v>
      </c>
      <c r="ES22" s="139">
        <v>0</v>
      </c>
      <c r="ET22" s="139">
        <v>0</v>
      </c>
      <c r="EU22" s="139">
        <v>0</v>
      </c>
      <c r="EV22" s="139">
        <v>0</v>
      </c>
      <c r="EW22" s="139">
        <v>0</v>
      </c>
      <c r="EX22" s="139">
        <v>0</v>
      </c>
      <c r="EY22" s="139">
        <v>0</v>
      </c>
      <c r="EZ22" s="139">
        <v>0</v>
      </c>
      <c r="FA22" s="139">
        <v>0</v>
      </c>
      <c r="FB22" s="139">
        <v>0</v>
      </c>
      <c r="FC22" s="139">
        <v>0</v>
      </c>
      <c r="FD22" s="139">
        <v>0</v>
      </c>
      <c r="FE22" s="139">
        <v>0</v>
      </c>
      <c r="FF22" s="139">
        <v>0</v>
      </c>
      <c r="FG22" s="139">
        <v>0</v>
      </c>
      <c r="FH22" s="139">
        <v>0</v>
      </c>
      <c r="FI22" s="139">
        <v>0</v>
      </c>
      <c r="FJ22" s="139">
        <v>0</v>
      </c>
      <c r="FK22" s="139">
        <v>0</v>
      </c>
      <c r="FL22" s="139">
        <v>0</v>
      </c>
      <c r="FM22" s="139">
        <v>0</v>
      </c>
      <c r="FN22" s="139">
        <v>0</v>
      </c>
      <c r="FO22" s="139">
        <v>0</v>
      </c>
      <c r="FP22" s="139">
        <v>0</v>
      </c>
      <c r="FQ22" s="139">
        <v>0</v>
      </c>
      <c r="FR22" s="139">
        <v>0</v>
      </c>
      <c r="FS22" s="139">
        <v>0</v>
      </c>
      <c r="FT22" s="139">
        <v>0</v>
      </c>
      <c r="FU22" s="139">
        <v>0</v>
      </c>
      <c r="FV22" s="139">
        <v>0</v>
      </c>
      <c r="FW22" s="139">
        <v>0</v>
      </c>
      <c r="FX22" s="139">
        <v>0</v>
      </c>
      <c r="FY22" s="139">
        <v>0</v>
      </c>
      <c r="FZ22" s="139">
        <v>0</v>
      </c>
      <c r="GA22" s="139">
        <v>0</v>
      </c>
      <c r="GB22" s="139">
        <v>0</v>
      </c>
      <c r="GC22" s="139">
        <v>0</v>
      </c>
      <c r="GD22" s="139">
        <v>0</v>
      </c>
      <c r="GE22" s="139">
        <v>0</v>
      </c>
      <c r="GF22" s="139">
        <v>0</v>
      </c>
      <c r="GG22" s="139">
        <v>0</v>
      </c>
      <c r="GH22" s="139">
        <v>0</v>
      </c>
      <c r="GI22" s="139">
        <v>0</v>
      </c>
      <c r="GJ22" s="139">
        <v>0</v>
      </c>
      <c r="GK22" s="48">
        <v>0</v>
      </c>
      <c r="GL22" s="27"/>
    </row>
    <row r="23" spans="1:194" x14ac:dyDescent="0.3">
      <c r="A23" s="155" t="s">
        <v>377</v>
      </c>
      <c r="B23" s="135" t="s">
        <v>424</v>
      </c>
      <c r="C23" s="135" t="s">
        <v>277</v>
      </c>
      <c r="D23" s="135" t="s">
        <v>274</v>
      </c>
      <c r="E23" s="178" t="s">
        <v>186</v>
      </c>
      <c r="F23" s="194" t="s">
        <v>353</v>
      </c>
      <c r="G23" s="141" t="s">
        <v>354</v>
      </c>
      <c r="H23" s="141">
        <v>0</v>
      </c>
      <c r="I23" s="135">
        <v>0</v>
      </c>
      <c r="J23" s="135" t="s">
        <v>385</v>
      </c>
      <c r="K23" s="135">
        <v>0</v>
      </c>
      <c r="L23" s="135" t="s">
        <v>194</v>
      </c>
      <c r="M23" s="136">
        <f>IFERROR(INDEX('(참조)CS_인건비'!$S$3:$AG$40,MATCH(CS_인건비!$A23,'(참조)CS_인건비'!$S$3:$S$40,0),MATCH('(참조)CS_인건비'!X$2,'(참조)CS_인건비'!$S$2:$AG$2,0)),0)</f>
        <v>1</v>
      </c>
      <c r="N23" s="136">
        <f>IFERROR(INDEX('(참조)CS_인건비'!$S$3:$AG$40,MATCH(CS_인건비!$A23,'(참조)CS_인건비'!$S$3:$S$40,0),MATCH('(참조)CS_인건비'!Y$2,'(참조)CS_인건비'!$S$2:$AG$2,0)),0)</f>
        <v>1</v>
      </c>
      <c r="O23" s="136">
        <f>IFERROR(INDEX('(참조)CS_인건비'!$S$3:$AG$40,MATCH(CS_인건비!$A23,'(참조)CS_인건비'!$S$3:$S$40,0),MATCH('(참조)CS_인건비'!Z$2,'(참조)CS_인건비'!$S$2:$AG$2,0)),0)</f>
        <v>1</v>
      </c>
      <c r="P23" s="136">
        <f>IFERROR(INDEX('(참조)CS_인건비'!$S$3:$AG$40,MATCH(CS_인건비!$A23,'(참조)CS_인건비'!$S$3:$S$40,0),MATCH('(참조)CS_인건비'!AA$2,'(참조)CS_인건비'!$S$2:$AG$2,0)),0)</f>
        <v>1</v>
      </c>
      <c r="Q23" s="136">
        <f>IFERROR(INDEX('(참조)CS_인건비'!$S$3:$AG$40,MATCH(CS_인건비!$A23,'(참조)CS_인건비'!$S$3:$S$40,0),MATCH('(참조)CS_인건비'!AB$2,'(참조)CS_인건비'!$S$2:$AG$2,0)),0)</f>
        <v>1</v>
      </c>
      <c r="R23" s="136">
        <f>IFERROR(INDEX('(참조)CS_인건비'!$S$3:$AG$40,MATCH(CS_인건비!$A23,'(참조)CS_인건비'!$S$3:$S$40,0),MATCH('(참조)CS_인건비'!AC$2,'(참조)CS_인건비'!$S$2:$AG$2,0)),0)</f>
        <v>1</v>
      </c>
      <c r="S23" s="136">
        <f>IFERROR(INDEX('(참조)CS_인건비'!$S$3:$AG$40,MATCH(CS_인건비!$A23,'(참조)CS_인건비'!$S$3:$S$40,0),MATCH('(참조)CS_인건비'!AD$2,'(참조)CS_인건비'!$S$2:$AG$2,0)),0)</f>
        <v>1</v>
      </c>
      <c r="T23" s="136">
        <f>IFERROR(INDEX('(참조)CS_인건비'!$S$3:$AG$40,MATCH(CS_인건비!$A23,'(참조)CS_인건비'!$S$3:$S$40,0),MATCH('(참조)CS_인건비'!AE$2,'(참조)CS_인건비'!$S$2:$AG$2,0)),0)</f>
        <v>0</v>
      </c>
      <c r="U23" s="136">
        <f>IFERROR(INDEX('(참조)CS_인건비'!$S$3:$AG$40,MATCH(CS_인건비!$A23,'(참조)CS_인건비'!$S$3:$S$40,0),MATCH('(참조)CS_인건비'!AF$2,'(참조)CS_인건비'!$S$2:$AG$2,0)),0)</f>
        <v>0</v>
      </c>
      <c r="V23" s="136">
        <f>IFERROR(INDEX('(참조)CS_인건비'!$S$3:$AG$40,MATCH(CS_인건비!$A23,'(참조)CS_인건비'!$S$3:$S$40,0),MATCH('(참조)CS_인건비'!AG$2,'(참조)CS_인건비'!$S$2:$AG$2,0)),0)</f>
        <v>0</v>
      </c>
      <c r="W23" s="136">
        <f>IFERROR(INDEX('(참조)CS_인건비'!$S$3:$AG$40,MATCH(CS_인건비!$A23,'(참조)CS_인건비'!$S$3:$S$40,0),MATCH('(참조)CS_인건비'!AH$2,'(참조)CS_인건비'!$S$2:$AG$2,0)),0)</f>
        <v>0</v>
      </c>
      <c r="X23" s="137">
        <v>0</v>
      </c>
      <c r="Y23" s="137">
        <f>IFERROR(INDEX('(참조)CS_인건비'!$A$3:$O$40,MATCH(CS_인건비!$A23,'(참조)CS_인건비'!$A$3:$A$40,0),MATCH('(참조)CS_인건비'!F$2,'(참조)CS_인건비'!$A$2:$O$2,0)),0)</f>
        <v>5781055.0291666668</v>
      </c>
      <c r="Z23" s="137">
        <f>IFERROR(INDEX('(참조)CS_인건비'!$A$3:$O$40,MATCH(CS_인건비!$A23,'(참조)CS_인건비'!$A$3:$A$40,0),MATCH('(참조)CS_인건비'!G$2,'(참조)CS_인건비'!$A$2:$O$2,0)),0)</f>
        <v>5867770.854604166</v>
      </c>
      <c r="AA23" s="137">
        <f>IFERROR(INDEX('(참조)CS_인건비'!$A$3:$O$40,MATCH(CS_인건비!$A23,'(참조)CS_인건비'!$A$3:$A$40,0),MATCH('(참조)CS_인건비'!H$2,'(참조)CS_인건비'!$A$2:$O$2,0)),0)</f>
        <v>5955787.4174232278</v>
      </c>
      <c r="AB23" s="137">
        <f>IFERROR(INDEX('(참조)CS_인건비'!$A$3:$O$40,MATCH(CS_인건비!$A23,'(참조)CS_인건비'!$A$3:$A$40,0),MATCH('(참조)CS_인건비'!I$2,'(참조)CS_인건비'!$A$2:$O$2,0)),0)</f>
        <v>6045124.2286845753</v>
      </c>
      <c r="AC23" s="137">
        <f>IFERROR(INDEX('(참조)CS_인건비'!$A$3:$O$40,MATCH(CS_인건비!$A23,'(참조)CS_인건비'!$A$3:$A$40,0),MATCH('(참조)CS_인건비'!J$2,'(참조)CS_인건비'!$A$2:$O$2,0)),0)</f>
        <v>6135801.0921148434</v>
      </c>
      <c r="AD23" s="137">
        <f>IFERROR(INDEX('(참조)CS_인건비'!$A$3:$O$40,MATCH(CS_인건비!$A23,'(참조)CS_인건비'!$A$3:$A$40,0),MATCH('(참조)CS_인건비'!K$2,'(참조)CS_인건비'!$A$2:$O$2,0)),0)</f>
        <v>6227838.1084965654</v>
      </c>
      <c r="AE23" s="137">
        <f>IFERROR(INDEX('(참조)CS_인건비'!$A$3:$O$40,MATCH(CS_인건비!$A23,'(참조)CS_인건비'!$A$3:$A$40,0),MATCH('(참조)CS_인건비'!L$2,'(참조)CS_인건비'!$A$2:$O$2,0)),0)</f>
        <v>6321255.6801240137</v>
      </c>
      <c r="AF23" s="137">
        <f>IFERROR(INDEX('(참조)CS_인건비'!$A$3:$O$40,MATCH(CS_인건비!$A23,'(참조)CS_인건비'!$A$3:$A$40,0),MATCH('(참조)CS_인건비'!M$2,'(참조)CS_인건비'!$A$2:$O$2,0)),0)</f>
        <v>0</v>
      </c>
      <c r="AG23" s="137">
        <f>IFERROR(INDEX('(참조)CS_인건비'!$A$3:$O$40,MATCH(CS_인건비!$A23,'(참조)CS_인건비'!$A$3:$A$40,0),MATCH('(참조)CS_인건비'!N$2,'(참조)CS_인건비'!$A$2:$O$2,0)),0)</f>
        <v>0</v>
      </c>
      <c r="AH23" s="137">
        <f>IFERROR(INDEX('(참조)CS_인건비'!$A$3:$O$40,MATCH(CS_인건비!$A23,'(참조)CS_인건비'!$A$3:$A$40,0),MATCH('(참조)CS_인건비'!O$2,'(참조)CS_인건비'!$A$2:$O$2,0)),0)</f>
        <v>0</v>
      </c>
      <c r="AI23" s="137">
        <f>IFERROR(INDEX('(참조)CS_인건비'!$A$3:$O$40,MATCH(CS_인건비!$A23,'(참조)CS_인건비'!$A$3:$A$40,0),MATCH('(참조)CS_인건비'!P$2,'(참조)CS_인건비'!$A$2:$O$2,0)),0)</f>
        <v>0</v>
      </c>
      <c r="AJ23" s="137">
        <v>12</v>
      </c>
      <c r="AK23" s="137">
        <v>12</v>
      </c>
      <c r="AL23" s="137">
        <v>12</v>
      </c>
      <c r="AM23" s="137">
        <v>12</v>
      </c>
      <c r="AN23" s="137">
        <v>12</v>
      </c>
      <c r="AO23" s="137">
        <v>12</v>
      </c>
      <c r="AP23" s="137">
        <v>12</v>
      </c>
      <c r="AQ23" s="137">
        <v>12</v>
      </c>
      <c r="AR23" s="137">
        <v>12</v>
      </c>
      <c r="AS23" s="137">
        <v>12</v>
      </c>
      <c r="AT23" s="137">
        <v>12</v>
      </c>
      <c r="AU23" s="138">
        <v>1</v>
      </c>
      <c r="AV23" s="135">
        <v>0</v>
      </c>
      <c r="AW23" s="135">
        <v>0</v>
      </c>
      <c r="AX23" s="139">
        <v>508015588.92736876</v>
      </c>
      <c r="AY23" s="139">
        <v>69372660.350000009</v>
      </c>
      <c r="AZ23" s="139">
        <v>70413250.255250007</v>
      </c>
      <c r="BA23" s="139">
        <v>71469449.009078726</v>
      </c>
      <c r="BB23" s="139">
        <v>72541490.744214907</v>
      </c>
      <c r="BC23" s="139">
        <v>73629613.105378121</v>
      </c>
      <c r="BD23" s="139">
        <v>74734057.30195877</v>
      </c>
      <c r="BE23" s="139">
        <v>75855068.16148816</v>
      </c>
      <c r="BF23" s="139">
        <v>0</v>
      </c>
      <c r="BG23" s="139">
        <v>0</v>
      </c>
      <c r="BH23" s="139">
        <v>0</v>
      </c>
      <c r="BI23" s="139">
        <v>0</v>
      </c>
      <c r="BJ23" s="140">
        <v>5781055.0291666668</v>
      </c>
      <c r="BK23" s="139">
        <v>5781055.0291666668</v>
      </c>
      <c r="BL23" s="139">
        <v>5781055.0291666668</v>
      </c>
      <c r="BM23" s="139">
        <v>5781055.0291666668</v>
      </c>
      <c r="BN23" s="139">
        <v>5781055.0291666668</v>
      </c>
      <c r="BO23" s="139">
        <v>5781055.0291666668</v>
      </c>
      <c r="BP23" s="139">
        <v>5781055.0291666668</v>
      </c>
      <c r="BQ23" s="139">
        <v>5781055.0291666668</v>
      </c>
      <c r="BR23" s="139">
        <v>5781055.0291666668</v>
      </c>
      <c r="BS23" s="139">
        <v>5781055.0291666668</v>
      </c>
      <c r="BT23" s="139">
        <v>5781055.0291666668</v>
      </c>
      <c r="BU23" s="139">
        <v>5781055.0291666668</v>
      </c>
      <c r="BV23" s="139">
        <v>5867770.854604166</v>
      </c>
      <c r="BW23" s="139">
        <v>5867770.854604166</v>
      </c>
      <c r="BX23" s="139">
        <v>5867770.854604166</v>
      </c>
      <c r="BY23" s="139">
        <v>5867770.854604166</v>
      </c>
      <c r="BZ23" s="139">
        <v>5867770.854604166</v>
      </c>
      <c r="CA23" s="139">
        <v>5867770.854604166</v>
      </c>
      <c r="CB23" s="139">
        <v>5867770.854604166</v>
      </c>
      <c r="CC23" s="139">
        <v>5867770.854604166</v>
      </c>
      <c r="CD23" s="139">
        <v>5867770.854604166</v>
      </c>
      <c r="CE23" s="139">
        <v>5867770.854604166</v>
      </c>
      <c r="CF23" s="139">
        <v>5867770.854604166</v>
      </c>
      <c r="CG23" s="139">
        <v>5867770.854604166</v>
      </c>
      <c r="CH23" s="139">
        <v>5955787.4174232278</v>
      </c>
      <c r="CI23" s="139">
        <v>5955787.4174232278</v>
      </c>
      <c r="CJ23" s="139">
        <v>5955787.4174232278</v>
      </c>
      <c r="CK23" s="139">
        <v>5955787.4174232278</v>
      </c>
      <c r="CL23" s="139">
        <v>5955787.4174232278</v>
      </c>
      <c r="CM23" s="139">
        <v>5955787.4174232278</v>
      </c>
      <c r="CN23" s="139">
        <v>5955787.4174232278</v>
      </c>
      <c r="CO23" s="139">
        <v>5955787.4174232278</v>
      </c>
      <c r="CP23" s="139">
        <v>5955787.4174232278</v>
      </c>
      <c r="CQ23" s="139">
        <v>5955787.4174232278</v>
      </c>
      <c r="CR23" s="139">
        <v>5955787.4174232278</v>
      </c>
      <c r="CS23" s="139">
        <v>5955787.4174232278</v>
      </c>
      <c r="CT23" s="139">
        <v>6045124.2286845753</v>
      </c>
      <c r="CU23" s="139">
        <v>6045124.2286845753</v>
      </c>
      <c r="CV23" s="139">
        <v>6045124.2286845753</v>
      </c>
      <c r="CW23" s="139">
        <v>6045124.2286845753</v>
      </c>
      <c r="CX23" s="139">
        <v>6045124.2286845753</v>
      </c>
      <c r="CY23" s="139">
        <v>6045124.2286845753</v>
      </c>
      <c r="CZ23" s="139">
        <v>6045124.2286845753</v>
      </c>
      <c r="DA23" s="139">
        <v>6045124.2286845753</v>
      </c>
      <c r="DB23" s="139">
        <v>6045124.2286845753</v>
      </c>
      <c r="DC23" s="139">
        <v>6045124.2286845753</v>
      </c>
      <c r="DD23" s="139">
        <v>6045124.2286845753</v>
      </c>
      <c r="DE23" s="139">
        <v>6045124.2286845753</v>
      </c>
      <c r="DF23" s="139">
        <v>6135801.0921148434</v>
      </c>
      <c r="DG23" s="139">
        <v>6135801.0921148434</v>
      </c>
      <c r="DH23" s="139">
        <v>6135801.0921148434</v>
      </c>
      <c r="DI23" s="139">
        <v>6135801.0921148434</v>
      </c>
      <c r="DJ23" s="139">
        <v>6135801.0921148434</v>
      </c>
      <c r="DK23" s="139">
        <v>6135801.0921148434</v>
      </c>
      <c r="DL23" s="139">
        <v>6135801.0921148434</v>
      </c>
      <c r="DM23" s="139">
        <v>6135801.0921148434</v>
      </c>
      <c r="DN23" s="139">
        <v>6135801.0921148434</v>
      </c>
      <c r="DO23" s="139">
        <v>6135801.0921148434</v>
      </c>
      <c r="DP23" s="139">
        <v>6135801.0921148434</v>
      </c>
      <c r="DQ23" s="139">
        <v>6135801.0921148434</v>
      </c>
      <c r="DR23" s="139">
        <v>6227838.1084965654</v>
      </c>
      <c r="DS23" s="139">
        <v>6227838.1084965654</v>
      </c>
      <c r="DT23" s="139">
        <v>6227838.1084965654</v>
      </c>
      <c r="DU23" s="139">
        <v>6227838.1084965654</v>
      </c>
      <c r="DV23" s="139">
        <v>6227838.1084965654</v>
      </c>
      <c r="DW23" s="139">
        <v>6227838.1084965654</v>
      </c>
      <c r="DX23" s="139">
        <v>6227838.1084965654</v>
      </c>
      <c r="DY23" s="139">
        <v>6227838.1084965654</v>
      </c>
      <c r="DZ23" s="139">
        <v>6227838.1084965654</v>
      </c>
      <c r="EA23" s="139">
        <v>6227838.1084965654</v>
      </c>
      <c r="EB23" s="139">
        <v>6227838.1084965654</v>
      </c>
      <c r="EC23" s="139">
        <v>6227838.1084965654</v>
      </c>
      <c r="ED23" s="139">
        <v>6321255.6801240137</v>
      </c>
      <c r="EE23" s="139">
        <v>6321255.6801240137</v>
      </c>
      <c r="EF23" s="139">
        <v>6321255.6801240137</v>
      </c>
      <c r="EG23" s="139">
        <v>6321255.6801240137</v>
      </c>
      <c r="EH23" s="139">
        <v>6321255.6801240137</v>
      </c>
      <c r="EI23" s="139">
        <v>6321255.6801240137</v>
      </c>
      <c r="EJ23" s="139">
        <v>6321255.6801240137</v>
      </c>
      <c r="EK23" s="139">
        <v>6321255.6801240137</v>
      </c>
      <c r="EL23" s="139">
        <v>6321255.6801240137</v>
      </c>
      <c r="EM23" s="139">
        <v>6321255.6801240137</v>
      </c>
      <c r="EN23" s="139">
        <v>6321255.6801240137</v>
      </c>
      <c r="EO23" s="139">
        <v>6321255.6801240137</v>
      </c>
      <c r="EP23" s="139">
        <v>0</v>
      </c>
      <c r="EQ23" s="139">
        <v>0</v>
      </c>
      <c r="ER23" s="139">
        <v>0</v>
      </c>
      <c r="ES23" s="139">
        <v>0</v>
      </c>
      <c r="ET23" s="139">
        <v>0</v>
      </c>
      <c r="EU23" s="139">
        <v>0</v>
      </c>
      <c r="EV23" s="139">
        <v>0</v>
      </c>
      <c r="EW23" s="139">
        <v>0</v>
      </c>
      <c r="EX23" s="139">
        <v>0</v>
      </c>
      <c r="EY23" s="139">
        <v>0</v>
      </c>
      <c r="EZ23" s="139">
        <v>0</v>
      </c>
      <c r="FA23" s="139">
        <v>0</v>
      </c>
      <c r="FB23" s="139">
        <v>0</v>
      </c>
      <c r="FC23" s="139">
        <v>0</v>
      </c>
      <c r="FD23" s="139">
        <v>0</v>
      </c>
      <c r="FE23" s="139">
        <v>0</v>
      </c>
      <c r="FF23" s="139">
        <v>0</v>
      </c>
      <c r="FG23" s="139">
        <v>0</v>
      </c>
      <c r="FH23" s="139">
        <v>0</v>
      </c>
      <c r="FI23" s="139">
        <v>0</v>
      </c>
      <c r="FJ23" s="139">
        <v>0</v>
      </c>
      <c r="FK23" s="139">
        <v>0</v>
      </c>
      <c r="FL23" s="139">
        <v>0</v>
      </c>
      <c r="FM23" s="139">
        <v>0</v>
      </c>
      <c r="FN23" s="139">
        <v>0</v>
      </c>
      <c r="FO23" s="139">
        <v>0</v>
      </c>
      <c r="FP23" s="139">
        <v>0</v>
      </c>
      <c r="FQ23" s="139">
        <v>0</v>
      </c>
      <c r="FR23" s="139">
        <v>0</v>
      </c>
      <c r="FS23" s="139">
        <v>0</v>
      </c>
      <c r="FT23" s="139">
        <v>0</v>
      </c>
      <c r="FU23" s="139">
        <v>0</v>
      </c>
      <c r="FV23" s="139">
        <v>0</v>
      </c>
      <c r="FW23" s="139">
        <v>0</v>
      </c>
      <c r="FX23" s="139">
        <v>0</v>
      </c>
      <c r="FY23" s="139">
        <v>0</v>
      </c>
      <c r="FZ23" s="139">
        <v>0</v>
      </c>
      <c r="GA23" s="139">
        <v>0</v>
      </c>
      <c r="GB23" s="139">
        <v>0</v>
      </c>
      <c r="GC23" s="139">
        <v>0</v>
      </c>
      <c r="GD23" s="139">
        <v>0</v>
      </c>
      <c r="GE23" s="139">
        <v>0</v>
      </c>
      <c r="GF23" s="139">
        <v>0</v>
      </c>
      <c r="GG23" s="139">
        <v>0</v>
      </c>
      <c r="GH23" s="139">
        <v>0</v>
      </c>
      <c r="GI23" s="139">
        <v>0</v>
      </c>
      <c r="GJ23" s="139">
        <v>0</v>
      </c>
      <c r="GK23" s="48">
        <v>0</v>
      </c>
      <c r="GL23" s="27"/>
    </row>
    <row r="24" spans="1:194" x14ac:dyDescent="0.3">
      <c r="A24" s="155" t="s">
        <v>378</v>
      </c>
      <c r="B24" s="135" t="s">
        <v>424</v>
      </c>
      <c r="C24" s="135" t="s">
        <v>277</v>
      </c>
      <c r="D24" s="135" t="s">
        <v>274</v>
      </c>
      <c r="E24" s="178" t="s">
        <v>186</v>
      </c>
      <c r="F24" s="194" t="s">
        <v>353</v>
      </c>
      <c r="G24" s="141" t="s">
        <v>345</v>
      </c>
      <c r="H24" s="141">
        <v>0</v>
      </c>
      <c r="I24" s="135">
        <v>0</v>
      </c>
      <c r="J24" s="135" t="s">
        <v>385</v>
      </c>
      <c r="K24" s="135">
        <v>0</v>
      </c>
      <c r="L24" s="135" t="s">
        <v>194</v>
      </c>
      <c r="M24" s="136">
        <f>IFERROR(INDEX('(참조)CS_인건비'!$S$3:$AG$40,MATCH(CS_인건비!$A24,'(참조)CS_인건비'!$S$3:$S$40,0),MATCH('(참조)CS_인건비'!X$2,'(참조)CS_인건비'!$S$2:$AG$2,0)),0)</f>
        <v>5.833333333333333</v>
      </c>
      <c r="N24" s="136">
        <f>IFERROR(INDEX('(참조)CS_인건비'!$S$3:$AG$40,MATCH(CS_인건비!$A24,'(참조)CS_인건비'!$S$3:$S$40,0),MATCH('(참조)CS_인건비'!Y$2,'(참조)CS_인건비'!$S$2:$AG$2,0)),0)</f>
        <v>4.583333333333333</v>
      </c>
      <c r="O24" s="136">
        <f>IFERROR(INDEX('(참조)CS_인건비'!$S$3:$AG$40,MATCH(CS_인건비!$A24,'(참조)CS_인건비'!$S$3:$S$40,0),MATCH('(참조)CS_인건비'!Z$2,'(참조)CS_인건비'!$S$2:$AG$2,0)),0)</f>
        <v>4</v>
      </c>
      <c r="P24" s="136">
        <f>IFERROR(INDEX('(참조)CS_인건비'!$S$3:$AG$40,MATCH(CS_인건비!$A24,'(참조)CS_인건비'!$S$3:$S$40,0),MATCH('(참조)CS_인건비'!AA$2,'(참조)CS_인건비'!$S$2:$AG$2,0)),0)</f>
        <v>3.5833333333333335</v>
      </c>
      <c r="Q24" s="136">
        <f>IFERROR(INDEX('(참조)CS_인건비'!$S$3:$AG$40,MATCH(CS_인건비!$A24,'(참조)CS_인건비'!$S$3:$S$40,0),MATCH('(참조)CS_인건비'!AB$2,'(참조)CS_인건비'!$S$2:$AG$2,0)),0)</f>
        <v>3</v>
      </c>
      <c r="R24" s="136">
        <f>IFERROR(INDEX('(참조)CS_인건비'!$S$3:$AG$40,MATCH(CS_인건비!$A24,'(참조)CS_인건비'!$S$3:$S$40,0),MATCH('(참조)CS_인건비'!AC$2,'(참조)CS_인건비'!$S$2:$AG$2,0)),0)</f>
        <v>2.5833333333333335</v>
      </c>
      <c r="S24" s="136">
        <f>IFERROR(INDEX('(참조)CS_인건비'!$S$3:$AG$40,MATCH(CS_인건비!$A24,'(참조)CS_인건비'!$S$3:$S$40,0),MATCH('(참조)CS_인건비'!AD$2,'(참조)CS_인건비'!$S$2:$AG$2,0)),0)</f>
        <v>2</v>
      </c>
      <c r="T24" s="136">
        <f>IFERROR(INDEX('(참조)CS_인건비'!$S$3:$AG$40,MATCH(CS_인건비!$A24,'(참조)CS_인건비'!$S$3:$S$40,0),MATCH('(참조)CS_인건비'!AE$2,'(참조)CS_인건비'!$S$2:$AG$2,0)),0)</f>
        <v>0</v>
      </c>
      <c r="U24" s="136">
        <f>IFERROR(INDEX('(참조)CS_인건비'!$S$3:$AG$40,MATCH(CS_인건비!$A24,'(참조)CS_인건비'!$S$3:$S$40,0),MATCH('(참조)CS_인건비'!AF$2,'(참조)CS_인건비'!$S$2:$AG$2,0)),0)</f>
        <v>0</v>
      </c>
      <c r="V24" s="136">
        <f>IFERROR(INDEX('(참조)CS_인건비'!$S$3:$AG$40,MATCH(CS_인건비!$A24,'(참조)CS_인건비'!$S$3:$S$40,0),MATCH('(참조)CS_인건비'!AG$2,'(참조)CS_인건비'!$S$2:$AG$2,0)),0)</f>
        <v>0</v>
      </c>
      <c r="W24" s="136">
        <f>IFERROR(INDEX('(참조)CS_인건비'!$S$3:$AG$40,MATCH(CS_인건비!$A24,'(참조)CS_인건비'!$S$3:$S$40,0),MATCH('(참조)CS_인건비'!AH$2,'(참조)CS_인건비'!$S$2:$AG$2,0)),0)</f>
        <v>0</v>
      </c>
      <c r="X24" s="137">
        <v>0</v>
      </c>
      <c r="Y24" s="137">
        <f>IFERROR(INDEX('(참조)CS_인건비'!$A$3:$O$40,MATCH(CS_인건비!$A24,'(참조)CS_인건비'!$A$3:$A$40,0),MATCH('(참조)CS_인건비'!F$2,'(참조)CS_인건비'!$A$2:$O$2,0)),0)</f>
        <v>3508024.7833333332</v>
      </c>
      <c r="Z24" s="137">
        <f>IFERROR(INDEX('(참조)CS_인건비'!$A$3:$O$40,MATCH(CS_인건비!$A24,'(참조)CS_인건비'!$A$3:$A$40,0),MATCH('(참조)CS_인건비'!G$2,'(참조)CS_인건비'!$A$2:$O$2,0)),0)</f>
        <v>3560645.1550833327</v>
      </c>
      <c r="AA24" s="137">
        <f>IFERROR(INDEX('(참조)CS_인건비'!$A$3:$O$40,MATCH(CS_인건비!$A24,'(참조)CS_인건비'!$A$3:$A$40,0),MATCH('(참조)CS_인건비'!H$2,'(참조)CS_인건비'!$A$2:$O$2,0)),0)</f>
        <v>3614054.8324095821</v>
      </c>
      <c r="AB24" s="137">
        <f>IFERROR(INDEX('(참조)CS_인건비'!$A$3:$O$40,MATCH(CS_인건비!$A24,'(참조)CS_인건비'!$A$3:$A$40,0),MATCH('(참조)CS_인건비'!I$2,'(참조)CS_인건비'!$A$2:$O$2,0)),0)</f>
        <v>3668265.6548957257</v>
      </c>
      <c r="AC24" s="137">
        <f>IFERROR(INDEX('(참조)CS_인건비'!$A$3:$O$40,MATCH(CS_인건비!$A24,'(참조)CS_인건비'!$A$3:$A$40,0),MATCH('(참조)CS_인건비'!J$2,'(참조)CS_인건비'!$A$2:$O$2,0)),0)</f>
        <v>3723289.6397191612</v>
      </c>
      <c r="AD24" s="137">
        <f>IFERROR(INDEX('(참조)CS_인건비'!$A$3:$O$40,MATCH(CS_인건비!$A24,'(참조)CS_인건비'!$A$3:$A$40,0),MATCH('(참조)CS_인건비'!K$2,'(참조)CS_인건비'!$A$2:$O$2,0)),0)</f>
        <v>3779138.9843149483</v>
      </c>
      <c r="AE24" s="137">
        <f>IFERROR(INDEX('(참조)CS_인건비'!$A$3:$O$40,MATCH(CS_인건비!$A24,'(참조)CS_인건비'!$A$3:$A$40,0),MATCH('(참조)CS_인건비'!L$2,'(참조)CS_인건비'!$A$2:$O$2,0)),0)</f>
        <v>3835826.069079672</v>
      </c>
      <c r="AF24" s="137">
        <f>IFERROR(INDEX('(참조)CS_인건비'!$A$3:$O$40,MATCH(CS_인건비!$A24,'(참조)CS_인건비'!$A$3:$A$40,0),MATCH('(참조)CS_인건비'!M$2,'(참조)CS_인건비'!$A$2:$O$2,0)),0)</f>
        <v>0</v>
      </c>
      <c r="AG24" s="137">
        <f>IFERROR(INDEX('(참조)CS_인건비'!$A$3:$O$40,MATCH(CS_인건비!$A24,'(참조)CS_인건비'!$A$3:$A$40,0),MATCH('(참조)CS_인건비'!N$2,'(참조)CS_인건비'!$A$2:$O$2,0)),0)</f>
        <v>0</v>
      </c>
      <c r="AH24" s="137">
        <f>IFERROR(INDEX('(참조)CS_인건비'!$A$3:$O$40,MATCH(CS_인건비!$A24,'(참조)CS_인건비'!$A$3:$A$40,0),MATCH('(참조)CS_인건비'!O$2,'(참조)CS_인건비'!$A$2:$O$2,0)),0)</f>
        <v>0</v>
      </c>
      <c r="AI24" s="137">
        <f>IFERROR(INDEX('(참조)CS_인건비'!$A$3:$O$40,MATCH(CS_인건비!$A24,'(참조)CS_인건비'!$A$3:$A$40,0),MATCH('(참조)CS_인건비'!P$2,'(참조)CS_인건비'!$A$2:$O$2,0)),0)</f>
        <v>0</v>
      </c>
      <c r="AJ24" s="137">
        <v>12</v>
      </c>
      <c r="AK24" s="137">
        <v>12</v>
      </c>
      <c r="AL24" s="137">
        <v>12</v>
      </c>
      <c r="AM24" s="137">
        <v>12</v>
      </c>
      <c r="AN24" s="137">
        <v>12</v>
      </c>
      <c r="AO24" s="137">
        <v>12</v>
      </c>
      <c r="AP24" s="137">
        <v>12</v>
      </c>
      <c r="AQ24" s="137">
        <v>12</v>
      </c>
      <c r="AR24" s="137">
        <v>12</v>
      </c>
      <c r="AS24" s="137">
        <v>12</v>
      </c>
      <c r="AT24" s="137">
        <v>12</v>
      </c>
      <c r="AU24" s="138">
        <v>1</v>
      </c>
      <c r="AV24" s="135">
        <v>0</v>
      </c>
      <c r="AW24" s="135">
        <v>0</v>
      </c>
      <c r="AX24" s="139">
        <v>1115858834.6806583</v>
      </c>
      <c r="AY24" s="139">
        <v>245561734.83333337</v>
      </c>
      <c r="AZ24" s="139">
        <v>195835483.52958331</v>
      </c>
      <c r="BA24" s="139">
        <v>173474631.95565996</v>
      </c>
      <c r="BB24" s="139">
        <v>157735423.1605162</v>
      </c>
      <c r="BC24" s="139">
        <v>134038427.02988976</v>
      </c>
      <c r="BD24" s="139">
        <v>117153308.51376341</v>
      </c>
      <c r="BE24" s="139">
        <v>92059825.657912135</v>
      </c>
      <c r="BF24" s="139">
        <v>0</v>
      </c>
      <c r="BG24" s="139">
        <v>0</v>
      </c>
      <c r="BH24" s="139">
        <v>0</v>
      </c>
      <c r="BI24" s="139">
        <v>0</v>
      </c>
      <c r="BJ24" s="140">
        <v>20463477.902777776</v>
      </c>
      <c r="BK24" s="139">
        <v>20463477.902777776</v>
      </c>
      <c r="BL24" s="139">
        <v>20463477.902777776</v>
      </c>
      <c r="BM24" s="139">
        <v>20463477.902777776</v>
      </c>
      <c r="BN24" s="139">
        <v>20463477.902777776</v>
      </c>
      <c r="BO24" s="139">
        <v>20463477.902777776</v>
      </c>
      <c r="BP24" s="139">
        <v>20463477.902777776</v>
      </c>
      <c r="BQ24" s="139">
        <v>20463477.902777776</v>
      </c>
      <c r="BR24" s="139">
        <v>20463477.902777776</v>
      </c>
      <c r="BS24" s="139">
        <v>20463477.902777776</v>
      </c>
      <c r="BT24" s="139">
        <v>20463477.902777776</v>
      </c>
      <c r="BU24" s="139">
        <v>20463477.902777776</v>
      </c>
      <c r="BV24" s="139">
        <v>16319623.627465274</v>
      </c>
      <c r="BW24" s="139">
        <v>16319623.627465274</v>
      </c>
      <c r="BX24" s="139">
        <v>16319623.627465274</v>
      </c>
      <c r="BY24" s="139">
        <v>16319623.627465274</v>
      </c>
      <c r="BZ24" s="139">
        <v>16319623.627465274</v>
      </c>
      <c r="CA24" s="139">
        <v>16319623.627465274</v>
      </c>
      <c r="CB24" s="139">
        <v>16319623.627465274</v>
      </c>
      <c r="CC24" s="139">
        <v>16319623.627465274</v>
      </c>
      <c r="CD24" s="139">
        <v>16319623.627465274</v>
      </c>
      <c r="CE24" s="139">
        <v>16319623.627465274</v>
      </c>
      <c r="CF24" s="139">
        <v>16319623.627465274</v>
      </c>
      <c r="CG24" s="139">
        <v>16319623.627465274</v>
      </c>
      <c r="CH24" s="139">
        <v>14456219.329638328</v>
      </c>
      <c r="CI24" s="139">
        <v>14456219.329638328</v>
      </c>
      <c r="CJ24" s="139">
        <v>14456219.329638328</v>
      </c>
      <c r="CK24" s="139">
        <v>14456219.329638328</v>
      </c>
      <c r="CL24" s="139">
        <v>14456219.329638328</v>
      </c>
      <c r="CM24" s="139">
        <v>14456219.329638328</v>
      </c>
      <c r="CN24" s="139">
        <v>14456219.329638328</v>
      </c>
      <c r="CO24" s="139">
        <v>14456219.329638328</v>
      </c>
      <c r="CP24" s="139">
        <v>14456219.329638328</v>
      </c>
      <c r="CQ24" s="139">
        <v>14456219.329638328</v>
      </c>
      <c r="CR24" s="139">
        <v>14456219.329638328</v>
      </c>
      <c r="CS24" s="139">
        <v>14456219.329638328</v>
      </c>
      <c r="CT24" s="139">
        <v>13144618.596709684</v>
      </c>
      <c r="CU24" s="139">
        <v>13144618.596709684</v>
      </c>
      <c r="CV24" s="139">
        <v>13144618.596709684</v>
      </c>
      <c r="CW24" s="139">
        <v>13144618.596709684</v>
      </c>
      <c r="CX24" s="139">
        <v>13144618.596709684</v>
      </c>
      <c r="CY24" s="139">
        <v>13144618.596709684</v>
      </c>
      <c r="CZ24" s="139">
        <v>13144618.596709684</v>
      </c>
      <c r="DA24" s="139">
        <v>13144618.596709684</v>
      </c>
      <c r="DB24" s="139">
        <v>13144618.596709684</v>
      </c>
      <c r="DC24" s="139">
        <v>13144618.596709684</v>
      </c>
      <c r="DD24" s="139">
        <v>13144618.596709684</v>
      </c>
      <c r="DE24" s="139">
        <v>13144618.596709684</v>
      </c>
      <c r="DF24" s="139">
        <v>11169868.919157483</v>
      </c>
      <c r="DG24" s="139">
        <v>11169868.919157483</v>
      </c>
      <c r="DH24" s="139">
        <v>11169868.919157483</v>
      </c>
      <c r="DI24" s="139">
        <v>11169868.919157483</v>
      </c>
      <c r="DJ24" s="139">
        <v>11169868.919157483</v>
      </c>
      <c r="DK24" s="139">
        <v>11169868.919157483</v>
      </c>
      <c r="DL24" s="139">
        <v>11169868.919157483</v>
      </c>
      <c r="DM24" s="139">
        <v>11169868.919157483</v>
      </c>
      <c r="DN24" s="139">
        <v>11169868.919157483</v>
      </c>
      <c r="DO24" s="139">
        <v>11169868.919157483</v>
      </c>
      <c r="DP24" s="139">
        <v>11169868.919157483</v>
      </c>
      <c r="DQ24" s="139">
        <v>11169868.919157483</v>
      </c>
      <c r="DR24" s="139">
        <v>9762775.7094802838</v>
      </c>
      <c r="DS24" s="139">
        <v>9762775.7094802838</v>
      </c>
      <c r="DT24" s="139">
        <v>9762775.7094802838</v>
      </c>
      <c r="DU24" s="139">
        <v>9762775.7094802838</v>
      </c>
      <c r="DV24" s="139">
        <v>9762775.7094802838</v>
      </c>
      <c r="DW24" s="139">
        <v>9762775.7094802838</v>
      </c>
      <c r="DX24" s="139">
        <v>9762775.7094802838</v>
      </c>
      <c r="DY24" s="139">
        <v>9762775.7094802838</v>
      </c>
      <c r="DZ24" s="139">
        <v>9762775.7094802838</v>
      </c>
      <c r="EA24" s="139">
        <v>9762775.7094802838</v>
      </c>
      <c r="EB24" s="139">
        <v>9762775.7094802838</v>
      </c>
      <c r="EC24" s="139">
        <v>9762775.7094802838</v>
      </c>
      <c r="ED24" s="139">
        <v>7671652.138159344</v>
      </c>
      <c r="EE24" s="139">
        <v>7671652.138159344</v>
      </c>
      <c r="EF24" s="139">
        <v>7671652.138159344</v>
      </c>
      <c r="EG24" s="139">
        <v>7671652.138159344</v>
      </c>
      <c r="EH24" s="139">
        <v>7671652.138159344</v>
      </c>
      <c r="EI24" s="139">
        <v>7671652.138159344</v>
      </c>
      <c r="EJ24" s="139">
        <v>7671652.138159344</v>
      </c>
      <c r="EK24" s="139">
        <v>7671652.138159344</v>
      </c>
      <c r="EL24" s="139">
        <v>7671652.138159344</v>
      </c>
      <c r="EM24" s="139">
        <v>7671652.138159344</v>
      </c>
      <c r="EN24" s="139">
        <v>7671652.138159344</v>
      </c>
      <c r="EO24" s="139">
        <v>7671652.138159344</v>
      </c>
      <c r="EP24" s="139">
        <v>0</v>
      </c>
      <c r="EQ24" s="139">
        <v>0</v>
      </c>
      <c r="ER24" s="139">
        <v>0</v>
      </c>
      <c r="ES24" s="139">
        <v>0</v>
      </c>
      <c r="ET24" s="139">
        <v>0</v>
      </c>
      <c r="EU24" s="139">
        <v>0</v>
      </c>
      <c r="EV24" s="139">
        <v>0</v>
      </c>
      <c r="EW24" s="139">
        <v>0</v>
      </c>
      <c r="EX24" s="139">
        <v>0</v>
      </c>
      <c r="EY24" s="139">
        <v>0</v>
      </c>
      <c r="EZ24" s="139">
        <v>0</v>
      </c>
      <c r="FA24" s="139">
        <v>0</v>
      </c>
      <c r="FB24" s="139">
        <v>0</v>
      </c>
      <c r="FC24" s="139">
        <v>0</v>
      </c>
      <c r="FD24" s="139">
        <v>0</v>
      </c>
      <c r="FE24" s="139">
        <v>0</v>
      </c>
      <c r="FF24" s="139">
        <v>0</v>
      </c>
      <c r="FG24" s="139">
        <v>0</v>
      </c>
      <c r="FH24" s="139">
        <v>0</v>
      </c>
      <c r="FI24" s="139">
        <v>0</v>
      </c>
      <c r="FJ24" s="139">
        <v>0</v>
      </c>
      <c r="FK24" s="139">
        <v>0</v>
      </c>
      <c r="FL24" s="139">
        <v>0</v>
      </c>
      <c r="FM24" s="139">
        <v>0</v>
      </c>
      <c r="FN24" s="139">
        <v>0</v>
      </c>
      <c r="FO24" s="139">
        <v>0</v>
      </c>
      <c r="FP24" s="139">
        <v>0</v>
      </c>
      <c r="FQ24" s="139">
        <v>0</v>
      </c>
      <c r="FR24" s="139">
        <v>0</v>
      </c>
      <c r="FS24" s="139">
        <v>0</v>
      </c>
      <c r="FT24" s="139">
        <v>0</v>
      </c>
      <c r="FU24" s="139">
        <v>0</v>
      </c>
      <c r="FV24" s="139">
        <v>0</v>
      </c>
      <c r="FW24" s="139">
        <v>0</v>
      </c>
      <c r="FX24" s="139">
        <v>0</v>
      </c>
      <c r="FY24" s="139">
        <v>0</v>
      </c>
      <c r="FZ24" s="139">
        <v>0</v>
      </c>
      <c r="GA24" s="139">
        <v>0</v>
      </c>
      <c r="GB24" s="139">
        <v>0</v>
      </c>
      <c r="GC24" s="139">
        <v>0</v>
      </c>
      <c r="GD24" s="139">
        <v>0</v>
      </c>
      <c r="GE24" s="139">
        <v>0</v>
      </c>
      <c r="GF24" s="139">
        <v>0</v>
      </c>
      <c r="GG24" s="139">
        <v>0</v>
      </c>
      <c r="GH24" s="139">
        <v>0</v>
      </c>
      <c r="GI24" s="139">
        <v>0</v>
      </c>
      <c r="GJ24" s="139">
        <v>0</v>
      </c>
      <c r="GK24" s="48">
        <v>0</v>
      </c>
      <c r="GL24" s="27"/>
    </row>
    <row r="25" spans="1:194" x14ac:dyDescent="0.3">
      <c r="A25" s="155" t="s">
        <v>379</v>
      </c>
      <c r="B25" s="135" t="s">
        <v>424</v>
      </c>
      <c r="C25" s="135" t="s">
        <v>277</v>
      </c>
      <c r="D25" s="135" t="s">
        <v>274</v>
      </c>
      <c r="E25" s="178" t="s">
        <v>186</v>
      </c>
      <c r="F25" s="194" t="s">
        <v>353</v>
      </c>
      <c r="G25" s="141" t="s">
        <v>355</v>
      </c>
      <c r="H25" s="141">
        <v>0</v>
      </c>
      <c r="I25" s="135">
        <v>0</v>
      </c>
      <c r="J25" s="135" t="s">
        <v>385</v>
      </c>
      <c r="K25" s="135">
        <v>0</v>
      </c>
      <c r="L25" s="135" t="s">
        <v>194</v>
      </c>
      <c r="M25" s="136">
        <f>IFERROR(INDEX('(참조)CS_인건비'!$S$3:$AG$40,MATCH(CS_인건비!$A25,'(참조)CS_인건비'!$S$3:$S$40,0),MATCH('(참조)CS_인건비'!X$2,'(참조)CS_인건비'!$S$2:$AG$2,0)),0)</f>
        <v>1</v>
      </c>
      <c r="N25" s="136">
        <f>IFERROR(INDEX('(참조)CS_인건비'!$S$3:$AG$40,MATCH(CS_인건비!$A25,'(참조)CS_인건비'!$S$3:$S$40,0),MATCH('(참조)CS_인건비'!Y$2,'(참조)CS_인건비'!$S$2:$AG$2,0)),0)</f>
        <v>1</v>
      </c>
      <c r="O25" s="136">
        <f>IFERROR(INDEX('(참조)CS_인건비'!$S$3:$AG$40,MATCH(CS_인건비!$A25,'(참조)CS_인건비'!$S$3:$S$40,0),MATCH('(참조)CS_인건비'!Z$2,'(참조)CS_인건비'!$S$2:$AG$2,0)),0)</f>
        <v>1</v>
      </c>
      <c r="P25" s="136">
        <f>IFERROR(INDEX('(참조)CS_인건비'!$S$3:$AG$40,MATCH(CS_인건비!$A25,'(참조)CS_인건비'!$S$3:$S$40,0),MATCH('(참조)CS_인건비'!AA$2,'(참조)CS_인건비'!$S$2:$AG$2,0)),0)</f>
        <v>1</v>
      </c>
      <c r="Q25" s="136">
        <f>IFERROR(INDEX('(참조)CS_인건비'!$S$3:$AG$40,MATCH(CS_인건비!$A25,'(참조)CS_인건비'!$S$3:$S$40,0),MATCH('(참조)CS_인건비'!AB$2,'(참조)CS_인건비'!$S$2:$AG$2,0)),0)</f>
        <v>1</v>
      </c>
      <c r="R25" s="136">
        <f>IFERROR(INDEX('(참조)CS_인건비'!$S$3:$AG$40,MATCH(CS_인건비!$A25,'(참조)CS_인건비'!$S$3:$S$40,0),MATCH('(참조)CS_인건비'!AC$2,'(참조)CS_인건비'!$S$2:$AG$2,0)),0)</f>
        <v>1</v>
      </c>
      <c r="S25" s="136">
        <f>IFERROR(INDEX('(참조)CS_인건비'!$S$3:$AG$40,MATCH(CS_인건비!$A25,'(참조)CS_인건비'!$S$3:$S$40,0),MATCH('(참조)CS_인건비'!AD$2,'(참조)CS_인건비'!$S$2:$AG$2,0)),0)</f>
        <v>1</v>
      </c>
      <c r="T25" s="136">
        <f>IFERROR(INDEX('(참조)CS_인건비'!$S$3:$AG$40,MATCH(CS_인건비!$A25,'(참조)CS_인건비'!$S$3:$S$40,0),MATCH('(참조)CS_인건비'!AE$2,'(참조)CS_인건비'!$S$2:$AG$2,0)),0)</f>
        <v>0</v>
      </c>
      <c r="U25" s="136">
        <f>IFERROR(INDEX('(참조)CS_인건비'!$S$3:$AG$40,MATCH(CS_인건비!$A25,'(참조)CS_인건비'!$S$3:$S$40,0),MATCH('(참조)CS_인건비'!AF$2,'(참조)CS_인건비'!$S$2:$AG$2,0)),0)</f>
        <v>0</v>
      </c>
      <c r="V25" s="136">
        <f>IFERROR(INDEX('(참조)CS_인건비'!$S$3:$AG$40,MATCH(CS_인건비!$A25,'(참조)CS_인건비'!$S$3:$S$40,0),MATCH('(참조)CS_인건비'!AG$2,'(참조)CS_인건비'!$S$2:$AG$2,0)),0)</f>
        <v>0</v>
      </c>
      <c r="W25" s="136">
        <f>IFERROR(INDEX('(참조)CS_인건비'!$S$3:$AG$40,MATCH(CS_인건비!$A25,'(참조)CS_인건비'!$S$3:$S$40,0),MATCH('(참조)CS_인건비'!AH$2,'(참조)CS_인건비'!$S$2:$AG$2,0)),0)</f>
        <v>0</v>
      </c>
      <c r="X25" s="137">
        <v>0</v>
      </c>
      <c r="Y25" s="137">
        <f>IFERROR(INDEX('(참조)CS_인건비'!$A$3:$O$40,MATCH(CS_인건비!$A25,'(참조)CS_인건비'!$A$3:$A$40,0),MATCH('(참조)CS_인건비'!F$2,'(참조)CS_인건비'!$A$2:$O$2,0)),0)</f>
        <v>3149125.2708333335</v>
      </c>
      <c r="Z25" s="137">
        <f>IFERROR(INDEX('(참조)CS_인건비'!$A$3:$O$40,MATCH(CS_인건비!$A25,'(참조)CS_인건비'!$A$3:$A$40,0),MATCH('(참조)CS_인건비'!G$2,'(참조)CS_인건비'!$A$2:$O$2,0)),0)</f>
        <v>3196362.1498958333</v>
      </c>
      <c r="AA25" s="137">
        <f>IFERROR(INDEX('(참조)CS_인건비'!$A$3:$O$40,MATCH(CS_인건비!$A25,'(참조)CS_인건비'!$A$3:$A$40,0),MATCH('(참조)CS_인건비'!H$2,'(참조)CS_인건비'!$A$2:$O$2,0)),0)</f>
        <v>3244307.5821442707</v>
      </c>
      <c r="AB25" s="137">
        <f>IFERROR(INDEX('(참조)CS_인건비'!$A$3:$O$40,MATCH(CS_인건비!$A25,'(참조)CS_인건비'!$A$3:$A$40,0),MATCH('(참조)CS_인건비'!I$2,'(참조)CS_인건비'!$A$2:$O$2,0)),0)</f>
        <v>3292972.1958764344</v>
      </c>
      <c r="AC25" s="137">
        <f>IFERROR(INDEX('(참조)CS_인건비'!$A$3:$O$40,MATCH(CS_인건비!$A25,'(참조)CS_인건비'!$A$3:$A$40,0),MATCH('(참조)CS_인건비'!J$2,'(참조)CS_인건비'!$A$2:$O$2,0)),0)</f>
        <v>3342366.7788145808</v>
      </c>
      <c r="AD25" s="137">
        <f>IFERROR(INDEX('(참조)CS_인건비'!$A$3:$O$40,MATCH(CS_인건비!$A25,'(참조)CS_인건비'!$A$3:$A$40,0),MATCH('(참조)CS_인건비'!K$2,'(참조)CS_인건비'!$A$2:$O$2,0)),0)</f>
        <v>3392502.2804967989</v>
      </c>
      <c r="AE25" s="137">
        <f>IFERROR(INDEX('(참조)CS_인건비'!$A$3:$O$40,MATCH(CS_인건비!$A25,'(참조)CS_인건비'!$A$3:$A$40,0),MATCH('(참조)CS_인건비'!L$2,'(참조)CS_인건비'!$A$2:$O$2,0)),0)</f>
        <v>3443389.8147042505</v>
      </c>
      <c r="AF25" s="137">
        <f>IFERROR(INDEX('(참조)CS_인건비'!$A$3:$O$40,MATCH(CS_인건비!$A25,'(참조)CS_인건비'!$A$3:$A$40,0),MATCH('(참조)CS_인건비'!M$2,'(참조)CS_인건비'!$A$2:$O$2,0)),0)</f>
        <v>0</v>
      </c>
      <c r="AG25" s="137">
        <f>IFERROR(INDEX('(참조)CS_인건비'!$A$3:$O$40,MATCH(CS_인건비!$A25,'(참조)CS_인건비'!$A$3:$A$40,0),MATCH('(참조)CS_인건비'!N$2,'(참조)CS_인건비'!$A$2:$O$2,0)),0)</f>
        <v>0</v>
      </c>
      <c r="AH25" s="137">
        <f>IFERROR(INDEX('(참조)CS_인건비'!$A$3:$O$40,MATCH(CS_인건비!$A25,'(참조)CS_인건비'!$A$3:$A$40,0),MATCH('(참조)CS_인건비'!O$2,'(참조)CS_인건비'!$A$2:$O$2,0)),0)</f>
        <v>0</v>
      </c>
      <c r="AI25" s="137">
        <f>IFERROR(INDEX('(참조)CS_인건비'!$A$3:$O$40,MATCH(CS_인건비!$A25,'(참조)CS_인건비'!$A$3:$A$40,0),MATCH('(참조)CS_인건비'!P$2,'(참조)CS_인건비'!$A$2:$O$2,0)),0)</f>
        <v>0</v>
      </c>
      <c r="AJ25" s="137">
        <v>12</v>
      </c>
      <c r="AK25" s="137">
        <v>12</v>
      </c>
      <c r="AL25" s="137">
        <v>12</v>
      </c>
      <c r="AM25" s="137">
        <v>12</v>
      </c>
      <c r="AN25" s="137">
        <v>12</v>
      </c>
      <c r="AO25" s="137">
        <v>12</v>
      </c>
      <c r="AP25" s="137">
        <v>12</v>
      </c>
      <c r="AQ25" s="137">
        <v>12</v>
      </c>
      <c r="AR25" s="137">
        <v>12</v>
      </c>
      <c r="AS25" s="137">
        <v>12</v>
      </c>
      <c r="AT25" s="137">
        <v>12</v>
      </c>
      <c r="AU25" s="138">
        <v>1</v>
      </c>
      <c r="AV25" s="135">
        <v>0</v>
      </c>
      <c r="AW25" s="135">
        <v>0</v>
      </c>
      <c r="AX25" s="139">
        <v>276732312.87318599</v>
      </c>
      <c r="AY25" s="139">
        <v>37789503.25</v>
      </c>
      <c r="AZ25" s="139">
        <v>38356345.798749991</v>
      </c>
      <c r="BA25" s="139">
        <v>38931690.985731252</v>
      </c>
      <c r="BB25" s="139">
        <v>39515666.350517213</v>
      </c>
      <c r="BC25" s="139">
        <v>40108401.345774971</v>
      </c>
      <c r="BD25" s="139">
        <v>40710027.365961589</v>
      </c>
      <c r="BE25" s="139">
        <v>41320677.776451007</v>
      </c>
      <c r="BF25" s="139">
        <v>0</v>
      </c>
      <c r="BG25" s="139">
        <v>0</v>
      </c>
      <c r="BH25" s="139">
        <v>0</v>
      </c>
      <c r="BI25" s="139">
        <v>0</v>
      </c>
      <c r="BJ25" s="140">
        <v>3149125.2708333335</v>
      </c>
      <c r="BK25" s="139">
        <v>3149125.2708333335</v>
      </c>
      <c r="BL25" s="139">
        <v>3149125.2708333335</v>
      </c>
      <c r="BM25" s="139">
        <v>3149125.2708333335</v>
      </c>
      <c r="BN25" s="139">
        <v>3149125.2708333335</v>
      </c>
      <c r="BO25" s="139">
        <v>3149125.2708333335</v>
      </c>
      <c r="BP25" s="139">
        <v>3149125.2708333335</v>
      </c>
      <c r="BQ25" s="139">
        <v>3149125.2708333335</v>
      </c>
      <c r="BR25" s="139">
        <v>3149125.2708333335</v>
      </c>
      <c r="BS25" s="139">
        <v>3149125.2708333335</v>
      </c>
      <c r="BT25" s="139">
        <v>3149125.2708333335</v>
      </c>
      <c r="BU25" s="139">
        <v>3149125.2708333335</v>
      </c>
      <c r="BV25" s="139">
        <v>3196362.1498958333</v>
      </c>
      <c r="BW25" s="139">
        <v>3196362.1498958333</v>
      </c>
      <c r="BX25" s="139">
        <v>3196362.1498958333</v>
      </c>
      <c r="BY25" s="139">
        <v>3196362.1498958333</v>
      </c>
      <c r="BZ25" s="139">
        <v>3196362.1498958333</v>
      </c>
      <c r="CA25" s="139">
        <v>3196362.1498958333</v>
      </c>
      <c r="CB25" s="139">
        <v>3196362.1498958333</v>
      </c>
      <c r="CC25" s="139">
        <v>3196362.1498958333</v>
      </c>
      <c r="CD25" s="139">
        <v>3196362.1498958333</v>
      </c>
      <c r="CE25" s="139">
        <v>3196362.1498958333</v>
      </c>
      <c r="CF25" s="139">
        <v>3196362.1498958333</v>
      </c>
      <c r="CG25" s="139">
        <v>3196362.1498958333</v>
      </c>
      <c r="CH25" s="139">
        <v>3244307.5821442707</v>
      </c>
      <c r="CI25" s="139">
        <v>3244307.5821442707</v>
      </c>
      <c r="CJ25" s="139">
        <v>3244307.5821442707</v>
      </c>
      <c r="CK25" s="139">
        <v>3244307.5821442707</v>
      </c>
      <c r="CL25" s="139">
        <v>3244307.5821442707</v>
      </c>
      <c r="CM25" s="139">
        <v>3244307.5821442707</v>
      </c>
      <c r="CN25" s="139">
        <v>3244307.5821442707</v>
      </c>
      <c r="CO25" s="139">
        <v>3244307.5821442707</v>
      </c>
      <c r="CP25" s="139">
        <v>3244307.5821442707</v>
      </c>
      <c r="CQ25" s="139">
        <v>3244307.5821442707</v>
      </c>
      <c r="CR25" s="139">
        <v>3244307.5821442707</v>
      </c>
      <c r="CS25" s="139">
        <v>3244307.5821442707</v>
      </c>
      <c r="CT25" s="139">
        <v>3292972.1958764344</v>
      </c>
      <c r="CU25" s="139">
        <v>3292972.1958764344</v>
      </c>
      <c r="CV25" s="139">
        <v>3292972.1958764344</v>
      </c>
      <c r="CW25" s="139">
        <v>3292972.1958764344</v>
      </c>
      <c r="CX25" s="139">
        <v>3292972.1958764344</v>
      </c>
      <c r="CY25" s="139">
        <v>3292972.1958764344</v>
      </c>
      <c r="CZ25" s="139">
        <v>3292972.1958764344</v>
      </c>
      <c r="DA25" s="139">
        <v>3292972.1958764344</v>
      </c>
      <c r="DB25" s="139">
        <v>3292972.1958764344</v>
      </c>
      <c r="DC25" s="139">
        <v>3292972.1958764344</v>
      </c>
      <c r="DD25" s="139">
        <v>3292972.1958764344</v>
      </c>
      <c r="DE25" s="139">
        <v>3292972.1958764344</v>
      </c>
      <c r="DF25" s="139">
        <v>3342366.7788145808</v>
      </c>
      <c r="DG25" s="139">
        <v>3342366.7788145808</v>
      </c>
      <c r="DH25" s="139">
        <v>3342366.7788145808</v>
      </c>
      <c r="DI25" s="139">
        <v>3342366.7788145808</v>
      </c>
      <c r="DJ25" s="139">
        <v>3342366.7788145808</v>
      </c>
      <c r="DK25" s="139">
        <v>3342366.7788145808</v>
      </c>
      <c r="DL25" s="139">
        <v>3342366.7788145808</v>
      </c>
      <c r="DM25" s="139">
        <v>3342366.7788145808</v>
      </c>
      <c r="DN25" s="139">
        <v>3342366.7788145808</v>
      </c>
      <c r="DO25" s="139">
        <v>3342366.7788145808</v>
      </c>
      <c r="DP25" s="139">
        <v>3342366.7788145808</v>
      </c>
      <c r="DQ25" s="139">
        <v>3342366.7788145808</v>
      </c>
      <c r="DR25" s="139">
        <v>3392502.2804967989</v>
      </c>
      <c r="DS25" s="139">
        <v>3392502.2804967989</v>
      </c>
      <c r="DT25" s="139">
        <v>3392502.2804967989</v>
      </c>
      <c r="DU25" s="139">
        <v>3392502.2804967989</v>
      </c>
      <c r="DV25" s="139">
        <v>3392502.2804967989</v>
      </c>
      <c r="DW25" s="139">
        <v>3392502.2804967989</v>
      </c>
      <c r="DX25" s="139">
        <v>3392502.2804967989</v>
      </c>
      <c r="DY25" s="139">
        <v>3392502.2804967989</v>
      </c>
      <c r="DZ25" s="139">
        <v>3392502.2804967989</v>
      </c>
      <c r="EA25" s="139">
        <v>3392502.2804967989</v>
      </c>
      <c r="EB25" s="139">
        <v>3392502.2804967989</v>
      </c>
      <c r="EC25" s="139">
        <v>3392502.2804967989</v>
      </c>
      <c r="ED25" s="139">
        <v>3443389.8147042505</v>
      </c>
      <c r="EE25" s="139">
        <v>3443389.8147042505</v>
      </c>
      <c r="EF25" s="139">
        <v>3443389.8147042505</v>
      </c>
      <c r="EG25" s="139">
        <v>3443389.8147042505</v>
      </c>
      <c r="EH25" s="139">
        <v>3443389.8147042505</v>
      </c>
      <c r="EI25" s="139">
        <v>3443389.8147042505</v>
      </c>
      <c r="EJ25" s="139">
        <v>3443389.8147042505</v>
      </c>
      <c r="EK25" s="139">
        <v>3443389.8147042505</v>
      </c>
      <c r="EL25" s="139">
        <v>3443389.8147042505</v>
      </c>
      <c r="EM25" s="139">
        <v>3443389.8147042505</v>
      </c>
      <c r="EN25" s="139">
        <v>3443389.8147042505</v>
      </c>
      <c r="EO25" s="139">
        <v>3443389.8147042505</v>
      </c>
      <c r="EP25" s="139">
        <v>0</v>
      </c>
      <c r="EQ25" s="139">
        <v>0</v>
      </c>
      <c r="ER25" s="139">
        <v>0</v>
      </c>
      <c r="ES25" s="139">
        <v>0</v>
      </c>
      <c r="ET25" s="139">
        <v>0</v>
      </c>
      <c r="EU25" s="139">
        <v>0</v>
      </c>
      <c r="EV25" s="139">
        <v>0</v>
      </c>
      <c r="EW25" s="139">
        <v>0</v>
      </c>
      <c r="EX25" s="139">
        <v>0</v>
      </c>
      <c r="EY25" s="139">
        <v>0</v>
      </c>
      <c r="EZ25" s="139">
        <v>0</v>
      </c>
      <c r="FA25" s="139">
        <v>0</v>
      </c>
      <c r="FB25" s="139">
        <v>0</v>
      </c>
      <c r="FC25" s="139">
        <v>0</v>
      </c>
      <c r="FD25" s="139">
        <v>0</v>
      </c>
      <c r="FE25" s="139">
        <v>0</v>
      </c>
      <c r="FF25" s="139">
        <v>0</v>
      </c>
      <c r="FG25" s="139">
        <v>0</v>
      </c>
      <c r="FH25" s="139">
        <v>0</v>
      </c>
      <c r="FI25" s="139">
        <v>0</v>
      </c>
      <c r="FJ25" s="139">
        <v>0</v>
      </c>
      <c r="FK25" s="139">
        <v>0</v>
      </c>
      <c r="FL25" s="139">
        <v>0</v>
      </c>
      <c r="FM25" s="139">
        <v>0</v>
      </c>
      <c r="FN25" s="139">
        <v>0</v>
      </c>
      <c r="FO25" s="139">
        <v>0</v>
      </c>
      <c r="FP25" s="139">
        <v>0</v>
      </c>
      <c r="FQ25" s="139">
        <v>0</v>
      </c>
      <c r="FR25" s="139">
        <v>0</v>
      </c>
      <c r="FS25" s="139">
        <v>0</v>
      </c>
      <c r="FT25" s="139">
        <v>0</v>
      </c>
      <c r="FU25" s="139">
        <v>0</v>
      </c>
      <c r="FV25" s="139">
        <v>0</v>
      </c>
      <c r="FW25" s="139">
        <v>0</v>
      </c>
      <c r="FX25" s="139">
        <v>0</v>
      </c>
      <c r="FY25" s="139">
        <v>0</v>
      </c>
      <c r="FZ25" s="139">
        <v>0</v>
      </c>
      <c r="GA25" s="139">
        <v>0</v>
      </c>
      <c r="GB25" s="139">
        <v>0</v>
      </c>
      <c r="GC25" s="139">
        <v>0</v>
      </c>
      <c r="GD25" s="139">
        <v>0</v>
      </c>
      <c r="GE25" s="139">
        <v>0</v>
      </c>
      <c r="GF25" s="139">
        <v>0</v>
      </c>
      <c r="GG25" s="139">
        <v>0</v>
      </c>
      <c r="GH25" s="139">
        <v>0</v>
      </c>
      <c r="GI25" s="139">
        <v>0</v>
      </c>
      <c r="GJ25" s="139">
        <v>0</v>
      </c>
      <c r="GK25" s="48">
        <v>0</v>
      </c>
      <c r="GL25" s="27"/>
    </row>
    <row r="26" spans="1:194" x14ac:dyDescent="0.3">
      <c r="A26" s="155" t="s">
        <v>380</v>
      </c>
      <c r="B26" s="135" t="s">
        <v>424</v>
      </c>
      <c r="C26" s="135" t="s">
        <v>277</v>
      </c>
      <c r="D26" s="135" t="s">
        <v>274</v>
      </c>
      <c r="E26" s="178" t="s">
        <v>186</v>
      </c>
      <c r="F26" s="194" t="s">
        <v>353</v>
      </c>
      <c r="G26" s="141" t="s">
        <v>356</v>
      </c>
      <c r="H26" s="141">
        <v>0</v>
      </c>
      <c r="I26" s="135">
        <v>0</v>
      </c>
      <c r="J26" s="135" t="s">
        <v>385</v>
      </c>
      <c r="K26" s="135">
        <v>0</v>
      </c>
      <c r="L26" s="135" t="s">
        <v>194</v>
      </c>
      <c r="M26" s="136">
        <f>IFERROR(INDEX('(참조)CS_인건비'!$S$3:$AG$40,MATCH(CS_인건비!$A26,'(참조)CS_인건비'!$S$3:$S$40,0),MATCH('(참조)CS_인건비'!X$2,'(참조)CS_인건비'!$S$2:$AG$2,0)),0)</f>
        <v>2.0833333333333335</v>
      </c>
      <c r="N26" s="136">
        <f>IFERROR(INDEX('(참조)CS_인건비'!$S$3:$AG$40,MATCH(CS_인건비!$A26,'(참조)CS_인건비'!$S$3:$S$40,0),MATCH('(참조)CS_인건비'!Y$2,'(참조)CS_인건비'!$S$2:$AG$2,0)),0)</f>
        <v>1</v>
      </c>
      <c r="O26" s="136">
        <f>IFERROR(INDEX('(참조)CS_인건비'!$S$3:$AG$40,MATCH(CS_인건비!$A26,'(참조)CS_인건비'!$S$3:$S$40,0),MATCH('(참조)CS_인건비'!Z$2,'(참조)CS_인건비'!$S$2:$AG$2,0)),0)</f>
        <v>1</v>
      </c>
      <c r="P26" s="136">
        <f>IFERROR(INDEX('(참조)CS_인건비'!$S$3:$AG$40,MATCH(CS_인건비!$A26,'(참조)CS_인건비'!$S$3:$S$40,0),MATCH('(참조)CS_인건비'!AA$2,'(참조)CS_인건비'!$S$2:$AG$2,0)),0)</f>
        <v>1</v>
      </c>
      <c r="Q26" s="136">
        <f>IFERROR(INDEX('(참조)CS_인건비'!$S$3:$AG$40,MATCH(CS_인건비!$A26,'(참조)CS_인건비'!$S$3:$S$40,0),MATCH('(참조)CS_인건비'!AB$2,'(참조)CS_인건비'!$S$2:$AG$2,0)),0)</f>
        <v>1</v>
      </c>
      <c r="R26" s="136">
        <f>IFERROR(INDEX('(참조)CS_인건비'!$S$3:$AG$40,MATCH(CS_인건비!$A26,'(참조)CS_인건비'!$S$3:$S$40,0),MATCH('(참조)CS_인건비'!AC$2,'(참조)CS_인건비'!$S$2:$AG$2,0)),0)</f>
        <v>1</v>
      </c>
      <c r="S26" s="136">
        <f>IFERROR(INDEX('(참조)CS_인건비'!$S$3:$AG$40,MATCH(CS_인건비!$A26,'(참조)CS_인건비'!$S$3:$S$40,0),MATCH('(참조)CS_인건비'!AD$2,'(참조)CS_인건비'!$S$2:$AG$2,0)),0)</f>
        <v>1</v>
      </c>
      <c r="T26" s="136">
        <f>IFERROR(INDEX('(참조)CS_인건비'!$S$3:$AG$40,MATCH(CS_인건비!$A26,'(참조)CS_인건비'!$S$3:$S$40,0),MATCH('(참조)CS_인건비'!AE$2,'(참조)CS_인건비'!$S$2:$AG$2,0)),0)</f>
        <v>0</v>
      </c>
      <c r="U26" s="136">
        <f>IFERROR(INDEX('(참조)CS_인건비'!$S$3:$AG$40,MATCH(CS_인건비!$A26,'(참조)CS_인건비'!$S$3:$S$40,0),MATCH('(참조)CS_인건비'!AF$2,'(참조)CS_인건비'!$S$2:$AG$2,0)),0)</f>
        <v>0</v>
      </c>
      <c r="V26" s="136">
        <f>IFERROR(INDEX('(참조)CS_인건비'!$S$3:$AG$40,MATCH(CS_인건비!$A26,'(참조)CS_인건비'!$S$3:$S$40,0),MATCH('(참조)CS_인건비'!AG$2,'(참조)CS_인건비'!$S$2:$AG$2,0)),0)</f>
        <v>0</v>
      </c>
      <c r="W26" s="136">
        <f>IFERROR(INDEX('(참조)CS_인건비'!$S$3:$AG$40,MATCH(CS_인건비!$A26,'(참조)CS_인건비'!$S$3:$S$40,0),MATCH('(참조)CS_인건비'!AH$2,'(참조)CS_인건비'!$S$2:$AG$2,0)),0)</f>
        <v>0</v>
      </c>
      <c r="X26" s="137">
        <v>0</v>
      </c>
      <c r="Y26" s="137">
        <f>IFERROR(INDEX('(참조)CS_인건비'!$A$3:$O$40,MATCH(CS_인건비!$A26,'(참조)CS_인건비'!$A$3:$A$40,0),MATCH('(참조)CS_인건비'!F$2,'(참조)CS_인건비'!$A$2:$O$2,0)),0)</f>
        <v>2670592.5874999999</v>
      </c>
      <c r="Z26" s="137">
        <f>IFERROR(INDEX('(참조)CS_인건비'!$A$3:$O$40,MATCH(CS_인건비!$A26,'(참조)CS_인건비'!$A$3:$A$40,0),MATCH('(참조)CS_인건비'!G$2,'(참조)CS_인건비'!$A$2:$O$2,0)),0)</f>
        <v>2710651.4763124995</v>
      </c>
      <c r="AA26" s="137">
        <f>IFERROR(INDEX('(참조)CS_인건비'!$A$3:$O$40,MATCH(CS_인건비!$A26,'(참조)CS_인건비'!$A$3:$A$40,0),MATCH('(참조)CS_인건비'!H$2,'(참조)CS_인건비'!$A$2:$O$2,0)),0)</f>
        <v>2751311.2484571869</v>
      </c>
      <c r="AB26" s="137">
        <f>IFERROR(INDEX('(참조)CS_인건비'!$A$3:$O$40,MATCH(CS_인건비!$A26,'(참조)CS_인건비'!$A$3:$A$40,0),MATCH('(참조)CS_인건비'!I$2,'(참조)CS_인건비'!$A$2:$O$2,0)),0)</f>
        <v>2792580.9171840446</v>
      </c>
      <c r="AC26" s="137">
        <f>IFERROR(INDEX('(참조)CS_인건비'!$A$3:$O$40,MATCH(CS_인건비!$A26,'(참조)CS_인건비'!$A$3:$A$40,0),MATCH('(참조)CS_인건비'!J$2,'(참조)CS_인건비'!$A$2:$O$2,0)),0)</f>
        <v>2834469.630941805</v>
      </c>
      <c r="AD26" s="137">
        <f>IFERROR(INDEX('(참조)CS_인건비'!$A$3:$O$40,MATCH(CS_인건비!$A26,'(참조)CS_인건비'!$A$3:$A$40,0),MATCH('(참조)CS_인건비'!K$2,'(참조)CS_인건비'!$A$2:$O$2,0)),0)</f>
        <v>2876986.6754059317</v>
      </c>
      <c r="AE26" s="137">
        <f>IFERROR(INDEX('(참조)CS_인건비'!$A$3:$O$40,MATCH(CS_인건비!$A26,'(참조)CS_인건비'!$A$3:$A$40,0),MATCH('(참조)CS_인건비'!L$2,'(참조)CS_인건비'!$A$2:$O$2,0)),0)</f>
        <v>2920141.4755370202</v>
      </c>
      <c r="AF26" s="137">
        <f>IFERROR(INDEX('(참조)CS_인건비'!$A$3:$O$40,MATCH(CS_인건비!$A26,'(참조)CS_인건비'!$A$3:$A$40,0),MATCH('(참조)CS_인건비'!M$2,'(참조)CS_인건비'!$A$2:$O$2,0)),0)</f>
        <v>0</v>
      </c>
      <c r="AG26" s="137">
        <f>IFERROR(INDEX('(참조)CS_인건비'!$A$3:$O$40,MATCH(CS_인건비!$A26,'(참조)CS_인건비'!$A$3:$A$40,0),MATCH('(참조)CS_인건비'!N$2,'(참조)CS_인건비'!$A$2:$O$2,0)),0)</f>
        <v>0</v>
      </c>
      <c r="AH26" s="137">
        <f>IFERROR(INDEX('(참조)CS_인건비'!$A$3:$O$40,MATCH(CS_인건비!$A26,'(참조)CS_인건비'!$A$3:$A$40,0),MATCH('(참조)CS_인건비'!O$2,'(참조)CS_인건비'!$A$2:$O$2,0)),0)</f>
        <v>0</v>
      </c>
      <c r="AI26" s="137">
        <f>IFERROR(INDEX('(참조)CS_인건비'!$A$3:$O$40,MATCH(CS_인건비!$A26,'(참조)CS_인건비'!$A$3:$A$40,0),MATCH('(참조)CS_인건비'!P$2,'(참조)CS_인건비'!$A$2:$O$2,0)),0)</f>
        <v>0</v>
      </c>
      <c r="AJ26" s="137">
        <v>12</v>
      </c>
      <c r="AK26" s="137">
        <v>12</v>
      </c>
      <c r="AL26" s="137">
        <v>12</v>
      </c>
      <c r="AM26" s="137">
        <v>12</v>
      </c>
      <c r="AN26" s="137">
        <v>12</v>
      </c>
      <c r="AO26" s="137">
        <v>12</v>
      </c>
      <c r="AP26" s="137">
        <v>12</v>
      </c>
      <c r="AQ26" s="137">
        <v>12</v>
      </c>
      <c r="AR26" s="137">
        <v>12</v>
      </c>
      <c r="AS26" s="137">
        <v>12</v>
      </c>
      <c r="AT26" s="137">
        <v>12</v>
      </c>
      <c r="AU26" s="138">
        <v>1</v>
      </c>
      <c r="AV26" s="135">
        <v>0</v>
      </c>
      <c r="AW26" s="135">
        <v>0</v>
      </c>
      <c r="AX26" s="139">
        <v>269398511.77356184</v>
      </c>
      <c r="AY26" s="139">
        <v>66764814.687499993</v>
      </c>
      <c r="AZ26" s="139">
        <v>32527817.715749994</v>
      </c>
      <c r="BA26" s="139">
        <v>33015734.981486235</v>
      </c>
      <c r="BB26" s="139">
        <v>33510971.006208528</v>
      </c>
      <c r="BC26" s="139">
        <v>34013635.571301661</v>
      </c>
      <c r="BD26" s="139">
        <v>34523840.104871176</v>
      </c>
      <c r="BE26" s="139">
        <v>35041697.706444241</v>
      </c>
      <c r="BF26" s="139">
        <v>0</v>
      </c>
      <c r="BG26" s="139">
        <v>0</v>
      </c>
      <c r="BH26" s="139">
        <v>0</v>
      </c>
      <c r="BI26" s="139">
        <v>0</v>
      </c>
      <c r="BJ26" s="140">
        <v>5563734.557291667</v>
      </c>
      <c r="BK26" s="139">
        <v>5563734.557291667</v>
      </c>
      <c r="BL26" s="139">
        <v>5563734.557291667</v>
      </c>
      <c r="BM26" s="139">
        <v>5563734.557291667</v>
      </c>
      <c r="BN26" s="139">
        <v>5563734.557291667</v>
      </c>
      <c r="BO26" s="139">
        <v>5563734.557291667</v>
      </c>
      <c r="BP26" s="139">
        <v>5563734.557291667</v>
      </c>
      <c r="BQ26" s="139">
        <v>5563734.557291667</v>
      </c>
      <c r="BR26" s="139">
        <v>5563734.557291667</v>
      </c>
      <c r="BS26" s="139">
        <v>5563734.557291667</v>
      </c>
      <c r="BT26" s="139">
        <v>5563734.557291667</v>
      </c>
      <c r="BU26" s="139">
        <v>5563734.557291667</v>
      </c>
      <c r="BV26" s="139">
        <v>2710651.4763124995</v>
      </c>
      <c r="BW26" s="139">
        <v>2710651.4763124995</v>
      </c>
      <c r="BX26" s="139">
        <v>2710651.4763124995</v>
      </c>
      <c r="BY26" s="139">
        <v>2710651.4763124995</v>
      </c>
      <c r="BZ26" s="139">
        <v>2710651.4763124995</v>
      </c>
      <c r="CA26" s="139">
        <v>2710651.4763124995</v>
      </c>
      <c r="CB26" s="139">
        <v>2710651.4763124995</v>
      </c>
      <c r="CC26" s="139">
        <v>2710651.4763124995</v>
      </c>
      <c r="CD26" s="139">
        <v>2710651.4763124995</v>
      </c>
      <c r="CE26" s="139">
        <v>2710651.4763124995</v>
      </c>
      <c r="CF26" s="139">
        <v>2710651.4763124995</v>
      </c>
      <c r="CG26" s="139">
        <v>2710651.4763124995</v>
      </c>
      <c r="CH26" s="139">
        <v>2751311.2484571869</v>
      </c>
      <c r="CI26" s="139">
        <v>2751311.2484571869</v>
      </c>
      <c r="CJ26" s="139">
        <v>2751311.2484571869</v>
      </c>
      <c r="CK26" s="139">
        <v>2751311.2484571869</v>
      </c>
      <c r="CL26" s="139">
        <v>2751311.2484571869</v>
      </c>
      <c r="CM26" s="139">
        <v>2751311.2484571869</v>
      </c>
      <c r="CN26" s="139">
        <v>2751311.2484571869</v>
      </c>
      <c r="CO26" s="139">
        <v>2751311.2484571869</v>
      </c>
      <c r="CP26" s="139">
        <v>2751311.2484571869</v>
      </c>
      <c r="CQ26" s="139">
        <v>2751311.2484571869</v>
      </c>
      <c r="CR26" s="139">
        <v>2751311.2484571869</v>
      </c>
      <c r="CS26" s="139">
        <v>2751311.2484571869</v>
      </c>
      <c r="CT26" s="139">
        <v>2792580.9171840446</v>
      </c>
      <c r="CU26" s="139">
        <v>2792580.9171840446</v>
      </c>
      <c r="CV26" s="139">
        <v>2792580.9171840446</v>
      </c>
      <c r="CW26" s="139">
        <v>2792580.9171840446</v>
      </c>
      <c r="CX26" s="139">
        <v>2792580.9171840446</v>
      </c>
      <c r="CY26" s="139">
        <v>2792580.9171840446</v>
      </c>
      <c r="CZ26" s="139">
        <v>2792580.9171840446</v>
      </c>
      <c r="DA26" s="139">
        <v>2792580.9171840446</v>
      </c>
      <c r="DB26" s="139">
        <v>2792580.9171840446</v>
      </c>
      <c r="DC26" s="139">
        <v>2792580.9171840446</v>
      </c>
      <c r="DD26" s="139">
        <v>2792580.9171840446</v>
      </c>
      <c r="DE26" s="139">
        <v>2792580.9171840446</v>
      </c>
      <c r="DF26" s="139">
        <v>2834469.630941805</v>
      </c>
      <c r="DG26" s="139">
        <v>2834469.630941805</v>
      </c>
      <c r="DH26" s="139">
        <v>2834469.630941805</v>
      </c>
      <c r="DI26" s="139">
        <v>2834469.630941805</v>
      </c>
      <c r="DJ26" s="139">
        <v>2834469.630941805</v>
      </c>
      <c r="DK26" s="139">
        <v>2834469.630941805</v>
      </c>
      <c r="DL26" s="139">
        <v>2834469.630941805</v>
      </c>
      <c r="DM26" s="139">
        <v>2834469.630941805</v>
      </c>
      <c r="DN26" s="139">
        <v>2834469.630941805</v>
      </c>
      <c r="DO26" s="139">
        <v>2834469.630941805</v>
      </c>
      <c r="DP26" s="139">
        <v>2834469.630941805</v>
      </c>
      <c r="DQ26" s="139">
        <v>2834469.630941805</v>
      </c>
      <c r="DR26" s="139">
        <v>2876986.6754059317</v>
      </c>
      <c r="DS26" s="139">
        <v>2876986.6754059317</v>
      </c>
      <c r="DT26" s="139">
        <v>2876986.6754059317</v>
      </c>
      <c r="DU26" s="139">
        <v>2876986.6754059317</v>
      </c>
      <c r="DV26" s="139">
        <v>2876986.6754059317</v>
      </c>
      <c r="DW26" s="139">
        <v>2876986.6754059317</v>
      </c>
      <c r="DX26" s="139">
        <v>2876986.6754059317</v>
      </c>
      <c r="DY26" s="139">
        <v>2876986.6754059317</v>
      </c>
      <c r="DZ26" s="139">
        <v>2876986.6754059317</v>
      </c>
      <c r="EA26" s="139">
        <v>2876986.6754059317</v>
      </c>
      <c r="EB26" s="139">
        <v>2876986.6754059317</v>
      </c>
      <c r="EC26" s="139">
        <v>2876986.6754059317</v>
      </c>
      <c r="ED26" s="139">
        <v>2920141.4755370202</v>
      </c>
      <c r="EE26" s="139">
        <v>2920141.4755370202</v>
      </c>
      <c r="EF26" s="139">
        <v>2920141.4755370202</v>
      </c>
      <c r="EG26" s="139">
        <v>2920141.4755370202</v>
      </c>
      <c r="EH26" s="139">
        <v>2920141.4755370202</v>
      </c>
      <c r="EI26" s="139">
        <v>2920141.4755370202</v>
      </c>
      <c r="EJ26" s="139">
        <v>2920141.4755370202</v>
      </c>
      <c r="EK26" s="139">
        <v>2920141.4755370202</v>
      </c>
      <c r="EL26" s="139">
        <v>2920141.4755370202</v>
      </c>
      <c r="EM26" s="139">
        <v>2920141.4755370202</v>
      </c>
      <c r="EN26" s="139">
        <v>2920141.4755370202</v>
      </c>
      <c r="EO26" s="139">
        <v>2920141.4755370202</v>
      </c>
      <c r="EP26" s="139">
        <v>0</v>
      </c>
      <c r="EQ26" s="139">
        <v>0</v>
      </c>
      <c r="ER26" s="139">
        <v>0</v>
      </c>
      <c r="ES26" s="139">
        <v>0</v>
      </c>
      <c r="ET26" s="139">
        <v>0</v>
      </c>
      <c r="EU26" s="139">
        <v>0</v>
      </c>
      <c r="EV26" s="139">
        <v>0</v>
      </c>
      <c r="EW26" s="139">
        <v>0</v>
      </c>
      <c r="EX26" s="139">
        <v>0</v>
      </c>
      <c r="EY26" s="139">
        <v>0</v>
      </c>
      <c r="EZ26" s="139">
        <v>0</v>
      </c>
      <c r="FA26" s="139">
        <v>0</v>
      </c>
      <c r="FB26" s="139">
        <v>0</v>
      </c>
      <c r="FC26" s="139">
        <v>0</v>
      </c>
      <c r="FD26" s="139">
        <v>0</v>
      </c>
      <c r="FE26" s="139">
        <v>0</v>
      </c>
      <c r="FF26" s="139">
        <v>0</v>
      </c>
      <c r="FG26" s="139">
        <v>0</v>
      </c>
      <c r="FH26" s="139">
        <v>0</v>
      </c>
      <c r="FI26" s="139">
        <v>0</v>
      </c>
      <c r="FJ26" s="139">
        <v>0</v>
      </c>
      <c r="FK26" s="139">
        <v>0</v>
      </c>
      <c r="FL26" s="139">
        <v>0</v>
      </c>
      <c r="FM26" s="139">
        <v>0</v>
      </c>
      <c r="FN26" s="139">
        <v>0</v>
      </c>
      <c r="FO26" s="139">
        <v>0</v>
      </c>
      <c r="FP26" s="139">
        <v>0</v>
      </c>
      <c r="FQ26" s="139">
        <v>0</v>
      </c>
      <c r="FR26" s="139">
        <v>0</v>
      </c>
      <c r="FS26" s="139">
        <v>0</v>
      </c>
      <c r="FT26" s="139">
        <v>0</v>
      </c>
      <c r="FU26" s="139">
        <v>0</v>
      </c>
      <c r="FV26" s="139">
        <v>0</v>
      </c>
      <c r="FW26" s="139">
        <v>0</v>
      </c>
      <c r="FX26" s="139">
        <v>0</v>
      </c>
      <c r="FY26" s="139">
        <v>0</v>
      </c>
      <c r="FZ26" s="139">
        <v>0</v>
      </c>
      <c r="GA26" s="139">
        <v>0</v>
      </c>
      <c r="GB26" s="139">
        <v>0</v>
      </c>
      <c r="GC26" s="139">
        <v>0</v>
      </c>
      <c r="GD26" s="139">
        <v>0</v>
      </c>
      <c r="GE26" s="139">
        <v>0</v>
      </c>
      <c r="GF26" s="139">
        <v>0</v>
      </c>
      <c r="GG26" s="139">
        <v>0</v>
      </c>
      <c r="GH26" s="139">
        <v>0</v>
      </c>
      <c r="GI26" s="139">
        <v>0</v>
      </c>
      <c r="GJ26" s="139">
        <v>0</v>
      </c>
      <c r="GK26" s="48">
        <v>0</v>
      </c>
      <c r="GL26" s="27"/>
    </row>
    <row r="27" spans="1:194" x14ac:dyDescent="0.3">
      <c r="A27" s="155" t="s">
        <v>381</v>
      </c>
      <c r="B27" s="135" t="s">
        <v>424</v>
      </c>
      <c r="C27" s="135" t="s">
        <v>277</v>
      </c>
      <c r="D27" s="135" t="s">
        <v>274</v>
      </c>
      <c r="E27" s="178" t="s">
        <v>169</v>
      </c>
      <c r="F27" s="194" t="s">
        <v>353</v>
      </c>
      <c r="G27" s="141" t="s">
        <v>357</v>
      </c>
      <c r="H27" s="141">
        <v>0</v>
      </c>
      <c r="I27" s="135">
        <v>0</v>
      </c>
      <c r="J27" s="135" t="s">
        <v>385</v>
      </c>
      <c r="K27" s="135">
        <v>0</v>
      </c>
      <c r="L27" s="135" t="s">
        <v>194</v>
      </c>
      <c r="M27" s="136">
        <f>IFERROR(INDEX('(참조)CS_인건비'!$S$3:$AG$40,MATCH(CS_인건비!$A27,'(참조)CS_인건비'!$S$3:$S$40,0),MATCH('(참조)CS_인건비'!X$2,'(참조)CS_인건비'!$S$2:$AG$2,0)),0)</f>
        <v>45.083333333333336</v>
      </c>
      <c r="N27" s="136">
        <f>IFERROR(INDEX('(참조)CS_인건비'!$S$3:$AG$40,MATCH(CS_인건비!$A27,'(참조)CS_인건비'!$S$3:$S$40,0),MATCH('(참조)CS_인건비'!Y$2,'(참조)CS_인건비'!$S$2:$AG$2,0)),0)</f>
        <v>35.11584896810507</v>
      </c>
      <c r="O27" s="136">
        <f>IFERROR(INDEX('(참조)CS_인건비'!$S$3:$AG$40,MATCH(CS_인건비!$A27,'(참조)CS_인건비'!$S$3:$S$40,0),MATCH('(참조)CS_인건비'!Z$2,'(참조)CS_인건비'!$S$2:$AG$2,0)),0)</f>
        <v>31.366666666666664</v>
      </c>
      <c r="P27" s="136">
        <f>IFERROR(INDEX('(참조)CS_인건비'!$S$3:$AG$40,MATCH(CS_인건비!$A27,'(참조)CS_인건비'!$S$3:$S$40,0),MATCH('(참조)CS_인건비'!AA$2,'(참조)CS_인건비'!$S$2:$AG$2,0)),0)</f>
        <v>31.337180297094893</v>
      </c>
      <c r="Q27" s="136">
        <f>IFERROR(INDEX('(참조)CS_인건비'!$S$3:$AG$40,MATCH(CS_인건비!$A27,'(참조)CS_인건비'!$S$3:$S$40,0),MATCH('(참조)CS_인건비'!AB$2,'(참조)CS_인건비'!$S$2:$AG$2,0)),0)</f>
        <v>30.155195457503964</v>
      </c>
      <c r="R27" s="136">
        <f>IFERROR(INDEX('(참조)CS_인건비'!$S$3:$AG$40,MATCH(CS_인건비!$A27,'(참조)CS_인건비'!$S$3:$S$40,0),MATCH('(참조)CS_인건비'!AC$2,'(참조)CS_인건비'!$S$2:$AG$2,0)),0)</f>
        <v>28.628101619115508</v>
      </c>
      <c r="S27" s="136">
        <f>IFERROR(INDEX('(참조)CS_인건비'!$S$3:$AG$40,MATCH(CS_인건비!$A27,'(참조)CS_인건비'!$S$3:$S$40,0),MATCH('(참조)CS_인건비'!AD$2,'(참조)CS_인건비'!$S$2:$AG$2,0)),0)</f>
        <v>27.416666666666668</v>
      </c>
      <c r="T27" s="136">
        <f>IFERROR(INDEX('(참조)CS_인건비'!$S$3:$AG$40,MATCH(CS_인건비!$A27,'(참조)CS_인건비'!$S$3:$S$40,0),MATCH('(참조)CS_인건비'!AE$2,'(참조)CS_인건비'!$S$2:$AG$2,0)),0)</f>
        <v>0</v>
      </c>
      <c r="U27" s="136">
        <f>IFERROR(INDEX('(참조)CS_인건비'!$S$3:$AG$40,MATCH(CS_인건비!$A27,'(참조)CS_인건비'!$S$3:$S$40,0),MATCH('(참조)CS_인건비'!AF$2,'(참조)CS_인건비'!$S$2:$AG$2,0)),0)</f>
        <v>0</v>
      </c>
      <c r="V27" s="136">
        <f>IFERROR(INDEX('(참조)CS_인건비'!$S$3:$AG$40,MATCH(CS_인건비!$A27,'(참조)CS_인건비'!$S$3:$S$40,0),MATCH('(참조)CS_인건비'!AG$2,'(참조)CS_인건비'!$S$2:$AG$2,0)),0)</f>
        <v>0</v>
      </c>
      <c r="W27" s="136">
        <f>IFERROR(INDEX('(참조)CS_인건비'!$S$3:$AG$40,MATCH(CS_인건비!$A27,'(참조)CS_인건비'!$S$3:$S$40,0),MATCH('(참조)CS_인건비'!AH$2,'(참조)CS_인건비'!$S$2:$AG$2,0)),0)</f>
        <v>0</v>
      </c>
      <c r="X27" s="137">
        <v>0</v>
      </c>
      <c r="Y27" s="137">
        <f>IFERROR(INDEX('(참조)CS_인건비'!$A$3:$O$40,MATCH(CS_인건비!$A27,'(참조)CS_인건비'!$A$3:$A$40,0),MATCH('(참조)CS_인건비'!F$2,'(참조)CS_인건비'!$A$2:$O$2,0)),0)</f>
        <v>2670592.5874999999</v>
      </c>
      <c r="Z27" s="137">
        <f>IFERROR(INDEX('(참조)CS_인건비'!$A$3:$O$40,MATCH(CS_인건비!$A27,'(참조)CS_인건비'!$A$3:$A$40,0),MATCH('(참조)CS_인건비'!G$2,'(참조)CS_인건비'!$A$2:$O$2,0)),0)</f>
        <v>2710651.4763124995</v>
      </c>
      <c r="AA27" s="137">
        <f>IFERROR(INDEX('(참조)CS_인건비'!$A$3:$O$40,MATCH(CS_인건비!$A27,'(참조)CS_인건비'!$A$3:$A$40,0),MATCH('(참조)CS_인건비'!H$2,'(참조)CS_인건비'!$A$2:$O$2,0)),0)</f>
        <v>2751311.2484571869</v>
      </c>
      <c r="AB27" s="137">
        <f>IFERROR(INDEX('(참조)CS_인건비'!$A$3:$O$40,MATCH(CS_인건비!$A27,'(참조)CS_인건비'!$A$3:$A$40,0),MATCH('(참조)CS_인건비'!I$2,'(참조)CS_인건비'!$A$2:$O$2,0)),0)</f>
        <v>2792580.9171840446</v>
      </c>
      <c r="AC27" s="137">
        <f>IFERROR(INDEX('(참조)CS_인건비'!$A$3:$O$40,MATCH(CS_인건비!$A27,'(참조)CS_인건비'!$A$3:$A$40,0),MATCH('(참조)CS_인건비'!J$2,'(참조)CS_인건비'!$A$2:$O$2,0)),0)</f>
        <v>2834469.630941805</v>
      </c>
      <c r="AD27" s="137">
        <f>IFERROR(INDEX('(참조)CS_인건비'!$A$3:$O$40,MATCH(CS_인건비!$A27,'(참조)CS_인건비'!$A$3:$A$40,0),MATCH('(참조)CS_인건비'!K$2,'(참조)CS_인건비'!$A$2:$O$2,0)),0)</f>
        <v>2876986.6754059317</v>
      </c>
      <c r="AE27" s="137">
        <f>IFERROR(INDEX('(참조)CS_인건비'!$A$3:$O$40,MATCH(CS_인건비!$A27,'(참조)CS_인건비'!$A$3:$A$40,0),MATCH('(참조)CS_인건비'!L$2,'(참조)CS_인건비'!$A$2:$O$2,0)),0)</f>
        <v>2920141.4755370202</v>
      </c>
      <c r="AF27" s="137">
        <f>IFERROR(INDEX('(참조)CS_인건비'!$A$3:$O$40,MATCH(CS_인건비!$A27,'(참조)CS_인건비'!$A$3:$A$40,0),MATCH('(참조)CS_인건비'!M$2,'(참조)CS_인건비'!$A$2:$O$2,0)),0)</f>
        <v>0</v>
      </c>
      <c r="AG27" s="137">
        <f>IFERROR(INDEX('(참조)CS_인건비'!$A$3:$O$40,MATCH(CS_인건비!$A27,'(참조)CS_인건비'!$A$3:$A$40,0),MATCH('(참조)CS_인건비'!N$2,'(참조)CS_인건비'!$A$2:$O$2,0)),0)</f>
        <v>0</v>
      </c>
      <c r="AH27" s="137">
        <f>IFERROR(INDEX('(참조)CS_인건비'!$A$3:$O$40,MATCH(CS_인건비!$A27,'(참조)CS_인건비'!$A$3:$A$40,0),MATCH('(참조)CS_인건비'!O$2,'(참조)CS_인건비'!$A$2:$O$2,0)),0)</f>
        <v>0</v>
      </c>
      <c r="AI27" s="137">
        <f>IFERROR(INDEX('(참조)CS_인건비'!$A$3:$O$40,MATCH(CS_인건비!$A27,'(참조)CS_인건비'!$A$3:$A$40,0),MATCH('(참조)CS_인건비'!P$2,'(참조)CS_인건비'!$A$2:$O$2,0)),0)</f>
        <v>0</v>
      </c>
      <c r="AJ27" s="137">
        <v>12</v>
      </c>
      <c r="AK27" s="137">
        <v>12</v>
      </c>
      <c r="AL27" s="137">
        <v>12</v>
      </c>
      <c r="AM27" s="137">
        <v>12</v>
      </c>
      <c r="AN27" s="137">
        <v>12</v>
      </c>
      <c r="AO27" s="137">
        <v>12</v>
      </c>
      <c r="AP27" s="137">
        <v>12</v>
      </c>
      <c r="AQ27" s="137">
        <v>12</v>
      </c>
      <c r="AR27" s="137">
        <v>12</v>
      </c>
      <c r="AS27" s="137">
        <v>12</v>
      </c>
      <c r="AT27" s="137">
        <v>12</v>
      </c>
      <c r="AU27" s="138">
        <v>1</v>
      </c>
      <c r="AV27" s="135">
        <v>0</v>
      </c>
      <c r="AW27" s="135">
        <v>0</v>
      </c>
      <c r="AX27" s="139">
        <v>7647531795.4063282</v>
      </c>
      <c r="AY27" s="139">
        <v>1444790589.8375006</v>
      </c>
      <c r="AZ27" s="139">
        <v>1142241934.168329</v>
      </c>
      <c r="BA27" s="139">
        <v>1035593553.9192852</v>
      </c>
      <c r="BB27" s="139">
        <v>1050139340.3522762</v>
      </c>
      <c r="BC27" s="139">
        <v>1025687828.8729109</v>
      </c>
      <c r="BD27" s="139">
        <v>988352002.8043474</v>
      </c>
      <c r="BE27" s="139">
        <v>960726545.45167959</v>
      </c>
      <c r="BF27" s="139">
        <v>0</v>
      </c>
      <c r="BG27" s="139">
        <v>0</v>
      </c>
      <c r="BH27" s="139">
        <v>0</v>
      </c>
      <c r="BI27" s="139">
        <v>0</v>
      </c>
      <c r="BJ27" s="140">
        <v>120399215.81979167</v>
      </c>
      <c r="BK27" s="139">
        <v>120399215.81979167</v>
      </c>
      <c r="BL27" s="139">
        <v>120399215.81979167</v>
      </c>
      <c r="BM27" s="139">
        <v>120399215.81979167</v>
      </c>
      <c r="BN27" s="139">
        <v>120399215.81979167</v>
      </c>
      <c r="BO27" s="139">
        <v>120399215.81979167</v>
      </c>
      <c r="BP27" s="139">
        <v>120399215.81979167</v>
      </c>
      <c r="BQ27" s="139">
        <v>120399215.81979167</v>
      </c>
      <c r="BR27" s="139">
        <v>120399215.81979167</v>
      </c>
      <c r="BS27" s="139">
        <v>120399215.81979167</v>
      </c>
      <c r="BT27" s="139">
        <v>120399215.81979167</v>
      </c>
      <c r="BU27" s="139">
        <v>120399215.81979167</v>
      </c>
      <c r="BV27" s="139">
        <v>95186827.847360775</v>
      </c>
      <c r="BW27" s="139">
        <v>95186827.847360775</v>
      </c>
      <c r="BX27" s="139">
        <v>95186827.847360775</v>
      </c>
      <c r="BY27" s="139">
        <v>95186827.847360775</v>
      </c>
      <c r="BZ27" s="139">
        <v>95186827.847360775</v>
      </c>
      <c r="CA27" s="139">
        <v>95186827.847360775</v>
      </c>
      <c r="CB27" s="139">
        <v>95186827.847360775</v>
      </c>
      <c r="CC27" s="139">
        <v>95186827.847360775</v>
      </c>
      <c r="CD27" s="139">
        <v>95186827.847360775</v>
      </c>
      <c r="CE27" s="139">
        <v>95186827.847360775</v>
      </c>
      <c r="CF27" s="139">
        <v>95186827.847360775</v>
      </c>
      <c r="CG27" s="139">
        <v>95186827.847360775</v>
      </c>
      <c r="CH27" s="139">
        <v>86299462.826607093</v>
      </c>
      <c r="CI27" s="139">
        <v>86299462.826607093</v>
      </c>
      <c r="CJ27" s="139">
        <v>86299462.826607093</v>
      </c>
      <c r="CK27" s="139">
        <v>86299462.826607093</v>
      </c>
      <c r="CL27" s="139">
        <v>86299462.826607093</v>
      </c>
      <c r="CM27" s="139">
        <v>86299462.826607093</v>
      </c>
      <c r="CN27" s="139">
        <v>86299462.826607093</v>
      </c>
      <c r="CO27" s="139">
        <v>86299462.826607093</v>
      </c>
      <c r="CP27" s="139">
        <v>86299462.826607093</v>
      </c>
      <c r="CQ27" s="139">
        <v>86299462.826607093</v>
      </c>
      <c r="CR27" s="139">
        <v>86299462.826607093</v>
      </c>
      <c r="CS27" s="139">
        <v>86299462.826607093</v>
      </c>
      <c r="CT27" s="139">
        <v>87511611.696023032</v>
      </c>
      <c r="CU27" s="139">
        <v>87511611.696023032</v>
      </c>
      <c r="CV27" s="139">
        <v>87511611.696023032</v>
      </c>
      <c r="CW27" s="139">
        <v>87511611.696023032</v>
      </c>
      <c r="CX27" s="139">
        <v>87511611.696023032</v>
      </c>
      <c r="CY27" s="139">
        <v>87511611.696023032</v>
      </c>
      <c r="CZ27" s="139">
        <v>87511611.696023032</v>
      </c>
      <c r="DA27" s="139">
        <v>87511611.696023032</v>
      </c>
      <c r="DB27" s="139">
        <v>87511611.696023032</v>
      </c>
      <c r="DC27" s="139">
        <v>87511611.696023032</v>
      </c>
      <c r="DD27" s="139">
        <v>87511611.696023032</v>
      </c>
      <c r="DE27" s="139">
        <v>87511611.696023032</v>
      </c>
      <c r="DF27" s="139">
        <v>85473985.739409253</v>
      </c>
      <c r="DG27" s="139">
        <v>85473985.739409253</v>
      </c>
      <c r="DH27" s="139">
        <v>85473985.739409253</v>
      </c>
      <c r="DI27" s="139">
        <v>85473985.739409253</v>
      </c>
      <c r="DJ27" s="139">
        <v>85473985.739409253</v>
      </c>
      <c r="DK27" s="139">
        <v>85473985.739409253</v>
      </c>
      <c r="DL27" s="139">
        <v>85473985.739409253</v>
      </c>
      <c r="DM27" s="139">
        <v>85473985.739409253</v>
      </c>
      <c r="DN27" s="139">
        <v>85473985.739409253</v>
      </c>
      <c r="DO27" s="139">
        <v>85473985.739409253</v>
      </c>
      <c r="DP27" s="139">
        <v>85473985.739409253</v>
      </c>
      <c r="DQ27" s="139">
        <v>85473985.739409253</v>
      </c>
      <c r="DR27" s="139">
        <v>82362666.900362298</v>
      </c>
      <c r="DS27" s="139">
        <v>82362666.900362298</v>
      </c>
      <c r="DT27" s="139">
        <v>82362666.900362298</v>
      </c>
      <c r="DU27" s="139">
        <v>82362666.900362298</v>
      </c>
      <c r="DV27" s="139">
        <v>82362666.900362298</v>
      </c>
      <c r="DW27" s="139">
        <v>82362666.900362298</v>
      </c>
      <c r="DX27" s="139">
        <v>82362666.900362298</v>
      </c>
      <c r="DY27" s="139">
        <v>82362666.900362298</v>
      </c>
      <c r="DZ27" s="139">
        <v>82362666.900362298</v>
      </c>
      <c r="EA27" s="139">
        <v>82362666.900362298</v>
      </c>
      <c r="EB27" s="139">
        <v>82362666.900362298</v>
      </c>
      <c r="EC27" s="139">
        <v>82362666.900362298</v>
      </c>
      <c r="ED27" s="139">
        <v>80060545.454306647</v>
      </c>
      <c r="EE27" s="139">
        <v>80060545.454306647</v>
      </c>
      <c r="EF27" s="139">
        <v>80060545.454306647</v>
      </c>
      <c r="EG27" s="139">
        <v>80060545.454306647</v>
      </c>
      <c r="EH27" s="139">
        <v>80060545.454306647</v>
      </c>
      <c r="EI27" s="139">
        <v>80060545.454306647</v>
      </c>
      <c r="EJ27" s="139">
        <v>80060545.454306647</v>
      </c>
      <c r="EK27" s="139">
        <v>80060545.454306647</v>
      </c>
      <c r="EL27" s="139">
        <v>80060545.454306647</v>
      </c>
      <c r="EM27" s="139">
        <v>80060545.454306647</v>
      </c>
      <c r="EN27" s="139">
        <v>80060545.454306647</v>
      </c>
      <c r="EO27" s="139">
        <v>80060545.454306647</v>
      </c>
      <c r="EP27" s="139">
        <v>0</v>
      </c>
      <c r="EQ27" s="139">
        <v>0</v>
      </c>
      <c r="ER27" s="139">
        <v>0</v>
      </c>
      <c r="ES27" s="139">
        <v>0</v>
      </c>
      <c r="ET27" s="139">
        <v>0</v>
      </c>
      <c r="EU27" s="139">
        <v>0</v>
      </c>
      <c r="EV27" s="139">
        <v>0</v>
      </c>
      <c r="EW27" s="139">
        <v>0</v>
      </c>
      <c r="EX27" s="139">
        <v>0</v>
      </c>
      <c r="EY27" s="139">
        <v>0</v>
      </c>
      <c r="EZ27" s="139">
        <v>0</v>
      </c>
      <c r="FA27" s="139">
        <v>0</v>
      </c>
      <c r="FB27" s="139">
        <v>0</v>
      </c>
      <c r="FC27" s="139">
        <v>0</v>
      </c>
      <c r="FD27" s="139">
        <v>0</v>
      </c>
      <c r="FE27" s="139">
        <v>0</v>
      </c>
      <c r="FF27" s="139">
        <v>0</v>
      </c>
      <c r="FG27" s="139">
        <v>0</v>
      </c>
      <c r="FH27" s="139">
        <v>0</v>
      </c>
      <c r="FI27" s="139">
        <v>0</v>
      </c>
      <c r="FJ27" s="139">
        <v>0</v>
      </c>
      <c r="FK27" s="139">
        <v>0</v>
      </c>
      <c r="FL27" s="139">
        <v>0</v>
      </c>
      <c r="FM27" s="139">
        <v>0</v>
      </c>
      <c r="FN27" s="139">
        <v>0</v>
      </c>
      <c r="FO27" s="139">
        <v>0</v>
      </c>
      <c r="FP27" s="139">
        <v>0</v>
      </c>
      <c r="FQ27" s="139">
        <v>0</v>
      </c>
      <c r="FR27" s="139">
        <v>0</v>
      </c>
      <c r="FS27" s="139">
        <v>0</v>
      </c>
      <c r="FT27" s="139">
        <v>0</v>
      </c>
      <c r="FU27" s="139">
        <v>0</v>
      </c>
      <c r="FV27" s="139">
        <v>0</v>
      </c>
      <c r="FW27" s="139">
        <v>0</v>
      </c>
      <c r="FX27" s="139">
        <v>0</v>
      </c>
      <c r="FY27" s="139">
        <v>0</v>
      </c>
      <c r="FZ27" s="139">
        <v>0</v>
      </c>
      <c r="GA27" s="139">
        <v>0</v>
      </c>
      <c r="GB27" s="139">
        <v>0</v>
      </c>
      <c r="GC27" s="139">
        <v>0</v>
      </c>
      <c r="GD27" s="139">
        <v>0</v>
      </c>
      <c r="GE27" s="139">
        <v>0</v>
      </c>
      <c r="GF27" s="139">
        <v>0</v>
      </c>
      <c r="GG27" s="139">
        <v>0</v>
      </c>
      <c r="GH27" s="139">
        <v>0</v>
      </c>
      <c r="GI27" s="139">
        <v>0</v>
      </c>
      <c r="GJ27" s="139">
        <v>0</v>
      </c>
      <c r="GK27" s="48">
        <v>0</v>
      </c>
      <c r="GL27" s="27"/>
    </row>
    <row r="28" spans="1:194" x14ac:dyDescent="0.3">
      <c r="A28" s="155" t="s">
        <v>382</v>
      </c>
      <c r="B28" s="135" t="s">
        <v>424</v>
      </c>
      <c r="C28" s="135" t="s">
        <v>277</v>
      </c>
      <c r="D28" s="135" t="s">
        <v>274</v>
      </c>
      <c r="E28" s="178" t="s">
        <v>186</v>
      </c>
      <c r="F28" s="194" t="s">
        <v>358</v>
      </c>
      <c r="G28" s="141" t="s">
        <v>345</v>
      </c>
      <c r="H28" s="141">
        <v>0</v>
      </c>
      <c r="I28" s="135">
        <v>0</v>
      </c>
      <c r="J28" s="135" t="s">
        <v>385</v>
      </c>
      <c r="K28" s="135">
        <v>0</v>
      </c>
      <c r="L28" s="135" t="s">
        <v>194</v>
      </c>
      <c r="M28" s="136">
        <f>IFERROR(INDEX('(참조)CS_인건비'!$S$3:$AG$40,MATCH(CS_인건비!$A28,'(참조)CS_인건비'!$S$3:$S$40,0),MATCH('(참조)CS_인건비'!X$2,'(참조)CS_인건비'!$S$2:$AG$2,0)),0)</f>
        <v>1</v>
      </c>
      <c r="N28" s="136">
        <f>IFERROR(INDEX('(참조)CS_인건비'!$S$3:$AG$40,MATCH(CS_인건비!$A28,'(참조)CS_인건비'!$S$3:$S$40,0),MATCH('(참조)CS_인건비'!Y$2,'(참조)CS_인건비'!$S$2:$AG$2,0)),0)</f>
        <v>1</v>
      </c>
      <c r="O28" s="136">
        <f>IFERROR(INDEX('(참조)CS_인건비'!$S$3:$AG$40,MATCH(CS_인건비!$A28,'(참조)CS_인건비'!$S$3:$S$40,0),MATCH('(참조)CS_인건비'!Z$2,'(참조)CS_인건비'!$S$2:$AG$2,0)),0)</f>
        <v>1</v>
      </c>
      <c r="P28" s="136">
        <f>IFERROR(INDEX('(참조)CS_인건비'!$S$3:$AG$40,MATCH(CS_인건비!$A28,'(참조)CS_인건비'!$S$3:$S$40,0),MATCH('(참조)CS_인건비'!AA$2,'(참조)CS_인건비'!$S$2:$AG$2,0)),0)</f>
        <v>1</v>
      </c>
      <c r="Q28" s="136">
        <f>IFERROR(INDEX('(참조)CS_인건비'!$S$3:$AG$40,MATCH(CS_인건비!$A28,'(참조)CS_인건비'!$S$3:$S$40,0),MATCH('(참조)CS_인건비'!AB$2,'(참조)CS_인건비'!$S$2:$AG$2,0)),0)</f>
        <v>1</v>
      </c>
      <c r="R28" s="136">
        <f>IFERROR(INDEX('(참조)CS_인건비'!$S$3:$AG$40,MATCH(CS_인건비!$A28,'(참조)CS_인건비'!$S$3:$S$40,0),MATCH('(참조)CS_인건비'!AC$2,'(참조)CS_인건비'!$S$2:$AG$2,0)),0)</f>
        <v>1</v>
      </c>
      <c r="S28" s="136">
        <f>IFERROR(INDEX('(참조)CS_인건비'!$S$3:$AG$40,MATCH(CS_인건비!$A28,'(참조)CS_인건비'!$S$3:$S$40,0),MATCH('(참조)CS_인건비'!AD$2,'(참조)CS_인건비'!$S$2:$AG$2,0)),0)</f>
        <v>1</v>
      </c>
      <c r="T28" s="136">
        <f>IFERROR(INDEX('(참조)CS_인건비'!$S$3:$AG$40,MATCH(CS_인건비!$A28,'(참조)CS_인건비'!$S$3:$S$40,0),MATCH('(참조)CS_인건비'!AE$2,'(참조)CS_인건비'!$S$2:$AG$2,0)),0)</f>
        <v>0</v>
      </c>
      <c r="U28" s="136">
        <f>IFERROR(INDEX('(참조)CS_인건비'!$S$3:$AG$40,MATCH(CS_인건비!$A28,'(참조)CS_인건비'!$S$3:$S$40,0),MATCH('(참조)CS_인건비'!AF$2,'(참조)CS_인건비'!$S$2:$AG$2,0)),0)</f>
        <v>0</v>
      </c>
      <c r="V28" s="136">
        <f>IFERROR(INDEX('(참조)CS_인건비'!$S$3:$AG$40,MATCH(CS_인건비!$A28,'(참조)CS_인건비'!$S$3:$S$40,0),MATCH('(참조)CS_인건비'!AG$2,'(참조)CS_인건비'!$S$2:$AG$2,0)),0)</f>
        <v>0</v>
      </c>
      <c r="W28" s="136">
        <f>IFERROR(INDEX('(참조)CS_인건비'!$S$3:$AG$40,MATCH(CS_인건비!$A28,'(참조)CS_인건비'!$S$3:$S$40,0),MATCH('(참조)CS_인건비'!AH$2,'(참조)CS_인건비'!$S$2:$AG$2,0)),0)</f>
        <v>0</v>
      </c>
      <c r="X28" s="137">
        <v>0</v>
      </c>
      <c r="Y28" s="137">
        <f>IFERROR(INDEX('(참조)CS_인건비'!$A$3:$O$40,MATCH(CS_인건비!$A28,'(참조)CS_인건비'!$A$3:$A$40,0),MATCH('(참조)CS_인건비'!F$2,'(참조)CS_인건비'!$A$2:$O$2,0)),0)</f>
        <v>3508024.7833333332</v>
      </c>
      <c r="Z28" s="137">
        <f>IFERROR(INDEX('(참조)CS_인건비'!$A$3:$O$40,MATCH(CS_인건비!$A28,'(참조)CS_인건비'!$A$3:$A$40,0),MATCH('(참조)CS_인건비'!G$2,'(참조)CS_인건비'!$A$2:$O$2,0)),0)</f>
        <v>3560645.1550833327</v>
      </c>
      <c r="AA28" s="137">
        <f>IFERROR(INDEX('(참조)CS_인건비'!$A$3:$O$40,MATCH(CS_인건비!$A28,'(참조)CS_인건비'!$A$3:$A$40,0),MATCH('(참조)CS_인건비'!H$2,'(참조)CS_인건비'!$A$2:$O$2,0)),0)</f>
        <v>3614054.8324095821</v>
      </c>
      <c r="AB28" s="137">
        <f>IFERROR(INDEX('(참조)CS_인건비'!$A$3:$O$40,MATCH(CS_인건비!$A28,'(참조)CS_인건비'!$A$3:$A$40,0),MATCH('(참조)CS_인건비'!I$2,'(참조)CS_인건비'!$A$2:$O$2,0)),0)</f>
        <v>3668265.6548957257</v>
      </c>
      <c r="AC28" s="137">
        <f>IFERROR(INDEX('(참조)CS_인건비'!$A$3:$O$40,MATCH(CS_인건비!$A28,'(참조)CS_인건비'!$A$3:$A$40,0),MATCH('(참조)CS_인건비'!J$2,'(참조)CS_인건비'!$A$2:$O$2,0)),0)</f>
        <v>3723289.6397191612</v>
      </c>
      <c r="AD28" s="137">
        <f>IFERROR(INDEX('(참조)CS_인건비'!$A$3:$O$40,MATCH(CS_인건비!$A28,'(참조)CS_인건비'!$A$3:$A$40,0),MATCH('(참조)CS_인건비'!K$2,'(참조)CS_인건비'!$A$2:$O$2,0)),0)</f>
        <v>3779138.9843149483</v>
      </c>
      <c r="AE28" s="137">
        <f>IFERROR(INDEX('(참조)CS_인건비'!$A$3:$O$40,MATCH(CS_인건비!$A28,'(참조)CS_인건비'!$A$3:$A$40,0),MATCH('(참조)CS_인건비'!L$2,'(참조)CS_인건비'!$A$2:$O$2,0)),0)</f>
        <v>3835826.069079672</v>
      </c>
      <c r="AF28" s="137">
        <f>IFERROR(INDEX('(참조)CS_인건비'!$A$3:$O$40,MATCH(CS_인건비!$A28,'(참조)CS_인건비'!$A$3:$A$40,0),MATCH('(참조)CS_인건비'!M$2,'(참조)CS_인건비'!$A$2:$O$2,0)),0)</f>
        <v>0</v>
      </c>
      <c r="AG28" s="137">
        <f>IFERROR(INDEX('(참조)CS_인건비'!$A$3:$O$40,MATCH(CS_인건비!$A28,'(참조)CS_인건비'!$A$3:$A$40,0),MATCH('(참조)CS_인건비'!N$2,'(참조)CS_인건비'!$A$2:$O$2,0)),0)</f>
        <v>0</v>
      </c>
      <c r="AH28" s="137">
        <f>IFERROR(INDEX('(참조)CS_인건비'!$A$3:$O$40,MATCH(CS_인건비!$A28,'(참조)CS_인건비'!$A$3:$A$40,0),MATCH('(참조)CS_인건비'!O$2,'(참조)CS_인건비'!$A$2:$O$2,0)),0)</f>
        <v>0</v>
      </c>
      <c r="AI28" s="137">
        <f>IFERROR(INDEX('(참조)CS_인건비'!$A$3:$O$40,MATCH(CS_인건비!$A28,'(참조)CS_인건비'!$A$3:$A$40,0),MATCH('(참조)CS_인건비'!P$2,'(참조)CS_인건비'!$A$2:$O$2,0)),0)</f>
        <v>0</v>
      </c>
      <c r="AJ28" s="137">
        <v>12</v>
      </c>
      <c r="AK28" s="137">
        <v>12</v>
      </c>
      <c r="AL28" s="137">
        <v>12</v>
      </c>
      <c r="AM28" s="137">
        <v>12</v>
      </c>
      <c r="AN28" s="137">
        <v>12</v>
      </c>
      <c r="AO28" s="137">
        <v>12</v>
      </c>
      <c r="AP28" s="137">
        <v>12</v>
      </c>
      <c r="AQ28" s="137">
        <v>12</v>
      </c>
      <c r="AR28" s="137">
        <v>12</v>
      </c>
      <c r="AS28" s="137">
        <v>12</v>
      </c>
      <c r="AT28" s="137">
        <v>12</v>
      </c>
      <c r="AU28" s="138">
        <v>1</v>
      </c>
      <c r="AV28" s="135">
        <v>0</v>
      </c>
      <c r="AW28" s="135">
        <v>0</v>
      </c>
      <c r="AX28" s="139">
        <v>308270941.42602909</v>
      </c>
      <c r="AY28" s="139">
        <v>42096297.399999984</v>
      </c>
      <c r="AZ28" s="139">
        <v>42727741.861000001</v>
      </c>
      <c r="BA28" s="139">
        <v>43368657.988914989</v>
      </c>
      <c r="BB28" s="139">
        <v>44019187.858748704</v>
      </c>
      <c r="BC28" s="139">
        <v>44679475.676629931</v>
      </c>
      <c r="BD28" s="139">
        <v>45349667.81177938</v>
      </c>
      <c r="BE28" s="139">
        <v>46029912.828956068</v>
      </c>
      <c r="BF28" s="139">
        <v>0</v>
      </c>
      <c r="BG28" s="139">
        <v>0</v>
      </c>
      <c r="BH28" s="139">
        <v>0</v>
      </c>
      <c r="BI28" s="139">
        <v>0</v>
      </c>
      <c r="BJ28" s="140">
        <v>3508024.7833333332</v>
      </c>
      <c r="BK28" s="139">
        <v>3508024.7833333332</v>
      </c>
      <c r="BL28" s="139">
        <v>3508024.7833333332</v>
      </c>
      <c r="BM28" s="139">
        <v>3508024.7833333332</v>
      </c>
      <c r="BN28" s="139">
        <v>3508024.7833333332</v>
      </c>
      <c r="BO28" s="139">
        <v>3508024.7833333332</v>
      </c>
      <c r="BP28" s="139">
        <v>3508024.7833333332</v>
      </c>
      <c r="BQ28" s="139">
        <v>3508024.7833333332</v>
      </c>
      <c r="BR28" s="139">
        <v>3508024.7833333332</v>
      </c>
      <c r="BS28" s="139">
        <v>3508024.7833333332</v>
      </c>
      <c r="BT28" s="139">
        <v>3508024.7833333332</v>
      </c>
      <c r="BU28" s="139">
        <v>3508024.7833333332</v>
      </c>
      <c r="BV28" s="139">
        <v>3560645.1550833327</v>
      </c>
      <c r="BW28" s="139">
        <v>3560645.1550833327</v>
      </c>
      <c r="BX28" s="139">
        <v>3560645.1550833327</v>
      </c>
      <c r="BY28" s="139">
        <v>3560645.1550833327</v>
      </c>
      <c r="BZ28" s="139">
        <v>3560645.1550833327</v>
      </c>
      <c r="CA28" s="139">
        <v>3560645.1550833327</v>
      </c>
      <c r="CB28" s="139">
        <v>3560645.1550833327</v>
      </c>
      <c r="CC28" s="139">
        <v>3560645.1550833327</v>
      </c>
      <c r="CD28" s="139">
        <v>3560645.1550833327</v>
      </c>
      <c r="CE28" s="139">
        <v>3560645.1550833327</v>
      </c>
      <c r="CF28" s="139">
        <v>3560645.1550833327</v>
      </c>
      <c r="CG28" s="139">
        <v>3560645.1550833327</v>
      </c>
      <c r="CH28" s="139">
        <v>3614054.8324095821</v>
      </c>
      <c r="CI28" s="139">
        <v>3614054.8324095821</v>
      </c>
      <c r="CJ28" s="139">
        <v>3614054.8324095821</v>
      </c>
      <c r="CK28" s="139">
        <v>3614054.8324095821</v>
      </c>
      <c r="CL28" s="139">
        <v>3614054.8324095821</v>
      </c>
      <c r="CM28" s="139">
        <v>3614054.8324095821</v>
      </c>
      <c r="CN28" s="139">
        <v>3614054.8324095821</v>
      </c>
      <c r="CO28" s="139">
        <v>3614054.8324095821</v>
      </c>
      <c r="CP28" s="139">
        <v>3614054.8324095821</v>
      </c>
      <c r="CQ28" s="139">
        <v>3614054.8324095821</v>
      </c>
      <c r="CR28" s="139">
        <v>3614054.8324095821</v>
      </c>
      <c r="CS28" s="139">
        <v>3614054.8324095821</v>
      </c>
      <c r="CT28" s="139">
        <v>3668265.6548957257</v>
      </c>
      <c r="CU28" s="139">
        <v>3668265.6548957257</v>
      </c>
      <c r="CV28" s="139">
        <v>3668265.6548957257</v>
      </c>
      <c r="CW28" s="139">
        <v>3668265.6548957257</v>
      </c>
      <c r="CX28" s="139">
        <v>3668265.6548957257</v>
      </c>
      <c r="CY28" s="139">
        <v>3668265.6548957257</v>
      </c>
      <c r="CZ28" s="139">
        <v>3668265.6548957257</v>
      </c>
      <c r="DA28" s="139">
        <v>3668265.6548957257</v>
      </c>
      <c r="DB28" s="139">
        <v>3668265.6548957257</v>
      </c>
      <c r="DC28" s="139">
        <v>3668265.6548957257</v>
      </c>
      <c r="DD28" s="139">
        <v>3668265.6548957257</v>
      </c>
      <c r="DE28" s="139">
        <v>3668265.6548957257</v>
      </c>
      <c r="DF28" s="139">
        <v>3723289.6397191612</v>
      </c>
      <c r="DG28" s="139">
        <v>3723289.6397191612</v>
      </c>
      <c r="DH28" s="139">
        <v>3723289.6397191612</v>
      </c>
      <c r="DI28" s="139">
        <v>3723289.6397191612</v>
      </c>
      <c r="DJ28" s="139">
        <v>3723289.6397191612</v>
      </c>
      <c r="DK28" s="139">
        <v>3723289.6397191612</v>
      </c>
      <c r="DL28" s="139">
        <v>3723289.6397191612</v>
      </c>
      <c r="DM28" s="139">
        <v>3723289.6397191612</v>
      </c>
      <c r="DN28" s="139">
        <v>3723289.6397191612</v>
      </c>
      <c r="DO28" s="139">
        <v>3723289.6397191612</v>
      </c>
      <c r="DP28" s="139">
        <v>3723289.6397191612</v>
      </c>
      <c r="DQ28" s="139">
        <v>3723289.6397191612</v>
      </c>
      <c r="DR28" s="139">
        <v>3779138.9843149483</v>
      </c>
      <c r="DS28" s="139">
        <v>3779138.9843149483</v>
      </c>
      <c r="DT28" s="139">
        <v>3779138.9843149483</v>
      </c>
      <c r="DU28" s="139">
        <v>3779138.9843149483</v>
      </c>
      <c r="DV28" s="139">
        <v>3779138.9843149483</v>
      </c>
      <c r="DW28" s="139">
        <v>3779138.9843149483</v>
      </c>
      <c r="DX28" s="139">
        <v>3779138.9843149483</v>
      </c>
      <c r="DY28" s="139">
        <v>3779138.9843149483</v>
      </c>
      <c r="DZ28" s="139">
        <v>3779138.9843149483</v>
      </c>
      <c r="EA28" s="139">
        <v>3779138.9843149483</v>
      </c>
      <c r="EB28" s="139">
        <v>3779138.9843149483</v>
      </c>
      <c r="EC28" s="139">
        <v>3779138.9843149483</v>
      </c>
      <c r="ED28" s="139">
        <v>3835826.069079672</v>
      </c>
      <c r="EE28" s="139">
        <v>3835826.069079672</v>
      </c>
      <c r="EF28" s="139">
        <v>3835826.069079672</v>
      </c>
      <c r="EG28" s="139">
        <v>3835826.069079672</v>
      </c>
      <c r="EH28" s="139">
        <v>3835826.069079672</v>
      </c>
      <c r="EI28" s="139">
        <v>3835826.069079672</v>
      </c>
      <c r="EJ28" s="139">
        <v>3835826.069079672</v>
      </c>
      <c r="EK28" s="139">
        <v>3835826.069079672</v>
      </c>
      <c r="EL28" s="139">
        <v>3835826.069079672</v>
      </c>
      <c r="EM28" s="139">
        <v>3835826.069079672</v>
      </c>
      <c r="EN28" s="139">
        <v>3835826.069079672</v>
      </c>
      <c r="EO28" s="139">
        <v>3835826.069079672</v>
      </c>
      <c r="EP28" s="139">
        <v>0</v>
      </c>
      <c r="EQ28" s="139">
        <v>0</v>
      </c>
      <c r="ER28" s="139">
        <v>0</v>
      </c>
      <c r="ES28" s="139">
        <v>0</v>
      </c>
      <c r="ET28" s="139">
        <v>0</v>
      </c>
      <c r="EU28" s="139">
        <v>0</v>
      </c>
      <c r="EV28" s="139">
        <v>0</v>
      </c>
      <c r="EW28" s="139">
        <v>0</v>
      </c>
      <c r="EX28" s="139">
        <v>0</v>
      </c>
      <c r="EY28" s="139">
        <v>0</v>
      </c>
      <c r="EZ28" s="139">
        <v>0</v>
      </c>
      <c r="FA28" s="139">
        <v>0</v>
      </c>
      <c r="FB28" s="139">
        <v>0</v>
      </c>
      <c r="FC28" s="139">
        <v>0</v>
      </c>
      <c r="FD28" s="139">
        <v>0</v>
      </c>
      <c r="FE28" s="139">
        <v>0</v>
      </c>
      <c r="FF28" s="139">
        <v>0</v>
      </c>
      <c r="FG28" s="139">
        <v>0</v>
      </c>
      <c r="FH28" s="139">
        <v>0</v>
      </c>
      <c r="FI28" s="139">
        <v>0</v>
      </c>
      <c r="FJ28" s="139">
        <v>0</v>
      </c>
      <c r="FK28" s="139">
        <v>0</v>
      </c>
      <c r="FL28" s="139">
        <v>0</v>
      </c>
      <c r="FM28" s="139">
        <v>0</v>
      </c>
      <c r="FN28" s="139">
        <v>0</v>
      </c>
      <c r="FO28" s="139">
        <v>0</v>
      </c>
      <c r="FP28" s="139">
        <v>0</v>
      </c>
      <c r="FQ28" s="139">
        <v>0</v>
      </c>
      <c r="FR28" s="139">
        <v>0</v>
      </c>
      <c r="FS28" s="139">
        <v>0</v>
      </c>
      <c r="FT28" s="139">
        <v>0</v>
      </c>
      <c r="FU28" s="139">
        <v>0</v>
      </c>
      <c r="FV28" s="139">
        <v>0</v>
      </c>
      <c r="FW28" s="139">
        <v>0</v>
      </c>
      <c r="FX28" s="139">
        <v>0</v>
      </c>
      <c r="FY28" s="139">
        <v>0</v>
      </c>
      <c r="FZ28" s="139">
        <v>0</v>
      </c>
      <c r="GA28" s="139">
        <v>0</v>
      </c>
      <c r="GB28" s="139">
        <v>0</v>
      </c>
      <c r="GC28" s="139">
        <v>0</v>
      </c>
      <c r="GD28" s="139">
        <v>0</v>
      </c>
      <c r="GE28" s="139">
        <v>0</v>
      </c>
      <c r="GF28" s="139">
        <v>0</v>
      </c>
      <c r="GG28" s="139">
        <v>0</v>
      </c>
      <c r="GH28" s="139">
        <v>0</v>
      </c>
      <c r="GI28" s="139">
        <v>0</v>
      </c>
      <c r="GJ28" s="139">
        <v>0</v>
      </c>
      <c r="GK28" s="48">
        <v>0</v>
      </c>
      <c r="GL28" s="27"/>
    </row>
    <row r="29" spans="1:194" x14ac:dyDescent="0.3">
      <c r="A29" s="155" t="s">
        <v>383</v>
      </c>
      <c r="B29" s="135" t="s">
        <v>424</v>
      </c>
      <c r="C29" s="135" t="s">
        <v>277</v>
      </c>
      <c r="D29" s="135" t="s">
        <v>274</v>
      </c>
      <c r="E29" s="178" t="s">
        <v>169</v>
      </c>
      <c r="F29" s="194" t="s">
        <v>358</v>
      </c>
      <c r="G29" s="141" t="s">
        <v>358</v>
      </c>
      <c r="H29" s="141">
        <v>0</v>
      </c>
      <c r="I29" s="135">
        <v>0</v>
      </c>
      <c r="J29" s="135" t="s">
        <v>385</v>
      </c>
      <c r="K29" s="135">
        <v>0</v>
      </c>
      <c r="L29" s="135" t="s">
        <v>194</v>
      </c>
      <c r="M29" s="136">
        <f>IFERROR(INDEX('(참조)CS_인건비'!$S$3:$AG$40,MATCH(CS_인건비!$A29,'(참조)CS_인건비'!$S$3:$S$40,0),MATCH('(참조)CS_인건비'!X$2,'(참조)CS_인건비'!$S$2:$AG$2,0)),0)</f>
        <v>8.5833333333333339</v>
      </c>
      <c r="N29" s="136">
        <f>IFERROR(INDEX('(참조)CS_인건비'!$S$3:$AG$40,MATCH(CS_인건비!$A29,'(참조)CS_인건비'!$S$3:$S$40,0),MATCH('(참조)CS_인건비'!Y$2,'(참조)CS_인건비'!$S$2:$AG$2,0)),0)</f>
        <v>6.166666666666667</v>
      </c>
      <c r="O29" s="136">
        <f>IFERROR(INDEX('(참조)CS_인건비'!$S$3:$AG$40,MATCH(CS_인건비!$A29,'(참조)CS_인건비'!$S$3:$S$40,0),MATCH('(참조)CS_인건비'!Z$2,'(참조)CS_인건비'!$S$2:$AG$2,0)),0)</f>
        <v>5</v>
      </c>
      <c r="P29" s="136">
        <f>IFERROR(INDEX('(참조)CS_인건비'!$S$3:$AG$40,MATCH(CS_인건비!$A29,'(참조)CS_인건비'!$S$3:$S$40,0),MATCH('(참조)CS_인건비'!AA$2,'(참조)CS_인건비'!$S$2:$AG$2,0)),0)</f>
        <v>5</v>
      </c>
      <c r="Q29" s="136">
        <f>IFERROR(INDEX('(참조)CS_인건비'!$S$3:$AG$40,MATCH(CS_인건비!$A29,'(참조)CS_인건비'!$S$3:$S$40,0),MATCH('(참조)CS_인건비'!AB$2,'(참조)CS_인건비'!$S$2:$AG$2,0)),0)</f>
        <v>5</v>
      </c>
      <c r="R29" s="136">
        <f>IFERROR(INDEX('(참조)CS_인건비'!$S$3:$AG$40,MATCH(CS_인건비!$A29,'(참조)CS_인건비'!$S$3:$S$40,0),MATCH('(참조)CS_인건비'!AC$2,'(참조)CS_인건비'!$S$2:$AG$2,0)),0)</f>
        <v>5</v>
      </c>
      <c r="S29" s="136">
        <f>IFERROR(INDEX('(참조)CS_인건비'!$S$3:$AG$40,MATCH(CS_인건비!$A29,'(참조)CS_인건비'!$S$3:$S$40,0),MATCH('(참조)CS_인건비'!AD$2,'(참조)CS_인건비'!$S$2:$AG$2,0)),0)</f>
        <v>5</v>
      </c>
      <c r="T29" s="136">
        <f>IFERROR(INDEX('(참조)CS_인건비'!$S$3:$AG$40,MATCH(CS_인건비!$A29,'(참조)CS_인건비'!$S$3:$S$40,0),MATCH('(참조)CS_인건비'!AE$2,'(참조)CS_인건비'!$S$2:$AG$2,0)),0)</f>
        <v>0</v>
      </c>
      <c r="U29" s="136">
        <f>IFERROR(INDEX('(참조)CS_인건비'!$S$3:$AG$40,MATCH(CS_인건비!$A29,'(참조)CS_인건비'!$S$3:$S$40,0),MATCH('(참조)CS_인건비'!AF$2,'(참조)CS_인건비'!$S$2:$AG$2,0)),0)</f>
        <v>0</v>
      </c>
      <c r="V29" s="136">
        <f>IFERROR(INDEX('(참조)CS_인건비'!$S$3:$AG$40,MATCH(CS_인건비!$A29,'(참조)CS_인건비'!$S$3:$S$40,0),MATCH('(참조)CS_인건비'!AG$2,'(참조)CS_인건비'!$S$2:$AG$2,0)),0)</f>
        <v>0</v>
      </c>
      <c r="W29" s="136">
        <f>IFERROR(INDEX('(참조)CS_인건비'!$S$3:$AG$40,MATCH(CS_인건비!$A29,'(참조)CS_인건비'!$S$3:$S$40,0),MATCH('(참조)CS_인건비'!AH$2,'(참조)CS_인건비'!$S$2:$AG$2,0)),0)</f>
        <v>0</v>
      </c>
      <c r="X29" s="137">
        <v>0</v>
      </c>
      <c r="Y29" s="137">
        <f>IFERROR(INDEX('(참조)CS_인건비'!$A$3:$O$40,MATCH(CS_인건비!$A29,'(참조)CS_인건비'!$A$3:$A$40,0),MATCH('(참조)CS_인건비'!F$2,'(참조)CS_인건비'!$A$2:$O$2,0)),0)</f>
        <v>2730409.1729166666</v>
      </c>
      <c r="Z29" s="137">
        <f>IFERROR(INDEX('(참조)CS_인건비'!$A$3:$O$40,MATCH(CS_인건비!$A29,'(참조)CS_인건비'!$A$3:$A$40,0),MATCH('(참조)CS_인건비'!G$2,'(참조)CS_인건비'!$A$2:$O$2,0)),0)</f>
        <v>2771365.3105104165</v>
      </c>
      <c r="AA29" s="137">
        <f>IFERROR(INDEX('(참조)CS_인건비'!$A$3:$O$40,MATCH(CS_인건비!$A29,'(참조)CS_인건비'!$A$3:$A$40,0),MATCH('(참조)CS_인건비'!H$2,'(참조)CS_인건비'!$A$2:$O$2,0)),0)</f>
        <v>2812935.7901680726</v>
      </c>
      <c r="AB29" s="137">
        <f>IFERROR(INDEX('(참조)CS_인건비'!$A$3:$O$40,MATCH(CS_인건비!$A29,'(참조)CS_인건비'!$A$3:$A$40,0),MATCH('(참조)CS_인건비'!I$2,'(참조)CS_인건비'!$A$2:$O$2,0)),0)</f>
        <v>2855129.8270205935</v>
      </c>
      <c r="AC29" s="137">
        <f>IFERROR(INDEX('(참조)CS_인건비'!$A$3:$O$40,MATCH(CS_인건비!$A29,'(참조)CS_인건비'!$A$3:$A$40,0),MATCH('(참조)CS_인건비'!J$2,'(참조)CS_인건비'!$A$2:$O$2,0)),0)</f>
        <v>2897956.7744259019</v>
      </c>
      <c r="AD29" s="137">
        <f>IFERROR(INDEX('(참조)CS_인건비'!$A$3:$O$40,MATCH(CS_인건비!$A29,'(참조)CS_인건비'!$A$3:$A$40,0),MATCH('(참조)CS_인건비'!K$2,'(참조)CS_인건비'!$A$2:$O$2,0)),0)</f>
        <v>2941426.1260422901</v>
      </c>
      <c r="AE29" s="137">
        <f>IFERROR(INDEX('(참조)CS_인건비'!$A$3:$O$40,MATCH(CS_인건비!$A29,'(참조)CS_인건비'!$A$3:$A$40,0),MATCH('(참조)CS_인건비'!L$2,'(참조)CS_인건비'!$A$2:$O$2,0)),0)</f>
        <v>2985547.517932924</v>
      </c>
      <c r="AF29" s="137">
        <f>IFERROR(INDEX('(참조)CS_인건비'!$A$3:$O$40,MATCH(CS_인건비!$A29,'(참조)CS_인건비'!$A$3:$A$40,0),MATCH('(참조)CS_인건비'!M$2,'(참조)CS_인건비'!$A$2:$O$2,0)),0)</f>
        <v>0</v>
      </c>
      <c r="AG29" s="137">
        <f>IFERROR(INDEX('(참조)CS_인건비'!$A$3:$O$40,MATCH(CS_인건비!$A29,'(참조)CS_인건비'!$A$3:$A$40,0),MATCH('(참조)CS_인건비'!N$2,'(참조)CS_인건비'!$A$2:$O$2,0)),0)</f>
        <v>0</v>
      </c>
      <c r="AH29" s="137">
        <f>IFERROR(INDEX('(참조)CS_인건비'!$A$3:$O$40,MATCH(CS_인건비!$A29,'(참조)CS_인건비'!$A$3:$A$40,0),MATCH('(참조)CS_인건비'!O$2,'(참조)CS_인건비'!$A$2:$O$2,0)),0)</f>
        <v>0</v>
      </c>
      <c r="AI29" s="137">
        <f>IFERROR(INDEX('(참조)CS_인건비'!$A$3:$O$40,MATCH(CS_인건비!$A29,'(참조)CS_인건비'!$A$3:$A$40,0),MATCH('(참조)CS_인건비'!P$2,'(참조)CS_인건비'!$A$2:$O$2,0)),0)</f>
        <v>0</v>
      </c>
      <c r="AJ29" s="137">
        <v>12</v>
      </c>
      <c r="AK29" s="137">
        <v>12</v>
      </c>
      <c r="AL29" s="137">
        <v>12</v>
      </c>
      <c r="AM29" s="137">
        <v>12</v>
      </c>
      <c r="AN29" s="137">
        <v>12</v>
      </c>
      <c r="AO29" s="137">
        <v>12</v>
      </c>
      <c r="AP29" s="137">
        <v>12</v>
      </c>
      <c r="AQ29" s="137">
        <v>12</v>
      </c>
      <c r="AR29" s="137">
        <v>12</v>
      </c>
      <c r="AS29" s="137">
        <v>12</v>
      </c>
      <c r="AT29" s="137">
        <v>12</v>
      </c>
      <c r="AU29" s="138">
        <v>1</v>
      </c>
      <c r="AV29" s="135">
        <v>0</v>
      </c>
      <c r="AW29" s="135">
        <v>0</v>
      </c>
      <c r="AX29" s="139">
        <v>1355892939.9235742</v>
      </c>
      <c r="AY29" s="139">
        <v>281232144.81041664</v>
      </c>
      <c r="AZ29" s="139">
        <v>205081032.97777078</v>
      </c>
      <c r="BA29" s="139">
        <v>168776147.41008437</v>
      </c>
      <c r="BB29" s="139">
        <v>171307789.62123561</v>
      </c>
      <c r="BC29" s="139">
        <v>173877406.46555412</v>
      </c>
      <c r="BD29" s="139">
        <v>176485567.56253734</v>
      </c>
      <c r="BE29" s="139">
        <v>179132851.07597542</v>
      </c>
      <c r="BF29" s="139">
        <v>0</v>
      </c>
      <c r="BG29" s="139">
        <v>0</v>
      </c>
      <c r="BH29" s="139">
        <v>0</v>
      </c>
      <c r="BI29" s="139">
        <v>0</v>
      </c>
      <c r="BJ29" s="140">
        <v>23436012.067534722</v>
      </c>
      <c r="BK29" s="139">
        <v>23436012.067534722</v>
      </c>
      <c r="BL29" s="139">
        <v>23436012.067534722</v>
      </c>
      <c r="BM29" s="139">
        <v>23436012.067534722</v>
      </c>
      <c r="BN29" s="139">
        <v>23436012.067534722</v>
      </c>
      <c r="BO29" s="139">
        <v>23436012.067534722</v>
      </c>
      <c r="BP29" s="139">
        <v>23436012.067534722</v>
      </c>
      <c r="BQ29" s="139">
        <v>23436012.067534722</v>
      </c>
      <c r="BR29" s="139">
        <v>23436012.067534722</v>
      </c>
      <c r="BS29" s="139">
        <v>23436012.067534722</v>
      </c>
      <c r="BT29" s="139">
        <v>23436012.067534722</v>
      </c>
      <c r="BU29" s="139">
        <v>23436012.067534722</v>
      </c>
      <c r="BV29" s="139">
        <v>17090086.081480902</v>
      </c>
      <c r="BW29" s="139">
        <v>17090086.081480902</v>
      </c>
      <c r="BX29" s="139">
        <v>17090086.081480902</v>
      </c>
      <c r="BY29" s="139">
        <v>17090086.081480902</v>
      </c>
      <c r="BZ29" s="139">
        <v>17090086.081480902</v>
      </c>
      <c r="CA29" s="139">
        <v>17090086.081480902</v>
      </c>
      <c r="CB29" s="139">
        <v>17090086.081480902</v>
      </c>
      <c r="CC29" s="139">
        <v>17090086.081480902</v>
      </c>
      <c r="CD29" s="139">
        <v>17090086.081480902</v>
      </c>
      <c r="CE29" s="139">
        <v>17090086.081480902</v>
      </c>
      <c r="CF29" s="139">
        <v>17090086.081480902</v>
      </c>
      <c r="CG29" s="139">
        <v>17090086.081480902</v>
      </c>
      <c r="CH29" s="139">
        <v>14064678.950840363</v>
      </c>
      <c r="CI29" s="139">
        <v>14064678.950840363</v>
      </c>
      <c r="CJ29" s="139">
        <v>14064678.950840363</v>
      </c>
      <c r="CK29" s="139">
        <v>14064678.950840363</v>
      </c>
      <c r="CL29" s="139">
        <v>14064678.950840363</v>
      </c>
      <c r="CM29" s="139">
        <v>14064678.950840363</v>
      </c>
      <c r="CN29" s="139">
        <v>14064678.950840363</v>
      </c>
      <c r="CO29" s="139">
        <v>14064678.950840363</v>
      </c>
      <c r="CP29" s="139">
        <v>14064678.950840363</v>
      </c>
      <c r="CQ29" s="139">
        <v>14064678.950840363</v>
      </c>
      <c r="CR29" s="139">
        <v>14064678.950840363</v>
      </c>
      <c r="CS29" s="139">
        <v>14064678.950840363</v>
      </c>
      <c r="CT29" s="139">
        <v>14275649.135102967</v>
      </c>
      <c r="CU29" s="139">
        <v>14275649.135102967</v>
      </c>
      <c r="CV29" s="139">
        <v>14275649.135102967</v>
      </c>
      <c r="CW29" s="139">
        <v>14275649.135102967</v>
      </c>
      <c r="CX29" s="139">
        <v>14275649.135102967</v>
      </c>
      <c r="CY29" s="139">
        <v>14275649.135102967</v>
      </c>
      <c r="CZ29" s="139">
        <v>14275649.135102967</v>
      </c>
      <c r="DA29" s="139">
        <v>14275649.135102967</v>
      </c>
      <c r="DB29" s="139">
        <v>14275649.135102967</v>
      </c>
      <c r="DC29" s="139">
        <v>14275649.135102967</v>
      </c>
      <c r="DD29" s="139">
        <v>14275649.135102967</v>
      </c>
      <c r="DE29" s="139">
        <v>14275649.135102967</v>
      </c>
      <c r="DF29" s="139">
        <v>14489783.872129509</v>
      </c>
      <c r="DG29" s="139">
        <v>14489783.872129509</v>
      </c>
      <c r="DH29" s="139">
        <v>14489783.872129509</v>
      </c>
      <c r="DI29" s="139">
        <v>14489783.872129509</v>
      </c>
      <c r="DJ29" s="139">
        <v>14489783.872129509</v>
      </c>
      <c r="DK29" s="139">
        <v>14489783.872129509</v>
      </c>
      <c r="DL29" s="139">
        <v>14489783.872129509</v>
      </c>
      <c r="DM29" s="139">
        <v>14489783.872129509</v>
      </c>
      <c r="DN29" s="139">
        <v>14489783.872129509</v>
      </c>
      <c r="DO29" s="139">
        <v>14489783.872129509</v>
      </c>
      <c r="DP29" s="139">
        <v>14489783.872129509</v>
      </c>
      <c r="DQ29" s="139">
        <v>14489783.872129509</v>
      </c>
      <c r="DR29" s="139">
        <v>14707130.63021145</v>
      </c>
      <c r="DS29" s="139">
        <v>14707130.63021145</v>
      </c>
      <c r="DT29" s="139">
        <v>14707130.63021145</v>
      </c>
      <c r="DU29" s="139">
        <v>14707130.63021145</v>
      </c>
      <c r="DV29" s="139">
        <v>14707130.63021145</v>
      </c>
      <c r="DW29" s="139">
        <v>14707130.63021145</v>
      </c>
      <c r="DX29" s="139">
        <v>14707130.63021145</v>
      </c>
      <c r="DY29" s="139">
        <v>14707130.63021145</v>
      </c>
      <c r="DZ29" s="139">
        <v>14707130.63021145</v>
      </c>
      <c r="EA29" s="139">
        <v>14707130.63021145</v>
      </c>
      <c r="EB29" s="139">
        <v>14707130.63021145</v>
      </c>
      <c r="EC29" s="139">
        <v>14707130.63021145</v>
      </c>
      <c r="ED29" s="139">
        <v>14927737.589664619</v>
      </c>
      <c r="EE29" s="139">
        <v>14927737.589664619</v>
      </c>
      <c r="EF29" s="139">
        <v>14927737.589664619</v>
      </c>
      <c r="EG29" s="139">
        <v>14927737.589664619</v>
      </c>
      <c r="EH29" s="139">
        <v>14927737.589664619</v>
      </c>
      <c r="EI29" s="139">
        <v>14927737.589664619</v>
      </c>
      <c r="EJ29" s="139">
        <v>14927737.589664619</v>
      </c>
      <c r="EK29" s="139">
        <v>14927737.589664619</v>
      </c>
      <c r="EL29" s="139">
        <v>14927737.589664619</v>
      </c>
      <c r="EM29" s="139">
        <v>14927737.589664619</v>
      </c>
      <c r="EN29" s="139">
        <v>14927737.589664619</v>
      </c>
      <c r="EO29" s="139">
        <v>14927737.589664619</v>
      </c>
      <c r="EP29" s="139">
        <v>0</v>
      </c>
      <c r="EQ29" s="139">
        <v>0</v>
      </c>
      <c r="ER29" s="139">
        <v>0</v>
      </c>
      <c r="ES29" s="139">
        <v>0</v>
      </c>
      <c r="ET29" s="139">
        <v>0</v>
      </c>
      <c r="EU29" s="139">
        <v>0</v>
      </c>
      <c r="EV29" s="139">
        <v>0</v>
      </c>
      <c r="EW29" s="139">
        <v>0</v>
      </c>
      <c r="EX29" s="139">
        <v>0</v>
      </c>
      <c r="EY29" s="139">
        <v>0</v>
      </c>
      <c r="EZ29" s="139">
        <v>0</v>
      </c>
      <c r="FA29" s="139">
        <v>0</v>
      </c>
      <c r="FB29" s="139">
        <v>0</v>
      </c>
      <c r="FC29" s="139">
        <v>0</v>
      </c>
      <c r="FD29" s="139">
        <v>0</v>
      </c>
      <c r="FE29" s="139">
        <v>0</v>
      </c>
      <c r="FF29" s="139">
        <v>0</v>
      </c>
      <c r="FG29" s="139">
        <v>0</v>
      </c>
      <c r="FH29" s="139">
        <v>0</v>
      </c>
      <c r="FI29" s="139">
        <v>0</v>
      </c>
      <c r="FJ29" s="139">
        <v>0</v>
      </c>
      <c r="FK29" s="139">
        <v>0</v>
      </c>
      <c r="FL29" s="139">
        <v>0</v>
      </c>
      <c r="FM29" s="139">
        <v>0</v>
      </c>
      <c r="FN29" s="139">
        <v>0</v>
      </c>
      <c r="FO29" s="139">
        <v>0</v>
      </c>
      <c r="FP29" s="139">
        <v>0</v>
      </c>
      <c r="FQ29" s="139">
        <v>0</v>
      </c>
      <c r="FR29" s="139">
        <v>0</v>
      </c>
      <c r="FS29" s="139">
        <v>0</v>
      </c>
      <c r="FT29" s="139">
        <v>0</v>
      </c>
      <c r="FU29" s="139">
        <v>0</v>
      </c>
      <c r="FV29" s="139">
        <v>0</v>
      </c>
      <c r="FW29" s="139">
        <v>0</v>
      </c>
      <c r="FX29" s="139">
        <v>0</v>
      </c>
      <c r="FY29" s="139">
        <v>0</v>
      </c>
      <c r="FZ29" s="139">
        <v>0</v>
      </c>
      <c r="GA29" s="139">
        <v>0</v>
      </c>
      <c r="GB29" s="139">
        <v>0</v>
      </c>
      <c r="GC29" s="139">
        <v>0</v>
      </c>
      <c r="GD29" s="139">
        <v>0</v>
      </c>
      <c r="GE29" s="139">
        <v>0</v>
      </c>
      <c r="GF29" s="139">
        <v>0</v>
      </c>
      <c r="GG29" s="139">
        <v>0</v>
      </c>
      <c r="GH29" s="139">
        <v>0</v>
      </c>
      <c r="GI29" s="139">
        <v>0</v>
      </c>
      <c r="GJ29" s="139">
        <v>0</v>
      </c>
      <c r="GK29" s="48">
        <v>0</v>
      </c>
      <c r="GL29" s="27"/>
    </row>
    <row r="30" spans="1:194" x14ac:dyDescent="0.3">
      <c r="A30" s="155" t="s">
        <v>384</v>
      </c>
      <c r="B30" s="135" t="s">
        <v>424</v>
      </c>
      <c r="C30" s="135" t="s">
        <v>277</v>
      </c>
      <c r="D30" s="135" t="s">
        <v>274</v>
      </c>
      <c r="E30" s="178" t="s">
        <v>169</v>
      </c>
      <c r="F30" s="194" t="s">
        <v>348</v>
      </c>
      <c r="G30" s="141" t="s">
        <v>359</v>
      </c>
      <c r="H30" s="141">
        <v>0</v>
      </c>
      <c r="I30" s="135">
        <v>0</v>
      </c>
      <c r="J30" s="135" t="s">
        <v>385</v>
      </c>
      <c r="K30" s="135">
        <v>0</v>
      </c>
      <c r="L30" s="135" t="s">
        <v>194</v>
      </c>
      <c r="M30" s="136">
        <f>IFERROR(INDEX('(참조)CS_인건비'!$S$3:$AG$40,MATCH(CS_인건비!$A30,'(참조)CS_인건비'!$S$3:$S$40,0),MATCH('(참조)CS_인건비'!X$2,'(참조)CS_인건비'!$S$2:$AG$2,0)),0)</f>
        <v>0</v>
      </c>
      <c r="N30" s="136">
        <f>IFERROR(INDEX('(참조)CS_인건비'!$S$3:$AG$40,MATCH(CS_인건비!$A30,'(참조)CS_인건비'!$S$3:$S$40,0),MATCH('(참조)CS_인건비'!Y$2,'(참조)CS_인건비'!$S$2:$AG$2,0)),0)</f>
        <v>0</v>
      </c>
      <c r="O30" s="136">
        <f>IFERROR(INDEX('(참조)CS_인건비'!$S$3:$AG$40,MATCH(CS_인건비!$A30,'(참조)CS_인건비'!$S$3:$S$40,0),MATCH('(참조)CS_인건비'!Z$2,'(참조)CS_인건비'!$S$2:$AG$2,0)),0)</f>
        <v>0</v>
      </c>
      <c r="P30" s="136">
        <f>IFERROR(INDEX('(참조)CS_인건비'!$S$3:$AG$40,MATCH(CS_인건비!$A30,'(참조)CS_인건비'!$S$3:$S$40,0),MATCH('(참조)CS_인건비'!AA$2,'(참조)CS_인건비'!$S$2:$AG$2,0)),0)</f>
        <v>0</v>
      </c>
      <c r="Q30" s="136">
        <f>IFERROR(INDEX('(참조)CS_인건비'!$S$3:$AG$40,MATCH(CS_인건비!$A30,'(참조)CS_인건비'!$S$3:$S$40,0),MATCH('(참조)CS_인건비'!AB$2,'(참조)CS_인건비'!$S$2:$AG$2,0)),0)</f>
        <v>0</v>
      </c>
      <c r="R30" s="136">
        <f>IFERROR(INDEX('(참조)CS_인건비'!$S$3:$AG$40,MATCH(CS_인건비!$A30,'(참조)CS_인건비'!$S$3:$S$40,0),MATCH('(참조)CS_인건비'!AC$2,'(참조)CS_인건비'!$S$2:$AG$2,0)),0)</f>
        <v>0</v>
      </c>
      <c r="S30" s="136">
        <f>IFERROR(INDEX('(참조)CS_인건비'!$S$3:$AG$40,MATCH(CS_인건비!$A30,'(참조)CS_인건비'!$S$3:$S$40,0),MATCH('(참조)CS_인건비'!AD$2,'(참조)CS_인건비'!$S$2:$AG$2,0)),0)</f>
        <v>0</v>
      </c>
      <c r="T30" s="136">
        <f>IFERROR(INDEX('(참조)CS_인건비'!$S$3:$AG$40,MATCH(CS_인건비!$A30,'(참조)CS_인건비'!$S$3:$S$40,0),MATCH('(참조)CS_인건비'!AE$2,'(참조)CS_인건비'!$S$2:$AG$2,0)),0)</f>
        <v>0</v>
      </c>
      <c r="U30" s="136">
        <f>IFERROR(INDEX('(참조)CS_인건비'!$S$3:$AG$40,MATCH(CS_인건비!$A30,'(참조)CS_인건비'!$S$3:$S$40,0),MATCH('(참조)CS_인건비'!AF$2,'(참조)CS_인건비'!$S$2:$AG$2,0)),0)</f>
        <v>0</v>
      </c>
      <c r="V30" s="136">
        <f>IFERROR(INDEX('(참조)CS_인건비'!$S$3:$AG$40,MATCH(CS_인건비!$A30,'(참조)CS_인건비'!$S$3:$S$40,0),MATCH('(참조)CS_인건비'!AG$2,'(참조)CS_인건비'!$S$2:$AG$2,0)),0)</f>
        <v>0</v>
      </c>
      <c r="W30" s="136">
        <f>IFERROR(INDEX('(참조)CS_인건비'!$S$3:$AG$40,MATCH(CS_인건비!$A30,'(참조)CS_인건비'!$S$3:$S$40,0),MATCH('(참조)CS_인건비'!AH$2,'(참조)CS_인건비'!$S$2:$AG$2,0)),0)</f>
        <v>0</v>
      </c>
      <c r="X30" s="137">
        <v>0</v>
      </c>
      <c r="Y30" s="137">
        <f>IFERROR(INDEX('(참조)CS_인건비'!$A$3:$O$40,MATCH(CS_인건비!$A30,'(참조)CS_인건비'!$A$3:$A$40,0),MATCH('(참조)CS_인건비'!F$2,'(참조)CS_인건비'!$A$2:$O$2,0)),0)</f>
        <v>2670592.5874999999</v>
      </c>
      <c r="Z30" s="137">
        <f>IFERROR(INDEX('(참조)CS_인건비'!$A$3:$O$40,MATCH(CS_인건비!$A30,'(참조)CS_인건비'!$A$3:$A$40,0),MATCH('(참조)CS_인건비'!G$2,'(참조)CS_인건비'!$A$2:$O$2,0)),0)</f>
        <v>2710651.4763124995</v>
      </c>
      <c r="AA30" s="137">
        <f>IFERROR(INDEX('(참조)CS_인건비'!$A$3:$O$40,MATCH(CS_인건비!$A30,'(참조)CS_인건비'!$A$3:$A$40,0),MATCH('(참조)CS_인건비'!H$2,'(참조)CS_인건비'!$A$2:$O$2,0)),0)</f>
        <v>2751311.2484571869</v>
      </c>
      <c r="AB30" s="137">
        <f>IFERROR(INDEX('(참조)CS_인건비'!$A$3:$O$40,MATCH(CS_인건비!$A30,'(참조)CS_인건비'!$A$3:$A$40,0),MATCH('(참조)CS_인건비'!I$2,'(참조)CS_인건비'!$A$2:$O$2,0)),0)</f>
        <v>2792580.9171840446</v>
      </c>
      <c r="AC30" s="137">
        <f>IFERROR(INDEX('(참조)CS_인건비'!$A$3:$O$40,MATCH(CS_인건비!$A30,'(참조)CS_인건비'!$A$3:$A$40,0),MATCH('(참조)CS_인건비'!J$2,'(참조)CS_인건비'!$A$2:$O$2,0)),0)</f>
        <v>2834469.630941805</v>
      </c>
      <c r="AD30" s="137">
        <f>IFERROR(INDEX('(참조)CS_인건비'!$A$3:$O$40,MATCH(CS_인건비!$A30,'(참조)CS_인건비'!$A$3:$A$40,0),MATCH('(참조)CS_인건비'!K$2,'(참조)CS_인건비'!$A$2:$O$2,0)),0)</f>
        <v>2876986.6754059317</v>
      </c>
      <c r="AE30" s="137">
        <f>IFERROR(INDEX('(참조)CS_인건비'!$A$3:$O$40,MATCH(CS_인건비!$A30,'(참조)CS_인건비'!$A$3:$A$40,0),MATCH('(참조)CS_인건비'!L$2,'(참조)CS_인건비'!$A$2:$O$2,0)),0)</f>
        <v>2920141.4755370202</v>
      </c>
      <c r="AF30" s="137">
        <f>IFERROR(INDEX('(참조)CS_인건비'!$A$3:$O$40,MATCH(CS_인건비!$A30,'(참조)CS_인건비'!$A$3:$A$40,0),MATCH('(참조)CS_인건비'!M$2,'(참조)CS_인건비'!$A$2:$O$2,0)),0)</f>
        <v>0</v>
      </c>
      <c r="AG30" s="137">
        <f>IFERROR(INDEX('(참조)CS_인건비'!$A$3:$O$40,MATCH(CS_인건비!$A30,'(참조)CS_인건비'!$A$3:$A$40,0),MATCH('(참조)CS_인건비'!N$2,'(참조)CS_인건비'!$A$2:$O$2,0)),0)</f>
        <v>0</v>
      </c>
      <c r="AH30" s="137">
        <f>IFERROR(INDEX('(참조)CS_인건비'!$A$3:$O$40,MATCH(CS_인건비!$A30,'(참조)CS_인건비'!$A$3:$A$40,0),MATCH('(참조)CS_인건비'!O$2,'(참조)CS_인건비'!$A$2:$O$2,0)),0)</f>
        <v>0</v>
      </c>
      <c r="AI30" s="137">
        <f>IFERROR(INDEX('(참조)CS_인건비'!$A$3:$O$40,MATCH(CS_인건비!$A30,'(참조)CS_인건비'!$A$3:$A$40,0),MATCH('(참조)CS_인건비'!P$2,'(참조)CS_인건비'!$A$2:$O$2,0)),0)</f>
        <v>0</v>
      </c>
      <c r="AJ30" s="137">
        <v>12</v>
      </c>
      <c r="AK30" s="137">
        <v>12</v>
      </c>
      <c r="AL30" s="137">
        <v>12</v>
      </c>
      <c r="AM30" s="137">
        <v>12</v>
      </c>
      <c r="AN30" s="137">
        <v>12</v>
      </c>
      <c r="AO30" s="137">
        <v>12</v>
      </c>
      <c r="AP30" s="137">
        <v>12</v>
      </c>
      <c r="AQ30" s="137">
        <v>12</v>
      </c>
      <c r="AR30" s="137">
        <v>12</v>
      </c>
      <c r="AS30" s="137">
        <v>12</v>
      </c>
      <c r="AT30" s="137">
        <v>12</v>
      </c>
      <c r="AU30" s="138">
        <v>1</v>
      </c>
      <c r="AV30" s="135">
        <v>0</v>
      </c>
      <c r="AW30" s="135">
        <v>0</v>
      </c>
      <c r="AX30" s="139">
        <v>0</v>
      </c>
      <c r="AY30" s="139">
        <v>0</v>
      </c>
      <c r="AZ30" s="139">
        <v>0</v>
      </c>
      <c r="BA30" s="139">
        <v>0</v>
      </c>
      <c r="BB30" s="139">
        <v>0</v>
      </c>
      <c r="BC30" s="139">
        <v>0</v>
      </c>
      <c r="BD30" s="139">
        <v>0</v>
      </c>
      <c r="BE30" s="139">
        <v>0</v>
      </c>
      <c r="BF30" s="139">
        <v>0</v>
      </c>
      <c r="BG30" s="139">
        <v>0</v>
      </c>
      <c r="BH30" s="139">
        <v>0</v>
      </c>
      <c r="BI30" s="139">
        <v>0</v>
      </c>
      <c r="BJ30" s="140">
        <v>0</v>
      </c>
      <c r="BK30" s="139">
        <v>0</v>
      </c>
      <c r="BL30" s="139">
        <v>0</v>
      </c>
      <c r="BM30" s="139">
        <v>0</v>
      </c>
      <c r="BN30" s="139">
        <v>0</v>
      </c>
      <c r="BO30" s="139">
        <v>0</v>
      </c>
      <c r="BP30" s="139">
        <v>0</v>
      </c>
      <c r="BQ30" s="139">
        <v>0</v>
      </c>
      <c r="BR30" s="139">
        <v>0</v>
      </c>
      <c r="BS30" s="139">
        <v>0</v>
      </c>
      <c r="BT30" s="139">
        <v>0</v>
      </c>
      <c r="BU30" s="139">
        <v>0</v>
      </c>
      <c r="BV30" s="139">
        <v>0</v>
      </c>
      <c r="BW30" s="139">
        <v>0</v>
      </c>
      <c r="BX30" s="139">
        <v>0</v>
      </c>
      <c r="BY30" s="139">
        <v>0</v>
      </c>
      <c r="BZ30" s="139">
        <v>0</v>
      </c>
      <c r="CA30" s="139">
        <v>0</v>
      </c>
      <c r="CB30" s="139">
        <v>0</v>
      </c>
      <c r="CC30" s="139">
        <v>0</v>
      </c>
      <c r="CD30" s="139">
        <v>0</v>
      </c>
      <c r="CE30" s="139">
        <v>0</v>
      </c>
      <c r="CF30" s="139">
        <v>0</v>
      </c>
      <c r="CG30" s="139">
        <v>0</v>
      </c>
      <c r="CH30" s="139">
        <v>0</v>
      </c>
      <c r="CI30" s="139">
        <v>0</v>
      </c>
      <c r="CJ30" s="139">
        <v>0</v>
      </c>
      <c r="CK30" s="139">
        <v>0</v>
      </c>
      <c r="CL30" s="139">
        <v>0</v>
      </c>
      <c r="CM30" s="139">
        <v>0</v>
      </c>
      <c r="CN30" s="139">
        <v>0</v>
      </c>
      <c r="CO30" s="139">
        <v>0</v>
      </c>
      <c r="CP30" s="139">
        <v>0</v>
      </c>
      <c r="CQ30" s="139">
        <v>0</v>
      </c>
      <c r="CR30" s="139">
        <v>0</v>
      </c>
      <c r="CS30" s="139">
        <v>0</v>
      </c>
      <c r="CT30" s="139">
        <v>0</v>
      </c>
      <c r="CU30" s="139">
        <v>0</v>
      </c>
      <c r="CV30" s="139">
        <v>0</v>
      </c>
      <c r="CW30" s="139">
        <v>0</v>
      </c>
      <c r="CX30" s="139">
        <v>0</v>
      </c>
      <c r="CY30" s="139">
        <v>0</v>
      </c>
      <c r="CZ30" s="139">
        <v>0</v>
      </c>
      <c r="DA30" s="139">
        <v>0</v>
      </c>
      <c r="DB30" s="139">
        <v>0</v>
      </c>
      <c r="DC30" s="139">
        <v>0</v>
      </c>
      <c r="DD30" s="139">
        <v>0</v>
      </c>
      <c r="DE30" s="139">
        <v>0</v>
      </c>
      <c r="DF30" s="139">
        <v>0</v>
      </c>
      <c r="DG30" s="139">
        <v>0</v>
      </c>
      <c r="DH30" s="139">
        <v>0</v>
      </c>
      <c r="DI30" s="139">
        <v>0</v>
      </c>
      <c r="DJ30" s="139">
        <v>0</v>
      </c>
      <c r="DK30" s="139">
        <v>0</v>
      </c>
      <c r="DL30" s="139">
        <v>0</v>
      </c>
      <c r="DM30" s="139">
        <v>0</v>
      </c>
      <c r="DN30" s="139">
        <v>0</v>
      </c>
      <c r="DO30" s="139">
        <v>0</v>
      </c>
      <c r="DP30" s="139">
        <v>0</v>
      </c>
      <c r="DQ30" s="139">
        <v>0</v>
      </c>
      <c r="DR30" s="139">
        <v>0</v>
      </c>
      <c r="DS30" s="139">
        <v>0</v>
      </c>
      <c r="DT30" s="139">
        <v>0</v>
      </c>
      <c r="DU30" s="139">
        <v>0</v>
      </c>
      <c r="DV30" s="139">
        <v>0</v>
      </c>
      <c r="DW30" s="139">
        <v>0</v>
      </c>
      <c r="DX30" s="139">
        <v>0</v>
      </c>
      <c r="DY30" s="139">
        <v>0</v>
      </c>
      <c r="DZ30" s="139">
        <v>0</v>
      </c>
      <c r="EA30" s="139">
        <v>0</v>
      </c>
      <c r="EB30" s="139">
        <v>0</v>
      </c>
      <c r="EC30" s="139">
        <v>0</v>
      </c>
      <c r="ED30" s="139">
        <v>0</v>
      </c>
      <c r="EE30" s="139">
        <v>0</v>
      </c>
      <c r="EF30" s="139">
        <v>0</v>
      </c>
      <c r="EG30" s="139">
        <v>0</v>
      </c>
      <c r="EH30" s="139">
        <v>0</v>
      </c>
      <c r="EI30" s="139">
        <v>0</v>
      </c>
      <c r="EJ30" s="139">
        <v>0</v>
      </c>
      <c r="EK30" s="139">
        <v>0</v>
      </c>
      <c r="EL30" s="139">
        <v>0</v>
      </c>
      <c r="EM30" s="139">
        <v>0</v>
      </c>
      <c r="EN30" s="139">
        <v>0</v>
      </c>
      <c r="EO30" s="139">
        <v>0</v>
      </c>
      <c r="EP30" s="139">
        <v>0</v>
      </c>
      <c r="EQ30" s="139">
        <v>0</v>
      </c>
      <c r="ER30" s="139">
        <v>0</v>
      </c>
      <c r="ES30" s="139">
        <v>0</v>
      </c>
      <c r="ET30" s="139">
        <v>0</v>
      </c>
      <c r="EU30" s="139">
        <v>0</v>
      </c>
      <c r="EV30" s="139">
        <v>0</v>
      </c>
      <c r="EW30" s="139">
        <v>0</v>
      </c>
      <c r="EX30" s="139">
        <v>0</v>
      </c>
      <c r="EY30" s="139">
        <v>0</v>
      </c>
      <c r="EZ30" s="139">
        <v>0</v>
      </c>
      <c r="FA30" s="139">
        <v>0</v>
      </c>
      <c r="FB30" s="139">
        <v>0</v>
      </c>
      <c r="FC30" s="139">
        <v>0</v>
      </c>
      <c r="FD30" s="139">
        <v>0</v>
      </c>
      <c r="FE30" s="139">
        <v>0</v>
      </c>
      <c r="FF30" s="139">
        <v>0</v>
      </c>
      <c r="FG30" s="139">
        <v>0</v>
      </c>
      <c r="FH30" s="139">
        <v>0</v>
      </c>
      <c r="FI30" s="139">
        <v>0</v>
      </c>
      <c r="FJ30" s="139">
        <v>0</v>
      </c>
      <c r="FK30" s="139">
        <v>0</v>
      </c>
      <c r="FL30" s="139">
        <v>0</v>
      </c>
      <c r="FM30" s="139">
        <v>0</v>
      </c>
      <c r="FN30" s="139">
        <v>0</v>
      </c>
      <c r="FO30" s="139">
        <v>0</v>
      </c>
      <c r="FP30" s="139">
        <v>0</v>
      </c>
      <c r="FQ30" s="139">
        <v>0</v>
      </c>
      <c r="FR30" s="139">
        <v>0</v>
      </c>
      <c r="FS30" s="139">
        <v>0</v>
      </c>
      <c r="FT30" s="139">
        <v>0</v>
      </c>
      <c r="FU30" s="139">
        <v>0</v>
      </c>
      <c r="FV30" s="139">
        <v>0</v>
      </c>
      <c r="FW30" s="139">
        <v>0</v>
      </c>
      <c r="FX30" s="139">
        <v>0</v>
      </c>
      <c r="FY30" s="139">
        <v>0</v>
      </c>
      <c r="FZ30" s="139">
        <v>0</v>
      </c>
      <c r="GA30" s="139">
        <v>0</v>
      </c>
      <c r="GB30" s="139">
        <v>0</v>
      </c>
      <c r="GC30" s="139">
        <v>0</v>
      </c>
      <c r="GD30" s="139">
        <v>0</v>
      </c>
      <c r="GE30" s="139">
        <v>0</v>
      </c>
      <c r="GF30" s="139">
        <v>0</v>
      </c>
      <c r="GG30" s="139">
        <v>0</v>
      </c>
      <c r="GH30" s="139">
        <v>0</v>
      </c>
      <c r="GI30" s="139">
        <v>0</v>
      </c>
      <c r="GJ30" s="139">
        <v>0</v>
      </c>
      <c r="GK30" s="48">
        <v>0</v>
      </c>
      <c r="GL30" s="27"/>
    </row>
    <row r="31" spans="1:194" x14ac:dyDescent="0.3">
      <c r="A31" s="155" t="s">
        <v>420</v>
      </c>
      <c r="B31" s="135" t="s">
        <v>424</v>
      </c>
      <c r="C31" s="135" t="s">
        <v>277</v>
      </c>
      <c r="D31" s="135" t="s">
        <v>274</v>
      </c>
      <c r="E31" s="135" t="s">
        <v>186</v>
      </c>
      <c r="F31" s="194" t="s">
        <v>337</v>
      </c>
      <c r="G31" s="135" t="s">
        <v>416</v>
      </c>
      <c r="H31" s="141">
        <v>0</v>
      </c>
      <c r="I31" s="135">
        <v>0</v>
      </c>
      <c r="J31" s="135" t="s">
        <v>385</v>
      </c>
      <c r="K31" s="135">
        <v>0</v>
      </c>
      <c r="L31" s="135" t="s">
        <v>194</v>
      </c>
      <c r="M31" s="136">
        <f>IFERROR(INDEX('(참조)CS_인건비'!$S$3:$AG$40,MATCH(CS_인건비!$A31,'(참조)CS_인건비'!$S$3:$S$40,0),MATCH('(참조)CS_인건비'!X$2,'(참조)CS_인건비'!$S$2:$AG$2,0)),0)</f>
        <v>0</v>
      </c>
      <c r="N31" s="136">
        <f>IFERROR(INDEX('(참조)CS_인건비'!$S$3:$AG$40,MATCH(CS_인건비!$A31,'(참조)CS_인건비'!$S$3:$S$40,0),MATCH('(참조)CS_인건비'!Y$2,'(참조)CS_인건비'!$S$2:$AG$2,0)),0)</f>
        <v>0</v>
      </c>
      <c r="O31" s="136">
        <f>IFERROR(INDEX('(참조)CS_인건비'!$S$3:$AG$40,MATCH(CS_인건비!$A31,'(참조)CS_인건비'!$S$3:$S$40,0),MATCH('(참조)CS_인건비'!Z$2,'(참조)CS_인건비'!$S$2:$AG$2,0)),0)</f>
        <v>0</v>
      </c>
      <c r="P31" s="136">
        <f>IFERROR(INDEX('(참조)CS_인건비'!$S$3:$AG$40,MATCH(CS_인건비!$A31,'(참조)CS_인건비'!$S$3:$S$40,0),MATCH('(참조)CS_인건비'!AA$2,'(참조)CS_인건비'!$S$2:$AG$2,0)),0)</f>
        <v>0</v>
      </c>
      <c r="Q31" s="136">
        <f>IFERROR(INDEX('(참조)CS_인건비'!$S$3:$AG$40,MATCH(CS_인건비!$A31,'(참조)CS_인건비'!$S$3:$S$40,0),MATCH('(참조)CS_인건비'!AB$2,'(참조)CS_인건비'!$S$2:$AG$2,0)),0)</f>
        <v>0</v>
      </c>
      <c r="R31" s="136">
        <f>IFERROR(INDEX('(참조)CS_인건비'!$S$3:$AG$40,MATCH(CS_인건비!$A31,'(참조)CS_인건비'!$S$3:$S$40,0),MATCH('(참조)CS_인건비'!AC$2,'(참조)CS_인건비'!$S$2:$AG$2,0)),0)</f>
        <v>0</v>
      </c>
      <c r="S31" s="136">
        <f>IFERROR(INDEX('(참조)CS_인건비'!$S$3:$AG$40,MATCH(CS_인건비!$A31,'(참조)CS_인건비'!$S$3:$S$40,0),MATCH('(참조)CS_인건비'!AD$2,'(참조)CS_인건비'!$S$2:$AG$2,0)),0)</f>
        <v>0</v>
      </c>
      <c r="T31" s="136">
        <f>IFERROR(INDEX('(참조)CS_인건비'!$S$3:$AG$40,MATCH(CS_인건비!$A31,'(참조)CS_인건비'!$S$3:$S$40,0),MATCH('(참조)CS_인건비'!AE$2,'(참조)CS_인건비'!$S$2:$AG$2,0)),0)</f>
        <v>0</v>
      </c>
      <c r="U31" s="136">
        <f>IFERROR(INDEX('(참조)CS_인건비'!$S$3:$AG$40,MATCH(CS_인건비!$A31,'(참조)CS_인건비'!$S$3:$S$40,0),MATCH('(참조)CS_인건비'!AF$2,'(참조)CS_인건비'!$S$2:$AG$2,0)),0)</f>
        <v>0</v>
      </c>
      <c r="V31" s="136">
        <f>IFERROR(INDEX('(참조)CS_인건비'!$S$3:$AG$40,MATCH(CS_인건비!$A31,'(참조)CS_인건비'!$S$3:$S$40,0),MATCH('(참조)CS_인건비'!AG$2,'(참조)CS_인건비'!$S$2:$AG$2,0)),0)</f>
        <v>0</v>
      </c>
      <c r="W31" s="136">
        <f>IFERROR(INDEX('(참조)CS_인건비'!$S$3:$AG$40,MATCH(CS_인건비!$A31,'(참조)CS_인건비'!$S$3:$S$40,0),MATCH('(참조)CS_인건비'!AH$2,'(참조)CS_인건비'!$S$2:$AG$2,0)),0)</f>
        <v>0</v>
      </c>
      <c r="X31" s="137">
        <v>0</v>
      </c>
      <c r="Y31" s="137">
        <f>IFERROR(INDEX('(참조)CS_인건비'!$A$3:$O$40,MATCH(CS_인건비!$A31,'(참조)CS_인건비'!$A$3:$A$40,0),MATCH('(참조)CS_인건비'!F$2,'(참조)CS_인건비'!$A$2:$O$2,0)),0)</f>
        <v>0</v>
      </c>
      <c r="Z31" s="137">
        <f>IFERROR(INDEX('(참조)CS_인건비'!$A$3:$O$40,MATCH(CS_인건비!$A31,'(참조)CS_인건비'!$A$3:$A$40,0),MATCH('(참조)CS_인건비'!G$2,'(참조)CS_인건비'!$A$2:$O$2,0)),0)</f>
        <v>0</v>
      </c>
      <c r="AA31" s="137">
        <f>IFERROR(INDEX('(참조)CS_인건비'!$A$3:$O$40,MATCH(CS_인건비!$A31,'(참조)CS_인건비'!$A$3:$A$40,0),MATCH('(참조)CS_인건비'!H$2,'(참조)CS_인건비'!$A$2:$O$2,0)),0)</f>
        <v>0</v>
      </c>
      <c r="AB31" s="137">
        <f>IFERROR(INDEX('(참조)CS_인건비'!$A$3:$O$40,MATCH(CS_인건비!$A31,'(참조)CS_인건비'!$A$3:$A$40,0),MATCH('(참조)CS_인건비'!I$2,'(참조)CS_인건비'!$A$2:$O$2,0)),0)</f>
        <v>0</v>
      </c>
      <c r="AC31" s="137">
        <f>IFERROR(INDEX('(참조)CS_인건비'!$A$3:$O$40,MATCH(CS_인건비!$A31,'(참조)CS_인건비'!$A$3:$A$40,0),MATCH('(참조)CS_인건비'!J$2,'(참조)CS_인건비'!$A$2:$O$2,0)),0)</f>
        <v>0</v>
      </c>
      <c r="AD31" s="137">
        <f>IFERROR(INDEX('(참조)CS_인건비'!$A$3:$O$40,MATCH(CS_인건비!$A31,'(참조)CS_인건비'!$A$3:$A$40,0),MATCH('(참조)CS_인건비'!K$2,'(참조)CS_인건비'!$A$2:$O$2,0)),0)</f>
        <v>0</v>
      </c>
      <c r="AE31" s="137">
        <f>IFERROR(INDEX('(참조)CS_인건비'!$A$3:$O$40,MATCH(CS_인건비!$A31,'(참조)CS_인건비'!$A$3:$A$40,0),MATCH('(참조)CS_인건비'!L$2,'(참조)CS_인건비'!$A$2:$O$2,0)),0)</f>
        <v>0</v>
      </c>
      <c r="AF31" s="137">
        <f>IFERROR(INDEX('(참조)CS_인건비'!$A$3:$O$40,MATCH(CS_인건비!$A31,'(참조)CS_인건비'!$A$3:$A$40,0),MATCH('(참조)CS_인건비'!M$2,'(참조)CS_인건비'!$A$2:$O$2,0)),0)</f>
        <v>0</v>
      </c>
      <c r="AG31" s="137">
        <f>IFERROR(INDEX('(참조)CS_인건비'!$A$3:$O$40,MATCH(CS_인건비!$A31,'(참조)CS_인건비'!$A$3:$A$40,0),MATCH('(참조)CS_인건비'!N$2,'(참조)CS_인건비'!$A$2:$O$2,0)),0)</f>
        <v>0</v>
      </c>
      <c r="AH31" s="137">
        <f>IFERROR(INDEX('(참조)CS_인건비'!$A$3:$O$40,MATCH(CS_인건비!$A31,'(참조)CS_인건비'!$A$3:$A$40,0),MATCH('(참조)CS_인건비'!O$2,'(참조)CS_인건비'!$A$2:$O$2,0)),0)</f>
        <v>0</v>
      </c>
      <c r="AI31" s="137">
        <f>IFERROR(INDEX('(참조)CS_인건비'!$A$3:$O$40,MATCH(CS_인건비!$A31,'(참조)CS_인건비'!$A$3:$A$40,0),MATCH('(참조)CS_인건비'!P$2,'(참조)CS_인건비'!$A$2:$O$2,0)),0)</f>
        <v>0</v>
      </c>
      <c r="AJ31" s="137">
        <v>12</v>
      </c>
      <c r="AK31" s="137">
        <v>12</v>
      </c>
      <c r="AL31" s="137">
        <v>12</v>
      </c>
      <c r="AM31" s="137">
        <v>12</v>
      </c>
      <c r="AN31" s="137">
        <v>12</v>
      </c>
      <c r="AO31" s="137">
        <v>12</v>
      </c>
      <c r="AP31" s="137">
        <v>12</v>
      </c>
      <c r="AQ31" s="137">
        <v>12</v>
      </c>
      <c r="AR31" s="137">
        <v>12</v>
      </c>
      <c r="AS31" s="137">
        <v>12</v>
      </c>
      <c r="AT31" s="137">
        <v>12</v>
      </c>
      <c r="AU31" s="138">
        <v>1</v>
      </c>
      <c r="AV31" s="135">
        <v>0</v>
      </c>
      <c r="AW31" s="135">
        <v>0</v>
      </c>
      <c r="AX31" s="139">
        <v>0</v>
      </c>
      <c r="AY31" s="139">
        <v>0</v>
      </c>
      <c r="AZ31" s="139">
        <v>0</v>
      </c>
      <c r="BA31" s="139">
        <v>0</v>
      </c>
      <c r="BB31" s="139">
        <v>0</v>
      </c>
      <c r="BC31" s="139">
        <v>0</v>
      </c>
      <c r="BD31" s="139">
        <v>0</v>
      </c>
      <c r="BE31" s="139">
        <v>0</v>
      </c>
      <c r="BF31" s="139">
        <v>0</v>
      </c>
      <c r="BG31" s="139">
        <v>0</v>
      </c>
      <c r="BH31" s="139">
        <v>0</v>
      </c>
      <c r="BI31" s="139">
        <v>0</v>
      </c>
      <c r="BJ31" s="140">
        <v>0</v>
      </c>
      <c r="BK31" s="139">
        <v>0</v>
      </c>
      <c r="BL31" s="139">
        <v>0</v>
      </c>
      <c r="BM31" s="139">
        <v>0</v>
      </c>
      <c r="BN31" s="139">
        <v>0</v>
      </c>
      <c r="BO31" s="139">
        <v>0</v>
      </c>
      <c r="BP31" s="139">
        <v>0</v>
      </c>
      <c r="BQ31" s="139">
        <v>0</v>
      </c>
      <c r="BR31" s="139">
        <v>0</v>
      </c>
      <c r="BS31" s="139">
        <v>0</v>
      </c>
      <c r="BT31" s="139">
        <v>0</v>
      </c>
      <c r="BU31" s="139">
        <v>0</v>
      </c>
      <c r="BV31" s="139">
        <v>0</v>
      </c>
      <c r="BW31" s="139">
        <v>0</v>
      </c>
      <c r="BX31" s="139">
        <v>0</v>
      </c>
      <c r="BY31" s="139">
        <v>0</v>
      </c>
      <c r="BZ31" s="139">
        <v>0</v>
      </c>
      <c r="CA31" s="139">
        <v>0</v>
      </c>
      <c r="CB31" s="139">
        <v>0</v>
      </c>
      <c r="CC31" s="139">
        <v>0</v>
      </c>
      <c r="CD31" s="139">
        <v>0</v>
      </c>
      <c r="CE31" s="139">
        <v>0</v>
      </c>
      <c r="CF31" s="139">
        <v>0</v>
      </c>
      <c r="CG31" s="139">
        <v>0</v>
      </c>
      <c r="CH31" s="139">
        <v>0</v>
      </c>
      <c r="CI31" s="139">
        <v>0</v>
      </c>
      <c r="CJ31" s="139">
        <v>0</v>
      </c>
      <c r="CK31" s="139">
        <v>0</v>
      </c>
      <c r="CL31" s="139">
        <v>0</v>
      </c>
      <c r="CM31" s="139">
        <v>0</v>
      </c>
      <c r="CN31" s="139">
        <v>0</v>
      </c>
      <c r="CO31" s="139">
        <v>0</v>
      </c>
      <c r="CP31" s="139">
        <v>0</v>
      </c>
      <c r="CQ31" s="139">
        <v>0</v>
      </c>
      <c r="CR31" s="139">
        <v>0</v>
      </c>
      <c r="CS31" s="139">
        <v>0</v>
      </c>
      <c r="CT31" s="139">
        <v>0</v>
      </c>
      <c r="CU31" s="139">
        <v>0</v>
      </c>
      <c r="CV31" s="139">
        <v>0</v>
      </c>
      <c r="CW31" s="139">
        <v>0</v>
      </c>
      <c r="CX31" s="139">
        <v>0</v>
      </c>
      <c r="CY31" s="139">
        <v>0</v>
      </c>
      <c r="CZ31" s="139">
        <v>0</v>
      </c>
      <c r="DA31" s="139">
        <v>0</v>
      </c>
      <c r="DB31" s="139">
        <v>0</v>
      </c>
      <c r="DC31" s="139">
        <v>0</v>
      </c>
      <c r="DD31" s="139">
        <v>0</v>
      </c>
      <c r="DE31" s="139">
        <v>0</v>
      </c>
      <c r="DF31" s="139">
        <v>0</v>
      </c>
      <c r="DG31" s="139">
        <v>0</v>
      </c>
      <c r="DH31" s="139">
        <v>0</v>
      </c>
      <c r="DI31" s="139">
        <v>0</v>
      </c>
      <c r="DJ31" s="139">
        <v>0</v>
      </c>
      <c r="DK31" s="139">
        <v>0</v>
      </c>
      <c r="DL31" s="139">
        <v>0</v>
      </c>
      <c r="DM31" s="139">
        <v>0</v>
      </c>
      <c r="DN31" s="139">
        <v>0</v>
      </c>
      <c r="DO31" s="139">
        <v>0</v>
      </c>
      <c r="DP31" s="139">
        <v>0</v>
      </c>
      <c r="DQ31" s="139">
        <v>0</v>
      </c>
      <c r="DR31" s="139">
        <v>0</v>
      </c>
      <c r="DS31" s="139">
        <v>0</v>
      </c>
      <c r="DT31" s="139">
        <v>0</v>
      </c>
      <c r="DU31" s="139">
        <v>0</v>
      </c>
      <c r="DV31" s="139">
        <v>0</v>
      </c>
      <c r="DW31" s="139">
        <v>0</v>
      </c>
      <c r="DX31" s="139">
        <v>0</v>
      </c>
      <c r="DY31" s="139">
        <v>0</v>
      </c>
      <c r="DZ31" s="139">
        <v>0</v>
      </c>
      <c r="EA31" s="139">
        <v>0</v>
      </c>
      <c r="EB31" s="139">
        <v>0</v>
      </c>
      <c r="EC31" s="139">
        <v>0</v>
      </c>
      <c r="ED31" s="139">
        <v>0</v>
      </c>
      <c r="EE31" s="139">
        <v>0</v>
      </c>
      <c r="EF31" s="139">
        <v>0</v>
      </c>
      <c r="EG31" s="139">
        <v>0</v>
      </c>
      <c r="EH31" s="139">
        <v>0</v>
      </c>
      <c r="EI31" s="139">
        <v>0</v>
      </c>
      <c r="EJ31" s="139">
        <v>0</v>
      </c>
      <c r="EK31" s="139">
        <v>0</v>
      </c>
      <c r="EL31" s="139">
        <v>0</v>
      </c>
      <c r="EM31" s="139">
        <v>0</v>
      </c>
      <c r="EN31" s="139">
        <v>0</v>
      </c>
      <c r="EO31" s="139">
        <v>0</v>
      </c>
      <c r="EP31" s="139">
        <v>0</v>
      </c>
      <c r="EQ31" s="139">
        <v>0</v>
      </c>
      <c r="ER31" s="139">
        <v>0</v>
      </c>
      <c r="ES31" s="139">
        <v>0</v>
      </c>
      <c r="ET31" s="139">
        <v>0</v>
      </c>
      <c r="EU31" s="139">
        <v>0</v>
      </c>
      <c r="EV31" s="139">
        <v>0</v>
      </c>
      <c r="EW31" s="139">
        <v>0</v>
      </c>
      <c r="EX31" s="139">
        <v>0</v>
      </c>
      <c r="EY31" s="139">
        <v>0</v>
      </c>
      <c r="EZ31" s="139">
        <v>0</v>
      </c>
      <c r="FA31" s="139">
        <v>0</v>
      </c>
      <c r="FB31" s="139">
        <v>0</v>
      </c>
      <c r="FC31" s="139">
        <v>0</v>
      </c>
      <c r="FD31" s="139">
        <v>0</v>
      </c>
      <c r="FE31" s="139">
        <v>0</v>
      </c>
      <c r="FF31" s="139">
        <v>0</v>
      </c>
      <c r="FG31" s="139">
        <v>0</v>
      </c>
      <c r="FH31" s="139">
        <v>0</v>
      </c>
      <c r="FI31" s="139">
        <v>0</v>
      </c>
      <c r="FJ31" s="139">
        <v>0</v>
      </c>
      <c r="FK31" s="139">
        <v>0</v>
      </c>
      <c r="FL31" s="139">
        <v>0</v>
      </c>
      <c r="FM31" s="139">
        <v>0</v>
      </c>
      <c r="FN31" s="139">
        <v>0</v>
      </c>
      <c r="FO31" s="139">
        <v>0</v>
      </c>
      <c r="FP31" s="139">
        <v>0</v>
      </c>
      <c r="FQ31" s="139">
        <v>0</v>
      </c>
      <c r="FR31" s="139">
        <v>0</v>
      </c>
      <c r="FS31" s="139">
        <v>0</v>
      </c>
      <c r="FT31" s="139">
        <v>0</v>
      </c>
      <c r="FU31" s="139">
        <v>0</v>
      </c>
      <c r="FV31" s="139">
        <v>0</v>
      </c>
      <c r="FW31" s="139">
        <v>0</v>
      </c>
      <c r="FX31" s="139">
        <v>0</v>
      </c>
      <c r="FY31" s="139">
        <v>0</v>
      </c>
      <c r="FZ31" s="139">
        <v>0</v>
      </c>
      <c r="GA31" s="139">
        <v>0</v>
      </c>
      <c r="GB31" s="139">
        <v>0</v>
      </c>
      <c r="GC31" s="139">
        <v>0</v>
      </c>
      <c r="GD31" s="139">
        <v>0</v>
      </c>
      <c r="GE31" s="139">
        <v>0</v>
      </c>
      <c r="GF31" s="139">
        <v>0</v>
      </c>
      <c r="GG31" s="139">
        <v>0</v>
      </c>
      <c r="GH31" s="139">
        <v>0</v>
      </c>
      <c r="GI31" s="139">
        <v>0</v>
      </c>
      <c r="GJ31" s="139">
        <v>0</v>
      </c>
      <c r="GK31" s="48">
        <v>0</v>
      </c>
      <c r="GL31" s="27"/>
    </row>
    <row r="32" spans="1:194" x14ac:dyDescent="0.3">
      <c r="A32" s="155" t="s">
        <v>421</v>
      </c>
      <c r="B32" s="135" t="s">
        <v>424</v>
      </c>
      <c r="C32" s="135" t="s">
        <v>277</v>
      </c>
      <c r="D32" s="135" t="s">
        <v>274</v>
      </c>
      <c r="E32" s="135" t="s">
        <v>186</v>
      </c>
      <c r="F32" s="194" t="s">
        <v>337</v>
      </c>
      <c r="G32" s="135" t="s">
        <v>417</v>
      </c>
      <c r="H32" s="141">
        <v>0</v>
      </c>
      <c r="I32" s="135">
        <v>0</v>
      </c>
      <c r="J32" s="135" t="s">
        <v>385</v>
      </c>
      <c r="K32" s="135">
        <v>0</v>
      </c>
      <c r="L32" s="135" t="s">
        <v>194</v>
      </c>
      <c r="M32" s="136">
        <f>IFERROR(INDEX('(참조)CS_인건비'!$S$3:$AG$40,MATCH(CS_인건비!$A32,'(참조)CS_인건비'!$S$3:$S$40,0),MATCH('(참조)CS_인건비'!X$2,'(참조)CS_인건비'!$S$2:$AG$2,0)),0)</f>
        <v>0</v>
      </c>
      <c r="N32" s="136">
        <f>IFERROR(INDEX('(참조)CS_인건비'!$S$3:$AG$40,MATCH(CS_인건비!$A32,'(참조)CS_인건비'!$S$3:$S$40,0),MATCH('(참조)CS_인건비'!Y$2,'(참조)CS_인건비'!$S$2:$AG$2,0)),0)</f>
        <v>0</v>
      </c>
      <c r="O32" s="136">
        <f>IFERROR(INDEX('(참조)CS_인건비'!$S$3:$AG$40,MATCH(CS_인건비!$A32,'(참조)CS_인건비'!$S$3:$S$40,0),MATCH('(참조)CS_인건비'!Z$2,'(참조)CS_인건비'!$S$2:$AG$2,0)),0)</f>
        <v>0</v>
      </c>
      <c r="P32" s="136">
        <f>IFERROR(INDEX('(참조)CS_인건비'!$S$3:$AG$40,MATCH(CS_인건비!$A32,'(참조)CS_인건비'!$S$3:$S$40,0),MATCH('(참조)CS_인건비'!AA$2,'(참조)CS_인건비'!$S$2:$AG$2,0)),0)</f>
        <v>0</v>
      </c>
      <c r="Q32" s="136">
        <f>IFERROR(INDEX('(참조)CS_인건비'!$S$3:$AG$40,MATCH(CS_인건비!$A32,'(참조)CS_인건비'!$S$3:$S$40,0),MATCH('(참조)CS_인건비'!AB$2,'(참조)CS_인건비'!$S$2:$AG$2,0)),0)</f>
        <v>0</v>
      </c>
      <c r="R32" s="136">
        <f>IFERROR(INDEX('(참조)CS_인건비'!$S$3:$AG$40,MATCH(CS_인건비!$A32,'(참조)CS_인건비'!$S$3:$S$40,0),MATCH('(참조)CS_인건비'!AC$2,'(참조)CS_인건비'!$S$2:$AG$2,0)),0)</f>
        <v>0</v>
      </c>
      <c r="S32" s="136">
        <f>IFERROR(INDEX('(참조)CS_인건비'!$S$3:$AG$40,MATCH(CS_인건비!$A32,'(참조)CS_인건비'!$S$3:$S$40,0),MATCH('(참조)CS_인건비'!AD$2,'(참조)CS_인건비'!$S$2:$AG$2,0)),0)</f>
        <v>0</v>
      </c>
      <c r="T32" s="136">
        <f>IFERROR(INDEX('(참조)CS_인건비'!$S$3:$AG$40,MATCH(CS_인건비!$A32,'(참조)CS_인건비'!$S$3:$S$40,0),MATCH('(참조)CS_인건비'!AE$2,'(참조)CS_인건비'!$S$2:$AG$2,0)),0)</f>
        <v>0</v>
      </c>
      <c r="U32" s="136">
        <f>IFERROR(INDEX('(참조)CS_인건비'!$S$3:$AG$40,MATCH(CS_인건비!$A32,'(참조)CS_인건비'!$S$3:$S$40,0),MATCH('(참조)CS_인건비'!AF$2,'(참조)CS_인건비'!$S$2:$AG$2,0)),0)</f>
        <v>0</v>
      </c>
      <c r="V32" s="136">
        <f>IFERROR(INDEX('(참조)CS_인건비'!$S$3:$AG$40,MATCH(CS_인건비!$A32,'(참조)CS_인건비'!$S$3:$S$40,0),MATCH('(참조)CS_인건비'!AG$2,'(참조)CS_인건비'!$S$2:$AG$2,0)),0)</f>
        <v>0</v>
      </c>
      <c r="W32" s="136">
        <f>IFERROR(INDEX('(참조)CS_인건비'!$S$3:$AG$40,MATCH(CS_인건비!$A32,'(참조)CS_인건비'!$S$3:$S$40,0),MATCH('(참조)CS_인건비'!AH$2,'(참조)CS_인건비'!$S$2:$AG$2,0)),0)</f>
        <v>0</v>
      </c>
      <c r="X32" s="137">
        <v>0</v>
      </c>
      <c r="Y32" s="137">
        <f>IFERROR(INDEX('(참조)CS_인건비'!$A$3:$O$40,MATCH(CS_인건비!$A32,'(참조)CS_인건비'!$A$3:$A$40,0),MATCH('(참조)CS_인건비'!F$2,'(참조)CS_인건비'!$A$2:$O$2,0)),0)</f>
        <v>7723753.8962499993</v>
      </c>
      <c r="Z32" s="137">
        <f>IFERROR(INDEX('(참조)CS_인건비'!$A$3:$O$40,MATCH(CS_인건비!$A32,'(참조)CS_인건비'!$A$3:$A$40,0),MATCH('(참조)CS_인건비'!G$2,'(참조)CS_인건비'!$A$2:$O$2,0)),0)</f>
        <v>7839610.2046937486</v>
      </c>
      <c r="AA32" s="137">
        <f>IFERROR(INDEX('(참조)CS_인건비'!$A$3:$O$40,MATCH(CS_인건비!$A32,'(참조)CS_인건비'!$A$3:$A$40,0),MATCH('(참조)CS_인건비'!H$2,'(참조)CS_인건비'!$A$2:$O$2,0)),0)</f>
        <v>7957204.3577641537</v>
      </c>
      <c r="AB32" s="137">
        <f>IFERROR(INDEX('(참조)CS_인건비'!$A$3:$O$40,MATCH(CS_인건비!$A32,'(참조)CS_인건비'!$A$3:$A$40,0),MATCH('(참조)CS_인건비'!I$2,'(참조)CS_인건비'!$A$2:$O$2,0)),0)</f>
        <v>8076562.4231306156</v>
      </c>
      <c r="AC32" s="137">
        <f>IFERROR(INDEX('(참조)CS_인건비'!$A$3:$O$40,MATCH(CS_인건비!$A32,'(참조)CS_인건비'!$A$3:$A$40,0),MATCH('(참조)CS_인건비'!J$2,'(참조)CS_인건비'!$A$2:$O$2,0)),0)</f>
        <v>8197710.859477574</v>
      </c>
      <c r="AD32" s="137">
        <f>IFERROR(INDEX('(참조)CS_인건비'!$A$3:$O$40,MATCH(CS_인건비!$A32,'(참조)CS_인건비'!$A$3:$A$40,0),MATCH('(참조)CS_인건비'!K$2,'(참조)CS_인건비'!$A$2:$O$2,0)),0)</f>
        <v>8320676.5223697368</v>
      </c>
      <c r="AE32" s="137">
        <f>IFERROR(INDEX('(참조)CS_인건비'!$A$3:$O$40,MATCH(CS_인건비!$A32,'(참조)CS_인건비'!$A$3:$A$40,0),MATCH('(참조)CS_인건비'!L$2,'(참조)CS_인건비'!$A$2:$O$2,0)),0)</f>
        <v>8445486.670205282</v>
      </c>
      <c r="AF32" s="137">
        <f>IFERROR(INDEX('(참조)CS_인건비'!$A$3:$O$40,MATCH(CS_인건비!$A32,'(참조)CS_인건비'!$A$3:$A$40,0),MATCH('(참조)CS_인건비'!M$2,'(참조)CS_인건비'!$A$2:$O$2,0)),0)</f>
        <v>0</v>
      </c>
      <c r="AG32" s="137">
        <f>IFERROR(INDEX('(참조)CS_인건비'!$A$3:$O$40,MATCH(CS_인건비!$A32,'(참조)CS_인건비'!$A$3:$A$40,0),MATCH('(참조)CS_인건비'!N$2,'(참조)CS_인건비'!$A$2:$O$2,0)),0)</f>
        <v>0</v>
      </c>
      <c r="AH32" s="137">
        <f>IFERROR(INDEX('(참조)CS_인건비'!$A$3:$O$40,MATCH(CS_인건비!$A32,'(참조)CS_인건비'!$A$3:$A$40,0),MATCH('(참조)CS_인건비'!O$2,'(참조)CS_인건비'!$A$2:$O$2,0)),0)</f>
        <v>0</v>
      </c>
      <c r="AI32" s="137">
        <f>IFERROR(INDEX('(참조)CS_인건비'!$A$3:$O$40,MATCH(CS_인건비!$A32,'(참조)CS_인건비'!$A$3:$A$40,0),MATCH('(참조)CS_인건비'!P$2,'(참조)CS_인건비'!$A$2:$O$2,0)),0)</f>
        <v>0</v>
      </c>
      <c r="AJ32" s="137">
        <v>12</v>
      </c>
      <c r="AK32" s="137">
        <v>12</v>
      </c>
      <c r="AL32" s="137">
        <v>12</v>
      </c>
      <c r="AM32" s="137">
        <v>12</v>
      </c>
      <c r="AN32" s="137">
        <v>12</v>
      </c>
      <c r="AO32" s="137">
        <v>12</v>
      </c>
      <c r="AP32" s="137">
        <v>12</v>
      </c>
      <c r="AQ32" s="137">
        <v>12</v>
      </c>
      <c r="AR32" s="137">
        <v>12</v>
      </c>
      <c r="AS32" s="137">
        <v>12</v>
      </c>
      <c r="AT32" s="137">
        <v>12</v>
      </c>
      <c r="AU32" s="138">
        <v>1</v>
      </c>
      <c r="AV32" s="135">
        <v>0</v>
      </c>
      <c r="AW32" s="135">
        <v>0</v>
      </c>
      <c r="AX32" s="139">
        <v>0</v>
      </c>
      <c r="AY32" s="139">
        <v>0</v>
      </c>
      <c r="AZ32" s="139">
        <v>0</v>
      </c>
      <c r="BA32" s="139">
        <v>0</v>
      </c>
      <c r="BB32" s="139">
        <v>0</v>
      </c>
      <c r="BC32" s="139">
        <v>0</v>
      </c>
      <c r="BD32" s="139">
        <v>0</v>
      </c>
      <c r="BE32" s="139">
        <v>0</v>
      </c>
      <c r="BF32" s="139">
        <v>0</v>
      </c>
      <c r="BG32" s="139">
        <v>0</v>
      </c>
      <c r="BH32" s="139">
        <v>0</v>
      </c>
      <c r="BI32" s="139">
        <v>0</v>
      </c>
      <c r="BJ32" s="140">
        <v>0</v>
      </c>
      <c r="BK32" s="139">
        <v>0</v>
      </c>
      <c r="BL32" s="139">
        <v>0</v>
      </c>
      <c r="BM32" s="139">
        <v>0</v>
      </c>
      <c r="BN32" s="139">
        <v>0</v>
      </c>
      <c r="BO32" s="139">
        <v>0</v>
      </c>
      <c r="BP32" s="139">
        <v>0</v>
      </c>
      <c r="BQ32" s="139">
        <v>0</v>
      </c>
      <c r="BR32" s="139">
        <v>0</v>
      </c>
      <c r="BS32" s="139">
        <v>0</v>
      </c>
      <c r="BT32" s="139">
        <v>0</v>
      </c>
      <c r="BU32" s="139">
        <v>0</v>
      </c>
      <c r="BV32" s="139">
        <v>0</v>
      </c>
      <c r="BW32" s="139">
        <v>0</v>
      </c>
      <c r="BX32" s="139">
        <v>0</v>
      </c>
      <c r="BY32" s="139">
        <v>0</v>
      </c>
      <c r="BZ32" s="139">
        <v>0</v>
      </c>
      <c r="CA32" s="139">
        <v>0</v>
      </c>
      <c r="CB32" s="139">
        <v>0</v>
      </c>
      <c r="CC32" s="139">
        <v>0</v>
      </c>
      <c r="CD32" s="139">
        <v>0</v>
      </c>
      <c r="CE32" s="139">
        <v>0</v>
      </c>
      <c r="CF32" s="139">
        <v>0</v>
      </c>
      <c r="CG32" s="139">
        <v>0</v>
      </c>
      <c r="CH32" s="139">
        <v>0</v>
      </c>
      <c r="CI32" s="139">
        <v>0</v>
      </c>
      <c r="CJ32" s="139">
        <v>0</v>
      </c>
      <c r="CK32" s="139">
        <v>0</v>
      </c>
      <c r="CL32" s="139">
        <v>0</v>
      </c>
      <c r="CM32" s="139">
        <v>0</v>
      </c>
      <c r="CN32" s="139">
        <v>0</v>
      </c>
      <c r="CO32" s="139">
        <v>0</v>
      </c>
      <c r="CP32" s="139">
        <v>0</v>
      </c>
      <c r="CQ32" s="139">
        <v>0</v>
      </c>
      <c r="CR32" s="139">
        <v>0</v>
      </c>
      <c r="CS32" s="139">
        <v>0</v>
      </c>
      <c r="CT32" s="139">
        <v>0</v>
      </c>
      <c r="CU32" s="139">
        <v>0</v>
      </c>
      <c r="CV32" s="139">
        <v>0</v>
      </c>
      <c r="CW32" s="139">
        <v>0</v>
      </c>
      <c r="CX32" s="139">
        <v>0</v>
      </c>
      <c r="CY32" s="139">
        <v>0</v>
      </c>
      <c r="CZ32" s="139">
        <v>0</v>
      </c>
      <c r="DA32" s="139">
        <v>0</v>
      </c>
      <c r="DB32" s="139">
        <v>0</v>
      </c>
      <c r="DC32" s="139">
        <v>0</v>
      </c>
      <c r="DD32" s="139">
        <v>0</v>
      </c>
      <c r="DE32" s="139">
        <v>0</v>
      </c>
      <c r="DF32" s="139">
        <v>0</v>
      </c>
      <c r="DG32" s="139">
        <v>0</v>
      </c>
      <c r="DH32" s="139">
        <v>0</v>
      </c>
      <c r="DI32" s="139">
        <v>0</v>
      </c>
      <c r="DJ32" s="139">
        <v>0</v>
      </c>
      <c r="DK32" s="139">
        <v>0</v>
      </c>
      <c r="DL32" s="139">
        <v>0</v>
      </c>
      <c r="DM32" s="139">
        <v>0</v>
      </c>
      <c r="DN32" s="139">
        <v>0</v>
      </c>
      <c r="DO32" s="139">
        <v>0</v>
      </c>
      <c r="DP32" s="139">
        <v>0</v>
      </c>
      <c r="DQ32" s="139">
        <v>0</v>
      </c>
      <c r="DR32" s="139">
        <v>0</v>
      </c>
      <c r="DS32" s="139">
        <v>0</v>
      </c>
      <c r="DT32" s="139">
        <v>0</v>
      </c>
      <c r="DU32" s="139">
        <v>0</v>
      </c>
      <c r="DV32" s="139">
        <v>0</v>
      </c>
      <c r="DW32" s="139">
        <v>0</v>
      </c>
      <c r="DX32" s="139">
        <v>0</v>
      </c>
      <c r="DY32" s="139">
        <v>0</v>
      </c>
      <c r="DZ32" s="139">
        <v>0</v>
      </c>
      <c r="EA32" s="139">
        <v>0</v>
      </c>
      <c r="EB32" s="139">
        <v>0</v>
      </c>
      <c r="EC32" s="139">
        <v>0</v>
      </c>
      <c r="ED32" s="139">
        <v>0</v>
      </c>
      <c r="EE32" s="139">
        <v>0</v>
      </c>
      <c r="EF32" s="139">
        <v>0</v>
      </c>
      <c r="EG32" s="139">
        <v>0</v>
      </c>
      <c r="EH32" s="139">
        <v>0</v>
      </c>
      <c r="EI32" s="139">
        <v>0</v>
      </c>
      <c r="EJ32" s="139">
        <v>0</v>
      </c>
      <c r="EK32" s="139">
        <v>0</v>
      </c>
      <c r="EL32" s="139">
        <v>0</v>
      </c>
      <c r="EM32" s="139">
        <v>0</v>
      </c>
      <c r="EN32" s="139">
        <v>0</v>
      </c>
      <c r="EO32" s="139">
        <v>0</v>
      </c>
      <c r="EP32" s="139">
        <v>0</v>
      </c>
      <c r="EQ32" s="139">
        <v>0</v>
      </c>
      <c r="ER32" s="139">
        <v>0</v>
      </c>
      <c r="ES32" s="139">
        <v>0</v>
      </c>
      <c r="ET32" s="139">
        <v>0</v>
      </c>
      <c r="EU32" s="139">
        <v>0</v>
      </c>
      <c r="EV32" s="139">
        <v>0</v>
      </c>
      <c r="EW32" s="139">
        <v>0</v>
      </c>
      <c r="EX32" s="139">
        <v>0</v>
      </c>
      <c r="EY32" s="139">
        <v>0</v>
      </c>
      <c r="EZ32" s="139">
        <v>0</v>
      </c>
      <c r="FA32" s="139">
        <v>0</v>
      </c>
      <c r="FB32" s="139">
        <v>0</v>
      </c>
      <c r="FC32" s="139">
        <v>0</v>
      </c>
      <c r="FD32" s="139">
        <v>0</v>
      </c>
      <c r="FE32" s="139">
        <v>0</v>
      </c>
      <c r="FF32" s="139">
        <v>0</v>
      </c>
      <c r="FG32" s="139">
        <v>0</v>
      </c>
      <c r="FH32" s="139">
        <v>0</v>
      </c>
      <c r="FI32" s="139">
        <v>0</v>
      </c>
      <c r="FJ32" s="139">
        <v>0</v>
      </c>
      <c r="FK32" s="139">
        <v>0</v>
      </c>
      <c r="FL32" s="139">
        <v>0</v>
      </c>
      <c r="FM32" s="139">
        <v>0</v>
      </c>
      <c r="FN32" s="139">
        <v>0</v>
      </c>
      <c r="FO32" s="139">
        <v>0</v>
      </c>
      <c r="FP32" s="139">
        <v>0</v>
      </c>
      <c r="FQ32" s="139">
        <v>0</v>
      </c>
      <c r="FR32" s="139">
        <v>0</v>
      </c>
      <c r="FS32" s="139">
        <v>0</v>
      </c>
      <c r="FT32" s="139">
        <v>0</v>
      </c>
      <c r="FU32" s="139">
        <v>0</v>
      </c>
      <c r="FV32" s="139">
        <v>0</v>
      </c>
      <c r="FW32" s="139">
        <v>0</v>
      </c>
      <c r="FX32" s="139">
        <v>0</v>
      </c>
      <c r="FY32" s="139">
        <v>0</v>
      </c>
      <c r="FZ32" s="139">
        <v>0</v>
      </c>
      <c r="GA32" s="139">
        <v>0</v>
      </c>
      <c r="GB32" s="139">
        <v>0</v>
      </c>
      <c r="GC32" s="139">
        <v>0</v>
      </c>
      <c r="GD32" s="139">
        <v>0</v>
      </c>
      <c r="GE32" s="139">
        <v>0</v>
      </c>
      <c r="GF32" s="139">
        <v>0</v>
      </c>
      <c r="GG32" s="139">
        <v>0</v>
      </c>
      <c r="GH32" s="139">
        <v>0</v>
      </c>
      <c r="GI32" s="139">
        <v>0</v>
      </c>
      <c r="GJ32" s="139">
        <v>0</v>
      </c>
      <c r="GK32" s="48">
        <v>0</v>
      </c>
      <c r="GL32" s="27"/>
    </row>
    <row r="33" spans="1:194" x14ac:dyDescent="0.3">
      <c r="A33" s="155" t="s">
        <v>422</v>
      </c>
      <c r="B33" s="135" t="s">
        <v>424</v>
      </c>
      <c r="C33" s="135" t="s">
        <v>277</v>
      </c>
      <c r="D33" s="135" t="s">
        <v>274</v>
      </c>
      <c r="E33" s="135" t="s">
        <v>427</v>
      </c>
      <c r="F33" s="194" t="s">
        <v>441</v>
      </c>
      <c r="G33" s="135" t="s">
        <v>418</v>
      </c>
      <c r="H33" s="141">
        <v>0</v>
      </c>
      <c r="I33" s="135">
        <v>0</v>
      </c>
      <c r="J33" s="135" t="s">
        <v>385</v>
      </c>
      <c r="K33" s="135">
        <v>0</v>
      </c>
      <c r="L33" s="135" t="s">
        <v>194</v>
      </c>
      <c r="M33" s="136">
        <f>IFERROR(INDEX('(참조)CS_인건비'!$S$3:$AG$40,MATCH(CS_인건비!$A33,'(참조)CS_인건비'!$S$3:$S$40,0),MATCH('(참조)CS_인건비'!X$2,'(참조)CS_인건비'!$S$2:$AG$2,0)),0)</f>
        <v>0.83333333333333337</v>
      </c>
      <c r="N33" s="136">
        <f>IFERROR(INDEX('(참조)CS_인건비'!$S$3:$AG$40,MATCH(CS_인건비!$A33,'(참조)CS_인건비'!$S$3:$S$40,0),MATCH('(참조)CS_인건비'!Y$2,'(참조)CS_인건비'!$S$2:$AG$2,0)),0)</f>
        <v>0</v>
      </c>
      <c r="O33" s="136">
        <f>IFERROR(INDEX('(참조)CS_인건비'!$S$3:$AG$40,MATCH(CS_인건비!$A33,'(참조)CS_인건비'!$S$3:$S$40,0),MATCH('(참조)CS_인건비'!Z$2,'(참조)CS_인건비'!$S$2:$AG$2,0)),0)</f>
        <v>0</v>
      </c>
      <c r="P33" s="136">
        <f>IFERROR(INDEX('(참조)CS_인건비'!$S$3:$AG$40,MATCH(CS_인건비!$A33,'(참조)CS_인건비'!$S$3:$S$40,0),MATCH('(참조)CS_인건비'!AA$2,'(참조)CS_인건비'!$S$2:$AG$2,0)),0)</f>
        <v>0</v>
      </c>
      <c r="Q33" s="136">
        <f>IFERROR(INDEX('(참조)CS_인건비'!$S$3:$AG$40,MATCH(CS_인건비!$A33,'(참조)CS_인건비'!$S$3:$S$40,0),MATCH('(참조)CS_인건비'!AB$2,'(참조)CS_인건비'!$S$2:$AG$2,0)),0)</f>
        <v>0</v>
      </c>
      <c r="R33" s="136">
        <f>IFERROR(INDEX('(참조)CS_인건비'!$S$3:$AG$40,MATCH(CS_인건비!$A33,'(참조)CS_인건비'!$S$3:$S$40,0),MATCH('(참조)CS_인건비'!AC$2,'(참조)CS_인건비'!$S$2:$AG$2,0)),0)</f>
        <v>0</v>
      </c>
      <c r="S33" s="136">
        <f>IFERROR(INDEX('(참조)CS_인건비'!$S$3:$AG$40,MATCH(CS_인건비!$A33,'(참조)CS_인건비'!$S$3:$S$40,0),MATCH('(참조)CS_인건비'!AD$2,'(참조)CS_인건비'!$S$2:$AG$2,0)),0)</f>
        <v>0</v>
      </c>
      <c r="T33" s="136">
        <f>IFERROR(INDEX('(참조)CS_인건비'!$S$3:$AG$40,MATCH(CS_인건비!$A33,'(참조)CS_인건비'!$S$3:$S$40,0),MATCH('(참조)CS_인건비'!AE$2,'(참조)CS_인건비'!$S$2:$AG$2,0)),0)</f>
        <v>0</v>
      </c>
      <c r="U33" s="136">
        <f>IFERROR(INDEX('(참조)CS_인건비'!$S$3:$AG$40,MATCH(CS_인건비!$A33,'(참조)CS_인건비'!$S$3:$S$40,0),MATCH('(참조)CS_인건비'!AF$2,'(참조)CS_인건비'!$S$2:$AG$2,0)),0)</f>
        <v>0</v>
      </c>
      <c r="V33" s="136">
        <f>IFERROR(INDEX('(참조)CS_인건비'!$S$3:$AG$40,MATCH(CS_인건비!$A33,'(참조)CS_인건비'!$S$3:$S$40,0),MATCH('(참조)CS_인건비'!AG$2,'(참조)CS_인건비'!$S$2:$AG$2,0)),0)</f>
        <v>0</v>
      </c>
      <c r="W33" s="136">
        <f>IFERROR(INDEX('(참조)CS_인건비'!$S$3:$AG$40,MATCH(CS_인건비!$A33,'(참조)CS_인건비'!$S$3:$S$40,0),MATCH('(참조)CS_인건비'!AH$2,'(참조)CS_인건비'!$S$2:$AG$2,0)),0)</f>
        <v>0</v>
      </c>
      <c r="X33" s="137">
        <v>0</v>
      </c>
      <c r="Y33" s="137">
        <f>IFERROR(INDEX('(참조)CS_인건비'!$A$3:$O$40,MATCH(CS_인건비!$A33,'(참조)CS_인건비'!$A$3:$A$40,0),MATCH('(참조)CS_인건비'!F$2,'(참조)CS_인건비'!$A$2:$O$2,0)),0)</f>
        <v>6597500</v>
      </c>
      <c r="Z33" s="137">
        <f>IFERROR(INDEX('(참조)CS_인건비'!$A$3:$O$40,MATCH(CS_인건비!$A33,'(참조)CS_인건비'!$A$3:$A$40,0),MATCH('(참조)CS_인건비'!G$2,'(참조)CS_인건비'!$A$2:$O$2,0)),0)</f>
        <v>6696462.3251540596</v>
      </c>
      <c r="AA33" s="137">
        <f>IFERROR(INDEX('(참조)CS_인건비'!$A$3:$O$40,MATCH(CS_인건비!$A33,'(참조)CS_인건비'!$A$3:$A$40,0),MATCH('(참조)CS_인건비'!H$2,'(참조)CS_인건비'!$A$2:$O$2,0)),0)</f>
        <v>6597499.8277379908</v>
      </c>
      <c r="AB33" s="137">
        <f>IFERROR(INDEX('(참조)CS_인건비'!$A$3:$O$40,MATCH(CS_인건비!$A33,'(참조)CS_인건비'!$A$3:$A$40,0),MATCH('(참조)CS_인건비'!I$2,'(참조)CS_인건비'!$A$2:$O$2,0)),0)</f>
        <v>6499999.8302837359</v>
      </c>
      <c r="AC33" s="137">
        <f>IFERROR(INDEX('(참조)CS_인건비'!$A$3:$O$40,MATCH(CS_인건비!$A33,'(참조)CS_인건비'!$A$3:$A$40,0),MATCH('(참조)CS_인건비'!J$2,'(참조)CS_인건비'!$A$2:$O$2,0)),0)</f>
        <v>6403940.7194913654</v>
      </c>
      <c r="AD33" s="137">
        <f>IFERROR(INDEX('(참조)CS_인건비'!$A$3:$O$40,MATCH(CS_인건비!$A33,'(참조)CS_인건비'!$A$3:$A$40,0),MATCH('(참조)CS_인건비'!K$2,'(참조)CS_인건비'!$A$2:$O$2,0)),0)</f>
        <v>6309301.2014693264</v>
      </c>
      <c r="AE33" s="137">
        <f>IFERROR(INDEX('(참조)CS_인건비'!$A$3:$O$40,MATCH(CS_인건비!$A33,'(참조)CS_인건비'!$A$3:$A$40,0),MATCH('(참조)CS_인건비'!L$2,'(참조)CS_인건비'!$A$2:$O$2,0)),0)</f>
        <v>6216060.2970141154</v>
      </c>
      <c r="AF33" s="137">
        <f>IFERROR(INDEX('(참조)CS_인건비'!$A$3:$O$40,MATCH(CS_인건비!$A33,'(참조)CS_인건비'!$A$3:$A$40,0),MATCH('(참조)CS_인건비'!M$2,'(참조)CS_인건비'!$A$2:$O$2,0)),0)</f>
        <v>0</v>
      </c>
      <c r="AG33" s="137">
        <f>IFERROR(INDEX('(참조)CS_인건비'!$A$3:$O$40,MATCH(CS_인건비!$A33,'(참조)CS_인건비'!$A$3:$A$40,0),MATCH('(참조)CS_인건비'!N$2,'(참조)CS_인건비'!$A$2:$O$2,0)),0)</f>
        <v>0</v>
      </c>
      <c r="AH33" s="137">
        <f>IFERROR(INDEX('(참조)CS_인건비'!$A$3:$O$40,MATCH(CS_인건비!$A33,'(참조)CS_인건비'!$A$3:$A$40,0),MATCH('(참조)CS_인건비'!O$2,'(참조)CS_인건비'!$A$2:$O$2,0)),0)</f>
        <v>0</v>
      </c>
      <c r="AI33" s="137">
        <f>IFERROR(INDEX('(참조)CS_인건비'!$A$3:$O$40,MATCH(CS_인건비!$A33,'(참조)CS_인건비'!$A$3:$A$40,0),MATCH('(참조)CS_인건비'!P$2,'(참조)CS_인건비'!$A$2:$O$2,0)),0)</f>
        <v>0</v>
      </c>
      <c r="AJ33" s="137">
        <v>12</v>
      </c>
      <c r="AK33" s="137">
        <v>12</v>
      </c>
      <c r="AL33" s="137">
        <v>12</v>
      </c>
      <c r="AM33" s="137">
        <v>12</v>
      </c>
      <c r="AN33" s="137">
        <v>12</v>
      </c>
      <c r="AO33" s="137">
        <v>12</v>
      </c>
      <c r="AP33" s="137">
        <v>12</v>
      </c>
      <c r="AQ33" s="137">
        <v>12</v>
      </c>
      <c r="AR33" s="137">
        <v>12</v>
      </c>
      <c r="AS33" s="137">
        <v>12</v>
      </c>
      <c r="AT33" s="137">
        <v>12</v>
      </c>
      <c r="AU33" s="138">
        <v>1</v>
      </c>
      <c r="AV33" s="135">
        <v>0</v>
      </c>
      <c r="AW33" s="135">
        <v>0</v>
      </c>
      <c r="AX33" s="139">
        <v>65974999.999999993</v>
      </c>
      <c r="AY33" s="139">
        <v>65974999.999999993</v>
      </c>
      <c r="AZ33" s="139">
        <v>0</v>
      </c>
      <c r="BA33" s="139">
        <v>0</v>
      </c>
      <c r="BB33" s="139">
        <v>0</v>
      </c>
      <c r="BC33" s="139">
        <v>0</v>
      </c>
      <c r="BD33" s="139">
        <v>0</v>
      </c>
      <c r="BE33" s="139">
        <v>0</v>
      </c>
      <c r="BF33" s="139">
        <v>0</v>
      </c>
      <c r="BG33" s="139">
        <v>0</v>
      </c>
      <c r="BH33" s="139">
        <v>0</v>
      </c>
      <c r="BI33" s="139">
        <v>0</v>
      </c>
      <c r="BJ33" s="140">
        <v>5497916.666666667</v>
      </c>
      <c r="BK33" s="139">
        <v>5497916.666666667</v>
      </c>
      <c r="BL33" s="139">
        <v>5497916.666666667</v>
      </c>
      <c r="BM33" s="139">
        <v>5497916.666666667</v>
      </c>
      <c r="BN33" s="139">
        <v>5497916.666666667</v>
      </c>
      <c r="BO33" s="139">
        <v>5497916.666666667</v>
      </c>
      <c r="BP33" s="139">
        <v>5497916.666666667</v>
      </c>
      <c r="BQ33" s="139">
        <v>5497916.666666667</v>
      </c>
      <c r="BR33" s="139">
        <v>5497916.666666667</v>
      </c>
      <c r="BS33" s="139">
        <v>5497916.666666667</v>
      </c>
      <c r="BT33" s="139">
        <v>5497916.666666667</v>
      </c>
      <c r="BU33" s="139">
        <v>5497916.666666667</v>
      </c>
      <c r="BV33" s="139">
        <v>0</v>
      </c>
      <c r="BW33" s="139">
        <v>0</v>
      </c>
      <c r="BX33" s="139">
        <v>0</v>
      </c>
      <c r="BY33" s="139">
        <v>0</v>
      </c>
      <c r="BZ33" s="139">
        <v>0</v>
      </c>
      <c r="CA33" s="139">
        <v>0</v>
      </c>
      <c r="CB33" s="139">
        <v>0</v>
      </c>
      <c r="CC33" s="139">
        <v>0</v>
      </c>
      <c r="CD33" s="139">
        <v>0</v>
      </c>
      <c r="CE33" s="139">
        <v>0</v>
      </c>
      <c r="CF33" s="139">
        <v>0</v>
      </c>
      <c r="CG33" s="139">
        <v>0</v>
      </c>
      <c r="CH33" s="139">
        <v>0</v>
      </c>
      <c r="CI33" s="139">
        <v>0</v>
      </c>
      <c r="CJ33" s="139">
        <v>0</v>
      </c>
      <c r="CK33" s="139">
        <v>0</v>
      </c>
      <c r="CL33" s="139">
        <v>0</v>
      </c>
      <c r="CM33" s="139">
        <v>0</v>
      </c>
      <c r="CN33" s="139">
        <v>0</v>
      </c>
      <c r="CO33" s="139">
        <v>0</v>
      </c>
      <c r="CP33" s="139">
        <v>0</v>
      </c>
      <c r="CQ33" s="139">
        <v>0</v>
      </c>
      <c r="CR33" s="139">
        <v>0</v>
      </c>
      <c r="CS33" s="139">
        <v>0</v>
      </c>
      <c r="CT33" s="139">
        <v>0</v>
      </c>
      <c r="CU33" s="139">
        <v>0</v>
      </c>
      <c r="CV33" s="139">
        <v>0</v>
      </c>
      <c r="CW33" s="139">
        <v>0</v>
      </c>
      <c r="CX33" s="139">
        <v>0</v>
      </c>
      <c r="CY33" s="139">
        <v>0</v>
      </c>
      <c r="CZ33" s="139">
        <v>0</v>
      </c>
      <c r="DA33" s="139">
        <v>0</v>
      </c>
      <c r="DB33" s="139">
        <v>0</v>
      </c>
      <c r="DC33" s="139">
        <v>0</v>
      </c>
      <c r="DD33" s="139">
        <v>0</v>
      </c>
      <c r="DE33" s="139">
        <v>0</v>
      </c>
      <c r="DF33" s="139">
        <v>0</v>
      </c>
      <c r="DG33" s="139">
        <v>0</v>
      </c>
      <c r="DH33" s="139">
        <v>0</v>
      </c>
      <c r="DI33" s="139">
        <v>0</v>
      </c>
      <c r="DJ33" s="139">
        <v>0</v>
      </c>
      <c r="DK33" s="139">
        <v>0</v>
      </c>
      <c r="DL33" s="139">
        <v>0</v>
      </c>
      <c r="DM33" s="139">
        <v>0</v>
      </c>
      <c r="DN33" s="139">
        <v>0</v>
      </c>
      <c r="DO33" s="139">
        <v>0</v>
      </c>
      <c r="DP33" s="139">
        <v>0</v>
      </c>
      <c r="DQ33" s="139">
        <v>0</v>
      </c>
      <c r="DR33" s="139">
        <v>0</v>
      </c>
      <c r="DS33" s="139">
        <v>0</v>
      </c>
      <c r="DT33" s="139">
        <v>0</v>
      </c>
      <c r="DU33" s="139">
        <v>0</v>
      </c>
      <c r="DV33" s="139">
        <v>0</v>
      </c>
      <c r="DW33" s="139">
        <v>0</v>
      </c>
      <c r="DX33" s="139">
        <v>0</v>
      </c>
      <c r="DY33" s="139">
        <v>0</v>
      </c>
      <c r="DZ33" s="139">
        <v>0</v>
      </c>
      <c r="EA33" s="139">
        <v>0</v>
      </c>
      <c r="EB33" s="139">
        <v>0</v>
      </c>
      <c r="EC33" s="139">
        <v>0</v>
      </c>
      <c r="ED33" s="139">
        <v>0</v>
      </c>
      <c r="EE33" s="139">
        <v>0</v>
      </c>
      <c r="EF33" s="139">
        <v>0</v>
      </c>
      <c r="EG33" s="139">
        <v>0</v>
      </c>
      <c r="EH33" s="139">
        <v>0</v>
      </c>
      <c r="EI33" s="139">
        <v>0</v>
      </c>
      <c r="EJ33" s="139">
        <v>0</v>
      </c>
      <c r="EK33" s="139">
        <v>0</v>
      </c>
      <c r="EL33" s="139">
        <v>0</v>
      </c>
      <c r="EM33" s="139">
        <v>0</v>
      </c>
      <c r="EN33" s="139">
        <v>0</v>
      </c>
      <c r="EO33" s="139">
        <v>0</v>
      </c>
      <c r="EP33" s="139">
        <v>0</v>
      </c>
      <c r="EQ33" s="139">
        <v>0</v>
      </c>
      <c r="ER33" s="139">
        <v>0</v>
      </c>
      <c r="ES33" s="139">
        <v>0</v>
      </c>
      <c r="ET33" s="139">
        <v>0</v>
      </c>
      <c r="EU33" s="139">
        <v>0</v>
      </c>
      <c r="EV33" s="139">
        <v>0</v>
      </c>
      <c r="EW33" s="139">
        <v>0</v>
      </c>
      <c r="EX33" s="139">
        <v>0</v>
      </c>
      <c r="EY33" s="139">
        <v>0</v>
      </c>
      <c r="EZ33" s="139">
        <v>0</v>
      </c>
      <c r="FA33" s="139">
        <v>0</v>
      </c>
      <c r="FB33" s="139">
        <v>0</v>
      </c>
      <c r="FC33" s="139">
        <v>0</v>
      </c>
      <c r="FD33" s="139">
        <v>0</v>
      </c>
      <c r="FE33" s="139">
        <v>0</v>
      </c>
      <c r="FF33" s="139">
        <v>0</v>
      </c>
      <c r="FG33" s="139">
        <v>0</v>
      </c>
      <c r="FH33" s="139">
        <v>0</v>
      </c>
      <c r="FI33" s="139">
        <v>0</v>
      </c>
      <c r="FJ33" s="139">
        <v>0</v>
      </c>
      <c r="FK33" s="139">
        <v>0</v>
      </c>
      <c r="FL33" s="139">
        <v>0</v>
      </c>
      <c r="FM33" s="139">
        <v>0</v>
      </c>
      <c r="FN33" s="139">
        <v>0</v>
      </c>
      <c r="FO33" s="139">
        <v>0</v>
      </c>
      <c r="FP33" s="139">
        <v>0</v>
      </c>
      <c r="FQ33" s="139">
        <v>0</v>
      </c>
      <c r="FR33" s="139">
        <v>0</v>
      </c>
      <c r="FS33" s="139">
        <v>0</v>
      </c>
      <c r="FT33" s="139">
        <v>0</v>
      </c>
      <c r="FU33" s="139">
        <v>0</v>
      </c>
      <c r="FV33" s="139">
        <v>0</v>
      </c>
      <c r="FW33" s="139">
        <v>0</v>
      </c>
      <c r="FX33" s="139">
        <v>0</v>
      </c>
      <c r="FY33" s="139">
        <v>0</v>
      </c>
      <c r="FZ33" s="139">
        <v>0</v>
      </c>
      <c r="GA33" s="139">
        <v>0</v>
      </c>
      <c r="GB33" s="139">
        <v>0</v>
      </c>
      <c r="GC33" s="139">
        <v>0</v>
      </c>
      <c r="GD33" s="139">
        <v>0</v>
      </c>
      <c r="GE33" s="139">
        <v>0</v>
      </c>
      <c r="GF33" s="139">
        <v>0</v>
      </c>
      <c r="GG33" s="139">
        <v>0</v>
      </c>
      <c r="GH33" s="139">
        <v>0</v>
      </c>
      <c r="GI33" s="139">
        <v>0</v>
      </c>
      <c r="GJ33" s="139">
        <v>0</v>
      </c>
      <c r="GK33" s="48">
        <v>0</v>
      </c>
      <c r="GL33" s="27"/>
    </row>
    <row r="34" spans="1:194" ht="17.25" thickBot="1" x14ac:dyDescent="0.35">
      <c r="A34" s="156" t="s">
        <v>423</v>
      </c>
      <c r="B34" s="158" t="s">
        <v>424</v>
      </c>
      <c r="C34" s="158" t="s">
        <v>277</v>
      </c>
      <c r="D34" s="158" t="s">
        <v>274</v>
      </c>
      <c r="E34" s="158" t="s">
        <v>427</v>
      </c>
      <c r="F34" s="195" t="s">
        <v>419</v>
      </c>
      <c r="G34" s="158" t="s">
        <v>419</v>
      </c>
      <c r="H34" s="157">
        <v>0</v>
      </c>
      <c r="I34" s="158">
        <v>0</v>
      </c>
      <c r="J34" s="158" t="s">
        <v>385</v>
      </c>
      <c r="K34" s="158">
        <v>0</v>
      </c>
      <c r="L34" s="158" t="s">
        <v>194</v>
      </c>
      <c r="M34" s="159">
        <f>IFERROR(INDEX('(참조)CS_인건비'!$S$3:$AG$40,MATCH(CS_인건비!$A34,'(참조)CS_인건비'!$S$3:$S$40,0),MATCH('(참조)CS_인건비'!X$2,'(참조)CS_인건비'!$S$2:$AG$2,0)),0)</f>
        <v>0.33333333333333331</v>
      </c>
      <c r="N34" s="159">
        <f>IFERROR(INDEX('(참조)CS_인건비'!$S$3:$AG$40,MATCH(CS_인건비!$A34,'(참조)CS_인건비'!$S$3:$S$40,0),MATCH('(참조)CS_인건비'!Y$2,'(참조)CS_인건비'!$S$2:$AG$2,0)),0)</f>
        <v>2</v>
      </c>
      <c r="O34" s="159">
        <f>IFERROR(INDEX('(참조)CS_인건비'!$S$3:$AG$40,MATCH(CS_인건비!$A34,'(참조)CS_인건비'!$S$3:$S$40,0),MATCH('(참조)CS_인건비'!Z$2,'(참조)CS_인건비'!$S$2:$AG$2,0)),0)</f>
        <v>2</v>
      </c>
      <c r="P34" s="159">
        <f>IFERROR(INDEX('(참조)CS_인건비'!$S$3:$AG$40,MATCH(CS_인건비!$A34,'(참조)CS_인건비'!$S$3:$S$40,0),MATCH('(참조)CS_인건비'!AA$2,'(참조)CS_인건비'!$S$2:$AG$2,0)),0)</f>
        <v>2</v>
      </c>
      <c r="Q34" s="159">
        <f>IFERROR(INDEX('(참조)CS_인건비'!$S$3:$AG$40,MATCH(CS_인건비!$A34,'(참조)CS_인건비'!$S$3:$S$40,0),MATCH('(참조)CS_인건비'!AB$2,'(참조)CS_인건비'!$S$2:$AG$2,0)),0)</f>
        <v>1</v>
      </c>
      <c r="R34" s="159">
        <f>IFERROR(INDEX('(참조)CS_인건비'!$S$3:$AG$40,MATCH(CS_인건비!$A34,'(참조)CS_인건비'!$S$3:$S$40,0),MATCH('(참조)CS_인건비'!AC$2,'(참조)CS_인건비'!$S$2:$AG$2,0)),0)</f>
        <v>1</v>
      </c>
      <c r="S34" s="159">
        <f>IFERROR(INDEX('(참조)CS_인건비'!$S$3:$AG$40,MATCH(CS_인건비!$A34,'(참조)CS_인건비'!$S$3:$S$40,0),MATCH('(참조)CS_인건비'!AD$2,'(참조)CS_인건비'!$S$2:$AG$2,0)),0)</f>
        <v>1</v>
      </c>
      <c r="T34" s="159">
        <f>IFERROR(INDEX('(참조)CS_인건비'!$S$3:$AG$40,MATCH(CS_인건비!$A34,'(참조)CS_인건비'!$S$3:$S$40,0),MATCH('(참조)CS_인건비'!AE$2,'(참조)CS_인건비'!$S$2:$AG$2,0)),0)</f>
        <v>0</v>
      </c>
      <c r="U34" s="159">
        <f>IFERROR(INDEX('(참조)CS_인건비'!$S$3:$AG$40,MATCH(CS_인건비!$A34,'(참조)CS_인건비'!$S$3:$S$40,0),MATCH('(참조)CS_인건비'!AF$2,'(참조)CS_인건비'!$S$2:$AG$2,0)),0)</f>
        <v>0</v>
      </c>
      <c r="V34" s="159">
        <f>IFERROR(INDEX('(참조)CS_인건비'!$S$3:$AG$40,MATCH(CS_인건비!$A34,'(참조)CS_인건비'!$S$3:$S$40,0),MATCH('(참조)CS_인건비'!AG$2,'(참조)CS_인건비'!$S$2:$AG$2,0)),0)</f>
        <v>0</v>
      </c>
      <c r="W34" s="159">
        <f>IFERROR(INDEX('(참조)CS_인건비'!$S$3:$AG$40,MATCH(CS_인건비!$A34,'(참조)CS_인건비'!$S$3:$S$40,0),MATCH('(참조)CS_인건비'!AH$2,'(참조)CS_인건비'!$S$2:$AG$2,0)),0)</f>
        <v>0</v>
      </c>
      <c r="X34" s="160">
        <v>0</v>
      </c>
      <c r="Y34" s="160">
        <f>IFERROR(INDEX('(참조)CS_인건비'!$A$3:$O$40,MATCH(CS_인건비!$A34,'(참조)CS_인건비'!$A$3:$A$40,0),MATCH('(참조)CS_인건비'!F$2,'(참조)CS_인건비'!$A$2:$O$2,0)),0)</f>
        <v>6000000</v>
      </c>
      <c r="Z34" s="160">
        <f>IFERROR(INDEX('(참조)CS_인건비'!$A$3:$O$40,MATCH(CS_인건비!$A34,'(참조)CS_인건비'!$A$3:$A$40,0),MATCH('(참조)CS_인건비'!G$2,'(참조)CS_인건비'!$A$2:$O$2,0)),0)</f>
        <v>6089999.9999999991</v>
      </c>
      <c r="AA34" s="160">
        <f>IFERROR(INDEX('(참조)CS_인건비'!$A$3:$O$40,MATCH(CS_인건비!$A34,'(참조)CS_인건비'!$A$3:$A$40,0),MATCH('(참조)CS_인건비'!H$2,'(참조)CS_인건비'!$A$2:$O$2,0)),0)</f>
        <v>6181349.9999999981</v>
      </c>
      <c r="AB34" s="160">
        <f>IFERROR(INDEX('(참조)CS_인건비'!$A$3:$O$40,MATCH(CS_인건비!$A34,'(참조)CS_인건비'!$A$3:$A$40,0),MATCH('(참조)CS_인건비'!I$2,'(참조)CS_인건비'!$A$2:$O$2,0)),0)</f>
        <v>6274070.2499999972</v>
      </c>
      <c r="AC34" s="160">
        <f>IFERROR(INDEX('(참조)CS_인건비'!$A$3:$O$40,MATCH(CS_인건비!$A34,'(참조)CS_인건비'!$A$3:$A$40,0),MATCH('(참조)CS_인건비'!J$2,'(참조)CS_인건비'!$A$2:$O$2,0)),0)</f>
        <v>6368181.3037499962</v>
      </c>
      <c r="AD34" s="160">
        <f>IFERROR(INDEX('(참조)CS_인건비'!$A$3:$O$40,MATCH(CS_인건비!$A34,'(참조)CS_인건비'!$A$3:$A$40,0),MATCH('(참조)CS_인건비'!K$2,'(참조)CS_인건비'!$A$2:$O$2,0)),0)</f>
        <v>6463704.0233062459</v>
      </c>
      <c r="AE34" s="160">
        <f>IFERROR(INDEX('(참조)CS_인건비'!$A$3:$O$40,MATCH(CS_인건비!$A34,'(참조)CS_인건비'!$A$3:$A$40,0),MATCH('(참조)CS_인건비'!L$2,'(참조)CS_인건비'!$A$2:$O$2,0)),0)</f>
        <v>6560659.5836558389</v>
      </c>
      <c r="AF34" s="160">
        <f>IFERROR(INDEX('(참조)CS_인건비'!$A$3:$O$40,MATCH(CS_인건비!$A34,'(참조)CS_인건비'!$A$3:$A$40,0),MATCH('(참조)CS_인건비'!M$2,'(참조)CS_인건비'!$A$2:$O$2,0)),0)</f>
        <v>0</v>
      </c>
      <c r="AG34" s="160">
        <f>IFERROR(INDEX('(참조)CS_인건비'!$A$3:$O$40,MATCH(CS_인건비!$A34,'(참조)CS_인건비'!$A$3:$A$40,0),MATCH('(참조)CS_인건비'!N$2,'(참조)CS_인건비'!$A$2:$O$2,0)),0)</f>
        <v>0</v>
      </c>
      <c r="AH34" s="160">
        <f>IFERROR(INDEX('(참조)CS_인건비'!$A$3:$O$40,MATCH(CS_인건비!$A34,'(참조)CS_인건비'!$A$3:$A$40,0),MATCH('(참조)CS_인건비'!O$2,'(참조)CS_인건비'!$A$2:$O$2,0)),0)</f>
        <v>0</v>
      </c>
      <c r="AI34" s="160">
        <f>IFERROR(INDEX('(참조)CS_인건비'!$A$3:$O$40,MATCH(CS_인건비!$A34,'(참조)CS_인건비'!$A$3:$A$40,0),MATCH('(참조)CS_인건비'!P$2,'(참조)CS_인건비'!$A$2:$O$2,0)),0)</f>
        <v>0</v>
      </c>
      <c r="AJ34" s="160">
        <v>12</v>
      </c>
      <c r="AK34" s="160">
        <v>12</v>
      </c>
      <c r="AL34" s="160">
        <v>12</v>
      </c>
      <c r="AM34" s="160">
        <v>12</v>
      </c>
      <c r="AN34" s="160">
        <v>12</v>
      </c>
      <c r="AO34" s="160">
        <v>12</v>
      </c>
      <c r="AP34" s="160">
        <v>12</v>
      </c>
      <c r="AQ34" s="160">
        <v>12</v>
      </c>
      <c r="AR34" s="160">
        <v>12</v>
      </c>
      <c r="AS34" s="160">
        <v>12</v>
      </c>
      <c r="AT34" s="160">
        <v>12</v>
      </c>
      <c r="AU34" s="161">
        <v>1</v>
      </c>
      <c r="AV34" s="158">
        <v>0</v>
      </c>
      <c r="AW34" s="158">
        <v>0</v>
      </c>
      <c r="AX34" s="162">
        <v>701800624.92854476</v>
      </c>
      <c r="AY34" s="162">
        <v>24000000</v>
      </c>
      <c r="AZ34" s="162">
        <v>146159999.99999997</v>
      </c>
      <c r="BA34" s="162">
        <v>148352399.99999997</v>
      </c>
      <c r="BB34" s="162">
        <v>150577685.99999997</v>
      </c>
      <c r="BC34" s="162">
        <v>76418175.644999936</v>
      </c>
      <c r="BD34" s="162">
        <v>77564448.279674947</v>
      </c>
      <c r="BE34" s="162">
        <v>78727915.00387007</v>
      </c>
      <c r="BF34" s="162">
        <v>0</v>
      </c>
      <c r="BG34" s="162">
        <v>0</v>
      </c>
      <c r="BH34" s="162">
        <v>0</v>
      </c>
      <c r="BI34" s="162">
        <v>0</v>
      </c>
      <c r="BJ34" s="163">
        <v>2000000</v>
      </c>
      <c r="BK34" s="162">
        <v>2000000</v>
      </c>
      <c r="BL34" s="162">
        <v>2000000</v>
      </c>
      <c r="BM34" s="162">
        <v>2000000</v>
      </c>
      <c r="BN34" s="162">
        <v>2000000</v>
      </c>
      <c r="BO34" s="162">
        <v>2000000</v>
      </c>
      <c r="BP34" s="162">
        <v>2000000</v>
      </c>
      <c r="BQ34" s="162">
        <v>2000000</v>
      </c>
      <c r="BR34" s="162">
        <v>2000000</v>
      </c>
      <c r="BS34" s="162">
        <v>2000000</v>
      </c>
      <c r="BT34" s="162">
        <v>2000000</v>
      </c>
      <c r="BU34" s="162">
        <v>2000000</v>
      </c>
      <c r="BV34" s="162">
        <v>12179999.999999998</v>
      </c>
      <c r="BW34" s="162">
        <v>12179999.999999998</v>
      </c>
      <c r="BX34" s="162">
        <v>12179999.999999998</v>
      </c>
      <c r="BY34" s="162">
        <v>12179999.999999998</v>
      </c>
      <c r="BZ34" s="162">
        <v>12179999.999999998</v>
      </c>
      <c r="CA34" s="162">
        <v>12179999.999999998</v>
      </c>
      <c r="CB34" s="162">
        <v>12179999.999999998</v>
      </c>
      <c r="CC34" s="162">
        <v>12179999.999999998</v>
      </c>
      <c r="CD34" s="162">
        <v>12179999.999999998</v>
      </c>
      <c r="CE34" s="162">
        <v>12179999.999999998</v>
      </c>
      <c r="CF34" s="162">
        <v>12179999.999999998</v>
      </c>
      <c r="CG34" s="162">
        <v>12179999.999999998</v>
      </c>
      <c r="CH34" s="162">
        <v>12362699.999999996</v>
      </c>
      <c r="CI34" s="162">
        <v>12362699.999999996</v>
      </c>
      <c r="CJ34" s="162">
        <v>12362699.999999996</v>
      </c>
      <c r="CK34" s="162">
        <v>12362699.999999996</v>
      </c>
      <c r="CL34" s="162">
        <v>12362699.999999996</v>
      </c>
      <c r="CM34" s="162">
        <v>12362699.999999996</v>
      </c>
      <c r="CN34" s="162">
        <v>12362699.999999996</v>
      </c>
      <c r="CO34" s="162">
        <v>12362699.999999996</v>
      </c>
      <c r="CP34" s="162">
        <v>12362699.999999996</v>
      </c>
      <c r="CQ34" s="162">
        <v>12362699.999999996</v>
      </c>
      <c r="CR34" s="162">
        <v>12362699.999999996</v>
      </c>
      <c r="CS34" s="162">
        <v>12362699.999999996</v>
      </c>
      <c r="CT34" s="162">
        <v>12548140.499999994</v>
      </c>
      <c r="CU34" s="162">
        <v>12548140.499999994</v>
      </c>
      <c r="CV34" s="162">
        <v>12548140.499999994</v>
      </c>
      <c r="CW34" s="162">
        <v>12548140.499999994</v>
      </c>
      <c r="CX34" s="162">
        <v>12548140.499999994</v>
      </c>
      <c r="CY34" s="162">
        <v>12548140.499999994</v>
      </c>
      <c r="CZ34" s="162">
        <v>12548140.499999994</v>
      </c>
      <c r="DA34" s="162">
        <v>12548140.499999994</v>
      </c>
      <c r="DB34" s="162">
        <v>12548140.499999994</v>
      </c>
      <c r="DC34" s="162">
        <v>12548140.499999994</v>
      </c>
      <c r="DD34" s="162">
        <v>12548140.499999994</v>
      </c>
      <c r="DE34" s="162">
        <v>12548140.499999994</v>
      </c>
      <c r="DF34" s="162">
        <v>6368181.3037499962</v>
      </c>
      <c r="DG34" s="162">
        <v>6368181.3037499962</v>
      </c>
      <c r="DH34" s="162">
        <v>6368181.3037499962</v>
      </c>
      <c r="DI34" s="162">
        <v>6368181.3037499962</v>
      </c>
      <c r="DJ34" s="162">
        <v>6368181.3037499962</v>
      </c>
      <c r="DK34" s="162">
        <v>6368181.3037499962</v>
      </c>
      <c r="DL34" s="162">
        <v>6368181.3037499962</v>
      </c>
      <c r="DM34" s="162">
        <v>6368181.3037499962</v>
      </c>
      <c r="DN34" s="162">
        <v>6368181.3037499962</v>
      </c>
      <c r="DO34" s="162">
        <v>6368181.3037499962</v>
      </c>
      <c r="DP34" s="162">
        <v>6368181.3037499962</v>
      </c>
      <c r="DQ34" s="162">
        <v>6368181.3037499962</v>
      </c>
      <c r="DR34" s="162">
        <v>6463704.0233062459</v>
      </c>
      <c r="DS34" s="162">
        <v>6463704.0233062459</v>
      </c>
      <c r="DT34" s="162">
        <v>6463704.0233062459</v>
      </c>
      <c r="DU34" s="162">
        <v>6463704.0233062459</v>
      </c>
      <c r="DV34" s="162">
        <v>6463704.0233062459</v>
      </c>
      <c r="DW34" s="162">
        <v>6463704.0233062459</v>
      </c>
      <c r="DX34" s="162">
        <v>6463704.0233062459</v>
      </c>
      <c r="DY34" s="162">
        <v>6463704.0233062459</v>
      </c>
      <c r="DZ34" s="162">
        <v>6463704.0233062459</v>
      </c>
      <c r="EA34" s="162">
        <v>6463704.0233062459</v>
      </c>
      <c r="EB34" s="162">
        <v>6463704.0233062459</v>
      </c>
      <c r="EC34" s="162">
        <v>6463704.0233062459</v>
      </c>
      <c r="ED34" s="162">
        <v>6560659.5836558389</v>
      </c>
      <c r="EE34" s="162">
        <v>6560659.5836558389</v>
      </c>
      <c r="EF34" s="162">
        <v>6560659.5836558389</v>
      </c>
      <c r="EG34" s="162">
        <v>6560659.5836558389</v>
      </c>
      <c r="EH34" s="162">
        <v>6560659.5836558389</v>
      </c>
      <c r="EI34" s="162">
        <v>6560659.5836558389</v>
      </c>
      <c r="EJ34" s="162">
        <v>6560659.5836558389</v>
      </c>
      <c r="EK34" s="162">
        <v>6560659.5836558389</v>
      </c>
      <c r="EL34" s="162">
        <v>6560659.5836558389</v>
      </c>
      <c r="EM34" s="162">
        <v>6560659.5836558389</v>
      </c>
      <c r="EN34" s="162">
        <v>6560659.5836558389</v>
      </c>
      <c r="EO34" s="162">
        <v>6560659.5836558389</v>
      </c>
      <c r="EP34" s="162">
        <v>0</v>
      </c>
      <c r="EQ34" s="162">
        <v>0</v>
      </c>
      <c r="ER34" s="162">
        <v>0</v>
      </c>
      <c r="ES34" s="162">
        <v>0</v>
      </c>
      <c r="ET34" s="162">
        <v>0</v>
      </c>
      <c r="EU34" s="162">
        <v>0</v>
      </c>
      <c r="EV34" s="162">
        <v>0</v>
      </c>
      <c r="EW34" s="162">
        <v>0</v>
      </c>
      <c r="EX34" s="162">
        <v>0</v>
      </c>
      <c r="EY34" s="162">
        <v>0</v>
      </c>
      <c r="EZ34" s="162">
        <v>0</v>
      </c>
      <c r="FA34" s="162">
        <v>0</v>
      </c>
      <c r="FB34" s="162">
        <v>0</v>
      </c>
      <c r="FC34" s="162">
        <v>0</v>
      </c>
      <c r="FD34" s="162">
        <v>0</v>
      </c>
      <c r="FE34" s="162">
        <v>0</v>
      </c>
      <c r="FF34" s="162">
        <v>0</v>
      </c>
      <c r="FG34" s="162">
        <v>0</v>
      </c>
      <c r="FH34" s="162">
        <v>0</v>
      </c>
      <c r="FI34" s="162">
        <v>0</v>
      </c>
      <c r="FJ34" s="162">
        <v>0</v>
      </c>
      <c r="FK34" s="162">
        <v>0</v>
      </c>
      <c r="FL34" s="162">
        <v>0</v>
      </c>
      <c r="FM34" s="162">
        <v>0</v>
      </c>
      <c r="FN34" s="162">
        <v>0</v>
      </c>
      <c r="FO34" s="162">
        <v>0</v>
      </c>
      <c r="FP34" s="162">
        <v>0</v>
      </c>
      <c r="FQ34" s="162">
        <v>0</v>
      </c>
      <c r="FR34" s="162">
        <v>0</v>
      </c>
      <c r="FS34" s="162">
        <v>0</v>
      </c>
      <c r="FT34" s="162">
        <v>0</v>
      </c>
      <c r="FU34" s="162">
        <v>0</v>
      </c>
      <c r="FV34" s="162">
        <v>0</v>
      </c>
      <c r="FW34" s="162">
        <v>0</v>
      </c>
      <c r="FX34" s="162">
        <v>0</v>
      </c>
      <c r="FY34" s="162">
        <v>0</v>
      </c>
      <c r="FZ34" s="162">
        <v>0</v>
      </c>
      <c r="GA34" s="162">
        <v>0</v>
      </c>
      <c r="GB34" s="162">
        <v>0</v>
      </c>
      <c r="GC34" s="162">
        <v>0</v>
      </c>
      <c r="GD34" s="162">
        <v>0</v>
      </c>
      <c r="GE34" s="162">
        <v>0</v>
      </c>
      <c r="GF34" s="162">
        <v>0</v>
      </c>
      <c r="GG34" s="162">
        <v>0</v>
      </c>
      <c r="GH34" s="162">
        <v>0</v>
      </c>
      <c r="GI34" s="162">
        <v>0</v>
      </c>
      <c r="GJ34" s="162">
        <v>0</v>
      </c>
      <c r="GK34" s="40">
        <v>0</v>
      </c>
      <c r="GL34" s="27"/>
    </row>
    <row r="35" spans="1:194" x14ac:dyDescent="0.3">
      <c r="A35" s="47"/>
      <c r="B35" s="41"/>
      <c r="C35" s="41"/>
      <c r="D35" s="41"/>
      <c r="E35" s="41"/>
      <c r="F35" s="41"/>
      <c r="G35" s="41"/>
      <c r="H35" s="41"/>
      <c r="I35" s="41"/>
      <c r="J35" s="41"/>
      <c r="K35" s="41"/>
      <c r="L35" s="41"/>
      <c r="M35" s="42"/>
      <c r="N35" s="42"/>
      <c r="O35" s="42"/>
      <c r="P35" s="42"/>
      <c r="Q35" s="42"/>
      <c r="R35" s="42"/>
      <c r="S35" s="42"/>
      <c r="T35" s="42"/>
      <c r="U35" s="42"/>
      <c r="V35" s="42"/>
      <c r="W35" s="42"/>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4"/>
      <c r="AV35" s="41"/>
      <c r="AW35" s="41"/>
      <c r="AX35" s="30"/>
      <c r="AY35" s="30"/>
      <c r="AZ35" s="30"/>
      <c r="BA35" s="30"/>
      <c r="BB35" s="30"/>
      <c r="BC35" s="30"/>
      <c r="BD35" s="30"/>
      <c r="BE35" s="30"/>
      <c r="BF35" s="30"/>
      <c r="BG35" s="30"/>
      <c r="BH35" s="30"/>
      <c r="BI35" s="30"/>
      <c r="BJ35" s="45"/>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48"/>
      <c r="GL35" s="27"/>
    </row>
    <row r="36" spans="1:194" x14ac:dyDescent="0.3">
      <c r="A36" s="47"/>
      <c r="B36" s="41"/>
      <c r="C36" s="41"/>
      <c r="D36" s="41"/>
      <c r="E36" s="41"/>
      <c r="F36" s="41"/>
      <c r="G36" s="41"/>
      <c r="H36" s="41"/>
      <c r="I36" s="41"/>
      <c r="J36" s="41"/>
      <c r="K36" s="41"/>
      <c r="L36" s="41"/>
      <c r="M36" s="42"/>
      <c r="N36" s="42"/>
      <c r="O36" s="42"/>
      <c r="P36" s="42"/>
      <c r="Q36" s="42"/>
      <c r="R36" s="42"/>
      <c r="S36" s="42"/>
      <c r="T36" s="42"/>
      <c r="U36" s="42"/>
      <c r="V36" s="42"/>
      <c r="W36" s="42"/>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4"/>
      <c r="AV36" s="41"/>
      <c r="AW36" s="41"/>
      <c r="AX36" s="30"/>
      <c r="AY36" s="30"/>
      <c r="AZ36" s="30"/>
      <c r="BA36" s="30"/>
      <c r="BB36" s="30"/>
      <c r="BC36" s="30"/>
      <c r="BD36" s="30"/>
      <c r="BE36" s="30"/>
      <c r="BF36" s="30"/>
      <c r="BG36" s="30"/>
      <c r="BH36" s="30"/>
      <c r="BI36" s="30"/>
      <c r="BJ36" s="45"/>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48"/>
      <c r="GL36" s="27"/>
    </row>
    <row r="37" spans="1:194" x14ac:dyDescent="0.3">
      <c r="A37" s="47"/>
      <c r="B37" s="41"/>
      <c r="C37" s="41"/>
      <c r="D37" s="41"/>
      <c r="E37" s="41"/>
      <c r="F37" s="41"/>
      <c r="G37" s="41"/>
      <c r="H37" s="41"/>
      <c r="I37" s="41"/>
      <c r="J37" s="41"/>
      <c r="K37" s="41"/>
      <c r="L37" s="41"/>
      <c r="M37" s="42"/>
      <c r="N37" s="42"/>
      <c r="O37" s="42"/>
      <c r="P37" s="42"/>
      <c r="Q37" s="42"/>
      <c r="R37" s="42"/>
      <c r="S37" s="42"/>
      <c r="T37" s="42"/>
      <c r="U37" s="42"/>
      <c r="V37" s="42"/>
      <c r="W37" s="42"/>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4"/>
      <c r="AV37" s="41"/>
      <c r="AW37" s="41"/>
      <c r="AX37" s="30"/>
      <c r="AY37" s="30"/>
      <c r="AZ37" s="30"/>
      <c r="BA37" s="30"/>
      <c r="BB37" s="30"/>
      <c r="BC37" s="30"/>
      <c r="BD37" s="30"/>
      <c r="BE37" s="30"/>
      <c r="BF37" s="30"/>
      <c r="BG37" s="30"/>
      <c r="BH37" s="30"/>
      <c r="BI37" s="30"/>
      <c r="BJ37" s="45"/>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48"/>
      <c r="GL37" s="27"/>
    </row>
    <row r="38" spans="1:194" x14ac:dyDescent="0.3">
      <c r="A38" s="47"/>
      <c r="B38" s="41"/>
      <c r="C38" s="41"/>
      <c r="D38" s="41"/>
      <c r="E38" s="41"/>
      <c r="F38" s="41"/>
      <c r="G38" s="41"/>
      <c r="H38" s="41"/>
      <c r="I38" s="41"/>
      <c r="J38" s="41"/>
      <c r="K38" s="41"/>
      <c r="L38" s="41"/>
      <c r="M38" s="42"/>
      <c r="N38" s="42"/>
      <c r="O38" s="42"/>
      <c r="P38" s="42"/>
      <c r="Q38" s="42"/>
      <c r="R38" s="42"/>
      <c r="S38" s="42"/>
      <c r="T38" s="42"/>
      <c r="U38" s="42"/>
      <c r="V38" s="42"/>
      <c r="W38" s="42"/>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4"/>
      <c r="AV38" s="41"/>
      <c r="AW38" s="41"/>
      <c r="AX38" s="30"/>
      <c r="AY38" s="30"/>
      <c r="AZ38" s="30"/>
      <c r="BA38" s="30"/>
      <c r="BB38" s="30"/>
      <c r="BC38" s="30"/>
      <c r="BD38" s="30"/>
      <c r="BE38" s="30"/>
      <c r="BF38" s="30"/>
      <c r="BG38" s="30"/>
      <c r="BH38" s="30"/>
      <c r="BI38" s="30"/>
      <c r="BJ38" s="45"/>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48"/>
      <c r="GL38" s="27"/>
    </row>
    <row r="39" spans="1:194" x14ac:dyDescent="0.3">
      <c r="A39" s="47"/>
      <c r="B39" s="41"/>
      <c r="C39" s="41"/>
      <c r="D39" s="41"/>
      <c r="E39" s="41"/>
      <c r="F39" s="41"/>
      <c r="G39" s="41"/>
      <c r="H39" s="41"/>
      <c r="I39" s="41"/>
      <c r="J39" s="41"/>
      <c r="K39" s="41"/>
      <c r="L39" s="41"/>
      <c r="M39" s="42"/>
      <c r="N39" s="42"/>
      <c r="O39" s="42"/>
      <c r="P39" s="42"/>
      <c r="Q39" s="42"/>
      <c r="R39" s="42"/>
      <c r="S39" s="42"/>
      <c r="T39" s="42"/>
      <c r="U39" s="42"/>
      <c r="V39" s="42"/>
      <c r="W39" s="42"/>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4"/>
      <c r="AV39" s="41"/>
      <c r="AW39" s="41"/>
      <c r="AX39" s="30"/>
      <c r="AY39" s="30"/>
      <c r="AZ39" s="30"/>
      <c r="BA39" s="30"/>
      <c r="BB39" s="30"/>
      <c r="BC39" s="30"/>
      <c r="BD39" s="30"/>
      <c r="BE39" s="30"/>
      <c r="BF39" s="30"/>
      <c r="BG39" s="30"/>
      <c r="BH39" s="30"/>
      <c r="BI39" s="30"/>
      <c r="BJ39" s="45"/>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c r="DK39" s="30"/>
      <c r="DL39" s="30"/>
      <c r="DM39" s="30"/>
      <c r="DN39" s="30"/>
      <c r="DO39" s="30"/>
      <c r="DP39" s="30"/>
      <c r="DQ39" s="30"/>
      <c r="DR39" s="30"/>
      <c r="DS39" s="30"/>
      <c r="DT39" s="30"/>
      <c r="DU39" s="30"/>
      <c r="DV39" s="30"/>
      <c r="DW39" s="30"/>
      <c r="DX39" s="30"/>
      <c r="DY39" s="30"/>
      <c r="DZ39" s="30"/>
      <c r="EA39" s="30"/>
      <c r="EB39" s="30"/>
      <c r="EC39" s="30"/>
      <c r="ED39" s="30"/>
      <c r="EE39" s="30"/>
      <c r="EF39" s="30"/>
      <c r="EG39" s="30"/>
      <c r="EH39" s="30"/>
      <c r="EI39" s="30"/>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48"/>
      <c r="GL39" s="27"/>
    </row>
    <row r="40" spans="1:194" x14ac:dyDescent="0.3">
      <c r="A40" s="47"/>
      <c r="B40" s="41"/>
      <c r="C40" s="41"/>
      <c r="D40" s="41"/>
      <c r="E40" s="41"/>
      <c r="F40" s="41"/>
      <c r="G40" s="41"/>
      <c r="H40" s="41"/>
      <c r="I40" s="41"/>
      <c r="J40" s="41"/>
      <c r="K40" s="41"/>
      <c r="L40" s="41"/>
      <c r="M40" s="42"/>
      <c r="N40" s="42"/>
      <c r="O40" s="42"/>
      <c r="P40" s="42"/>
      <c r="Q40" s="42"/>
      <c r="R40" s="42"/>
      <c r="S40" s="42"/>
      <c r="T40" s="42"/>
      <c r="U40" s="42"/>
      <c r="V40" s="42"/>
      <c r="W40" s="42"/>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4"/>
      <c r="AV40" s="41"/>
      <c r="AW40" s="41"/>
      <c r="AX40" s="30"/>
      <c r="AY40" s="30"/>
      <c r="AZ40" s="30"/>
      <c r="BA40" s="30"/>
      <c r="BB40" s="30"/>
      <c r="BC40" s="30"/>
      <c r="BD40" s="30"/>
      <c r="BE40" s="30"/>
      <c r="BF40" s="30"/>
      <c r="BG40" s="30"/>
      <c r="BH40" s="30"/>
      <c r="BI40" s="30"/>
      <c r="BJ40" s="45"/>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48"/>
      <c r="GL40" s="27"/>
    </row>
    <row r="41" spans="1:194" x14ac:dyDescent="0.3">
      <c r="A41" s="47"/>
      <c r="B41" s="41"/>
      <c r="C41" s="41"/>
      <c r="D41" s="41"/>
      <c r="E41" s="41"/>
      <c r="F41" s="41"/>
      <c r="G41" s="41"/>
      <c r="H41" s="41"/>
      <c r="I41" s="41"/>
      <c r="J41" s="41"/>
      <c r="K41" s="41"/>
      <c r="L41" s="41"/>
      <c r="M41" s="42"/>
      <c r="N41" s="42"/>
      <c r="O41" s="42"/>
      <c r="P41" s="42"/>
      <c r="Q41" s="42"/>
      <c r="R41" s="42"/>
      <c r="S41" s="42"/>
      <c r="T41" s="42"/>
      <c r="U41" s="42"/>
      <c r="V41" s="42"/>
      <c r="W41" s="42"/>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4"/>
      <c r="AV41" s="41"/>
      <c r="AW41" s="41"/>
      <c r="AX41" s="30"/>
      <c r="AY41" s="30"/>
      <c r="AZ41" s="30"/>
      <c r="BA41" s="30"/>
      <c r="BB41" s="30"/>
      <c r="BC41" s="30"/>
      <c r="BD41" s="30"/>
      <c r="BE41" s="30"/>
      <c r="BF41" s="30"/>
      <c r="BG41" s="30"/>
      <c r="BH41" s="30"/>
      <c r="BI41" s="30"/>
      <c r="BJ41" s="45"/>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48"/>
      <c r="GL41" s="27"/>
    </row>
    <row r="42" spans="1:194" ht="17.25" thickBot="1" x14ac:dyDescent="0.35">
      <c r="A42" s="33"/>
      <c r="B42" s="34"/>
      <c r="C42" s="34"/>
      <c r="D42" s="34"/>
      <c r="E42" s="34"/>
      <c r="F42" s="34"/>
      <c r="G42" s="34"/>
      <c r="H42" s="34"/>
      <c r="I42" s="34"/>
      <c r="J42" s="34"/>
      <c r="K42" s="34"/>
      <c r="L42" s="34"/>
      <c r="M42" s="35"/>
      <c r="N42" s="35"/>
      <c r="O42" s="35"/>
      <c r="P42" s="35"/>
      <c r="Q42" s="35"/>
      <c r="R42" s="35"/>
      <c r="S42" s="35"/>
      <c r="T42" s="35"/>
      <c r="U42" s="35"/>
      <c r="V42" s="35"/>
      <c r="W42" s="35"/>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7"/>
      <c r="AV42" s="34"/>
      <c r="AW42" s="34"/>
      <c r="AX42" s="38"/>
      <c r="AY42" s="38"/>
      <c r="AZ42" s="38"/>
      <c r="BA42" s="38"/>
      <c r="BB42" s="38"/>
      <c r="BC42" s="38"/>
      <c r="BD42" s="38"/>
      <c r="BE42" s="38"/>
      <c r="BF42" s="38"/>
      <c r="BG42" s="38"/>
      <c r="BH42" s="38"/>
      <c r="BI42" s="38"/>
      <c r="BJ42" s="39"/>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40"/>
      <c r="GL42" s="27"/>
    </row>
  </sheetData>
  <phoneticPr fontId="1" type="noConversion"/>
  <conditionalFormatting sqref="G5:X30 AV5:AW42 A31:X42">
    <cfRule type="expression" dxfId="70" priority="6">
      <formula>OR($D5="MA",$D5="운영")</formula>
    </cfRule>
  </conditionalFormatting>
  <conditionalFormatting sqref="AJ5:AT42">
    <cfRule type="expression" dxfId="69" priority="5">
      <formula>OR($D5="MA",$D5="운영")</formula>
    </cfRule>
  </conditionalFormatting>
  <conditionalFormatting sqref="Y5:AI42">
    <cfRule type="expression" dxfId="68" priority="4">
      <formula>OR($D5="MA",$D5="운영")</formula>
    </cfRule>
  </conditionalFormatting>
  <conditionalFormatting sqref="A5:C30">
    <cfRule type="expression" dxfId="67" priority="3">
      <formula>OR($D5="MA",$D5="운영")</formula>
    </cfRule>
  </conditionalFormatting>
  <conditionalFormatting sqref="F5:F30">
    <cfRule type="expression" dxfId="66" priority="2">
      <formula>OR($D5="MA",$D5="운영")</formula>
    </cfRule>
  </conditionalFormatting>
  <conditionalFormatting sqref="D5:E30">
    <cfRule type="expression" dxfId="65" priority="1">
      <formula>OR($D5="MA",$D5="운영")</formula>
    </cfRule>
  </conditionalFormatting>
  <dataValidations count="1">
    <dataValidation type="list" allowBlank="1" showInputMessage="1" showErrorMessage="1" sqref="E5" xr:uid="{00000000-0002-0000-0B00-000000000000}">
      <formula1>INDIRECT($D$5)</formula1>
    </dataValidation>
  </dataValidations>
  <hyperlinks>
    <hyperlink ref="A1" location="HOME!A1" display="HOME" xr:uid="{00000000-0004-0000-0B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987" r:id="rId4" name="OptionButton2">
          <controlPr defaultSize="0" autoFill="0" autoLine="0" r:id="rId5">
            <anchor moveWithCells="1">
              <from>
                <xdr:col>6</xdr:col>
                <xdr:colOff>1057275</xdr:colOff>
                <xdr:row>0</xdr:row>
                <xdr:rowOff>0</xdr:rowOff>
              </from>
              <to>
                <xdr:col>7</xdr:col>
                <xdr:colOff>819150</xdr:colOff>
                <xdr:row>1</xdr:row>
                <xdr:rowOff>57150</xdr:rowOff>
              </to>
            </anchor>
          </controlPr>
        </control>
      </mc:Choice>
      <mc:Fallback>
        <control shapeId="41987" r:id="rId4" name="OptionButton2"/>
      </mc:Fallback>
    </mc:AlternateContent>
    <mc:AlternateContent xmlns:mc="http://schemas.openxmlformats.org/markup-compatibility/2006">
      <mc:Choice Requires="x14">
        <control shapeId="41986" r:id="rId6" name="OptionButton1">
          <controlPr defaultSize="0" disabled="1" autoFill="0" autoLine="0" r:id="rId7">
            <anchor moveWithCells="1">
              <from>
                <xdr:col>5</xdr:col>
                <xdr:colOff>238125</xdr:colOff>
                <xdr:row>0</xdr:row>
                <xdr:rowOff>19050</xdr:rowOff>
              </from>
              <to>
                <xdr:col>6</xdr:col>
                <xdr:colOff>847725</xdr:colOff>
                <xdr:row>1</xdr:row>
                <xdr:rowOff>28575</xdr:rowOff>
              </to>
            </anchor>
          </controlPr>
        </control>
      </mc:Choice>
      <mc:Fallback>
        <control shapeId="41986" r:id="rId6" name="OptionButton1"/>
      </mc:Fallback>
    </mc:AlternateContent>
    <mc:AlternateContent xmlns:mc="http://schemas.openxmlformats.org/markup-compatibility/2006">
      <mc:Choice Requires="x14">
        <control shapeId="41985" r:id="rId8" name="cmd_CS인건비">
          <controlPr defaultSize="0" autoFill="0" autoLine="0" r:id="rId9">
            <anchor moveWithCells="1">
              <from>
                <xdr:col>3</xdr:col>
                <xdr:colOff>19050</xdr:colOff>
                <xdr:row>0</xdr:row>
                <xdr:rowOff>9525</xdr:rowOff>
              </from>
              <to>
                <xdr:col>4</xdr:col>
                <xdr:colOff>352425</xdr:colOff>
                <xdr:row>1</xdr:row>
                <xdr:rowOff>47625</xdr:rowOff>
              </to>
            </anchor>
          </controlPr>
        </control>
      </mc:Choice>
      <mc:Fallback>
        <control shapeId="41985" r:id="rId8" name="cmd_CS인건비"/>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1_Sheet">
    <tabColor theme="9" tint="0.39997558519241921"/>
  </sheetPr>
  <dimension ref="A1:FJ112"/>
  <sheetViews>
    <sheetView showGridLines="0" zoomScale="70" zoomScaleNormal="70" workbookViewId="0">
      <selection sqref="A1:XFD1"/>
    </sheetView>
  </sheetViews>
  <sheetFormatPr defaultRowHeight="16.5" x14ac:dyDescent="0.3"/>
  <cols>
    <col min="1" max="1" width="7.625" bestFit="1" customWidth="1"/>
    <col min="2" max="2" width="10.875" bestFit="1" customWidth="1"/>
    <col min="3" max="5" width="7.625" customWidth="1"/>
    <col min="6" max="6" width="23.875" bestFit="1" customWidth="1"/>
    <col min="7" max="7" width="35" bestFit="1" customWidth="1"/>
    <col min="8" max="8" width="35.75" customWidth="1"/>
    <col min="9" max="9" width="18.5" bestFit="1" customWidth="1"/>
    <col min="10" max="10" width="13" bestFit="1" customWidth="1"/>
    <col min="11" max="11" width="11.25" bestFit="1" customWidth="1"/>
    <col min="12" max="12" width="11" bestFit="1" customWidth="1"/>
    <col min="13" max="13" width="11.25" bestFit="1" customWidth="1"/>
    <col min="14" max="14" width="16.25" bestFit="1" customWidth="1"/>
    <col min="15" max="15" width="11.75" bestFit="1" customWidth="1"/>
    <col min="16" max="16" width="12.75" bestFit="1" customWidth="1"/>
    <col min="17" max="17" width="10" customWidth="1"/>
    <col min="18" max="18" width="9.625" customWidth="1"/>
    <col min="19" max="19" width="14" bestFit="1" customWidth="1"/>
    <col min="20" max="20" width="15.5" customWidth="1"/>
    <col min="21" max="21" width="9.125" bestFit="1" customWidth="1"/>
    <col min="22" max="22" width="11.75" bestFit="1" customWidth="1"/>
    <col min="23" max="23" width="14.625" bestFit="1" customWidth="1"/>
    <col min="24" max="34" width="13.25" bestFit="1" customWidth="1"/>
    <col min="35" max="142" width="11.75" bestFit="1" customWidth="1"/>
    <col min="143" max="166" width="11.875" bestFit="1" customWidth="1"/>
  </cols>
  <sheetData>
    <row r="1" spans="1:166" ht="21.75" customHeight="1" thickBot="1" x14ac:dyDescent="0.35"/>
    <row r="2" spans="1:166" s="4" customFormat="1" ht="30" customHeight="1" thickBot="1" x14ac:dyDescent="0.35">
      <c r="A2" s="114" t="s">
        <v>333</v>
      </c>
      <c r="P2" s="56">
        <v>3344840894</v>
      </c>
      <c r="W2" s="57">
        <v>1572086769.6000001</v>
      </c>
      <c r="X2" s="58">
        <v>20748000</v>
      </c>
      <c r="Y2" s="58">
        <v>194076536</v>
      </c>
      <c r="Z2" s="58">
        <v>260215070</v>
      </c>
      <c r="AA2" s="58">
        <v>260215070</v>
      </c>
      <c r="AB2" s="58">
        <v>278944031.19999999</v>
      </c>
      <c r="AC2" s="58">
        <v>278944031.19999999</v>
      </c>
      <c r="AD2" s="58">
        <v>278944031.19999999</v>
      </c>
      <c r="AE2" s="58">
        <v>0</v>
      </c>
      <c r="AF2" s="58">
        <v>0</v>
      </c>
      <c r="AG2" s="58">
        <v>0</v>
      </c>
      <c r="AH2" s="58">
        <v>0</v>
      </c>
      <c r="AI2" s="59">
        <v>0</v>
      </c>
      <c r="AJ2" s="59">
        <v>0</v>
      </c>
      <c r="AK2" s="59">
        <v>0</v>
      </c>
      <c r="AL2" s="59">
        <v>0</v>
      </c>
      <c r="AM2" s="59">
        <v>0</v>
      </c>
      <c r="AN2" s="59">
        <v>0</v>
      </c>
      <c r="AO2" s="59">
        <v>858000</v>
      </c>
      <c r="AP2" s="59">
        <v>858000</v>
      </c>
      <c r="AQ2" s="59">
        <v>858000</v>
      </c>
      <c r="AR2" s="59">
        <v>858000</v>
      </c>
      <c r="AS2" s="59">
        <v>8658000</v>
      </c>
      <c r="AT2" s="59">
        <v>8658000</v>
      </c>
      <c r="AU2" s="58">
        <v>16173044.666666666</v>
      </c>
      <c r="AV2" s="58">
        <v>16173044.666666666</v>
      </c>
      <c r="AW2" s="58">
        <v>16173044.666666666</v>
      </c>
      <c r="AX2" s="58">
        <v>16173044.666666666</v>
      </c>
      <c r="AY2" s="58">
        <v>16173044.666666666</v>
      </c>
      <c r="AZ2" s="58">
        <v>16173044.666666666</v>
      </c>
      <c r="BA2" s="58">
        <v>16173044.666666666</v>
      </c>
      <c r="BB2" s="58">
        <v>16173044.666666666</v>
      </c>
      <c r="BC2" s="58">
        <v>16173044.666666666</v>
      </c>
      <c r="BD2" s="58">
        <v>16173044.666666666</v>
      </c>
      <c r="BE2" s="58">
        <v>16173044.666666666</v>
      </c>
      <c r="BF2" s="58">
        <v>16173044.666666666</v>
      </c>
      <c r="BG2" s="59">
        <v>21684589.166666668</v>
      </c>
      <c r="BH2" s="59">
        <v>21684589.166666668</v>
      </c>
      <c r="BI2" s="59">
        <v>21684589.166666668</v>
      </c>
      <c r="BJ2" s="59">
        <v>21684589.166666668</v>
      </c>
      <c r="BK2" s="59">
        <v>21684589.166666668</v>
      </c>
      <c r="BL2" s="59">
        <v>21684589.166666668</v>
      </c>
      <c r="BM2" s="59">
        <v>21684589.166666668</v>
      </c>
      <c r="BN2" s="59">
        <v>21684589.166666668</v>
      </c>
      <c r="BO2" s="59">
        <v>21684589.166666668</v>
      </c>
      <c r="BP2" s="59">
        <v>21684589.166666668</v>
      </c>
      <c r="BQ2" s="59">
        <v>21684589.166666668</v>
      </c>
      <c r="BR2" s="59">
        <v>21684589.166666668</v>
      </c>
      <c r="BS2" s="58">
        <v>21684589.166666668</v>
      </c>
      <c r="BT2" s="58">
        <v>21684589.166666668</v>
      </c>
      <c r="BU2" s="58">
        <v>21684589.166666668</v>
      </c>
      <c r="BV2" s="58">
        <v>21684589.166666668</v>
      </c>
      <c r="BW2" s="58">
        <v>21684589.166666668</v>
      </c>
      <c r="BX2" s="58">
        <v>21684589.166666668</v>
      </c>
      <c r="BY2" s="58">
        <v>21684589.166666668</v>
      </c>
      <c r="BZ2" s="58">
        <v>21684589.166666668</v>
      </c>
      <c r="CA2" s="58">
        <v>21684589.166666668</v>
      </c>
      <c r="CB2" s="58">
        <v>21684589.166666668</v>
      </c>
      <c r="CC2" s="58">
        <v>21684589.166666668</v>
      </c>
      <c r="CD2" s="58">
        <v>21684589.166666668</v>
      </c>
      <c r="CE2" s="59">
        <v>23245335.933333337</v>
      </c>
      <c r="CF2" s="59">
        <v>23245335.933333337</v>
      </c>
      <c r="CG2" s="59">
        <v>23245335.933333337</v>
      </c>
      <c r="CH2" s="59">
        <v>23245335.933333337</v>
      </c>
      <c r="CI2" s="59">
        <v>23245335.933333337</v>
      </c>
      <c r="CJ2" s="59">
        <v>23245335.933333337</v>
      </c>
      <c r="CK2" s="59">
        <v>23245335.933333337</v>
      </c>
      <c r="CL2" s="59">
        <v>23245335.933333337</v>
      </c>
      <c r="CM2" s="59">
        <v>23245335.933333337</v>
      </c>
      <c r="CN2" s="59">
        <v>23245335.933333337</v>
      </c>
      <c r="CO2" s="59">
        <v>23245335.933333337</v>
      </c>
      <c r="CP2" s="59">
        <v>23245335.933333337</v>
      </c>
      <c r="CQ2" s="58">
        <v>23245335.933333337</v>
      </c>
      <c r="CR2" s="58">
        <v>23245335.933333337</v>
      </c>
      <c r="CS2" s="58">
        <v>23245335.933333337</v>
      </c>
      <c r="CT2" s="58">
        <v>23245335.933333337</v>
      </c>
      <c r="CU2" s="58">
        <v>23245335.933333337</v>
      </c>
      <c r="CV2" s="58">
        <v>23245335.933333337</v>
      </c>
      <c r="CW2" s="58">
        <v>23245335.933333337</v>
      </c>
      <c r="CX2" s="58">
        <v>23245335.933333337</v>
      </c>
      <c r="CY2" s="58">
        <v>23245335.933333337</v>
      </c>
      <c r="CZ2" s="58">
        <v>23245335.933333337</v>
      </c>
      <c r="DA2" s="58">
        <v>23245335.933333337</v>
      </c>
      <c r="DB2" s="58">
        <v>23245335.933333337</v>
      </c>
      <c r="DC2" s="59">
        <v>23245335.933333337</v>
      </c>
      <c r="DD2" s="59">
        <v>23245335.933333337</v>
      </c>
      <c r="DE2" s="59">
        <v>23245335.933333337</v>
      </c>
      <c r="DF2" s="59">
        <v>23245335.933333337</v>
      </c>
      <c r="DG2" s="59">
        <v>23245335.933333337</v>
      </c>
      <c r="DH2" s="59">
        <v>23245335.933333337</v>
      </c>
      <c r="DI2" s="59">
        <v>23245335.933333337</v>
      </c>
      <c r="DJ2" s="59">
        <v>23245335.933333337</v>
      </c>
      <c r="DK2" s="59">
        <v>23245335.933333337</v>
      </c>
      <c r="DL2" s="59">
        <v>23245335.933333337</v>
      </c>
      <c r="DM2" s="59">
        <v>23245335.933333337</v>
      </c>
      <c r="DN2" s="59">
        <v>23245335.933333337</v>
      </c>
      <c r="DO2" s="58">
        <v>0</v>
      </c>
      <c r="DP2" s="58">
        <v>0</v>
      </c>
      <c r="DQ2" s="58">
        <v>0</v>
      </c>
      <c r="DR2" s="58">
        <v>0</v>
      </c>
      <c r="DS2" s="58">
        <v>0</v>
      </c>
      <c r="DT2" s="58">
        <v>0</v>
      </c>
      <c r="DU2" s="58">
        <v>0</v>
      </c>
      <c r="DV2" s="58">
        <v>0</v>
      </c>
      <c r="DW2" s="58">
        <v>0</v>
      </c>
      <c r="DX2" s="58">
        <v>0</v>
      </c>
      <c r="DY2" s="58">
        <v>0</v>
      </c>
      <c r="DZ2" s="58">
        <v>0</v>
      </c>
      <c r="EA2" s="59">
        <v>0</v>
      </c>
      <c r="EB2" s="59">
        <v>0</v>
      </c>
      <c r="EC2" s="59">
        <v>0</v>
      </c>
      <c r="ED2" s="59">
        <v>0</v>
      </c>
      <c r="EE2" s="59">
        <v>0</v>
      </c>
      <c r="EF2" s="59">
        <v>0</v>
      </c>
      <c r="EG2" s="59">
        <v>0</v>
      </c>
      <c r="EH2" s="59">
        <v>0</v>
      </c>
      <c r="EI2" s="59">
        <v>0</v>
      </c>
      <c r="EJ2" s="59">
        <v>0</v>
      </c>
      <c r="EK2" s="59">
        <v>0</v>
      </c>
      <c r="EL2" s="59">
        <v>0</v>
      </c>
      <c r="EM2" s="58">
        <v>0</v>
      </c>
      <c r="EN2" s="58">
        <v>0</v>
      </c>
      <c r="EO2" s="58">
        <v>0</v>
      </c>
      <c r="EP2" s="58">
        <v>0</v>
      </c>
      <c r="EQ2" s="58">
        <v>0</v>
      </c>
      <c r="ER2" s="58">
        <v>0</v>
      </c>
      <c r="ES2" s="58">
        <v>0</v>
      </c>
      <c r="ET2" s="58">
        <v>0</v>
      </c>
      <c r="EU2" s="58">
        <v>0</v>
      </c>
      <c r="EV2" s="58">
        <v>0</v>
      </c>
      <c r="EW2" s="58">
        <v>0</v>
      </c>
      <c r="EX2" s="58">
        <v>0</v>
      </c>
      <c r="EY2" s="59">
        <v>0</v>
      </c>
      <c r="EZ2" s="59">
        <v>0</v>
      </c>
      <c r="FA2" s="59">
        <v>0</v>
      </c>
      <c r="FB2" s="59">
        <v>0</v>
      </c>
      <c r="FC2" s="59">
        <v>0</v>
      </c>
      <c r="FD2" s="59">
        <v>0</v>
      </c>
      <c r="FE2" s="59">
        <v>0</v>
      </c>
      <c r="FF2" s="59">
        <v>0</v>
      </c>
      <c r="FG2" s="59">
        <v>0</v>
      </c>
      <c r="FH2" s="59">
        <v>0</v>
      </c>
      <c r="FI2" s="59">
        <v>0</v>
      </c>
      <c r="FJ2" s="60">
        <v>0</v>
      </c>
    </row>
    <row r="3" spans="1:166" ht="8.4499999999999993" customHeight="1" thickBot="1" x14ac:dyDescent="0.35"/>
    <row r="4" spans="1:166" s="1" customFormat="1" ht="23.25" customHeight="1" x14ac:dyDescent="0.3">
      <c r="A4" s="149" t="s">
        <v>0</v>
      </c>
      <c r="B4" s="150" t="s">
        <v>1</v>
      </c>
      <c r="C4" s="150" t="s">
        <v>2</v>
      </c>
      <c r="D4" s="150" t="s">
        <v>3</v>
      </c>
      <c r="E4" s="150" t="s">
        <v>4</v>
      </c>
      <c r="F4" s="151" t="s">
        <v>148</v>
      </c>
      <c r="G4" s="151" t="s">
        <v>149</v>
      </c>
      <c r="H4" s="151" t="s">
        <v>150</v>
      </c>
      <c r="I4" s="151" t="s">
        <v>151</v>
      </c>
      <c r="J4" s="151" t="s">
        <v>5</v>
      </c>
      <c r="K4" s="151" t="s">
        <v>154</v>
      </c>
      <c r="L4" s="151" t="s">
        <v>6</v>
      </c>
      <c r="M4" s="151" t="s">
        <v>7</v>
      </c>
      <c r="N4" s="151" t="s">
        <v>8</v>
      </c>
      <c r="O4" s="150" t="s">
        <v>9</v>
      </c>
      <c r="P4" s="150" t="s">
        <v>10</v>
      </c>
      <c r="Q4" s="150" t="s">
        <v>11</v>
      </c>
      <c r="R4" s="150" t="s">
        <v>12</v>
      </c>
      <c r="S4" s="150" t="s">
        <v>13</v>
      </c>
      <c r="T4" s="150" t="s">
        <v>42</v>
      </c>
      <c r="U4" s="151" t="s">
        <v>16</v>
      </c>
      <c r="V4" s="151" t="s">
        <v>269</v>
      </c>
      <c r="W4" s="151" t="s">
        <v>15</v>
      </c>
      <c r="X4" s="151" t="s">
        <v>41</v>
      </c>
      <c r="Y4" s="151" t="s">
        <v>139</v>
      </c>
      <c r="Z4" s="151" t="s">
        <v>140</v>
      </c>
      <c r="AA4" s="151" t="s">
        <v>141</v>
      </c>
      <c r="AB4" s="151" t="s">
        <v>142</v>
      </c>
      <c r="AC4" s="151" t="s">
        <v>143</v>
      </c>
      <c r="AD4" s="151" t="s">
        <v>144</v>
      </c>
      <c r="AE4" s="151" t="s">
        <v>145</v>
      </c>
      <c r="AF4" s="151" t="s">
        <v>146</v>
      </c>
      <c r="AG4" s="151" t="s">
        <v>147</v>
      </c>
      <c r="AH4" s="151" t="s">
        <v>183</v>
      </c>
      <c r="AI4" s="153" t="s">
        <v>17</v>
      </c>
      <c r="AJ4" s="153" t="s">
        <v>18</v>
      </c>
      <c r="AK4" s="153" t="s">
        <v>19</v>
      </c>
      <c r="AL4" s="153" t="s">
        <v>20</v>
      </c>
      <c r="AM4" s="153" t="s">
        <v>21</v>
      </c>
      <c r="AN4" s="153" t="s">
        <v>22</v>
      </c>
      <c r="AO4" s="153" t="s">
        <v>23</v>
      </c>
      <c r="AP4" s="153" t="s">
        <v>24</v>
      </c>
      <c r="AQ4" s="153" t="s">
        <v>25</v>
      </c>
      <c r="AR4" s="153" t="s">
        <v>26</v>
      </c>
      <c r="AS4" s="153" t="s">
        <v>27</v>
      </c>
      <c r="AT4" s="153" t="s">
        <v>28</v>
      </c>
      <c r="AU4" s="151" t="s">
        <v>29</v>
      </c>
      <c r="AV4" s="151" t="s">
        <v>30</v>
      </c>
      <c r="AW4" s="151" t="s">
        <v>31</v>
      </c>
      <c r="AX4" s="151" t="s">
        <v>32</v>
      </c>
      <c r="AY4" s="151" t="s">
        <v>33</v>
      </c>
      <c r="AZ4" s="151" t="s">
        <v>34</v>
      </c>
      <c r="BA4" s="151" t="s">
        <v>35</v>
      </c>
      <c r="BB4" s="151" t="s">
        <v>36</v>
      </c>
      <c r="BC4" s="151" t="s">
        <v>37</v>
      </c>
      <c r="BD4" s="151" t="s">
        <v>38</v>
      </c>
      <c r="BE4" s="151" t="s">
        <v>39</v>
      </c>
      <c r="BF4" s="151" t="s">
        <v>40</v>
      </c>
      <c r="BG4" s="153" t="s">
        <v>43</v>
      </c>
      <c r="BH4" s="153" t="s">
        <v>44</v>
      </c>
      <c r="BI4" s="153" t="s">
        <v>45</v>
      </c>
      <c r="BJ4" s="153" t="s">
        <v>46</v>
      </c>
      <c r="BK4" s="153" t="s">
        <v>47</v>
      </c>
      <c r="BL4" s="153" t="s">
        <v>48</v>
      </c>
      <c r="BM4" s="153" t="s">
        <v>49</v>
      </c>
      <c r="BN4" s="153" t="s">
        <v>50</v>
      </c>
      <c r="BO4" s="153" t="s">
        <v>51</v>
      </c>
      <c r="BP4" s="153" t="s">
        <v>52</v>
      </c>
      <c r="BQ4" s="153" t="s">
        <v>53</v>
      </c>
      <c r="BR4" s="153" t="s">
        <v>54</v>
      </c>
      <c r="BS4" s="151" t="s">
        <v>55</v>
      </c>
      <c r="BT4" s="151" t="s">
        <v>56</v>
      </c>
      <c r="BU4" s="151" t="s">
        <v>57</v>
      </c>
      <c r="BV4" s="151" t="s">
        <v>58</v>
      </c>
      <c r="BW4" s="151" t="s">
        <v>59</v>
      </c>
      <c r="BX4" s="151" t="s">
        <v>60</v>
      </c>
      <c r="BY4" s="151" t="s">
        <v>61</v>
      </c>
      <c r="BZ4" s="151" t="s">
        <v>62</v>
      </c>
      <c r="CA4" s="151" t="s">
        <v>63</v>
      </c>
      <c r="CB4" s="151" t="s">
        <v>64</v>
      </c>
      <c r="CC4" s="151" t="s">
        <v>65</v>
      </c>
      <c r="CD4" s="151" t="s">
        <v>66</v>
      </c>
      <c r="CE4" s="153" t="s">
        <v>67</v>
      </c>
      <c r="CF4" s="153" t="s">
        <v>68</v>
      </c>
      <c r="CG4" s="153" t="s">
        <v>69</v>
      </c>
      <c r="CH4" s="153" t="s">
        <v>70</v>
      </c>
      <c r="CI4" s="153" t="s">
        <v>71</v>
      </c>
      <c r="CJ4" s="153" t="s">
        <v>72</v>
      </c>
      <c r="CK4" s="153" t="s">
        <v>73</v>
      </c>
      <c r="CL4" s="153" t="s">
        <v>74</v>
      </c>
      <c r="CM4" s="153" t="s">
        <v>75</v>
      </c>
      <c r="CN4" s="153" t="s">
        <v>76</v>
      </c>
      <c r="CO4" s="153" t="s">
        <v>77</v>
      </c>
      <c r="CP4" s="153" t="s">
        <v>78</v>
      </c>
      <c r="CQ4" s="151" t="s">
        <v>79</v>
      </c>
      <c r="CR4" s="151" t="s">
        <v>80</v>
      </c>
      <c r="CS4" s="151" t="s">
        <v>81</v>
      </c>
      <c r="CT4" s="151" t="s">
        <v>82</v>
      </c>
      <c r="CU4" s="151" t="s">
        <v>83</v>
      </c>
      <c r="CV4" s="151" t="s">
        <v>84</v>
      </c>
      <c r="CW4" s="151" t="s">
        <v>85</v>
      </c>
      <c r="CX4" s="151" t="s">
        <v>86</v>
      </c>
      <c r="CY4" s="151" t="s">
        <v>87</v>
      </c>
      <c r="CZ4" s="151" t="s">
        <v>88</v>
      </c>
      <c r="DA4" s="151" t="s">
        <v>89</v>
      </c>
      <c r="DB4" s="151" t="s">
        <v>90</v>
      </c>
      <c r="DC4" s="153" t="s">
        <v>91</v>
      </c>
      <c r="DD4" s="153" t="s">
        <v>92</v>
      </c>
      <c r="DE4" s="153" t="s">
        <v>93</v>
      </c>
      <c r="DF4" s="153" t="s">
        <v>94</v>
      </c>
      <c r="DG4" s="153" t="s">
        <v>95</v>
      </c>
      <c r="DH4" s="153" t="s">
        <v>96</v>
      </c>
      <c r="DI4" s="153" t="s">
        <v>97</v>
      </c>
      <c r="DJ4" s="153" t="s">
        <v>98</v>
      </c>
      <c r="DK4" s="153" t="s">
        <v>99</v>
      </c>
      <c r="DL4" s="153" t="s">
        <v>100</v>
      </c>
      <c r="DM4" s="153" t="s">
        <v>101</v>
      </c>
      <c r="DN4" s="153" t="s">
        <v>102</v>
      </c>
      <c r="DO4" s="151" t="s">
        <v>103</v>
      </c>
      <c r="DP4" s="151" t="s">
        <v>104</v>
      </c>
      <c r="DQ4" s="151" t="s">
        <v>105</v>
      </c>
      <c r="DR4" s="151" t="s">
        <v>106</v>
      </c>
      <c r="DS4" s="151" t="s">
        <v>107</v>
      </c>
      <c r="DT4" s="151" t="s">
        <v>108</v>
      </c>
      <c r="DU4" s="151" t="s">
        <v>109</v>
      </c>
      <c r="DV4" s="151" t="s">
        <v>110</v>
      </c>
      <c r="DW4" s="151" t="s">
        <v>111</v>
      </c>
      <c r="DX4" s="151" t="s">
        <v>112</v>
      </c>
      <c r="DY4" s="151" t="s">
        <v>113</v>
      </c>
      <c r="DZ4" s="151" t="s">
        <v>114</v>
      </c>
      <c r="EA4" s="153" t="s">
        <v>115</v>
      </c>
      <c r="EB4" s="153" t="s">
        <v>116</v>
      </c>
      <c r="EC4" s="153" t="s">
        <v>117</v>
      </c>
      <c r="ED4" s="153" t="s">
        <v>118</v>
      </c>
      <c r="EE4" s="153" t="s">
        <v>119</v>
      </c>
      <c r="EF4" s="153" t="s">
        <v>120</v>
      </c>
      <c r="EG4" s="153" t="s">
        <v>121</v>
      </c>
      <c r="EH4" s="153" t="s">
        <v>122</v>
      </c>
      <c r="EI4" s="153" t="s">
        <v>123</v>
      </c>
      <c r="EJ4" s="153" t="s">
        <v>124</v>
      </c>
      <c r="EK4" s="153" t="s">
        <v>125</v>
      </c>
      <c r="EL4" s="153" t="s">
        <v>126</v>
      </c>
      <c r="EM4" s="151" t="s">
        <v>127</v>
      </c>
      <c r="EN4" s="151" t="s">
        <v>128</v>
      </c>
      <c r="EO4" s="151" t="s">
        <v>129</v>
      </c>
      <c r="EP4" s="151" t="s">
        <v>130</v>
      </c>
      <c r="EQ4" s="151" t="s">
        <v>131</v>
      </c>
      <c r="ER4" s="151" t="s">
        <v>132</v>
      </c>
      <c r="ES4" s="151" t="s">
        <v>133</v>
      </c>
      <c r="ET4" s="151" t="s">
        <v>134</v>
      </c>
      <c r="EU4" s="151" t="s">
        <v>135</v>
      </c>
      <c r="EV4" s="151" t="s">
        <v>136</v>
      </c>
      <c r="EW4" s="151" t="s">
        <v>137</v>
      </c>
      <c r="EX4" s="151" t="s">
        <v>138</v>
      </c>
      <c r="EY4" s="153" t="s">
        <v>170</v>
      </c>
      <c r="EZ4" s="153" t="s">
        <v>171</v>
      </c>
      <c r="FA4" s="153" t="s">
        <v>172</v>
      </c>
      <c r="FB4" s="153" t="s">
        <v>173</v>
      </c>
      <c r="FC4" s="153" t="s">
        <v>174</v>
      </c>
      <c r="FD4" s="153" t="s">
        <v>175</v>
      </c>
      <c r="FE4" s="153" t="s">
        <v>176</v>
      </c>
      <c r="FF4" s="153" t="s">
        <v>177</v>
      </c>
      <c r="FG4" s="153" t="s">
        <v>178</v>
      </c>
      <c r="FH4" s="153" t="s">
        <v>179</v>
      </c>
      <c r="FI4" s="153" t="s">
        <v>180</v>
      </c>
      <c r="FJ4" s="31" t="s">
        <v>181</v>
      </c>
    </row>
    <row r="5" spans="1:166" x14ac:dyDescent="0.3">
      <c r="A5" s="400" t="s">
        <v>662</v>
      </c>
      <c r="B5" s="101" t="s">
        <v>424</v>
      </c>
      <c r="C5" s="101" t="s">
        <v>657</v>
      </c>
      <c r="D5" s="101" t="s">
        <v>14</v>
      </c>
      <c r="E5" s="101" t="s">
        <v>654</v>
      </c>
      <c r="F5" s="101" t="s">
        <v>274</v>
      </c>
      <c r="G5" s="101" t="s">
        <v>607</v>
      </c>
      <c r="H5" s="101" t="s">
        <v>305</v>
      </c>
      <c r="I5" s="101">
        <v>0</v>
      </c>
      <c r="J5" s="101" t="s">
        <v>661</v>
      </c>
      <c r="K5" s="101">
        <v>0</v>
      </c>
      <c r="L5" s="101" t="s">
        <v>307</v>
      </c>
      <c r="M5" s="100">
        <v>3</v>
      </c>
      <c r="N5" s="100">
        <v>0</v>
      </c>
      <c r="O5" s="396">
        <v>10000000</v>
      </c>
      <c r="P5" s="396">
        <f>M5*O5</f>
        <v>30000000</v>
      </c>
      <c r="Q5" s="100">
        <v>0</v>
      </c>
      <c r="R5" s="100">
        <v>0</v>
      </c>
      <c r="S5" s="397">
        <v>0</v>
      </c>
      <c r="T5" s="398">
        <v>1</v>
      </c>
      <c r="U5" s="101">
        <v>0</v>
      </c>
      <c r="V5" s="100">
        <v>0</v>
      </c>
      <c r="W5" s="100">
        <v>0</v>
      </c>
      <c r="X5" s="100">
        <v>0</v>
      </c>
      <c r="Y5" s="100">
        <v>0</v>
      </c>
      <c r="Z5" s="100">
        <v>0</v>
      </c>
      <c r="AA5" s="100">
        <v>0</v>
      </c>
      <c r="AB5" s="100">
        <v>0</v>
      </c>
      <c r="AC5" s="100">
        <v>0</v>
      </c>
      <c r="AD5" s="100">
        <v>0</v>
      </c>
      <c r="AE5" s="100">
        <v>0</v>
      </c>
      <c r="AF5" s="100">
        <v>0</v>
      </c>
      <c r="AG5" s="100">
        <v>0</v>
      </c>
      <c r="AH5" s="100">
        <v>0</v>
      </c>
      <c r="AI5" s="100">
        <v>0</v>
      </c>
      <c r="AJ5" s="100">
        <v>0</v>
      </c>
      <c r="AK5" s="100">
        <v>0</v>
      </c>
      <c r="AL5" s="100">
        <v>0</v>
      </c>
      <c r="AM5" s="100">
        <v>0</v>
      </c>
      <c r="AN5" s="100">
        <v>0</v>
      </c>
      <c r="AO5" s="100">
        <v>0</v>
      </c>
      <c r="AP5" s="100">
        <v>0</v>
      </c>
      <c r="AQ5" s="100">
        <v>0</v>
      </c>
      <c r="AR5" s="100">
        <v>0</v>
      </c>
      <c r="AS5" s="100">
        <v>0</v>
      </c>
      <c r="AT5" s="100">
        <v>0</v>
      </c>
      <c r="AU5" s="100">
        <v>0</v>
      </c>
      <c r="AV5" s="100">
        <v>0</v>
      </c>
      <c r="AW5" s="100">
        <v>0</v>
      </c>
      <c r="AX5" s="100">
        <v>0</v>
      </c>
      <c r="AY5" s="100">
        <v>0</v>
      </c>
      <c r="AZ5" s="100">
        <v>0</v>
      </c>
      <c r="BA5" s="100">
        <v>0</v>
      </c>
      <c r="BB5" s="100">
        <v>0</v>
      </c>
      <c r="BC5" s="100">
        <v>0</v>
      </c>
      <c r="BD5" s="100">
        <v>0</v>
      </c>
      <c r="BE5" s="100">
        <v>0</v>
      </c>
      <c r="BF5" s="100">
        <v>0</v>
      </c>
      <c r="BG5" s="100">
        <v>0</v>
      </c>
      <c r="BH5" s="100">
        <v>0</v>
      </c>
      <c r="BI5" s="100">
        <v>0</v>
      </c>
      <c r="BJ5" s="100">
        <v>0</v>
      </c>
      <c r="BK5" s="100">
        <v>0</v>
      </c>
      <c r="BL5" s="100">
        <v>0</v>
      </c>
      <c r="BM5" s="100">
        <v>0</v>
      </c>
      <c r="BN5" s="100">
        <v>0</v>
      </c>
      <c r="BO5" s="100">
        <v>0</v>
      </c>
      <c r="BP5" s="100">
        <v>0</v>
      </c>
      <c r="BQ5" s="100">
        <v>0</v>
      </c>
      <c r="BR5" s="100">
        <v>0</v>
      </c>
      <c r="BS5" s="100">
        <v>0</v>
      </c>
      <c r="BT5" s="100">
        <v>0</v>
      </c>
      <c r="BU5" s="100">
        <v>0</v>
      </c>
      <c r="BV5" s="100">
        <v>0</v>
      </c>
      <c r="BW5" s="100">
        <v>0</v>
      </c>
      <c r="BX5" s="100">
        <v>0</v>
      </c>
      <c r="BY5" s="100">
        <v>0</v>
      </c>
      <c r="BZ5" s="100">
        <v>0</v>
      </c>
      <c r="CA5" s="100">
        <v>0</v>
      </c>
      <c r="CB5" s="100">
        <v>0</v>
      </c>
      <c r="CC5" s="100">
        <v>0</v>
      </c>
      <c r="CD5" s="100">
        <v>0</v>
      </c>
      <c r="CE5" s="100">
        <v>0</v>
      </c>
      <c r="CF5" s="100">
        <v>0</v>
      </c>
      <c r="CG5" s="100">
        <v>0</v>
      </c>
      <c r="CH5" s="100">
        <v>0</v>
      </c>
      <c r="CI5" s="100">
        <v>0</v>
      </c>
      <c r="CJ5" s="100">
        <v>0</v>
      </c>
      <c r="CK5" s="100">
        <v>0</v>
      </c>
      <c r="CL5" s="100">
        <v>0</v>
      </c>
      <c r="CM5" s="100">
        <v>0</v>
      </c>
      <c r="CN5" s="100">
        <v>0</v>
      </c>
      <c r="CO5" s="100">
        <v>0</v>
      </c>
      <c r="CP5" s="100">
        <v>0</v>
      </c>
      <c r="CQ5" s="100">
        <v>0</v>
      </c>
      <c r="CR5" s="100">
        <v>0</v>
      </c>
      <c r="CS5" s="100">
        <v>0</v>
      </c>
      <c r="CT5" s="100">
        <v>0</v>
      </c>
      <c r="CU5" s="100">
        <v>0</v>
      </c>
      <c r="CV5" s="100">
        <v>0</v>
      </c>
      <c r="CW5" s="100">
        <v>0</v>
      </c>
      <c r="CX5" s="100">
        <v>0</v>
      </c>
      <c r="CY5" s="100">
        <v>0</v>
      </c>
      <c r="CZ5" s="100">
        <v>0</v>
      </c>
      <c r="DA5" s="100">
        <v>0</v>
      </c>
      <c r="DB5" s="100">
        <v>0</v>
      </c>
      <c r="DC5" s="100">
        <v>0</v>
      </c>
      <c r="DD5" s="100">
        <v>0</v>
      </c>
      <c r="DE5" s="100">
        <v>0</v>
      </c>
      <c r="DF5" s="100">
        <v>0</v>
      </c>
      <c r="DG5" s="100">
        <v>0</v>
      </c>
      <c r="DH5" s="100">
        <v>0</v>
      </c>
      <c r="DI5" s="100">
        <v>0</v>
      </c>
      <c r="DJ5" s="100">
        <v>0</v>
      </c>
      <c r="DK5" s="100">
        <v>0</v>
      </c>
      <c r="DL5" s="100">
        <v>0</v>
      </c>
      <c r="DM5" s="100">
        <v>0</v>
      </c>
      <c r="DN5" s="100">
        <v>0</v>
      </c>
      <c r="DO5" s="100">
        <v>0</v>
      </c>
      <c r="DP5" s="100">
        <v>0</v>
      </c>
      <c r="DQ5" s="100">
        <v>0</v>
      </c>
      <c r="DR5" s="100">
        <v>0</v>
      </c>
      <c r="DS5" s="100">
        <v>0</v>
      </c>
      <c r="DT5" s="100">
        <v>0</v>
      </c>
      <c r="DU5" s="100">
        <v>0</v>
      </c>
      <c r="DV5" s="100">
        <v>0</v>
      </c>
      <c r="DW5" s="100">
        <v>0</v>
      </c>
      <c r="DX5" s="100">
        <v>0</v>
      </c>
      <c r="DY5" s="100">
        <v>0</v>
      </c>
      <c r="DZ5" s="100">
        <v>0</v>
      </c>
      <c r="EA5" s="100">
        <v>0</v>
      </c>
      <c r="EB5" s="100">
        <v>0</v>
      </c>
      <c r="EC5" s="100">
        <v>0</v>
      </c>
      <c r="ED5" s="100">
        <v>0</v>
      </c>
      <c r="EE5" s="100">
        <v>0</v>
      </c>
      <c r="EF5" s="100">
        <v>0</v>
      </c>
      <c r="EG5" s="100">
        <v>0</v>
      </c>
      <c r="EH5" s="100">
        <v>0</v>
      </c>
      <c r="EI5" s="100">
        <v>0</v>
      </c>
      <c r="EJ5" s="100">
        <v>0</v>
      </c>
      <c r="EK5" s="100">
        <v>0</v>
      </c>
      <c r="EL5" s="100">
        <v>0</v>
      </c>
      <c r="EM5" s="100">
        <v>0</v>
      </c>
      <c r="EN5" s="100">
        <v>0</v>
      </c>
      <c r="EO5" s="100">
        <v>0</v>
      </c>
      <c r="EP5" s="100">
        <v>0</v>
      </c>
      <c r="EQ5" s="100">
        <v>0</v>
      </c>
      <c r="ER5" s="100">
        <v>0</v>
      </c>
      <c r="ES5" s="100">
        <v>0</v>
      </c>
      <c r="ET5" s="100">
        <v>0</v>
      </c>
      <c r="EU5" s="100">
        <v>0</v>
      </c>
      <c r="EV5" s="100">
        <v>0</v>
      </c>
      <c r="EW5" s="100">
        <v>0</v>
      </c>
      <c r="EX5" s="100">
        <v>0</v>
      </c>
      <c r="EY5" s="100">
        <v>0</v>
      </c>
      <c r="EZ5" s="100">
        <v>0</v>
      </c>
      <c r="FA5" s="100">
        <v>0</v>
      </c>
      <c r="FB5" s="100">
        <v>0</v>
      </c>
      <c r="FC5" s="100">
        <v>0</v>
      </c>
      <c r="FD5" s="100">
        <v>0</v>
      </c>
      <c r="FE5" s="100">
        <v>0</v>
      </c>
      <c r="FF5" s="100">
        <v>0</v>
      </c>
      <c r="FG5" s="100">
        <v>0</v>
      </c>
      <c r="FH5" s="100">
        <v>0</v>
      </c>
      <c r="FI5" s="100">
        <v>0</v>
      </c>
      <c r="FJ5" s="70">
        <v>0</v>
      </c>
    </row>
    <row r="6" spans="1:166" x14ac:dyDescent="0.3">
      <c r="A6" s="401" t="s">
        <v>663</v>
      </c>
      <c r="B6" s="103" t="s">
        <v>424</v>
      </c>
      <c r="C6" s="103" t="s">
        <v>657</v>
      </c>
      <c r="D6" s="103" t="s">
        <v>14</v>
      </c>
      <c r="E6" s="103" t="s">
        <v>654</v>
      </c>
      <c r="F6" s="103" t="s">
        <v>274</v>
      </c>
      <c r="G6" s="103" t="s">
        <v>611</v>
      </c>
      <c r="H6" s="103" t="s">
        <v>305</v>
      </c>
      <c r="I6" s="103">
        <v>0</v>
      </c>
      <c r="J6" s="103" t="s">
        <v>661</v>
      </c>
      <c r="K6" s="103">
        <v>0</v>
      </c>
      <c r="L6" s="103" t="s">
        <v>307</v>
      </c>
      <c r="M6" s="102">
        <v>2</v>
      </c>
      <c r="N6" s="102">
        <v>0</v>
      </c>
      <c r="O6" s="393">
        <v>10000000</v>
      </c>
      <c r="P6" s="393">
        <f t="shared" ref="P6:P69" si="0">M6*O6</f>
        <v>20000000</v>
      </c>
      <c r="Q6" s="102">
        <v>0</v>
      </c>
      <c r="R6" s="102">
        <v>0</v>
      </c>
      <c r="S6" s="394">
        <v>0</v>
      </c>
      <c r="T6" s="395">
        <v>1</v>
      </c>
      <c r="U6" s="103">
        <v>0</v>
      </c>
      <c r="V6" s="102">
        <v>0</v>
      </c>
      <c r="W6" s="102">
        <v>0</v>
      </c>
      <c r="X6" s="102">
        <v>0</v>
      </c>
      <c r="Y6" s="102">
        <v>0</v>
      </c>
      <c r="Z6" s="102">
        <v>0</v>
      </c>
      <c r="AA6" s="102">
        <v>0</v>
      </c>
      <c r="AB6" s="102">
        <v>0</v>
      </c>
      <c r="AC6" s="102">
        <v>0</v>
      </c>
      <c r="AD6" s="102">
        <v>0</v>
      </c>
      <c r="AE6" s="102">
        <v>0</v>
      </c>
      <c r="AF6" s="102">
        <v>0</v>
      </c>
      <c r="AG6" s="102">
        <v>0</v>
      </c>
      <c r="AH6" s="102">
        <v>0</v>
      </c>
      <c r="AI6" s="102">
        <v>0</v>
      </c>
      <c r="AJ6" s="102">
        <v>0</v>
      </c>
      <c r="AK6" s="102">
        <v>0</v>
      </c>
      <c r="AL6" s="102">
        <v>0</v>
      </c>
      <c r="AM6" s="102">
        <v>0</v>
      </c>
      <c r="AN6" s="102">
        <v>0</v>
      </c>
      <c r="AO6" s="102">
        <v>0</v>
      </c>
      <c r="AP6" s="102">
        <v>0</v>
      </c>
      <c r="AQ6" s="102">
        <v>0</v>
      </c>
      <c r="AR6" s="102">
        <v>0</v>
      </c>
      <c r="AS6" s="102">
        <v>0</v>
      </c>
      <c r="AT6" s="102">
        <v>0</v>
      </c>
      <c r="AU6" s="102">
        <v>0</v>
      </c>
      <c r="AV6" s="102">
        <v>0</v>
      </c>
      <c r="AW6" s="102">
        <v>0</v>
      </c>
      <c r="AX6" s="102">
        <v>0</v>
      </c>
      <c r="AY6" s="102">
        <v>0</v>
      </c>
      <c r="AZ6" s="102">
        <v>0</v>
      </c>
      <c r="BA6" s="102">
        <v>0</v>
      </c>
      <c r="BB6" s="102">
        <v>0</v>
      </c>
      <c r="BC6" s="102">
        <v>0</v>
      </c>
      <c r="BD6" s="102">
        <v>0</v>
      </c>
      <c r="BE6" s="102">
        <v>0</v>
      </c>
      <c r="BF6" s="102">
        <v>0</v>
      </c>
      <c r="BG6" s="102">
        <v>0</v>
      </c>
      <c r="BH6" s="102">
        <v>0</v>
      </c>
      <c r="BI6" s="102">
        <v>0</v>
      </c>
      <c r="BJ6" s="102">
        <v>0</v>
      </c>
      <c r="BK6" s="102">
        <v>0</v>
      </c>
      <c r="BL6" s="102">
        <v>0</v>
      </c>
      <c r="BM6" s="102">
        <v>0</v>
      </c>
      <c r="BN6" s="102">
        <v>0</v>
      </c>
      <c r="BO6" s="102">
        <v>0</v>
      </c>
      <c r="BP6" s="102">
        <v>0</v>
      </c>
      <c r="BQ6" s="102">
        <v>0</v>
      </c>
      <c r="BR6" s="102">
        <v>0</v>
      </c>
      <c r="BS6" s="102">
        <v>0</v>
      </c>
      <c r="BT6" s="102">
        <v>0</v>
      </c>
      <c r="BU6" s="102">
        <v>0</v>
      </c>
      <c r="BV6" s="102">
        <v>0</v>
      </c>
      <c r="BW6" s="102">
        <v>0</v>
      </c>
      <c r="BX6" s="102">
        <v>0</v>
      </c>
      <c r="BY6" s="102">
        <v>0</v>
      </c>
      <c r="BZ6" s="102">
        <v>0</v>
      </c>
      <c r="CA6" s="102">
        <v>0</v>
      </c>
      <c r="CB6" s="102">
        <v>0</v>
      </c>
      <c r="CC6" s="102">
        <v>0</v>
      </c>
      <c r="CD6" s="102">
        <v>0</v>
      </c>
      <c r="CE6" s="102">
        <v>0</v>
      </c>
      <c r="CF6" s="102">
        <v>0</v>
      </c>
      <c r="CG6" s="102">
        <v>0</v>
      </c>
      <c r="CH6" s="102">
        <v>0</v>
      </c>
      <c r="CI6" s="102">
        <v>0</v>
      </c>
      <c r="CJ6" s="102">
        <v>0</v>
      </c>
      <c r="CK6" s="102">
        <v>0</v>
      </c>
      <c r="CL6" s="102">
        <v>0</v>
      </c>
      <c r="CM6" s="102">
        <v>0</v>
      </c>
      <c r="CN6" s="102">
        <v>0</v>
      </c>
      <c r="CO6" s="102">
        <v>0</v>
      </c>
      <c r="CP6" s="102">
        <v>0</v>
      </c>
      <c r="CQ6" s="102">
        <v>0</v>
      </c>
      <c r="CR6" s="102">
        <v>0</v>
      </c>
      <c r="CS6" s="102">
        <v>0</v>
      </c>
      <c r="CT6" s="102">
        <v>0</v>
      </c>
      <c r="CU6" s="102">
        <v>0</v>
      </c>
      <c r="CV6" s="102">
        <v>0</v>
      </c>
      <c r="CW6" s="102">
        <v>0</v>
      </c>
      <c r="CX6" s="102">
        <v>0</v>
      </c>
      <c r="CY6" s="102">
        <v>0</v>
      </c>
      <c r="CZ6" s="102">
        <v>0</v>
      </c>
      <c r="DA6" s="102">
        <v>0</v>
      </c>
      <c r="DB6" s="102">
        <v>0</v>
      </c>
      <c r="DC6" s="102">
        <v>0</v>
      </c>
      <c r="DD6" s="102">
        <v>0</v>
      </c>
      <c r="DE6" s="102">
        <v>0</v>
      </c>
      <c r="DF6" s="102">
        <v>0</v>
      </c>
      <c r="DG6" s="102">
        <v>0</v>
      </c>
      <c r="DH6" s="102">
        <v>0</v>
      </c>
      <c r="DI6" s="102">
        <v>0</v>
      </c>
      <c r="DJ6" s="102">
        <v>0</v>
      </c>
      <c r="DK6" s="102">
        <v>0</v>
      </c>
      <c r="DL6" s="102">
        <v>0</v>
      </c>
      <c r="DM6" s="102">
        <v>0</v>
      </c>
      <c r="DN6" s="102">
        <v>0</v>
      </c>
      <c r="DO6" s="102">
        <v>0</v>
      </c>
      <c r="DP6" s="102">
        <v>0</v>
      </c>
      <c r="DQ6" s="102">
        <v>0</v>
      </c>
      <c r="DR6" s="102">
        <v>0</v>
      </c>
      <c r="DS6" s="102">
        <v>0</v>
      </c>
      <c r="DT6" s="102">
        <v>0</v>
      </c>
      <c r="DU6" s="102">
        <v>0</v>
      </c>
      <c r="DV6" s="102">
        <v>0</v>
      </c>
      <c r="DW6" s="102">
        <v>0</v>
      </c>
      <c r="DX6" s="102">
        <v>0</v>
      </c>
      <c r="DY6" s="102">
        <v>0</v>
      </c>
      <c r="DZ6" s="102">
        <v>0</v>
      </c>
      <c r="EA6" s="102">
        <v>0</v>
      </c>
      <c r="EB6" s="102">
        <v>0</v>
      </c>
      <c r="EC6" s="102">
        <v>0</v>
      </c>
      <c r="ED6" s="102">
        <v>0</v>
      </c>
      <c r="EE6" s="102">
        <v>0</v>
      </c>
      <c r="EF6" s="102">
        <v>0</v>
      </c>
      <c r="EG6" s="102">
        <v>0</v>
      </c>
      <c r="EH6" s="102">
        <v>0</v>
      </c>
      <c r="EI6" s="102">
        <v>0</v>
      </c>
      <c r="EJ6" s="102">
        <v>0</v>
      </c>
      <c r="EK6" s="102">
        <v>0</v>
      </c>
      <c r="EL6" s="102">
        <v>0</v>
      </c>
      <c r="EM6" s="102">
        <v>0</v>
      </c>
      <c r="EN6" s="102">
        <v>0</v>
      </c>
      <c r="EO6" s="102">
        <v>0</v>
      </c>
      <c r="EP6" s="102">
        <v>0</v>
      </c>
      <c r="EQ6" s="102">
        <v>0</v>
      </c>
      <c r="ER6" s="102">
        <v>0</v>
      </c>
      <c r="ES6" s="102">
        <v>0</v>
      </c>
      <c r="ET6" s="102">
        <v>0</v>
      </c>
      <c r="EU6" s="102">
        <v>0</v>
      </c>
      <c r="EV6" s="102">
        <v>0</v>
      </c>
      <c r="EW6" s="102">
        <v>0</v>
      </c>
      <c r="EX6" s="102">
        <v>0</v>
      </c>
      <c r="EY6" s="102">
        <v>0</v>
      </c>
      <c r="EZ6" s="102">
        <v>0</v>
      </c>
      <c r="FA6" s="102">
        <v>0</v>
      </c>
      <c r="FB6" s="102">
        <v>0</v>
      </c>
      <c r="FC6" s="102">
        <v>0</v>
      </c>
      <c r="FD6" s="102">
        <v>0</v>
      </c>
      <c r="FE6" s="102">
        <v>0</v>
      </c>
      <c r="FF6" s="102">
        <v>0</v>
      </c>
      <c r="FG6" s="102">
        <v>0</v>
      </c>
      <c r="FH6" s="102">
        <v>0</v>
      </c>
      <c r="FI6" s="102">
        <v>0</v>
      </c>
      <c r="FJ6" s="71">
        <v>0</v>
      </c>
    </row>
    <row r="7" spans="1:166" x14ac:dyDescent="0.3">
      <c r="A7" s="401" t="s">
        <v>664</v>
      </c>
      <c r="B7" s="103" t="s">
        <v>424</v>
      </c>
      <c r="C7" s="103" t="s">
        <v>657</v>
      </c>
      <c r="D7" s="103" t="s">
        <v>14</v>
      </c>
      <c r="E7" s="103" t="s">
        <v>654</v>
      </c>
      <c r="F7" s="103" t="s">
        <v>274</v>
      </c>
      <c r="G7" s="103" t="s">
        <v>612</v>
      </c>
      <c r="H7" s="103" t="s">
        <v>306</v>
      </c>
      <c r="I7" s="103">
        <v>0</v>
      </c>
      <c r="J7" s="103" t="s">
        <v>661</v>
      </c>
      <c r="K7" s="103">
        <v>0</v>
      </c>
      <c r="L7" s="103" t="s">
        <v>307</v>
      </c>
      <c r="M7" s="102">
        <v>3</v>
      </c>
      <c r="N7" s="102">
        <v>0</v>
      </c>
      <c r="O7" s="393">
        <v>9000000</v>
      </c>
      <c r="P7" s="393">
        <f t="shared" si="0"/>
        <v>27000000</v>
      </c>
      <c r="Q7" s="102">
        <v>0</v>
      </c>
      <c r="R7" s="102">
        <v>0</v>
      </c>
      <c r="S7" s="394">
        <v>0</v>
      </c>
      <c r="T7" s="395">
        <v>1</v>
      </c>
      <c r="U7" s="103">
        <v>0</v>
      </c>
      <c r="V7" s="102">
        <v>0</v>
      </c>
      <c r="W7" s="102">
        <v>0</v>
      </c>
      <c r="X7" s="102">
        <v>0</v>
      </c>
      <c r="Y7" s="102">
        <v>0</v>
      </c>
      <c r="Z7" s="102">
        <v>0</v>
      </c>
      <c r="AA7" s="102">
        <v>0</v>
      </c>
      <c r="AB7" s="102">
        <v>0</v>
      </c>
      <c r="AC7" s="102">
        <v>0</v>
      </c>
      <c r="AD7" s="102">
        <v>0</v>
      </c>
      <c r="AE7" s="102">
        <v>0</v>
      </c>
      <c r="AF7" s="102">
        <v>0</v>
      </c>
      <c r="AG7" s="102">
        <v>0</v>
      </c>
      <c r="AH7" s="102">
        <v>0</v>
      </c>
      <c r="AI7" s="102">
        <v>0</v>
      </c>
      <c r="AJ7" s="102">
        <v>0</v>
      </c>
      <c r="AK7" s="102">
        <v>0</v>
      </c>
      <c r="AL7" s="102">
        <v>0</v>
      </c>
      <c r="AM7" s="102">
        <v>0</v>
      </c>
      <c r="AN7" s="102">
        <v>0</v>
      </c>
      <c r="AO7" s="102">
        <v>0</v>
      </c>
      <c r="AP7" s="102">
        <v>0</v>
      </c>
      <c r="AQ7" s="102">
        <v>0</v>
      </c>
      <c r="AR7" s="102">
        <v>0</v>
      </c>
      <c r="AS7" s="102">
        <v>0</v>
      </c>
      <c r="AT7" s="102">
        <v>0</v>
      </c>
      <c r="AU7" s="102">
        <v>0</v>
      </c>
      <c r="AV7" s="102">
        <v>0</v>
      </c>
      <c r="AW7" s="102">
        <v>0</v>
      </c>
      <c r="AX7" s="102">
        <v>0</v>
      </c>
      <c r="AY7" s="102">
        <v>0</v>
      </c>
      <c r="AZ7" s="102">
        <v>0</v>
      </c>
      <c r="BA7" s="102">
        <v>0</v>
      </c>
      <c r="BB7" s="102">
        <v>0</v>
      </c>
      <c r="BC7" s="102">
        <v>0</v>
      </c>
      <c r="BD7" s="102">
        <v>0</v>
      </c>
      <c r="BE7" s="102">
        <v>0</v>
      </c>
      <c r="BF7" s="102">
        <v>0</v>
      </c>
      <c r="BG7" s="102">
        <v>0</v>
      </c>
      <c r="BH7" s="102">
        <v>0</v>
      </c>
      <c r="BI7" s="102">
        <v>0</v>
      </c>
      <c r="BJ7" s="102">
        <v>0</v>
      </c>
      <c r="BK7" s="102">
        <v>0</v>
      </c>
      <c r="BL7" s="102">
        <v>0</v>
      </c>
      <c r="BM7" s="102">
        <v>0</v>
      </c>
      <c r="BN7" s="102">
        <v>0</v>
      </c>
      <c r="BO7" s="102">
        <v>0</v>
      </c>
      <c r="BP7" s="102">
        <v>0</v>
      </c>
      <c r="BQ7" s="102">
        <v>0</v>
      </c>
      <c r="BR7" s="102">
        <v>0</v>
      </c>
      <c r="BS7" s="102">
        <v>0</v>
      </c>
      <c r="BT7" s="102">
        <v>0</v>
      </c>
      <c r="BU7" s="102">
        <v>0</v>
      </c>
      <c r="BV7" s="102">
        <v>0</v>
      </c>
      <c r="BW7" s="102">
        <v>0</v>
      </c>
      <c r="BX7" s="102">
        <v>0</v>
      </c>
      <c r="BY7" s="102">
        <v>0</v>
      </c>
      <c r="BZ7" s="102">
        <v>0</v>
      </c>
      <c r="CA7" s="102">
        <v>0</v>
      </c>
      <c r="CB7" s="102">
        <v>0</v>
      </c>
      <c r="CC7" s="102">
        <v>0</v>
      </c>
      <c r="CD7" s="102">
        <v>0</v>
      </c>
      <c r="CE7" s="102">
        <v>0</v>
      </c>
      <c r="CF7" s="102">
        <v>0</v>
      </c>
      <c r="CG7" s="102">
        <v>0</v>
      </c>
      <c r="CH7" s="102">
        <v>0</v>
      </c>
      <c r="CI7" s="102">
        <v>0</v>
      </c>
      <c r="CJ7" s="102">
        <v>0</v>
      </c>
      <c r="CK7" s="102">
        <v>0</v>
      </c>
      <c r="CL7" s="102">
        <v>0</v>
      </c>
      <c r="CM7" s="102">
        <v>0</v>
      </c>
      <c r="CN7" s="102">
        <v>0</v>
      </c>
      <c r="CO7" s="102">
        <v>0</v>
      </c>
      <c r="CP7" s="102">
        <v>0</v>
      </c>
      <c r="CQ7" s="102">
        <v>0</v>
      </c>
      <c r="CR7" s="102">
        <v>0</v>
      </c>
      <c r="CS7" s="102">
        <v>0</v>
      </c>
      <c r="CT7" s="102">
        <v>0</v>
      </c>
      <c r="CU7" s="102">
        <v>0</v>
      </c>
      <c r="CV7" s="102">
        <v>0</v>
      </c>
      <c r="CW7" s="102">
        <v>0</v>
      </c>
      <c r="CX7" s="102">
        <v>0</v>
      </c>
      <c r="CY7" s="102">
        <v>0</v>
      </c>
      <c r="CZ7" s="102">
        <v>0</v>
      </c>
      <c r="DA7" s="102">
        <v>0</v>
      </c>
      <c r="DB7" s="102">
        <v>0</v>
      </c>
      <c r="DC7" s="102">
        <v>0</v>
      </c>
      <c r="DD7" s="102">
        <v>0</v>
      </c>
      <c r="DE7" s="102">
        <v>0</v>
      </c>
      <c r="DF7" s="102">
        <v>0</v>
      </c>
      <c r="DG7" s="102">
        <v>0</v>
      </c>
      <c r="DH7" s="102">
        <v>0</v>
      </c>
      <c r="DI7" s="102">
        <v>0</v>
      </c>
      <c r="DJ7" s="102">
        <v>0</v>
      </c>
      <c r="DK7" s="102">
        <v>0</v>
      </c>
      <c r="DL7" s="102">
        <v>0</v>
      </c>
      <c r="DM7" s="102">
        <v>0</v>
      </c>
      <c r="DN7" s="102">
        <v>0</v>
      </c>
      <c r="DO7" s="102">
        <v>0</v>
      </c>
      <c r="DP7" s="102">
        <v>0</v>
      </c>
      <c r="DQ7" s="102">
        <v>0</v>
      </c>
      <c r="DR7" s="102">
        <v>0</v>
      </c>
      <c r="DS7" s="102">
        <v>0</v>
      </c>
      <c r="DT7" s="102">
        <v>0</v>
      </c>
      <c r="DU7" s="102">
        <v>0</v>
      </c>
      <c r="DV7" s="102">
        <v>0</v>
      </c>
      <c r="DW7" s="102">
        <v>0</v>
      </c>
      <c r="DX7" s="102">
        <v>0</v>
      </c>
      <c r="DY7" s="102">
        <v>0</v>
      </c>
      <c r="DZ7" s="102">
        <v>0</v>
      </c>
      <c r="EA7" s="102">
        <v>0</v>
      </c>
      <c r="EB7" s="102">
        <v>0</v>
      </c>
      <c r="EC7" s="102">
        <v>0</v>
      </c>
      <c r="ED7" s="102">
        <v>0</v>
      </c>
      <c r="EE7" s="102">
        <v>0</v>
      </c>
      <c r="EF7" s="102">
        <v>0</v>
      </c>
      <c r="EG7" s="102">
        <v>0</v>
      </c>
      <c r="EH7" s="102">
        <v>0</v>
      </c>
      <c r="EI7" s="102">
        <v>0</v>
      </c>
      <c r="EJ7" s="102">
        <v>0</v>
      </c>
      <c r="EK7" s="102">
        <v>0</v>
      </c>
      <c r="EL7" s="102">
        <v>0</v>
      </c>
      <c r="EM7" s="102">
        <v>0</v>
      </c>
      <c r="EN7" s="102">
        <v>0</v>
      </c>
      <c r="EO7" s="102">
        <v>0</v>
      </c>
      <c r="EP7" s="102">
        <v>0</v>
      </c>
      <c r="EQ7" s="102">
        <v>0</v>
      </c>
      <c r="ER7" s="102">
        <v>0</v>
      </c>
      <c r="ES7" s="102">
        <v>0</v>
      </c>
      <c r="ET7" s="102">
        <v>0</v>
      </c>
      <c r="EU7" s="102">
        <v>0</v>
      </c>
      <c r="EV7" s="102">
        <v>0</v>
      </c>
      <c r="EW7" s="102">
        <v>0</v>
      </c>
      <c r="EX7" s="102">
        <v>0</v>
      </c>
      <c r="EY7" s="102">
        <v>0</v>
      </c>
      <c r="EZ7" s="102">
        <v>0</v>
      </c>
      <c r="FA7" s="102">
        <v>0</v>
      </c>
      <c r="FB7" s="102">
        <v>0</v>
      </c>
      <c r="FC7" s="102">
        <v>0</v>
      </c>
      <c r="FD7" s="102">
        <v>0</v>
      </c>
      <c r="FE7" s="102">
        <v>0</v>
      </c>
      <c r="FF7" s="102">
        <v>0</v>
      </c>
      <c r="FG7" s="102">
        <v>0</v>
      </c>
      <c r="FH7" s="102">
        <v>0</v>
      </c>
      <c r="FI7" s="102">
        <v>0</v>
      </c>
      <c r="FJ7" s="71">
        <v>0</v>
      </c>
    </row>
    <row r="8" spans="1:166" x14ac:dyDescent="0.3">
      <c r="A8" s="401" t="s">
        <v>665</v>
      </c>
      <c r="B8" s="103" t="s">
        <v>424</v>
      </c>
      <c r="C8" s="103" t="s">
        <v>657</v>
      </c>
      <c r="D8" s="103" t="s">
        <v>14</v>
      </c>
      <c r="E8" s="103" t="s">
        <v>654</v>
      </c>
      <c r="F8" s="103" t="s">
        <v>274</v>
      </c>
      <c r="G8" s="103" t="s">
        <v>613</v>
      </c>
      <c r="H8" s="103" t="s">
        <v>306</v>
      </c>
      <c r="I8" s="103">
        <v>0</v>
      </c>
      <c r="J8" s="103" t="s">
        <v>661</v>
      </c>
      <c r="K8" s="103">
        <v>0</v>
      </c>
      <c r="L8" s="103" t="s">
        <v>307</v>
      </c>
      <c r="M8" s="102">
        <v>1</v>
      </c>
      <c r="N8" s="102">
        <v>0</v>
      </c>
      <c r="O8" s="393">
        <v>9000000</v>
      </c>
      <c r="P8" s="393">
        <f t="shared" si="0"/>
        <v>9000000</v>
      </c>
      <c r="Q8" s="102">
        <v>0</v>
      </c>
      <c r="R8" s="102">
        <v>0</v>
      </c>
      <c r="S8" s="394">
        <v>0</v>
      </c>
      <c r="T8" s="395">
        <v>1</v>
      </c>
      <c r="U8" s="103">
        <v>0</v>
      </c>
      <c r="V8" s="102">
        <v>0</v>
      </c>
      <c r="W8" s="102">
        <v>0</v>
      </c>
      <c r="X8" s="102">
        <v>0</v>
      </c>
      <c r="Y8" s="102">
        <v>0</v>
      </c>
      <c r="Z8" s="102">
        <v>0</v>
      </c>
      <c r="AA8" s="102">
        <v>0</v>
      </c>
      <c r="AB8" s="102">
        <v>0</v>
      </c>
      <c r="AC8" s="102">
        <v>0</v>
      </c>
      <c r="AD8" s="102">
        <v>0</v>
      </c>
      <c r="AE8" s="102">
        <v>0</v>
      </c>
      <c r="AF8" s="102">
        <v>0</v>
      </c>
      <c r="AG8" s="102">
        <v>0</v>
      </c>
      <c r="AH8" s="102">
        <v>0</v>
      </c>
      <c r="AI8" s="102">
        <v>0</v>
      </c>
      <c r="AJ8" s="102">
        <v>0</v>
      </c>
      <c r="AK8" s="102">
        <v>0</v>
      </c>
      <c r="AL8" s="102">
        <v>0</v>
      </c>
      <c r="AM8" s="102">
        <v>0</v>
      </c>
      <c r="AN8" s="102">
        <v>0</v>
      </c>
      <c r="AO8" s="102">
        <v>0</v>
      </c>
      <c r="AP8" s="102">
        <v>0</v>
      </c>
      <c r="AQ8" s="102">
        <v>0</v>
      </c>
      <c r="AR8" s="102">
        <v>0</v>
      </c>
      <c r="AS8" s="102">
        <v>0</v>
      </c>
      <c r="AT8" s="102">
        <v>0</v>
      </c>
      <c r="AU8" s="102">
        <v>0</v>
      </c>
      <c r="AV8" s="102">
        <v>0</v>
      </c>
      <c r="AW8" s="102">
        <v>0</v>
      </c>
      <c r="AX8" s="102">
        <v>0</v>
      </c>
      <c r="AY8" s="102">
        <v>0</v>
      </c>
      <c r="AZ8" s="102">
        <v>0</v>
      </c>
      <c r="BA8" s="102">
        <v>0</v>
      </c>
      <c r="BB8" s="102">
        <v>0</v>
      </c>
      <c r="BC8" s="102">
        <v>0</v>
      </c>
      <c r="BD8" s="102">
        <v>0</v>
      </c>
      <c r="BE8" s="102">
        <v>0</v>
      </c>
      <c r="BF8" s="102">
        <v>0</v>
      </c>
      <c r="BG8" s="102">
        <v>0</v>
      </c>
      <c r="BH8" s="102">
        <v>0</v>
      </c>
      <c r="BI8" s="102">
        <v>0</v>
      </c>
      <c r="BJ8" s="102">
        <v>0</v>
      </c>
      <c r="BK8" s="102">
        <v>0</v>
      </c>
      <c r="BL8" s="102">
        <v>0</v>
      </c>
      <c r="BM8" s="102">
        <v>0</v>
      </c>
      <c r="BN8" s="102">
        <v>0</v>
      </c>
      <c r="BO8" s="102">
        <v>0</v>
      </c>
      <c r="BP8" s="102">
        <v>0</v>
      </c>
      <c r="BQ8" s="102">
        <v>0</v>
      </c>
      <c r="BR8" s="102">
        <v>0</v>
      </c>
      <c r="BS8" s="102">
        <v>0</v>
      </c>
      <c r="BT8" s="102">
        <v>0</v>
      </c>
      <c r="BU8" s="102">
        <v>0</v>
      </c>
      <c r="BV8" s="102">
        <v>0</v>
      </c>
      <c r="BW8" s="102">
        <v>0</v>
      </c>
      <c r="BX8" s="102">
        <v>0</v>
      </c>
      <c r="BY8" s="102">
        <v>0</v>
      </c>
      <c r="BZ8" s="102">
        <v>0</v>
      </c>
      <c r="CA8" s="102">
        <v>0</v>
      </c>
      <c r="CB8" s="102">
        <v>0</v>
      </c>
      <c r="CC8" s="102">
        <v>0</v>
      </c>
      <c r="CD8" s="102">
        <v>0</v>
      </c>
      <c r="CE8" s="102">
        <v>0</v>
      </c>
      <c r="CF8" s="102">
        <v>0</v>
      </c>
      <c r="CG8" s="102">
        <v>0</v>
      </c>
      <c r="CH8" s="102">
        <v>0</v>
      </c>
      <c r="CI8" s="102">
        <v>0</v>
      </c>
      <c r="CJ8" s="102">
        <v>0</v>
      </c>
      <c r="CK8" s="102">
        <v>0</v>
      </c>
      <c r="CL8" s="102">
        <v>0</v>
      </c>
      <c r="CM8" s="102">
        <v>0</v>
      </c>
      <c r="CN8" s="102">
        <v>0</v>
      </c>
      <c r="CO8" s="102">
        <v>0</v>
      </c>
      <c r="CP8" s="102">
        <v>0</v>
      </c>
      <c r="CQ8" s="102">
        <v>0</v>
      </c>
      <c r="CR8" s="102">
        <v>0</v>
      </c>
      <c r="CS8" s="102">
        <v>0</v>
      </c>
      <c r="CT8" s="102">
        <v>0</v>
      </c>
      <c r="CU8" s="102">
        <v>0</v>
      </c>
      <c r="CV8" s="102">
        <v>0</v>
      </c>
      <c r="CW8" s="102">
        <v>0</v>
      </c>
      <c r="CX8" s="102">
        <v>0</v>
      </c>
      <c r="CY8" s="102">
        <v>0</v>
      </c>
      <c r="CZ8" s="102">
        <v>0</v>
      </c>
      <c r="DA8" s="102">
        <v>0</v>
      </c>
      <c r="DB8" s="102">
        <v>0</v>
      </c>
      <c r="DC8" s="102">
        <v>0</v>
      </c>
      <c r="DD8" s="102">
        <v>0</v>
      </c>
      <c r="DE8" s="102">
        <v>0</v>
      </c>
      <c r="DF8" s="102">
        <v>0</v>
      </c>
      <c r="DG8" s="102">
        <v>0</v>
      </c>
      <c r="DH8" s="102">
        <v>0</v>
      </c>
      <c r="DI8" s="102">
        <v>0</v>
      </c>
      <c r="DJ8" s="102">
        <v>0</v>
      </c>
      <c r="DK8" s="102">
        <v>0</v>
      </c>
      <c r="DL8" s="102">
        <v>0</v>
      </c>
      <c r="DM8" s="102">
        <v>0</v>
      </c>
      <c r="DN8" s="102">
        <v>0</v>
      </c>
      <c r="DO8" s="102">
        <v>0</v>
      </c>
      <c r="DP8" s="102">
        <v>0</v>
      </c>
      <c r="DQ8" s="102">
        <v>0</v>
      </c>
      <c r="DR8" s="102">
        <v>0</v>
      </c>
      <c r="DS8" s="102">
        <v>0</v>
      </c>
      <c r="DT8" s="102">
        <v>0</v>
      </c>
      <c r="DU8" s="102">
        <v>0</v>
      </c>
      <c r="DV8" s="102">
        <v>0</v>
      </c>
      <c r="DW8" s="102">
        <v>0</v>
      </c>
      <c r="DX8" s="102">
        <v>0</v>
      </c>
      <c r="DY8" s="102">
        <v>0</v>
      </c>
      <c r="DZ8" s="102">
        <v>0</v>
      </c>
      <c r="EA8" s="102">
        <v>0</v>
      </c>
      <c r="EB8" s="102">
        <v>0</v>
      </c>
      <c r="EC8" s="102">
        <v>0</v>
      </c>
      <c r="ED8" s="102">
        <v>0</v>
      </c>
      <c r="EE8" s="102">
        <v>0</v>
      </c>
      <c r="EF8" s="102">
        <v>0</v>
      </c>
      <c r="EG8" s="102">
        <v>0</v>
      </c>
      <c r="EH8" s="102">
        <v>0</v>
      </c>
      <c r="EI8" s="102">
        <v>0</v>
      </c>
      <c r="EJ8" s="102">
        <v>0</v>
      </c>
      <c r="EK8" s="102">
        <v>0</v>
      </c>
      <c r="EL8" s="102">
        <v>0</v>
      </c>
      <c r="EM8" s="102">
        <v>0</v>
      </c>
      <c r="EN8" s="102">
        <v>0</v>
      </c>
      <c r="EO8" s="102">
        <v>0</v>
      </c>
      <c r="EP8" s="102">
        <v>0</v>
      </c>
      <c r="EQ8" s="102">
        <v>0</v>
      </c>
      <c r="ER8" s="102">
        <v>0</v>
      </c>
      <c r="ES8" s="102">
        <v>0</v>
      </c>
      <c r="ET8" s="102">
        <v>0</v>
      </c>
      <c r="EU8" s="102">
        <v>0</v>
      </c>
      <c r="EV8" s="102">
        <v>0</v>
      </c>
      <c r="EW8" s="102">
        <v>0</v>
      </c>
      <c r="EX8" s="102">
        <v>0</v>
      </c>
      <c r="EY8" s="102">
        <v>0</v>
      </c>
      <c r="EZ8" s="102">
        <v>0</v>
      </c>
      <c r="FA8" s="102">
        <v>0</v>
      </c>
      <c r="FB8" s="102">
        <v>0</v>
      </c>
      <c r="FC8" s="102">
        <v>0</v>
      </c>
      <c r="FD8" s="102">
        <v>0</v>
      </c>
      <c r="FE8" s="102">
        <v>0</v>
      </c>
      <c r="FF8" s="102">
        <v>0</v>
      </c>
      <c r="FG8" s="102">
        <v>0</v>
      </c>
      <c r="FH8" s="102">
        <v>0</v>
      </c>
      <c r="FI8" s="102">
        <v>0</v>
      </c>
      <c r="FJ8" s="71">
        <v>0</v>
      </c>
    </row>
    <row r="9" spans="1:166" x14ac:dyDescent="0.3">
      <c r="A9" s="401" t="s">
        <v>666</v>
      </c>
      <c r="B9" s="103" t="s">
        <v>424</v>
      </c>
      <c r="C9" s="103" t="s">
        <v>657</v>
      </c>
      <c r="D9" s="103" t="s">
        <v>14</v>
      </c>
      <c r="E9" s="103" t="s">
        <v>654</v>
      </c>
      <c r="F9" s="103" t="s">
        <v>274</v>
      </c>
      <c r="G9" s="103" t="s">
        <v>614</v>
      </c>
      <c r="H9" s="103" t="s">
        <v>306</v>
      </c>
      <c r="I9" s="103">
        <v>0</v>
      </c>
      <c r="J9" s="103" t="s">
        <v>661</v>
      </c>
      <c r="K9" s="103">
        <v>0</v>
      </c>
      <c r="L9" s="103" t="s">
        <v>307</v>
      </c>
      <c r="M9" s="102">
        <v>0</v>
      </c>
      <c r="N9" s="102">
        <v>0</v>
      </c>
      <c r="O9" s="393">
        <v>9000000</v>
      </c>
      <c r="P9" s="393">
        <f t="shared" si="0"/>
        <v>0</v>
      </c>
      <c r="Q9" s="102">
        <v>0</v>
      </c>
      <c r="R9" s="102">
        <v>0</v>
      </c>
      <c r="S9" s="394">
        <v>0</v>
      </c>
      <c r="T9" s="395">
        <v>1</v>
      </c>
      <c r="U9" s="103">
        <v>0</v>
      </c>
      <c r="V9" s="102">
        <v>0</v>
      </c>
      <c r="W9" s="102">
        <v>0</v>
      </c>
      <c r="X9" s="102">
        <v>0</v>
      </c>
      <c r="Y9" s="102">
        <v>0</v>
      </c>
      <c r="Z9" s="102">
        <v>0</v>
      </c>
      <c r="AA9" s="102">
        <v>0</v>
      </c>
      <c r="AB9" s="102">
        <v>0</v>
      </c>
      <c r="AC9" s="102">
        <v>0</v>
      </c>
      <c r="AD9" s="102">
        <v>0</v>
      </c>
      <c r="AE9" s="102">
        <v>0</v>
      </c>
      <c r="AF9" s="102">
        <v>0</v>
      </c>
      <c r="AG9" s="102">
        <v>0</v>
      </c>
      <c r="AH9" s="102">
        <v>0</v>
      </c>
      <c r="AI9" s="102">
        <v>0</v>
      </c>
      <c r="AJ9" s="102">
        <v>0</v>
      </c>
      <c r="AK9" s="102">
        <v>0</v>
      </c>
      <c r="AL9" s="102">
        <v>0</v>
      </c>
      <c r="AM9" s="102">
        <v>0</v>
      </c>
      <c r="AN9" s="102">
        <v>0</v>
      </c>
      <c r="AO9" s="102">
        <v>0</v>
      </c>
      <c r="AP9" s="102">
        <v>0</v>
      </c>
      <c r="AQ9" s="102">
        <v>0</v>
      </c>
      <c r="AR9" s="102">
        <v>0</v>
      </c>
      <c r="AS9" s="102">
        <v>0</v>
      </c>
      <c r="AT9" s="102">
        <v>0</v>
      </c>
      <c r="AU9" s="102">
        <v>0</v>
      </c>
      <c r="AV9" s="102">
        <v>0</v>
      </c>
      <c r="AW9" s="102">
        <v>0</v>
      </c>
      <c r="AX9" s="102">
        <v>0</v>
      </c>
      <c r="AY9" s="102">
        <v>0</v>
      </c>
      <c r="AZ9" s="102">
        <v>0</v>
      </c>
      <c r="BA9" s="102">
        <v>0</v>
      </c>
      <c r="BB9" s="102">
        <v>0</v>
      </c>
      <c r="BC9" s="102">
        <v>0</v>
      </c>
      <c r="BD9" s="102">
        <v>0</v>
      </c>
      <c r="BE9" s="102">
        <v>0</v>
      </c>
      <c r="BF9" s="102">
        <v>0</v>
      </c>
      <c r="BG9" s="102">
        <v>0</v>
      </c>
      <c r="BH9" s="102">
        <v>0</v>
      </c>
      <c r="BI9" s="102">
        <v>0</v>
      </c>
      <c r="BJ9" s="102">
        <v>0</v>
      </c>
      <c r="BK9" s="102">
        <v>0</v>
      </c>
      <c r="BL9" s="102">
        <v>0</v>
      </c>
      <c r="BM9" s="102">
        <v>0</v>
      </c>
      <c r="BN9" s="102">
        <v>0</v>
      </c>
      <c r="BO9" s="102">
        <v>0</v>
      </c>
      <c r="BP9" s="102">
        <v>0</v>
      </c>
      <c r="BQ9" s="102">
        <v>0</v>
      </c>
      <c r="BR9" s="102">
        <v>0</v>
      </c>
      <c r="BS9" s="102">
        <v>0</v>
      </c>
      <c r="BT9" s="102">
        <v>0</v>
      </c>
      <c r="BU9" s="102">
        <v>0</v>
      </c>
      <c r="BV9" s="102">
        <v>0</v>
      </c>
      <c r="BW9" s="102">
        <v>0</v>
      </c>
      <c r="BX9" s="102">
        <v>0</v>
      </c>
      <c r="BY9" s="102">
        <v>0</v>
      </c>
      <c r="BZ9" s="102">
        <v>0</v>
      </c>
      <c r="CA9" s="102">
        <v>0</v>
      </c>
      <c r="CB9" s="102">
        <v>0</v>
      </c>
      <c r="CC9" s="102">
        <v>0</v>
      </c>
      <c r="CD9" s="102">
        <v>0</v>
      </c>
      <c r="CE9" s="102">
        <v>0</v>
      </c>
      <c r="CF9" s="102">
        <v>0</v>
      </c>
      <c r="CG9" s="102">
        <v>0</v>
      </c>
      <c r="CH9" s="102">
        <v>0</v>
      </c>
      <c r="CI9" s="102">
        <v>0</v>
      </c>
      <c r="CJ9" s="102">
        <v>0</v>
      </c>
      <c r="CK9" s="102">
        <v>0</v>
      </c>
      <c r="CL9" s="102">
        <v>0</v>
      </c>
      <c r="CM9" s="102">
        <v>0</v>
      </c>
      <c r="CN9" s="102">
        <v>0</v>
      </c>
      <c r="CO9" s="102">
        <v>0</v>
      </c>
      <c r="CP9" s="102">
        <v>0</v>
      </c>
      <c r="CQ9" s="102">
        <v>0</v>
      </c>
      <c r="CR9" s="102">
        <v>0</v>
      </c>
      <c r="CS9" s="102">
        <v>0</v>
      </c>
      <c r="CT9" s="102">
        <v>0</v>
      </c>
      <c r="CU9" s="102">
        <v>0</v>
      </c>
      <c r="CV9" s="102">
        <v>0</v>
      </c>
      <c r="CW9" s="102">
        <v>0</v>
      </c>
      <c r="CX9" s="102">
        <v>0</v>
      </c>
      <c r="CY9" s="102">
        <v>0</v>
      </c>
      <c r="CZ9" s="102">
        <v>0</v>
      </c>
      <c r="DA9" s="102">
        <v>0</v>
      </c>
      <c r="DB9" s="102">
        <v>0</v>
      </c>
      <c r="DC9" s="102">
        <v>0</v>
      </c>
      <c r="DD9" s="102">
        <v>0</v>
      </c>
      <c r="DE9" s="102">
        <v>0</v>
      </c>
      <c r="DF9" s="102">
        <v>0</v>
      </c>
      <c r="DG9" s="102">
        <v>0</v>
      </c>
      <c r="DH9" s="102">
        <v>0</v>
      </c>
      <c r="DI9" s="102">
        <v>0</v>
      </c>
      <c r="DJ9" s="102">
        <v>0</v>
      </c>
      <c r="DK9" s="102">
        <v>0</v>
      </c>
      <c r="DL9" s="102">
        <v>0</v>
      </c>
      <c r="DM9" s="102">
        <v>0</v>
      </c>
      <c r="DN9" s="102">
        <v>0</v>
      </c>
      <c r="DO9" s="102">
        <v>0</v>
      </c>
      <c r="DP9" s="102">
        <v>0</v>
      </c>
      <c r="DQ9" s="102">
        <v>0</v>
      </c>
      <c r="DR9" s="102">
        <v>0</v>
      </c>
      <c r="DS9" s="102">
        <v>0</v>
      </c>
      <c r="DT9" s="102">
        <v>0</v>
      </c>
      <c r="DU9" s="102">
        <v>0</v>
      </c>
      <c r="DV9" s="102">
        <v>0</v>
      </c>
      <c r="DW9" s="102">
        <v>0</v>
      </c>
      <c r="DX9" s="102">
        <v>0</v>
      </c>
      <c r="DY9" s="102">
        <v>0</v>
      </c>
      <c r="DZ9" s="102">
        <v>0</v>
      </c>
      <c r="EA9" s="102">
        <v>0</v>
      </c>
      <c r="EB9" s="102">
        <v>0</v>
      </c>
      <c r="EC9" s="102">
        <v>0</v>
      </c>
      <c r="ED9" s="102">
        <v>0</v>
      </c>
      <c r="EE9" s="102">
        <v>0</v>
      </c>
      <c r="EF9" s="102">
        <v>0</v>
      </c>
      <c r="EG9" s="102">
        <v>0</v>
      </c>
      <c r="EH9" s="102">
        <v>0</v>
      </c>
      <c r="EI9" s="102">
        <v>0</v>
      </c>
      <c r="EJ9" s="102">
        <v>0</v>
      </c>
      <c r="EK9" s="102">
        <v>0</v>
      </c>
      <c r="EL9" s="102">
        <v>0</v>
      </c>
      <c r="EM9" s="102">
        <v>0</v>
      </c>
      <c r="EN9" s="102">
        <v>0</v>
      </c>
      <c r="EO9" s="102">
        <v>0</v>
      </c>
      <c r="EP9" s="102">
        <v>0</v>
      </c>
      <c r="EQ9" s="102">
        <v>0</v>
      </c>
      <c r="ER9" s="102">
        <v>0</v>
      </c>
      <c r="ES9" s="102">
        <v>0</v>
      </c>
      <c r="ET9" s="102">
        <v>0</v>
      </c>
      <c r="EU9" s="102">
        <v>0</v>
      </c>
      <c r="EV9" s="102">
        <v>0</v>
      </c>
      <c r="EW9" s="102">
        <v>0</v>
      </c>
      <c r="EX9" s="102">
        <v>0</v>
      </c>
      <c r="EY9" s="102">
        <v>0</v>
      </c>
      <c r="EZ9" s="102">
        <v>0</v>
      </c>
      <c r="FA9" s="102">
        <v>0</v>
      </c>
      <c r="FB9" s="102">
        <v>0</v>
      </c>
      <c r="FC9" s="102">
        <v>0</v>
      </c>
      <c r="FD9" s="102">
        <v>0</v>
      </c>
      <c r="FE9" s="102">
        <v>0</v>
      </c>
      <c r="FF9" s="102">
        <v>0</v>
      </c>
      <c r="FG9" s="102">
        <v>0</v>
      </c>
      <c r="FH9" s="102">
        <v>0</v>
      </c>
      <c r="FI9" s="102">
        <v>0</v>
      </c>
      <c r="FJ9" s="71">
        <v>0</v>
      </c>
    </row>
    <row r="10" spans="1:166" x14ac:dyDescent="0.3">
      <c r="A10" s="401" t="s">
        <v>667</v>
      </c>
      <c r="B10" s="103" t="s">
        <v>424</v>
      </c>
      <c r="C10" s="103" t="s">
        <v>657</v>
      </c>
      <c r="D10" s="103" t="s">
        <v>14</v>
      </c>
      <c r="E10" s="103" t="s">
        <v>654</v>
      </c>
      <c r="F10" s="103" t="s">
        <v>274</v>
      </c>
      <c r="G10" s="103" t="s">
        <v>615</v>
      </c>
      <c r="H10" s="103" t="s">
        <v>305</v>
      </c>
      <c r="I10" s="103">
        <v>0</v>
      </c>
      <c r="J10" s="103" t="s">
        <v>661</v>
      </c>
      <c r="K10" s="103">
        <v>0</v>
      </c>
      <c r="L10" s="103" t="s">
        <v>307</v>
      </c>
      <c r="M10" s="102">
        <v>1</v>
      </c>
      <c r="N10" s="102">
        <v>0</v>
      </c>
      <c r="O10" s="393">
        <v>10000000</v>
      </c>
      <c r="P10" s="393">
        <f t="shared" si="0"/>
        <v>10000000</v>
      </c>
      <c r="Q10" s="102">
        <v>0</v>
      </c>
      <c r="R10" s="102">
        <v>0</v>
      </c>
      <c r="S10" s="394">
        <v>0</v>
      </c>
      <c r="T10" s="395">
        <v>1</v>
      </c>
      <c r="U10" s="103">
        <v>0</v>
      </c>
      <c r="V10" s="102">
        <v>0</v>
      </c>
      <c r="W10" s="102">
        <v>0</v>
      </c>
      <c r="X10" s="102">
        <v>0</v>
      </c>
      <c r="Y10" s="102">
        <v>0</v>
      </c>
      <c r="Z10" s="102">
        <v>0</v>
      </c>
      <c r="AA10" s="102">
        <v>0</v>
      </c>
      <c r="AB10" s="102">
        <v>0</v>
      </c>
      <c r="AC10" s="102">
        <v>0</v>
      </c>
      <c r="AD10" s="102">
        <v>0</v>
      </c>
      <c r="AE10" s="102">
        <v>0</v>
      </c>
      <c r="AF10" s="102">
        <v>0</v>
      </c>
      <c r="AG10" s="102">
        <v>0</v>
      </c>
      <c r="AH10" s="102">
        <v>0</v>
      </c>
      <c r="AI10" s="102">
        <v>0</v>
      </c>
      <c r="AJ10" s="102">
        <v>0</v>
      </c>
      <c r="AK10" s="102">
        <v>0</v>
      </c>
      <c r="AL10" s="102">
        <v>0</v>
      </c>
      <c r="AM10" s="102">
        <v>0</v>
      </c>
      <c r="AN10" s="102">
        <v>0</v>
      </c>
      <c r="AO10" s="102">
        <v>0</v>
      </c>
      <c r="AP10" s="102">
        <v>0</v>
      </c>
      <c r="AQ10" s="102">
        <v>0</v>
      </c>
      <c r="AR10" s="102">
        <v>0</v>
      </c>
      <c r="AS10" s="102">
        <v>0</v>
      </c>
      <c r="AT10" s="102">
        <v>0</v>
      </c>
      <c r="AU10" s="102">
        <v>0</v>
      </c>
      <c r="AV10" s="102">
        <v>0</v>
      </c>
      <c r="AW10" s="102">
        <v>0</v>
      </c>
      <c r="AX10" s="102">
        <v>0</v>
      </c>
      <c r="AY10" s="102">
        <v>0</v>
      </c>
      <c r="AZ10" s="102">
        <v>0</v>
      </c>
      <c r="BA10" s="102">
        <v>0</v>
      </c>
      <c r="BB10" s="102">
        <v>0</v>
      </c>
      <c r="BC10" s="102">
        <v>0</v>
      </c>
      <c r="BD10" s="102">
        <v>0</v>
      </c>
      <c r="BE10" s="102">
        <v>0</v>
      </c>
      <c r="BF10" s="102">
        <v>0</v>
      </c>
      <c r="BG10" s="102">
        <v>0</v>
      </c>
      <c r="BH10" s="102">
        <v>0</v>
      </c>
      <c r="BI10" s="102">
        <v>0</v>
      </c>
      <c r="BJ10" s="102">
        <v>0</v>
      </c>
      <c r="BK10" s="102">
        <v>0</v>
      </c>
      <c r="BL10" s="102">
        <v>0</v>
      </c>
      <c r="BM10" s="102">
        <v>0</v>
      </c>
      <c r="BN10" s="102">
        <v>0</v>
      </c>
      <c r="BO10" s="102">
        <v>0</v>
      </c>
      <c r="BP10" s="102">
        <v>0</v>
      </c>
      <c r="BQ10" s="102">
        <v>0</v>
      </c>
      <c r="BR10" s="102">
        <v>0</v>
      </c>
      <c r="BS10" s="102">
        <v>0</v>
      </c>
      <c r="BT10" s="102">
        <v>0</v>
      </c>
      <c r="BU10" s="102">
        <v>0</v>
      </c>
      <c r="BV10" s="102">
        <v>0</v>
      </c>
      <c r="BW10" s="102">
        <v>0</v>
      </c>
      <c r="BX10" s="102">
        <v>0</v>
      </c>
      <c r="BY10" s="102">
        <v>0</v>
      </c>
      <c r="BZ10" s="102">
        <v>0</v>
      </c>
      <c r="CA10" s="102">
        <v>0</v>
      </c>
      <c r="CB10" s="102">
        <v>0</v>
      </c>
      <c r="CC10" s="102">
        <v>0</v>
      </c>
      <c r="CD10" s="102">
        <v>0</v>
      </c>
      <c r="CE10" s="102">
        <v>0</v>
      </c>
      <c r="CF10" s="102">
        <v>0</v>
      </c>
      <c r="CG10" s="102">
        <v>0</v>
      </c>
      <c r="CH10" s="102">
        <v>0</v>
      </c>
      <c r="CI10" s="102">
        <v>0</v>
      </c>
      <c r="CJ10" s="102">
        <v>0</v>
      </c>
      <c r="CK10" s="102">
        <v>0</v>
      </c>
      <c r="CL10" s="102">
        <v>0</v>
      </c>
      <c r="CM10" s="102">
        <v>0</v>
      </c>
      <c r="CN10" s="102">
        <v>0</v>
      </c>
      <c r="CO10" s="102">
        <v>0</v>
      </c>
      <c r="CP10" s="102">
        <v>0</v>
      </c>
      <c r="CQ10" s="102">
        <v>0</v>
      </c>
      <c r="CR10" s="102">
        <v>0</v>
      </c>
      <c r="CS10" s="102">
        <v>0</v>
      </c>
      <c r="CT10" s="102">
        <v>0</v>
      </c>
      <c r="CU10" s="102">
        <v>0</v>
      </c>
      <c r="CV10" s="102">
        <v>0</v>
      </c>
      <c r="CW10" s="102">
        <v>0</v>
      </c>
      <c r="CX10" s="102">
        <v>0</v>
      </c>
      <c r="CY10" s="102">
        <v>0</v>
      </c>
      <c r="CZ10" s="102">
        <v>0</v>
      </c>
      <c r="DA10" s="102">
        <v>0</v>
      </c>
      <c r="DB10" s="102">
        <v>0</v>
      </c>
      <c r="DC10" s="102">
        <v>0</v>
      </c>
      <c r="DD10" s="102">
        <v>0</v>
      </c>
      <c r="DE10" s="102">
        <v>0</v>
      </c>
      <c r="DF10" s="102">
        <v>0</v>
      </c>
      <c r="DG10" s="102">
        <v>0</v>
      </c>
      <c r="DH10" s="102">
        <v>0</v>
      </c>
      <c r="DI10" s="102">
        <v>0</v>
      </c>
      <c r="DJ10" s="102">
        <v>0</v>
      </c>
      <c r="DK10" s="102">
        <v>0</v>
      </c>
      <c r="DL10" s="102">
        <v>0</v>
      </c>
      <c r="DM10" s="102">
        <v>0</v>
      </c>
      <c r="DN10" s="102">
        <v>0</v>
      </c>
      <c r="DO10" s="102">
        <v>0</v>
      </c>
      <c r="DP10" s="102">
        <v>0</v>
      </c>
      <c r="DQ10" s="102">
        <v>0</v>
      </c>
      <c r="DR10" s="102">
        <v>0</v>
      </c>
      <c r="DS10" s="102">
        <v>0</v>
      </c>
      <c r="DT10" s="102">
        <v>0</v>
      </c>
      <c r="DU10" s="102">
        <v>0</v>
      </c>
      <c r="DV10" s="102">
        <v>0</v>
      </c>
      <c r="DW10" s="102">
        <v>0</v>
      </c>
      <c r="DX10" s="102">
        <v>0</v>
      </c>
      <c r="DY10" s="102">
        <v>0</v>
      </c>
      <c r="DZ10" s="102">
        <v>0</v>
      </c>
      <c r="EA10" s="102">
        <v>0</v>
      </c>
      <c r="EB10" s="102">
        <v>0</v>
      </c>
      <c r="EC10" s="102">
        <v>0</v>
      </c>
      <c r="ED10" s="102">
        <v>0</v>
      </c>
      <c r="EE10" s="102">
        <v>0</v>
      </c>
      <c r="EF10" s="102">
        <v>0</v>
      </c>
      <c r="EG10" s="102">
        <v>0</v>
      </c>
      <c r="EH10" s="102">
        <v>0</v>
      </c>
      <c r="EI10" s="102">
        <v>0</v>
      </c>
      <c r="EJ10" s="102">
        <v>0</v>
      </c>
      <c r="EK10" s="102">
        <v>0</v>
      </c>
      <c r="EL10" s="102">
        <v>0</v>
      </c>
      <c r="EM10" s="102">
        <v>0</v>
      </c>
      <c r="EN10" s="102">
        <v>0</v>
      </c>
      <c r="EO10" s="102">
        <v>0</v>
      </c>
      <c r="EP10" s="102">
        <v>0</v>
      </c>
      <c r="EQ10" s="102">
        <v>0</v>
      </c>
      <c r="ER10" s="102">
        <v>0</v>
      </c>
      <c r="ES10" s="102">
        <v>0</v>
      </c>
      <c r="ET10" s="102">
        <v>0</v>
      </c>
      <c r="EU10" s="102">
        <v>0</v>
      </c>
      <c r="EV10" s="102">
        <v>0</v>
      </c>
      <c r="EW10" s="102">
        <v>0</v>
      </c>
      <c r="EX10" s="102">
        <v>0</v>
      </c>
      <c r="EY10" s="102">
        <v>0</v>
      </c>
      <c r="EZ10" s="102">
        <v>0</v>
      </c>
      <c r="FA10" s="102">
        <v>0</v>
      </c>
      <c r="FB10" s="102">
        <v>0</v>
      </c>
      <c r="FC10" s="102">
        <v>0</v>
      </c>
      <c r="FD10" s="102">
        <v>0</v>
      </c>
      <c r="FE10" s="102">
        <v>0</v>
      </c>
      <c r="FF10" s="102">
        <v>0</v>
      </c>
      <c r="FG10" s="102">
        <v>0</v>
      </c>
      <c r="FH10" s="102">
        <v>0</v>
      </c>
      <c r="FI10" s="102">
        <v>0</v>
      </c>
      <c r="FJ10" s="71">
        <v>0</v>
      </c>
    </row>
    <row r="11" spans="1:166" x14ac:dyDescent="0.3">
      <c r="A11" s="401" t="s">
        <v>668</v>
      </c>
      <c r="B11" s="103" t="s">
        <v>424</v>
      </c>
      <c r="C11" s="103" t="s">
        <v>657</v>
      </c>
      <c r="D11" s="103" t="s">
        <v>14</v>
      </c>
      <c r="E11" s="103" t="s">
        <v>654</v>
      </c>
      <c r="F11" s="103" t="s">
        <v>274</v>
      </c>
      <c r="G11" s="103" t="s">
        <v>616</v>
      </c>
      <c r="H11" s="103" t="s">
        <v>306</v>
      </c>
      <c r="I11" s="103">
        <v>0</v>
      </c>
      <c r="J11" s="103" t="s">
        <v>661</v>
      </c>
      <c r="K11" s="103">
        <v>0</v>
      </c>
      <c r="L11" s="103" t="s">
        <v>307</v>
      </c>
      <c r="M11" s="102">
        <v>2</v>
      </c>
      <c r="N11" s="102">
        <v>0</v>
      </c>
      <c r="O11" s="393">
        <v>9000000</v>
      </c>
      <c r="P11" s="393">
        <f t="shared" si="0"/>
        <v>18000000</v>
      </c>
      <c r="Q11" s="102">
        <v>0</v>
      </c>
      <c r="R11" s="102">
        <v>0</v>
      </c>
      <c r="S11" s="394">
        <v>0</v>
      </c>
      <c r="T11" s="395">
        <v>1</v>
      </c>
      <c r="U11" s="103">
        <v>0</v>
      </c>
      <c r="V11" s="102">
        <v>0</v>
      </c>
      <c r="W11" s="102">
        <v>0</v>
      </c>
      <c r="X11" s="102">
        <v>0</v>
      </c>
      <c r="Y11" s="102">
        <v>0</v>
      </c>
      <c r="Z11" s="102">
        <v>0</v>
      </c>
      <c r="AA11" s="102">
        <v>0</v>
      </c>
      <c r="AB11" s="102">
        <v>0</v>
      </c>
      <c r="AC11" s="102">
        <v>0</v>
      </c>
      <c r="AD11" s="102">
        <v>0</v>
      </c>
      <c r="AE11" s="102">
        <v>0</v>
      </c>
      <c r="AF11" s="102">
        <v>0</v>
      </c>
      <c r="AG11" s="102">
        <v>0</v>
      </c>
      <c r="AH11" s="102">
        <v>0</v>
      </c>
      <c r="AI11" s="102">
        <v>0</v>
      </c>
      <c r="AJ11" s="102">
        <v>0</v>
      </c>
      <c r="AK11" s="102">
        <v>0</v>
      </c>
      <c r="AL11" s="102">
        <v>0</v>
      </c>
      <c r="AM11" s="102">
        <v>0</v>
      </c>
      <c r="AN11" s="102">
        <v>0</v>
      </c>
      <c r="AO11" s="102">
        <v>0</v>
      </c>
      <c r="AP11" s="102">
        <v>0</v>
      </c>
      <c r="AQ11" s="102">
        <v>0</v>
      </c>
      <c r="AR11" s="102">
        <v>0</v>
      </c>
      <c r="AS11" s="102">
        <v>0</v>
      </c>
      <c r="AT11" s="102">
        <v>0</v>
      </c>
      <c r="AU11" s="102">
        <v>0</v>
      </c>
      <c r="AV11" s="102">
        <v>0</v>
      </c>
      <c r="AW11" s="102">
        <v>0</v>
      </c>
      <c r="AX11" s="102">
        <v>0</v>
      </c>
      <c r="AY11" s="102">
        <v>0</v>
      </c>
      <c r="AZ11" s="102">
        <v>0</v>
      </c>
      <c r="BA11" s="102">
        <v>0</v>
      </c>
      <c r="BB11" s="102">
        <v>0</v>
      </c>
      <c r="BC11" s="102">
        <v>0</v>
      </c>
      <c r="BD11" s="102">
        <v>0</v>
      </c>
      <c r="BE11" s="102">
        <v>0</v>
      </c>
      <c r="BF11" s="102">
        <v>0</v>
      </c>
      <c r="BG11" s="102">
        <v>0</v>
      </c>
      <c r="BH11" s="102">
        <v>0</v>
      </c>
      <c r="BI11" s="102">
        <v>0</v>
      </c>
      <c r="BJ11" s="102">
        <v>0</v>
      </c>
      <c r="BK11" s="102">
        <v>0</v>
      </c>
      <c r="BL11" s="102">
        <v>0</v>
      </c>
      <c r="BM11" s="102">
        <v>0</v>
      </c>
      <c r="BN11" s="102">
        <v>0</v>
      </c>
      <c r="BO11" s="102">
        <v>0</v>
      </c>
      <c r="BP11" s="102">
        <v>0</v>
      </c>
      <c r="BQ11" s="102">
        <v>0</v>
      </c>
      <c r="BR11" s="102">
        <v>0</v>
      </c>
      <c r="BS11" s="102">
        <v>0</v>
      </c>
      <c r="BT11" s="102">
        <v>0</v>
      </c>
      <c r="BU11" s="102">
        <v>0</v>
      </c>
      <c r="BV11" s="102">
        <v>0</v>
      </c>
      <c r="BW11" s="102">
        <v>0</v>
      </c>
      <c r="BX11" s="102">
        <v>0</v>
      </c>
      <c r="BY11" s="102">
        <v>0</v>
      </c>
      <c r="BZ11" s="102">
        <v>0</v>
      </c>
      <c r="CA11" s="102">
        <v>0</v>
      </c>
      <c r="CB11" s="102">
        <v>0</v>
      </c>
      <c r="CC11" s="102">
        <v>0</v>
      </c>
      <c r="CD11" s="102">
        <v>0</v>
      </c>
      <c r="CE11" s="102">
        <v>0</v>
      </c>
      <c r="CF11" s="102">
        <v>0</v>
      </c>
      <c r="CG11" s="102">
        <v>0</v>
      </c>
      <c r="CH11" s="102">
        <v>0</v>
      </c>
      <c r="CI11" s="102">
        <v>0</v>
      </c>
      <c r="CJ11" s="102">
        <v>0</v>
      </c>
      <c r="CK11" s="102">
        <v>0</v>
      </c>
      <c r="CL11" s="102">
        <v>0</v>
      </c>
      <c r="CM11" s="102">
        <v>0</v>
      </c>
      <c r="CN11" s="102">
        <v>0</v>
      </c>
      <c r="CO11" s="102">
        <v>0</v>
      </c>
      <c r="CP11" s="102">
        <v>0</v>
      </c>
      <c r="CQ11" s="102">
        <v>0</v>
      </c>
      <c r="CR11" s="102">
        <v>0</v>
      </c>
      <c r="CS11" s="102">
        <v>0</v>
      </c>
      <c r="CT11" s="102">
        <v>0</v>
      </c>
      <c r="CU11" s="102">
        <v>0</v>
      </c>
      <c r="CV11" s="102">
        <v>0</v>
      </c>
      <c r="CW11" s="102">
        <v>0</v>
      </c>
      <c r="CX11" s="102">
        <v>0</v>
      </c>
      <c r="CY11" s="102">
        <v>0</v>
      </c>
      <c r="CZ11" s="102">
        <v>0</v>
      </c>
      <c r="DA11" s="102">
        <v>0</v>
      </c>
      <c r="DB11" s="102">
        <v>0</v>
      </c>
      <c r="DC11" s="102">
        <v>0</v>
      </c>
      <c r="DD11" s="102">
        <v>0</v>
      </c>
      <c r="DE11" s="102">
        <v>0</v>
      </c>
      <c r="DF11" s="102">
        <v>0</v>
      </c>
      <c r="DG11" s="102">
        <v>0</v>
      </c>
      <c r="DH11" s="102">
        <v>0</v>
      </c>
      <c r="DI11" s="102">
        <v>0</v>
      </c>
      <c r="DJ11" s="102">
        <v>0</v>
      </c>
      <c r="DK11" s="102">
        <v>0</v>
      </c>
      <c r="DL11" s="102">
        <v>0</v>
      </c>
      <c r="DM11" s="102">
        <v>0</v>
      </c>
      <c r="DN11" s="102">
        <v>0</v>
      </c>
      <c r="DO11" s="102">
        <v>0</v>
      </c>
      <c r="DP11" s="102">
        <v>0</v>
      </c>
      <c r="DQ11" s="102">
        <v>0</v>
      </c>
      <c r="DR11" s="102">
        <v>0</v>
      </c>
      <c r="DS11" s="102">
        <v>0</v>
      </c>
      <c r="DT11" s="102">
        <v>0</v>
      </c>
      <c r="DU11" s="102">
        <v>0</v>
      </c>
      <c r="DV11" s="102">
        <v>0</v>
      </c>
      <c r="DW11" s="102">
        <v>0</v>
      </c>
      <c r="DX11" s="102">
        <v>0</v>
      </c>
      <c r="DY11" s="102">
        <v>0</v>
      </c>
      <c r="DZ11" s="102">
        <v>0</v>
      </c>
      <c r="EA11" s="102">
        <v>0</v>
      </c>
      <c r="EB11" s="102">
        <v>0</v>
      </c>
      <c r="EC11" s="102">
        <v>0</v>
      </c>
      <c r="ED11" s="102">
        <v>0</v>
      </c>
      <c r="EE11" s="102">
        <v>0</v>
      </c>
      <c r="EF11" s="102">
        <v>0</v>
      </c>
      <c r="EG11" s="102">
        <v>0</v>
      </c>
      <c r="EH11" s="102">
        <v>0</v>
      </c>
      <c r="EI11" s="102">
        <v>0</v>
      </c>
      <c r="EJ11" s="102">
        <v>0</v>
      </c>
      <c r="EK11" s="102">
        <v>0</v>
      </c>
      <c r="EL11" s="102">
        <v>0</v>
      </c>
      <c r="EM11" s="102">
        <v>0</v>
      </c>
      <c r="EN11" s="102">
        <v>0</v>
      </c>
      <c r="EO11" s="102">
        <v>0</v>
      </c>
      <c r="EP11" s="102">
        <v>0</v>
      </c>
      <c r="EQ11" s="102">
        <v>0</v>
      </c>
      <c r="ER11" s="102">
        <v>0</v>
      </c>
      <c r="ES11" s="102">
        <v>0</v>
      </c>
      <c r="ET11" s="102">
        <v>0</v>
      </c>
      <c r="EU11" s="102">
        <v>0</v>
      </c>
      <c r="EV11" s="102">
        <v>0</v>
      </c>
      <c r="EW11" s="102">
        <v>0</v>
      </c>
      <c r="EX11" s="102">
        <v>0</v>
      </c>
      <c r="EY11" s="102">
        <v>0</v>
      </c>
      <c r="EZ11" s="102">
        <v>0</v>
      </c>
      <c r="FA11" s="102">
        <v>0</v>
      </c>
      <c r="FB11" s="102">
        <v>0</v>
      </c>
      <c r="FC11" s="102">
        <v>0</v>
      </c>
      <c r="FD11" s="102">
        <v>0</v>
      </c>
      <c r="FE11" s="102">
        <v>0</v>
      </c>
      <c r="FF11" s="102">
        <v>0</v>
      </c>
      <c r="FG11" s="102">
        <v>0</v>
      </c>
      <c r="FH11" s="102">
        <v>0</v>
      </c>
      <c r="FI11" s="102">
        <v>0</v>
      </c>
      <c r="FJ11" s="71">
        <v>0</v>
      </c>
    </row>
    <row r="12" spans="1:166" x14ac:dyDescent="0.3">
      <c r="A12" s="401" t="s">
        <v>669</v>
      </c>
      <c r="B12" s="103" t="s">
        <v>424</v>
      </c>
      <c r="C12" s="103" t="s">
        <v>657</v>
      </c>
      <c r="D12" s="103" t="s">
        <v>14</v>
      </c>
      <c r="E12" s="103" t="s">
        <v>654</v>
      </c>
      <c r="F12" s="103" t="s">
        <v>274</v>
      </c>
      <c r="G12" s="103" t="s">
        <v>617</v>
      </c>
      <c r="H12" s="103" t="s">
        <v>306</v>
      </c>
      <c r="I12" s="103">
        <v>0</v>
      </c>
      <c r="J12" s="103" t="s">
        <v>661</v>
      </c>
      <c r="K12" s="103">
        <v>0</v>
      </c>
      <c r="L12" s="103" t="s">
        <v>307</v>
      </c>
      <c r="M12" s="102">
        <v>1</v>
      </c>
      <c r="N12" s="102">
        <v>0</v>
      </c>
      <c r="O12" s="393">
        <v>9000000</v>
      </c>
      <c r="P12" s="393">
        <f t="shared" si="0"/>
        <v>9000000</v>
      </c>
      <c r="Q12" s="102">
        <v>0</v>
      </c>
      <c r="R12" s="102">
        <v>0</v>
      </c>
      <c r="S12" s="394">
        <v>0</v>
      </c>
      <c r="T12" s="395">
        <v>1</v>
      </c>
      <c r="U12" s="103">
        <v>0</v>
      </c>
      <c r="V12" s="102">
        <v>0</v>
      </c>
      <c r="W12" s="102">
        <v>0</v>
      </c>
      <c r="X12" s="102">
        <v>0</v>
      </c>
      <c r="Y12" s="102">
        <v>0</v>
      </c>
      <c r="Z12" s="102">
        <v>0</v>
      </c>
      <c r="AA12" s="102">
        <v>0</v>
      </c>
      <c r="AB12" s="102">
        <v>0</v>
      </c>
      <c r="AC12" s="102">
        <v>0</v>
      </c>
      <c r="AD12" s="102">
        <v>0</v>
      </c>
      <c r="AE12" s="102">
        <v>0</v>
      </c>
      <c r="AF12" s="102">
        <v>0</v>
      </c>
      <c r="AG12" s="102">
        <v>0</v>
      </c>
      <c r="AH12" s="102">
        <v>0</v>
      </c>
      <c r="AI12" s="102">
        <v>0</v>
      </c>
      <c r="AJ12" s="102">
        <v>0</v>
      </c>
      <c r="AK12" s="102">
        <v>0</v>
      </c>
      <c r="AL12" s="102">
        <v>0</v>
      </c>
      <c r="AM12" s="102">
        <v>0</v>
      </c>
      <c r="AN12" s="102">
        <v>0</v>
      </c>
      <c r="AO12" s="102">
        <v>0</v>
      </c>
      <c r="AP12" s="102">
        <v>0</v>
      </c>
      <c r="AQ12" s="102">
        <v>0</v>
      </c>
      <c r="AR12" s="102">
        <v>0</v>
      </c>
      <c r="AS12" s="102">
        <v>0</v>
      </c>
      <c r="AT12" s="102">
        <v>0</v>
      </c>
      <c r="AU12" s="102">
        <v>0</v>
      </c>
      <c r="AV12" s="102">
        <v>0</v>
      </c>
      <c r="AW12" s="102">
        <v>0</v>
      </c>
      <c r="AX12" s="102">
        <v>0</v>
      </c>
      <c r="AY12" s="102">
        <v>0</v>
      </c>
      <c r="AZ12" s="102">
        <v>0</v>
      </c>
      <c r="BA12" s="102">
        <v>0</v>
      </c>
      <c r="BB12" s="102">
        <v>0</v>
      </c>
      <c r="BC12" s="102">
        <v>0</v>
      </c>
      <c r="BD12" s="102">
        <v>0</v>
      </c>
      <c r="BE12" s="102">
        <v>0</v>
      </c>
      <c r="BF12" s="102">
        <v>0</v>
      </c>
      <c r="BG12" s="102">
        <v>0</v>
      </c>
      <c r="BH12" s="102">
        <v>0</v>
      </c>
      <c r="BI12" s="102">
        <v>0</v>
      </c>
      <c r="BJ12" s="102">
        <v>0</v>
      </c>
      <c r="BK12" s="102">
        <v>0</v>
      </c>
      <c r="BL12" s="102">
        <v>0</v>
      </c>
      <c r="BM12" s="102">
        <v>0</v>
      </c>
      <c r="BN12" s="102">
        <v>0</v>
      </c>
      <c r="BO12" s="102">
        <v>0</v>
      </c>
      <c r="BP12" s="102">
        <v>0</v>
      </c>
      <c r="BQ12" s="102">
        <v>0</v>
      </c>
      <c r="BR12" s="102">
        <v>0</v>
      </c>
      <c r="BS12" s="102">
        <v>0</v>
      </c>
      <c r="BT12" s="102">
        <v>0</v>
      </c>
      <c r="BU12" s="102">
        <v>0</v>
      </c>
      <c r="BV12" s="102">
        <v>0</v>
      </c>
      <c r="BW12" s="102">
        <v>0</v>
      </c>
      <c r="BX12" s="102">
        <v>0</v>
      </c>
      <c r="BY12" s="102">
        <v>0</v>
      </c>
      <c r="BZ12" s="102">
        <v>0</v>
      </c>
      <c r="CA12" s="102">
        <v>0</v>
      </c>
      <c r="CB12" s="102">
        <v>0</v>
      </c>
      <c r="CC12" s="102">
        <v>0</v>
      </c>
      <c r="CD12" s="102">
        <v>0</v>
      </c>
      <c r="CE12" s="102">
        <v>0</v>
      </c>
      <c r="CF12" s="102">
        <v>0</v>
      </c>
      <c r="CG12" s="102">
        <v>0</v>
      </c>
      <c r="CH12" s="102">
        <v>0</v>
      </c>
      <c r="CI12" s="102">
        <v>0</v>
      </c>
      <c r="CJ12" s="102">
        <v>0</v>
      </c>
      <c r="CK12" s="102">
        <v>0</v>
      </c>
      <c r="CL12" s="102">
        <v>0</v>
      </c>
      <c r="CM12" s="102">
        <v>0</v>
      </c>
      <c r="CN12" s="102">
        <v>0</v>
      </c>
      <c r="CO12" s="102">
        <v>0</v>
      </c>
      <c r="CP12" s="102">
        <v>0</v>
      </c>
      <c r="CQ12" s="102">
        <v>0</v>
      </c>
      <c r="CR12" s="102">
        <v>0</v>
      </c>
      <c r="CS12" s="102">
        <v>0</v>
      </c>
      <c r="CT12" s="102">
        <v>0</v>
      </c>
      <c r="CU12" s="102">
        <v>0</v>
      </c>
      <c r="CV12" s="102">
        <v>0</v>
      </c>
      <c r="CW12" s="102">
        <v>0</v>
      </c>
      <c r="CX12" s="102">
        <v>0</v>
      </c>
      <c r="CY12" s="102">
        <v>0</v>
      </c>
      <c r="CZ12" s="102">
        <v>0</v>
      </c>
      <c r="DA12" s="102">
        <v>0</v>
      </c>
      <c r="DB12" s="102">
        <v>0</v>
      </c>
      <c r="DC12" s="102">
        <v>0</v>
      </c>
      <c r="DD12" s="102">
        <v>0</v>
      </c>
      <c r="DE12" s="102">
        <v>0</v>
      </c>
      <c r="DF12" s="102">
        <v>0</v>
      </c>
      <c r="DG12" s="102">
        <v>0</v>
      </c>
      <c r="DH12" s="102">
        <v>0</v>
      </c>
      <c r="DI12" s="102">
        <v>0</v>
      </c>
      <c r="DJ12" s="102">
        <v>0</v>
      </c>
      <c r="DK12" s="102">
        <v>0</v>
      </c>
      <c r="DL12" s="102">
        <v>0</v>
      </c>
      <c r="DM12" s="102">
        <v>0</v>
      </c>
      <c r="DN12" s="102">
        <v>0</v>
      </c>
      <c r="DO12" s="102">
        <v>0</v>
      </c>
      <c r="DP12" s="102">
        <v>0</v>
      </c>
      <c r="DQ12" s="102">
        <v>0</v>
      </c>
      <c r="DR12" s="102">
        <v>0</v>
      </c>
      <c r="DS12" s="102">
        <v>0</v>
      </c>
      <c r="DT12" s="102">
        <v>0</v>
      </c>
      <c r="DU12" s="102">
        <v>0</v>
      </c>
      <c r="DV12" s="102">
        <v>0</v>
      </c>
      <c r="DW12" s="102">
        <v>0</v>
      </c>
      <c r="DX12" s="102">
        <v>0</v>
      </c>
      <c r="DY12" s="102">
        <v>0</v>
      </c>
      <c r="DZ12" s="102">
        <v>0</v>
      </c>
      <c r="EA12" s="102">
        <v>0</v>
      </c>
      <c r="EB12" s="102">
        <v>0</v>
      </c>
      <c r="EC12" s="102">
        <v>0</v>
      </c>
      <c r="ED12" s="102">
        <v>0</v>
      </c>
      <c r="EE12" s="102">
        <v>0</v>
      </c>
      <c r="EF12" s="102">
        <v>0</v>
      </c>
      <c r="EG12" s="102">
        <v>0</v>
      </c>
      <c r="EH12" s="102">
        <v>0</v>
      </c>
      <c r="EI12" s="102">
        <v>0</v>
      </c>
      <c r="EJ12" s="102">
        <v>0</v>
      </c>
      <c r="EK12" s="102">
        <v>0</v>
      </c>
      <c r="EL12" s="102">
        <v>0</v>
      </c>
      <c r="EM12" s="102">
        <v>0</v>
      </c>
      <c r="EN12" s="102">
        <v>0</v>
      </c>
      <c r="EO12" s="102">
        <v>0</v>
      </c>
      <c r="EP12" s="102">
        <v>0</v>
      </c>
      <c r="EQ12" s="102">
        <v>0</v>
      </c>
      <c r="ER12" s="102">
        <v>0</v>
      </c>
      <c r="ES12" s="102">
        <v>0</v>
      </c>
      <c r="ET12" s="102">
        <v>0</v>
      </c>
      <c r="EU12" s="102">
        <v>0</v>
      </c>
      <c r="EV12" s="102">
        <v>0</v>
      </c>
      <c r="EW12" s="102">
        <v>0</v>
      </c>
      <c r="EX12" s="102">
        <v>0</v>
      </c>
      <c r="EY12" s="102">
        <v>0</v>
      </c>
      <c r="EZ12" s="102">
        <v>0</v>
      </c>
      <c r="FA12" s="102">
        <v>0</v>
      </c>
      <c r="FB12" s="102">
        <v>0</v>
      </c>
      <c r="FC12" s="102">
        <v>0</v>
      </c>
      <c r="FD12" s="102">
        <v>0</v>
      </c>
      <c r="FE12" s="102">
        <v>0</v>
      </c>
      <c r="FF12" s="102">
        <v>0</v>
      </c>
      <c r="FG12" s="102">
        <v>0</v>
      </c>
      <c r="FH12" s="102">
        <v>0</v>
      </c>
      <c r="FI12" s="102">
        <v>0</v>
      </c>
      <c r="FJ12" s="71">
        <v>0</v>
      </c>
    </row>
    <row r="13" spans="1:166" x14ac:dyDescent="0.3">
      <c r="A13" s="401" t="s">
        <v>670</v>
      </c>
      <c r="B13" s="103" t="s">
        <v>424</v>
      </c>
      <c r="C13" s="103" t="s">
        <v>657</v>
      </c>
      <c r="D13" s="103" t="s">
        <v>14</v>
      </c>
      <c r="E13" s="103" t="s">
        <v>654</v>
      </c>
      <c r="F13" s="103" t="s">
        <v>274</v>
      </c>
      <c r="G13" s="103" t="s">
        <v>618</v>
      </c>
      <c r="H13" s="103" t="s">
        <v>619</v>
      </c>
      <c r="I13" s="103">
        <v>0</v>
      </c>
      <c r="J13" s="103" t="s">
        <v>661</v>
      </c>
      <c r="K13" s="103">
        <v>0</v>
      </c>
      <c r="L13" s="103" t="s">
        <v>307</v>
      </c>
      <c r="M13" s="102">
        <v>2.5</v>
      </c>
      <c r="N13" s="102">
        <v>0</v>
      </c>
      <c r="O13" s="393">
        <v>20000000</v>
      </c>
      <c r="P13" s="393">
        <f t="shared" si="0"/>
        <v>50000000</v>
      </c>
      <c r="Q13" s="102">
        <v>0</v>
      </c>
      <c r="R13" s="102">
        <v>0</v>
      </c>
      <c r="S13" s="394">
        <v>0</v>
      </c>
      <c r="T13" s="395">
        <v>1</v>
      </c>
      <c r="U13" s="103">
        <v>0</v>
      </c>
      <c r="V13" s="102">
        <v>0</v>
      </c>
      <c r="W13" s="102">
        <v>0</v>
      </c>
      <c r="X13" s="102">
        <v>0</v>
      </c>
      <c r="Y13" s="102">
        <v>0</v>
      </c>
      <c r="Z13" s="102">
        <v>0</v>
      </c>
      <c r="AA13" s="102">
        <v>0</v>
      </c>
      <c r="AB13" s="102">
        <v>0</v>
      </c>
      <c r="AC13" s="102">
        <v>0</v>
      </c>
      <c r="AD13" s="102">
        <v>0</v>
      </c>
      <c r="AE13" s="102">
        <v>0</v>
      </c>
      <c r="AF13" s="102">
        <v>0</v>
      </c>
      <c r="AG13" s="102">
        <v>0</v>
      </c>
      <c r="AH13" s="102">
        <v>0</v>
      </c>
      <c r="AI13" s="102">
        <v>0</v>
      </c>
      <c r="AJ13" s="102">
        <v>0</v>
      </c>
      <c r="AK13" s="102">
        <v>0</v>
      </c>
      <c r="AL13" s="102">
        <v>0</v>
      </c>
      <c r="AM13" s="102">
        <v>0</v>
      </c>
      <c r="AN13" s="102">
        <v>0</v>
      </c>
      <c r="AO13" s="102">
        <v>0</v>
      </c>
      <c r="AP13" s="102">
        <v>0</v>
      </c>
      <c r="AQ13" s="102">
        <v>0</v>
      </c>
      <c r="AR13" s="102">
        <v>0</v>
      </c>
      <c r="AS13" s="102">
        <v>0</v>
      </c>
      <c r="AT13" s="102">
        <v>0</v>
      </c>
      <c r="AU13" s="102">
        <v>0</v>
      </c>
      <c r="AV13" s="102">
        <v>0</v>
      </c>
      <c r="AW13" s="102">
        <v>0</v>
      </c>
      <c r="AX13" s="102">
        <v>0</v>
      </c>
      <c r="AY13" s="102">
        <v>0</v>
      </c>
      <c r="AZ13" s="102">
        <v>0</v>
      </c>
      <c r="BA13" s="102">
        <v>0</v>
      </c>
      <c r="BB13" s="102">
        <v>0</v>
      </c>
      <c r="BC13" s="102">
        <v>0</v>
      </c>
      <c r="BD13" s="102">
        <v>0</v>
      </c>
      <c r="BE13" s="102">
        <v>0</v>
      </c>
      <c r="BF13" s="102">
        <v>0</v>
      </c>
      <c r="BG13" s="102">
        <v>0</v>
      </c>
      <c r="BH13" s="102">
        <v>0</v>
      </c>
      <c r="BI13" s="102">
        <v>0</v>
      </c>
      <c r="BJ13" s="102">
        <v>0</v>
      </c>
      <c r="BK13" s="102">
        <v>0</v>
      </c>
      <c r="BL13" s="102">
        <v>0</v>
      </c>
      <c r="BM13" s="102">
        <v>0</v>
      </c>
      <c r="BN13" s="102">
        <v>0</v>
      </c>
      <c r="BO13" s="102">
        <v>0</v>
      </c>
      <c r="BP13" s="102">
        <v>0</v>
      </c>
      <c r="BQ13" s="102">
        <v>0</v>
      </c>
      <c r="BR13" s="102">
        <v>0</v>
      </c>
      <c r="BS13" s="102">
        <v>0</v>
      </c>
      <c r="BT13" s="102">
        <v>0</v>
      </c>
      <c r="BU13" s="102">
        <v>0</v>
      </c>
      <c r="BV13" s="102">
        <v>0</v>
      </c>
      <c r="BW13" s="102">
        <v>0</v>
      </c>
      <c r="BX13" s="102">
        <v>0</v>
      </c>
      <c r="BY13" s="102">
        <v>0</v>
      </c>
      <c r="BZ13" s="102">
        <v>0</v>
      </c>
      <c r="CA13" s="102">
        <v>0</v>
      </c>
      <c r="CB13" s="102">
        <v>0</v>
      </c>
      <c r="CC13" s="102">
        <v>0</v>
      </c>
      <c r="CD13" s="102">
        <v>0</v>
      </c>
      <c r="CE13" s="102">
        <v>0</v>
      </c>
      <c r="CF13" s="102">
        <v>0</v>
      </c>
      <c r="CG13" s="102">
        <v>0</v>
      </c>
      <c r="CH13" s="102">
        <v>0</v>
      </c>
      <c r="CI13" s="102">
        <v>0</v>
      </c>
      <c r="CJ13" s="102">
        <v>0</v>
      </c>
      <c r="CK13" s="102">
        <v>0</v>
      </c>
      <c r="CL13" s="102">
        <v>0</v>
      </c>
      <c r="CM13" s="102">
        <v>0</v>
      </c>
      <c r="CN13" s="102">
        <v>0</v>
      </c>
      <c r="CO13" s="102">
        <v>0</v>
      </c>
      <c r="CP13" s="102">
        <v>0</v>
      </c>
      <c r="CQ13" s="102">
        <v>0</v>
      </c>
      <c r="CR13" s="102">
        <v>0</v>
      </c>
      <c r="CS13" s="102">
        <v>0</v>
      </c>
      <c r="CT13" s="102">
        <v>0</v>
      </c>
      <c r="CU13" s="102">
        <v>0</v>
      </c>
      <c r="CV13" s="102">
        <v>0</v>
      </c>
      <c r="CW13" s="102">
        <v>0</v>
      </c>
      <c r="CX13" s="102">
        <v>0</v>
      </c>
      <c r="CY13" s="102">
        <v>0</v>
      </c>
      <c r="CZ13" s="102">
        <v>0</v>
      </c>
      <c r="DA13" s="102">
        <v>0</v>
      </c>
      <c r="DB13" s="102">
        <v>0</v>
      </c>
      <c r="DC13" s="102">
        <v>0</v>
      </c>
      <c r="DD13" s="102">
        <v>0</v>
      </c>
      <c r="DE13" s="102">
        <v>0</v>
      </c>
      <c r="DF13" s="102">
        <v>0</v>
      </c>
      <c r="DG13" s="102">
        <v>0</v>
      </c>
      <c r="DH13" s="102">
        <v>0</v>
      </c>
      <c r="DI13" s="102">
        <v>0</v>
      </c>
      <c r="DJ13" s="102">
        <v>0</v>
      </c>
      <c r="DK13" s="102">
        <v>0</v>
      </c>
      <c r="DL13" s="102">
        <v>0</v>
      </c>
      <c r="DM13" s="102">
        <v>0</v>
      </c>
      <c r="DN13" s="102">
        <v>0</v>
      </c>
      <c r="DO13" s="102">
        <v>0</v>
      </c>
      <c r="DP13" s="102">
        <v>0</v>
      </c>
      <c r="DQ13" s="102">
        <v>0</v>
      </c>
      <c r="DR13" s="102">
        <v>0</v>
      </c>
      <c r="DS13" s="102">
        <v>0</v>
      </c>
      <c r="DT13" s="102">
        <v>0</v>
      </c>
      <c r="DU13" s="102">
        <v>0</v>
      </c>
      <c r="DV13" s="102">
        <v>0</v>
      </c>
      <c r="DW13" s="102">
        <v>0</v>
      </c>
      <c r="DX13" s="102">
        <v>0</v>
      </c>
      <c r="DY13" s="102">
        <v>0</v>
      </c>
      <c r="DZ13" s="102">
        <v>0</v>
      </c>
      <c r="EA13" s="102">
        <v>0</v>
      </c>
      <c r="EB13" s="102">
        <v>0</v>
      </c>
      <c r="EC13" s="102">
        <v>0</v>
      </c>
      <c r="ED13" s="102">
        <v>0</v>
      </c>
      <c r="EE13" s="102">
        <v>0</v>
      </c>
      <c r="EF13" s="102">
        <v>0</v>
      </c>
      <c r="EG13" s="102">
        <v>0</v>
      </c>
      <c r="EH13" s="102">
        <v>0</v>
      </c>
      <c r="EI13" s="102">
        <v>0</v>
      </c>
      <c r="EJ13" s="102">
        <v>0</v>
      </c>
      <c r="EK13" s="102">
        <v>0</v>
      </c>
      <c r="EL13" s="102">
        <v>0</v>
      </c>
      <c r="EM13" s="102">
        <v>0</v>
      </c>
      <c r="EN13" s="102">
        <v>0</v>
      </c>
      <c r="EO13" s="102">
        <v>0</v>
      </c>
      <c r="EP13" s="102">
        <v>0</v>
      </c>
      <c r="EQ13" s="102">
        <v>0</v>
      </c>
      <c r="ER13" s="102">
        <v>0</v>
      </c>
      <c r="ES13" s="102">
        <v>0</v>
      </c>
      <c r="ET13" s="102">
        <v>0</v>
      </c>
      <c r="EU13" s="102">
        <v>0</v>
      </c>
      <c r="EV13" s="102">
        <v>0</v>
      </c>
      <c r="EW13" s="102">
        <v>0</v>
      </c>
      <c r="EX13" s="102">
        <v>0</v>
      </c>
      <c r="EY13" s="102">
        <v>0</v>
      </c>
      <c r="EZ13" s="102">
        <v>0</v>
      </c>
      <c r="FA13" s="102">
        <v>0</v>
      </c>
      <c r="FB13" s="102">
        <v>0</v>
      </c>
      <c r="FC13" s="102">
        <v>0</v>
      </c>
      <c r="FD13" s="102">
        <v>0</v>
      </c>
      <c r="FE13" s="102">
        <v>0</v>
      </c>
      <c r="FF13" s="102">
        <v>0</v>
      </c>
      <c r="FG13" s="102">
        <v>0</v>
      </c>
      <c r="FH13" s="102">
        <v>0</v>
      </c>
      <c r="FI13" s="102">
        <v>0</v>
      </c>
      <c r="FJ13" s="71">
        <v>0</v>
      </c>
    </row>
    <row r="14" spans="1:166" x14ac:dyDescent="0.3">
      <c r="A14" s="401" t="s">
        <v>671</v>
      </c>
      <c r="B14" s="103" t="s">
        <v>424</v>
      </c>
      <c r="C14" s="103" t="s">
        <v>657</v>
      </c>
      <c r="D14" s="103" t="s">
        <v>14</v>
      </c>
      <c r="E14" s="103" t="s">
        <v>654</v>
      </c>
      <c r="F14" s="103" t="s">
        <v>274</v>
      </c>
      <c r="G14" s="103" t="s">
        <v>620</v>
      </c>
      <c r="H14" s="103" t="s">
        <v>305</v>
      </c>
      <c r="I14" s="103">
        <v>0</v>
      </c>
      <c r="J14" s="103" t="s">
        <v>661</v>
      </c>
      <c r="K14" s="103">
        <v>0</v>
      </c>
      <c r="L14" s="103" t="s">
        <v>307</v>
      </c>
      <c r="M14" s="102">
        <v>0.5</v>
      </c>
      <c r="N14" s="102">
        <v>0</v>
      </c>
      <c r="O14" s="393">
        <v>10000000</v>
      </c>
      <c r="P14" s="393">
        <f t="shared" si="0"/>
        <v>5000000</v>
      </c>
      <c r="Q14" s="102">
        <v>0</v>
      </c>
      <c r="R14" s="102">
        <v>0</v>
      </c>
      <c r="S14" s="394">
        <v>0</v>
      </c>
      <c r="T14" s="395">
        <v>1</v>
      </c>
      <c r="U14" s="103">
        <v>0</v>
      </c>
      <c r="V14" s="102">
        <v>0</v>
      </c>
      <c r="W14" s="102">
        <v>0</v>
      </c>
      <c r="X14" s="102">
        <v>0</v>
      </c>
      <c r="Y14" s="102">
        <v>0</v>
      </c>
      <c r="Z14" s="102">
        <v>0</v>
      </c>
      <c r="AA14" s="102">
        <v>0</v>
      </c>
      <c r="AB14" s="102">
        <v>0</v>
      </c>
      <c r="AC14" s="102">
        <v>0</v>
      </c>
      <c r="AD14" s="102">
        <v>0</v>
      </c>
      <c r="AE14" s="102">
        <v>0</v>
      </c>
      <c r="AF14" s="102">
        <v>0</v>
      </c>
      <c r="AG14" s="102">
        <v>0</v>
      </c>
      <c r="AH14" s="102">
        <v>0</v>
      </c>
      <c r="AI14" s="102">
        <v>0</v>
      </c>
      <c r="AJ14" s="102">
        <v>0</v>
      </c>
      <c r="AK14" s="102">
        <v>0</v>
      </c>
      <c r="AL14" s="102">
        <v>0</v>
      </c>
      <c r="AM14" s="102">
        <v>0</v>
      </c>
      <c r="AN14" s="102">
        <v>0</v>
      </c>
      <c r="AO14" s="102">
        <v>0</v>
      </c>
      <c r="AP14" s="102">
        <v>0</v>
      </c>
      <c r="AQ14" s="102">
        <v>0</v>
      </c>
      <c r="AR14" s="102">
        <v>0</v>
      </c>
      <c r="AS14" s="102">
        <v>0</v>
      </c>
      <c r="AT14" s="102">
        <v>0</v>
      </c>
      <c r="AU14" s="102">
        <v>0</v>
      </c>
      <c r="AV14" s="102">
        <v>0</v>
      </c>
      <c r="AW14" s="102">
        <v>0</v>
      </c>
      <c r="AX14" s="102">
        <v>0</v>
      </c>
      <c r="AY14" s="102">
        <v>0</v>
      </c>
      <c r="AZ14" s="102">
        <v>0</v>
      </c>
      <c r="BA14" s="102">
        <v>0</v>
      </c>
      <c r="BB14" s="102">
        <v>0</v>
      </c>
      <c r="BC14" s="102">
        <v>0</v>
      </c>
      <c r="BD14" s="102">
        <v>0</v>
      </c>
      <c r="BE14" s="102">
        <v>0</v>
      </c>
      <c r="BF14" s="102">
        <v>0</v>
      </c>
      <c r="BG14" s="102">
        <v>0</v>
      </c>
      <c r="BH14" s="102">
        <v>0</v>
      </c>
      <c r="BI14" s="102">
        <v>0</v>
      </c>
      <c r="BJ14" s="102">
        <v>0</v>
      </c>
      <c r="BK14" s="102">
        <v>0</v>
      </c>
      <c r="BL14" s="102">
        <v>0</v>
      </c>
      <c r="BM14" s="102">
        <v>0</v>
      </c>
      <c r="BN14" s="102">
        <v>0</v>
      </c>
      <c r="BO14" s="102">
        <v>0</v>
      </c>
      <c r="BP14" s="102">
        <v>0</v>
      </c>
      <c r="BQ14" s="102">
        <v>0</v>
      </c>
      <c r="BR14" s="102">
        <v>0</v>
      </c>
      <c r="BS14" s="102">
        <v>0</v>
      </c>
      <c r="BT14" s="102">
        <v>0</v>
      </c>
      <c r="BU14" s="102">
        <v>0</v>
      </c>
      <c r="BV14" s="102">
        <v>0</v>
      </c>
      <c r="BW14" s="102">
        <v>0</v>
      </c>
      <c r="BX14" s="102">
        <v>0</v>
      </c>
      <c r="BY14" s="102">
        <v>0</v>
      </c>
      <c r="BZ14" s="102">
        <v>0</v>
      </c>
      <c r="CA14" s="102">
        <v>0</v>
      </c>
      <c r="CB14" s="102">
        <v>0</v>
      </c>
      <c r="CC14" s="102">
        <v>0</v>
      </c>
      <c r="CD14" s="102">
        <v>0</v>
      </c>
      <c r="CE14" s="102">
        <v>0</v>
      </c>
      <c r="CF14" s="102">
        <v>0</v>
      </c>
      <c r="CG14" s="102">
        <v>0</v>
      </c>
      <c r="CH14" s="102">
        <v>0</v>
      </c>
      <c r="CI14" s="102">
        <v>0</v>
      </c>
      <c r="CJ14" s="102">
        <v>0</v>
      </c>
      <c r="CK14" s="102">
        <v>0</v>
      </c>
      <c r="CL14" s="102">
        <v>0</v>
      </c>
      <c r="CM14" s="102">
        <v>0</v>
      </c>
      <c r="CN14" s="102">
        <v>0</v>
      </c>
      <c r="CO14" s="102">
        <v>0</v>
      </c>
      <c r="CP14" s="102">
        <v>0</v>
      </c>
      <c r="CQ14" s="102">
        <v>0</v>
      </c>
      <c r="CR14" s="102">
        <v>0</v>
      </c>
      <c r="CS14" s="102">
        <v>0</v>
      </c>
      <c r="CT14" s="102">
        <v>0</v>
      </c>
      <c r="CU14" s="102">
        <v>0</v>
      </c>
      <c r="CV14" s="102">
        <v>0</v>
      </c>
      <c r="CW14" s="102">
        <v>0</v>
      </c>
      <c r="CX14" s="102">
        <v>0</v>
      </c>
      <c r="CY14" s="102">
        <v>0</v>
      </c>
      <c r="CZ14" s="102">
        <v>0</v>
      </c>
      <c r="DA14" s="102">
        <v>0</v>
      </c>
      <c r="DB14" s="102">
        <v>0</v>
      </c>
      <c r="DC14" s="102">
        <v>0</v>
      </c>
      <c r="DD14" s="102">
        <v>0</v>
      </c>
      <c r="DE14" s="102">
        <v>0</v>
      </c>
      <c r="DF14" s="102">
        <v>0</v>
      </c>
      <c r="DG14" s="102">
        <v>0</v>
      </c>
      <c r="DH14" s="102">
        <v>0</v>
      </c>
      <c r="DI14" s="102">
        <v>0</v>
      </c>
      <c r="DJ14" s="102">
        <v>0</v>
      </c>
      <c r="DK14" s="102">
        <v>0</v>
      </c>
      <c r="DL14" s="102">
        <v>0</v>
      </c>
      <c r="DM14" s="102">
        <v>0</v>
      </c>
      <c r="DN14" s="102">
        <v>0</v>
      </c>
      <c r="DO14" s="102">
        <v>0</v>
      </c>
      <c r="DP14" s="102">
        <v>0</v>
      </c>
      <c r="DQ14" s="102">
        <v>0</v>
      </c>
      <c r="DR14" s="102">
        <v>0</v>
      </c>
      <c r="DS14" s="102">
        <v>0</v>
      </c>
      <c r="DT14" s="102">
        <v>0</v>
      </c>
      <c r="DU14" s="102">
        <v>0</v>
      </c>
      <c r="DV14" s="102">
        <v>0</v>
      </c>
      <c r="DW14" s="102">
        <v>0</v>
      </c>
      <c r="DX14" s="102">
        <v>0</v>
      </c>
      <c r="DY14" s="102">
        <v>0</v>
      </c>
      <c r="DZ14" s="102">
        <v>0</v>
      </c>
      <c r="EA14" s="102">
        <v>0</v>
      </c>
      <c r="EB14" s="102">
        <v>0</v>
      </c>
      <c r="EC14" s="102">
        <v>0</v>
      </c>
      <c r="ED14" s="102">
        <v>0</v>
      </c>
      <c r="EE14" s="102">
        <v>0</v>
      </c>
      <c r="EF14" s="102">
        <v>0</v>
      </c>
      <c r="EG14" s="102">
        <v>0</v>
      </c>
      <c r="EH14" s="102">
        <v>0</v>
      </c>
      <c r="EI14" s="102">
        <v>0</v>
      </c>
      <c r="EJ14" s="102">
        <v>0</v>
      </c>
      <c r="EK14" s="102">
        <v>0</v>
      </c>
      <c r="EL14" s="102">
        <v>0</v>
      </c>
      <c r="EM14" s="102">
        <v>0</v>
      </c>
      <c r="EN14" s="102">
        <v>0</v>
      </c>
      <c r="EO14" s="102">
        <v>0</v>
      </c>
      <c r="EP14" s="102">
        <v>0</v>
      </c>
      <c r="EQ14" s="102">
        <v>0</v>
      </c>
      <c r="ER14" s="102">
        <v>0</v>
      </c>
      <c r="ES14" s="102">
        <v>0</v>
      </c>
      <c r="ET14" s="102">
        <v>0</v>
      </c>
      <c r="EU14" s="102">
        <v>0</v>
      </c>
      <c r="EV14" s="102">
        <v>0</v>
      </c>
      <c r="EW14" s="102">
        <v>0</v>
      </c>
      <c r="EX14" s="102">
        <v>0</v>
      </c>
      <c r="EY14" s="102">
        <v>0</v>
      </c>
      <c r="EZ14" s="102">
        <v>0</v>
      </c>
      <c r="FA14" s="102">
        <v>0</v>
      </c>
      <c r="FB14" s="102">
        <v>0</v>
      </c>
      <c r="FC14" s="102">
        <v>0</v>
      </c>
      <c r="FD14" s="102">
        <v>0</v>
      </c>
      <c r="FE14" s="102">
        <v>0</v>
      </c>
      <c r="FF14" s="102">
        <v>0</v>
      </c>
      <c r="FG14" s="102">
        <v>0</v>
      </c>
      <c r="FH14" s="102">
        <v>0</v>
      </c>
      <c r="FI14" s="102">
        <v>0</v>
      </c>
      <c r="FJ14" s="71">
        <v>0</v>
      </c>
    </row>
    <row r="15" spans="1:166" x14ac:dyDescent="0.3">
      <c r="A15" s="401" t="s">
        <v>672</v>
      </c>
      <c r="B15" s="103" t="s">
        <v>424</v>
      </c>
      <c r="C15" s="103" t="s">
        <v>657</v>
      </c>
      <c r="D15" s="103" t="s">
        <v>14</v>
      </c>
      <c r="E15" s="103" t="s">
        <v>654</v>
      </c>
      <c r="F15" s="103" t="s">
        <v>274</v>
      </c>
      <c r="G15" s="103" t="s">
        <v>621</v>
      </c>
      <c r="H15" s="103" t="s">
        <v>622</v>
      </c>
      <c r="I15" s="103">
        <v>0</v>
      </c>
      <c r="J15" s="103" t="s">
        <v>661</v>
      </c>
      <c r="K15" s="103">
        <v>0</v>
      </c>
      <c r="L15" s="103" t="s">
        <v>307</v>
      </c>
      <c r="M15" s="102">
        <v>0.5</v>
      </c>
      <c r="N15" s="102">
        <v>0</v>
      </c>
      <c r="O15" s="393">
        <v>8000000</v>
      </c>
      <c r="P15" s="393">
        <f t="shared" si="0"/>
        <v>4000000</v>
      </c>
      <c r="Q15" s="102">
        <v>0</v>
      </c>
      <c r="R15" s="102">
        <v>0</v>
      </c>
      <c r="S15" s="394">
        <v>0</v>
      </c>
      <c r="T15" s="395">
        <v>1</v>
      </c>
      <c r="U15" s="103">
        <v>0</v>
      </c>
      <c r="V15" s="102">
        <v>0</v>
      </c>
      <c r="W15" s="102">
        <v>0</v>
      </c>
      <c r="X15" s="102">
        <v>0</v>
      </c>
      <c r="Y15" s="102">
        <v>0</v>
      </c>
      <c r="Z15" s="102">
        <v>0</v>
      </c>
      <c r="AA15" s="102">
        <v>0</v>
      </c>
      <c r="AB15" s="102">
        <v>0</v>
      </c>
      <c r="AC15" s="102">
        <v>0</v>
      </c>
      <c r="AD15" s="102">
        <v>0</v>
      </c>
      <c r="AE15" s="102">
        <v>0</v>
      </c>
      <c r="AF15" s="102">
        <v>0</v>
      </c>
      <c r="AG15" s="102">
        <v>0</v>
      </c>
      <c r="AH15" s="102">
        <v>0</v>
      </c>
      <c r="AI15" s="102">
        <v>0</v>
      </c>
      <c r="AJ15" s="102">
        <v>0</v>
      </c>
      <c r="AK15" s="102">
        <v>0</v>
      </c>
      <c r="AL15" s="102">
        <v>0</v>
      </c>
      <c r="AM15" s="102">
        <v>0</v>
      </c>
      <c r="AN15" s="102">
        <v>0</v>
      </c>
      <c r="AO15" s="102">
        <v>0</v>
      </c>
      <c r="AP15" s="102">
        <v>0</v>
      </c>
      <c r="AQ15" s="102">
        <v>0</v>
      </c>
      <c r="AR15" s="102">
        <v>0</v>
      </c>
      <c r="AS15" s="102">
        <v>0</v>
      </c>
      <c r="AT15" s="102">
        <v>0</v>
      </c>
      <c r="AU15" s="102">
        <v>0</v>
      </c>
      <c r="AV15" s="102">
        <v>0</v>
      </c>
      <c r="AW15" s="102">
        <v>0</v>
      </c>
      <c r="AX15" s="102">
        <v>0</v>
      </c>
      <c r="AY15" s="102">
        <v>0</v>
      </c>
      <c r="AZ15" s="102">
        <v>0</v>
      </c>
      <c r="BA15" s="102">
        <v>0</v>
      </c>
      <c r="BB15" s="102">
        <v>0</v>
      </c>
      <c r="BC15" s="102">
        <v>0</v>
      </c>
      <c r="BD15" s="102">
        <v>0</v>
      </c>
      <c r="BE15" s="102">
        <v>0</v>
      </c>
      <c r="BF15" s="102">
        <v>0</v>
      </c>
      <c r="BG15" s="102">
        <v>0</v>
      </c>
      <c r="BH15" s="102">
        <v>0</v>
      </c>
      <c r="BI15" s="102">
        <v>0</v>
      </c>
      <c r="BJ15" s="102">
        <v>0</v>
      </c>
      <c r="BK15" s="102">
        <v>0</v>
      </c>
      <c r="BL15" s="102">
        <v>0</v>
      </c>
      <c r="BM15" s="102">
        <v>0</v>
      </c>
      <c r="BN15" s="102">
        <v>0</v>
      </c>
      <c r="BO15" s="102">
        <v>0</v>
      </c>
      <c r="BP15" s="102">
        <v>0</v>
      </c>
      <c r="BQ15" s="102">
        <v>0</v>
      </c>
      <c r="BR15" s="102">
        <v>0</v>
      </c>
      <c r="BS15" s="102">
        <v>0</v>
      </c>
      <c r="BT15" s="102">
        <v>0</v>
      </c>
      <c r="BU15" s="102">
        <v>0</v>
      </c>
      <c r="BV15" s="102">
        <v>0</v>
      </c>
      <c r="BW15" s="102">
        <v>0</v>
      </c>
      <c r="BX15" s="102">
        <v>0</v>
      </c>
      <c r="BY15" s="102">
        <v>0</v>
      </c>
      <c r="BZ15" s="102">
        <v>0</v>
      </c>
      <c r="CA15" s="102">
        <v>0</v>
      </c>
      <c r="CB15" s="102">
        <v>0</v>
      </c>
      <c r="CC15" s="102">
        <v>0</v>
      </c>
      <c r="CD15" s="102">
        <v>0</v>
      </c>
      <c r="CE15" s="102">
        <v>0</v>
      </c>
      <c r="CF15" s="102">
        <v>0</v>
      </c>
      <c r="CG15" s="102">
        <v>0</v>
      </c>
      <c r="CH15" s="102">
        <v>0</v>
      </c>
      <c r="CI15" s="102">
        <v>0</v>
      </c>
      <c r="CJ15" s="102">
        <v>0</v>
      </c>
      <c r="CK15" s="102">
        <v>0</v>
      </c>
      <c r="CL15" s="102">
        <v>0</v>
      </c>
      <c r="CM15" s="102">
        <v>0</v>
      </c>
      <c r="CN15" s="102">
        <v>0</v>
      </c>
      <c r="CO15" s="102">
        <v>0</v>
      </c>
      <c r="CP15" s="102">
        <v>0</v>
      </c>
      <c r="CQ15" s="102">
        <v>0</v>
      </c>
      <c r="CR15" s="102">
        <v>0</v>
      </c>
      <c r="CS15" s="102">
        <v>0</v>
      </c>
      <c r="CT15" s="102">
        <v>0</v>
      </c>
      <c r="CU15" s="102">
        <v>0</v>
      </c>
      <c r="CV15" s="102">
        <v>0</v>
      </c>
      <c r="CW15" s="102">
        <v>0</v>
      </c>
      <c r="CX15" s="102">
        <v>0</v>
      </c>
      <c r="CY15" s="102">
        <v>0</v>
      </c>
      <c r="CZ15" s="102">
        <v>0</v>
      </c>
      <c r="DA15" s="102">
        <v>0</v>
      </c>
      <c r="DB15" s="102">
        <v>0</v>
      </c>
      <c r="DC15" s="102">
        <v>0</v>
      </c>
      <c r="DD15" s="102">
        <v>0</v>
      </c>
      <c r="DE15" s="102">
        <v>0</v>
      </c>
      <c r="DF15" s="102">
        <v>0</v>
      </c>
      <c r="DG15" s="102">
        <v>0</v>
      </c>
      <c r="DH15" s="102">
        <v>0</v>
      </c>
      <c r="DI15" s="102">
        <v>0</v>
      </c>
      <c r="DJ15" s="102">
        <v>0</v>
      </c>
      <c r="DK15" s="102">
        <v>0</v>
      </c>
      <c r="DL15" s="102">
        <v>0</v>
      </c>
      <c r="DM15" s="102">
        <v>0</v>
      </c>
      <c r="DN15" s="102">
        <v>0</v>
      </c>
      <c r="DO15" s="102">
        <v>0</v>
      </c>
      <c r="DP15" s="102">
        <v>0</v>
      </c>
      <c r="DQ15" s="102">
        <v>0</v>
      </c>
      <c r="DR15" s="102">
        <v>0</v>
      </c>
      <c r="DS15" s="102">
        <v>0</v>
      </c>
      <c r="DT15" s="102">
        <v>0</v>
      </c>
      <c r="DU15" s="102">
        <v>0</v>
      </c>
      <c r="DV15" s="102">
        <v>0</v>
      </c>
      <c r="DW15" s="102">
        <v>0</v>
      </c>
      <c r="DX15" s="102">
        <v>0</v>
      </c>
      <c r="DY15" s="102">
        <v>0</v>
      </c>
      <c r="DZ15" s="102">
        <v>0</v>
      </c>
      <c r="EA15" s="102">
        <v>0</v>
      </c>
      <c r="EB15" s="102">
        <v>0</v>
      </c>
      <c r="EC15" s="102">
        <v>0</v>
      </c>
      <c r="ED15" s="102">
        <v>0</v>
      </c>
      <c r="EE15" s="102">
        <v>0</v>
      </c>
      <c r="EF15" s="102">
        <v>0</v>
      </c>
      <c r="EG15" s="102">
        <v>0</v>
      </c>
      <c r="EH15" s="102">
        <v>0</v>
      </c>
      <c r="EI15" s="102">
        <v>0</v>
      </c>
      <c r="EJ15" s="102">
        <v>0</v>
      </c>
      <c r="EK15" s="102">
        <v>0</v>
      </c>
      <c r="EL15" s="102">
        <v>0</v>
      </c>
      <c r="EM15" s="102">
        <v>0</v>
      </c>
      <c r="EN15" s="102">
        <v>0</v>
      </c>
      <c r="EO15" s="102">
        <v>0</v>
      </c>
      <c r="EP15" s="102">
        <v>0</v>
      </c>
      <c r="EQ15" s="102">
        <v>0</v>
      </c>
      <c r="ER15" s="102">
        <v>0</v>
      </c>
      <c r="ES15" s="102">
        <v>0</v>
      </c>
      <c r="ET15" s="102">
        <v>0</v>
      </c>
      <c r="EU15" s="102">
        <v>0</v>
      </c>
      <c r="EV15" s="102">
        <v>0</v>
      </c>
      <c r="EW15" s="102">
        <v>0</v>
      </c>
      <c r="EX15" s="102">
        <v>0</v>
      </c>
      <c r="EY15" s="102">
        <v>0</v>
      </c>
      <c r="EZ15" s="102">
        <v>0</v>
      </c>
      <c r="FA15" s="102">
        <v>0</v>
      </c>
      <c r="FB15" s="102">
        <v>0</v>
      </c>
      <c r="FC15" s="102">
        <v>0</v>
      </c>
      <c r="FD15" s="102">
        <v>0</v>
      </c>
      <c r="FE15" s="102">
        <v>0</v>
      </c>
      <c r="FF15" s="102">
        <v>0</v>
      </c>
      <c r="FG15" s="102">
        <v>0</v>
      </c>
      <c r="FH15" s="102">
        <v>0</v>
      </c>
      <c r="FI15" s="102">
        <v>0</v>
      </c>
      <c r="FJ15" s="71">
        <v>0</v>
      </c>
    </row>
    <row r="16" spans="1:166" x14ac:dyDescent="0.3">
      <c r="A16" s="401" t="s">
        <v>673</v>
      </c>
      <c r="B16" s="103" t="s">
        <v>424</v>
      </c>
      <c r="C16" s="103" t="s">
        <v>623</v>
      </c>
      <c r="D16" s="103" t="s">
        <v>14</v>
      </c>
      <c r="E16" s="103" t="s">
        <v>654</v>
      </c>
      <c r="F16" s="103" t="s">
        <v>274</v>
      </c>
      <c r="G16" s="103" t="s">
        <v>624</v>
      </c>
      <c r="H16" s="103" t="s">
        <v>305</v>
      </c>
      <c r="I16" s="103">
        <v>0</v>
      </c>
      <c r="J16" s="103" t="s">
        <v>661</v>
      </c>
      <c r="K16" s="103">
        <v>0</v>
      </c>
      <c r="L16" s="103" t="s">
        <v>307</v>
      </c>
      <c r="M16" s="102">
        <v>3</v>
      </c>
      <c r="N16" s="102">
        <v>0</v>
      </c>
      <c r="O16" s="393">
        <v>10000000</v>
      </c>
      <c r="P16" s="393">
        <f t="shared" si="0"/>
        <v>30000000</v>
      </c>
      <c r="Q16" s="102">
        <v>0</v>
      </c>
      <c r="R16" s="102">
        <v>0</v>
      </c>
      <c r="S16" s="394">
        <v>0</v>
      </c>
      <c r="T16" s="395">
        <v>1</v>
      </c>
      <c r="U16" s="103">
        <v>0</v>
      </c>
      <c r="V16" s="102">
        <v>0</v>
      </c>
      <c r="W16" s="102">
        <v>0</v>
      </c>
      <c r="X16" s="102">
        <v>0</v>
      </c>
      <c r="Y16" s="102">
        <v>0</v>
      </c>
      <c r="Z16" s="102">
        <v>0</v>
      </c>
      <c r="AA16" s="102">
        <v>0</v>
      </c>
      <c r="AB16" s="102">
        <v>0</v>
      </c>
      <c r="AC16" s="102">
        <v>0</v>
      </c>
      <c r="AD16" s="102">
        <v>0</v>
      </c>
      <c r="AE16" s="102">
        <v>0</v>
      </c>
      <c r="AF16" s="102">
        <v>0</v>
      </c>
      <c r="AG16" s="102">
        <v>0</v>
      </c>
      <c r="AH16" s="102">
        <v>0</v>
      </c>
      <c r="AI16" s="102">
        <v>0</v>
      </c>
      <c r="AJ16" s="102">
        <v>0</v>
      </c>
      <c r="AK16" s="102">
        <v>0</v>
      </c>
      <c r="AL16" s="102">
        <v>0</v>
      </c>
      <c r="AM16" s="102">
        <v>0</v>
      </c>
      <c r="AN16" s="102">
        <v>0</v>
      </c>
      <c r="AO16" s="102">
        <v>0</v>
      </c>
      <c r="AP16" s="102">
        <v>0</v>
      </c>
      <c r="AQ16" s="102">
        <v>0</v>
      </c>
      <c r="AR16" s="102">
        <v>0</v>
      </c>
      <c r="AS16" s="102">
        <v>0</v>
      </c>
      <c r="AT16" s="102">
        <v>0</v>
      </c>
      <c r="AU16" s="102">
        <v>0</v>
      </c>
      <c r="AV16" s="102">
        <v>0</v>
      </c>
      <c r="AW16" s="102">
        <v>0</v>
      </c>
      <c r="AX16" s="102">
        <v>0</v>
      </c>
      <c r="AY16" s="102">
        <v>0</v>
      </c>
      <c r="AZ16" s="102">
        <v>0</v>
      </c>
      <c r="BA16" s="102">
        <v>0</v>
      </c>
      <c r="BB16" s="102">
        <v>0</v>
      </c>
      <c r="BC16" s="102">
        <v>0</v>
      </c>
      <c r="BD16" s="102">
        <v>0</v>
      </c>
      <c r="BE16" s="102">
        <v>0</v>
      </c>
      <c r="BF16" s="102">
        <v>0</v>
      </c>
      <c r="BG16" s="102">
        <v>0</v>
      </c>
      <c r="BH16" s="102">
        <v>0</v>
      </c>
      <c r="BI16" s="102">
        <v>0</v>
      </c>
      <c r="BJ16" s="102">
        <v>0</v>
      </c>
      <c r="BK16" s="102">
        <v>0</v>
      </c>
      <c r="BL16" s="102">
        <v>0</v>
      </c>
      <c r="BM16" s="102">
        <v>0</v>
      </c>
      <c r="BN16" s="102">
        <v>0</v>
      </c>
      <c r="BO16" s="102">
        <v>0</v>
      </c>
      <c r="BP16" s="102">
        <v>0</v>
      </c>
      <c r="BQ16" s="102">
        <v>0</v>
      </c>
      <c r="BR16" s="102">
        <v>0</v>
      </c>
      <c r="BS16" s="102">
        <v>0</v>
      </c>
      <c r="BT16" s="102">
        <v>0</v>
      </c>
      <c r="BU16" s="102">
        <v>0</v>
      </c>
      <c r="BV16" s="102">
        <v>0</v>
      </c>
      <c r="BW16" s="102">
        <v>0</v>
      </c>
      <c r="BX16" s="102">
        <v>0</v>
      </c>
      <c r="BY16" s="102">
        <v>0</v>
      </c>
      <c r="BZ16" s="102">
        <v>0</v>
      </c>
      <c r="CA16" s="102">
        <v>0</v>
      </c>
      <c r="CB16" s="102">
        <v>0</v>
      </c>
      <c r="CC16" s="102">
        <v>0</v>
      </c>
      <c r="CD16" s="102">
        <v>0</v>
      </c>
      <c r="CE16" s="102">
        <v>0</v>
      </c>
      <c r="CF16" s="102">
        <v>0</v>
      </c>
      <c r="CG16" s="102">
        <v>0</v>
      </c>
      <c r="CH16" s="102">
        <v>0</v>
      </c>
      <c r="CI16" s="102">
        <v>0</v>
      </c>
      <c r="CJ16" s="102">
        <v>0</v>
      </c>
      <c r="CK16" s="102">
        <v>0</v>
      </c>
      <c r="CL16" s="102">
        <v>0</v>
      </c>
      <c r="CM16" s="102">
        <v>0</v>
      </c>
      <c r="CN16" s="102">
        <v>0</v>
      </c>
      <c r="CO16" s="102">
        <v>0</v>
      </c>
      <c r="CP16" s="102">
        <v>0</v>
      </c>
      <c r="CQ16" s="102">
        <v>0</v>
      </c>
      <c r="CR16" s="102">
        <v>0</v>
      </c>
      <c r="CS16" s="102">
        <v>0</v>
      </c>
      <c r="CT16" s="102">
        <v>0</v>
      </c>
      <c r="CU16" s="102">
        <v>0</v>
      </c>
      <c r="CV16" s="102">
        <v>0</v>
      </c>
      <c r="CW16" s="102">
        <v>0</v>
      </c>
      <c r="CX16" s="102">
        <v>0</v>
      </c>
      <c r="CY16" s="102">
        <v>0</v>
      </c>
      <c r="CZ16" s="102">
        <v>0</v>
      </c>
      <c r="DA16" s="102">
        <v>0</v>
      </c>
      <c r="DB16" s="102">
        <v>0</v>
      </c>
      <c r="DC16" s="102">
        <v>0</v>
      </c>
      <c r="DD16" s="102">
        <v>0</v>
      </c>
      <c r="DE16" s="102">
        <v>0</v>
      </c>
      <c r="DF16" s="102">
        <v>0</v>
      </c>
      <c r="DG16" s="102">
        <v>0</v>
      </c>
      <c r="DH16" s="102">
        <v>0</v>
      </c>
      <c r="DI16" s="102">
        <v>0</v>
      </c>
      <c r="DJ16" s="102">
        <v>0</v>
      </c>
      <c r="DK16" s="102">
        <v>0</v>
      </c>
      <c r="DL16" s="102">
        <v>0</v>
      </c>
      <c r="DM16" s="102">
        <v>0</v>
      </c>
      <c r="DN16" s="102">
        <v>0</v>
      </c>
      <c r="DO16" s="102">
        <v>0</v>
      </c>
      <c r="DP16" s="102">
        <v>0</v>
      </c>
      <c r="DQ16" s="102">
        <v>0</v>
      </c>
      <c r="DR16" s="102">
        <v>0</v>
      </c>
      <c r="DS16" s="102">
        <v>0</v>
      </c>
      <c r="DT16" s="102">
        <v>0</v>
      </c>
      <c r="DU16" s="102">
        <v>0</v>
      </c>
      <c r="DV16" s="102">
        <v>0</v>
      </c>
      <c r="DW16" s="102">
        <v>0</v>
      </c>
      <c r="DX16" s="102">
        <v>0</v>
      </c>
      <c r="DY16" s="102">
        <v>0</v>
      </c>
      <c r="DZ16" s="102">
        <v>0</v>
      </c>
      <c r="EA16" s="102">
        <v>0</v>
      </c>
      <c r="EB16" s="102">
        <v>0</v>
      </c>
      <c r="EC16" s="102">
        <v>0</v>
      </c>
      <c r="ED16" s="102">
        <v>0</v>
      </c>
      <c r="EE16" s="102">
        <v>0</v>
      </c>
      <c r="EF16" s="102">
        <v>0</v>
      </c>
      <c r="EG16" s="102">
        <v>0</v>
      </c>
      <c r="EH16" s="102">
        <v>0</v>
      </c>
      <c r="EI16" s="102">
        <v>0</v>
      </c>
      <c r="EJ16" s="102">
        <v>0</v>
      </c>
      <c r="EK16" s="102">
        <v>0</v>
      </c>
      <c r="EL16" s="102">
        <v>0</v>
      </c>
      <c r="EM16" s="102">
        <v>0</v>
      </c>
      <c r="EN16" s="102">
        <v>0</v>
      </c>
      <c r="EO16" s="102">
        <v>0</v>
      </c>
      <c r="EP16" s="102">
        <v>0</v>
      </c>
      <c r="EQ16" s="102">
        <v>0</v>
      </c>
      <c r="ER16" s="102">
        <v>0</v>
      </c>
      <c r="ES16" s="102">
        <v>0</v>
      </c>
      <c r="ET16" s="102">
        <v>0</v>
      </c>
      <c r="EU16" s="102">
        <v>0</v>
      </c>
      <c r="EV16" s="102">
        <v>0</v>
      </c>
      <c r="EW16" s="102">
        <v>0</v>
      </c>
      <c r="EX16" s="102">
        <v>0</v>
      </c>
      <c r="EY16" s="102">
        <v>0</v>
      </c>
      <c r="EZ16" s="102">
        <v>0</v>
      </c>
      <c r="FA16" s="102">
        <v>0</v>
      </c>
      <c r="FB16" s="102">
        <v>0</v>
      </c>
      <c r="FC16" s="102">
        <v>0</v>
      </c>
      <c r="FD16" s="102">
        <v>0</v>
      </c>
      <c r="FE16" s="102">
        <v>0</v>
      </c>
      <c r="FF16" s="102">
        <v>0</v>
      </c>
      <c r="FG16" s="102">
        <v>0</v>
      </c>
      <c r="FH16" s="102">
        <v>0</v>
      </c>
      <c r="FI16" s="102">
        <v>0</v>
      </c>
      <c r="FJ16" s="71">
        <v>0</v>
      </c>
    </row>
    <row r="17" spans="1:166" x14ac:dyDescent="0.3">
      <c r="A17" s="401" t="s">
        <v>674</v>
      </c>
      <c r="B17" s="103" t="s">
        <v>424</v>
      </c>
      <c r="C17" s="103" t="s">
        <v>623</v>
      </c>
      <c r="D17" s="103" t="s">
        <v>14</v>
      </c>
      <c r="E17" s="103" t="s">
        <v>654</v>
      </c>
      <c r="F17" s="103" t="s">
        <v>274</v>
      </c>
      <c r="G17" s="103" t="s">
        <v>625</v>
      </c>
      <c r="H17" s="103" t="s">
        <v>305</v>
      </c>
      <c r="I17" s="103">
        <v>0</v>
      </c>
      <c r="J17" s="103" t="s">
        <v>661</v>
      </c>
      <c r="K17" s="103">
        <v>0</v>
      </c>
      <c r="L17" s="103" t="s">
        <v>307</v>
      </c>
      <c r="M17" s="102">
        <v>3</v>
      </c>
      <c r="N17" s="102">
        <v>0</v>
      </c>
      <c r="O17" s="393">
        <v>10000000</v>
      </c>
      <c r="P17" s="393">
        <f t="shared" si="0"/>
        <v>30000000</v>
      </c>
      <c r="Q17" s="102">
        <v>0</v>
      </c>
      <c r="R17" s="102">
        <v>0</v>
      </c>
      <c r="S17" s="394">
        <v>0</v>
      </c>
      <c r="T17" s="395">
        <v>1</v>
      </c>
      <c r="U17" s="103">
        <v>0</v>
      </c>
      <c r="V17" s="102">
        <v>0</v>
      </c>
      <c r="W17" s="102">
        <v>0</v>
      </c>
      <c r="X17" s="102">
        <v>0</v>
      </c>
      <c r="Y17" s="102">
        <v>0</v>
      </c>
      <c r="Z17" s="102">
        <v>0</v>
      </c>
      <c r="AA17" s="102">
        <v>0</v>
      </c>
      <c r="AB17" s="102">
        <v>0</v>
      </c>
      <c r="AC17" s="102">
        <v>0</v>
      </c>
      <c r="AD17" s="102">
        <v>0</v>
      </c>
      <c r="AE17" s="102">
        <v>0</v>
      </c>
      <c r="AF17" s="102">
        <v>0</v>
      </c>
      <c r="AG17" s="102">
        <v>0</v>
      </c>
      <c r="AH17" s="102">
        <v>0</v>
      </c>
      <c r="AI17" s="102">
        <v>0</v>
      </c>
      <c r="AJ17" s="102">
        <v>0</v>
      </c>
      <c r="AK17" s="102">
        <v>0</v>
      </c>
      <c r="AL17" s="102">
        <v>0</v>
      </c>
      <c r="AM17" s="102">
        <v>0</v>
      </c>
      <c r="AN17" s="102">
        <v>0</v>
      </c>
      <c r="AO17" s="102">
        <v>0</v>
      </c>
      <c r="AP17" s="102">
        <v>0</v>
      </c>
      <c r="AQ17" s="102">
        <v>0</v>
      </c>
      <c r="AR17" s="102">
        <v>0</v>
      </c>
      <c r="AS17" s="102">
        <v>0</v>
      </c>
      <c r="AT17" s="102">
        <v>0</v>
      </c>
      <c r="AU17" s="102">
        <v>0</v>
      </c>
      <c r="AV17" s="102">
        <v>0</v>
      </c>
      <c r="AW17" s="102">
        <v>0</v>
      </c>
      <c r="AX17" s="102">
        <v>0</v>
      </c>
      <c r="AY17" s="102">
        <v>0</v>
      </c>
      <c r="AZ17" s="102">
        <v>0</v>
      </c>
      <c r="BA17" s="102">
        <v>0</v>
      </c>
      <c r="BB17" s="102">
        <v>0</v>
      </c>
      <c r="BC17" s="102">
        <v>0</v>
      </c>
      <c r="BD17" s="102">
        <v>0</v>
      </c>
      <c r="BE17" s="102">
        <v>0</v>
      </c>
      <c r="BF17" s="102">
        <v>0</v>
      </c>
      <c r="BG17" s="102">
        <v>0</v>
      </c>
      <c r="BH17" s="102">
        <v>0</v>
      </c>
      <c r="BI17" s="102">
        <v>0</v>
      </c>
      <c r="BJ17" s="102">
        <v>0</v>
      </c>
      <c r="BK17" s="102">
        <v>0</v>
      </c>
      <c r="BL17" s="102">
        <v>0</v>
      </c>
      <c r="BM17" s="102">
        <v>0</v>
      </c>
      <c r="BN17" s="102">
        <v>0</v>
      </c>
      <c r="BO17" s="102">
        <v>0</v>
      </c>
      <c r="BP17" s="102">
        <v>0</v>
      </c>
      <c r="BQ17" s="102">
        <v>0</v>
      </c>
      <c r="BR17" s="102">
        <v>0</v>
      </c>
      <c r="BS17" s="102">
        <v>0</v>
      </c>
      <c r="BT17" s="102">
        <v>0</v>
      </c>
      <c r="BU17" s="102">
        <v>0</v>
      </c>
      <c r="BV17" s="102">
        <v>0</v>
      </c>
      <c r="BW17" s="102">
        <v>0</v>
      </c>
      <c r="BX17" s="102">
        <v>0</v>
      </c>
      <c r="BY17" s="102">
        <v>0</v>
      </c>
      <c r="BZ17" s="102">
        <v>0</v>
      </c>
      <c r="CA17" s="102">
        <v>0</v>
      </c>
      <c r="CB17" s="102">
        <v>0</v>
      </c>
      <c r="CC17" s="102">
        <v>0</v>
      </c>
      <c r="CD17" s="102">
        <v>0</v>
      </c>
      <c r="CE17" s="102">
        <v>0</v>
      </c>
      <c r="CF17" s="102">
        <v>0</v>
      </c>
      <c r="CG17" s="102">
        <v>0</v>
      </c>
      <c r="CH17" s="102">
        <v>0</v>
      </c>
      <c r="CI17" s="102">
        <v>0</v>
      </c>
      <c r="CJ17" s="102">
        <v>0</v>
      </c>
      <c r="CK17" s="102">
        <v>0</v>
      </c>
      <c r="CL17" s="102">
        <v>0</v>
      </c>
      <c r="CM17" s="102">
        <v>0</v>
      </c>
      <c r="CN17" s="102">
        <v>0</v>
      </c>
      <c r="CO17" s="102">
        <v>0</v>
      </c>
      <c r="CP17" s="102">
        <v>0</v>
      </c>
      <c r="CQ17" s="102">
        <v>0</v>
      </c>
      <c r="CR17" s="102">
        <v>0</v>
      </c>
      <c r="CS17" s="102">
        <v>0</v>
      </c>
      <c r="CT17" s="102">
        <v>0</v>
      </c>
      <c r="CU17" s="102">
        <v>0</v>
      </c>
      <c r="CV17" s="102">
        <v>0</v>
      </c>
      <c r="CW17" s="102">
        <v>0</v>
      </c>
      <c r="CX17" s="102">
        <v>0</v>
      </c>
      <c r="CY17" s="102">
        <v>0</v>
      </c>
      <c r="CZ17" s="102">
        <v>0</v>
      </c>
      <c r="DA17" s="102">
        <v>0</v>
      </c>
      <c r="DB17" s="102">
        <v>0</v>
      </c>
      <c r="DC17" s="102">
        <v>0</v>
      </c>
      <c r="DD17" s="102">
        <v>0</v>
      </c>
      <c r="DE17" s="102">
        <v>0</v>
      </c>
      <c r="DF17" s="102">
        <v>0</v>
      </c>
      <c r="DG17" s="102">
        <v>0</v>
      </c>
      <c r="DH17" s="102">
        <v>0</v>
      </c>
      <c r="DI17" s="102">
        <v>0</v>
      </c>
      <c r="DJ17" s="102">
        <v>0</v>
      </c>
      <c r="DK17" s="102">
        <v>0</v>
      </c>
      <c r="DL17" s="102">
        <v>0</v>
      </c>
      <c r="DM17" s="102">
        <v>0</v>
      </c>
      <c r="DN17" s="102">
        <v>0</v>
      </c>
      <c r="DO17" s="102">
        <v>0</v>
      </c>
      <c r="DP17" s="102">
        <v>0</v>
      </c>
      <c r="DQ17" s="102">
        <v>0</v>
      </c>
      <c r="DR17" s="102">
        <v>0</v>
      </c>
      <c r="DS17" s="102">
        <v>0</v>
      </c>
      <c r="DT17" s="102">
        <v>0</v>
      </c>
      <c r="DU17" s="102">
        <v>0</v>
      </c>
      <c r="DV17" s="102">
        <v>0</v>
      </c>
      <c r="DW17" s="102">
        <v>0</v>
      </c>
      <c r="DX17" s="102">
        <v>0</v>
      </c>
      <c r="DY17" s="102">
        <v>0</v>
      </c>
      <c r="DZ17" s="102">
        <v>0</v>
      </c>
      <c r="EA17" s="102">
        <v>0</v>
      </c>
      <c r="EB17" s="102">
        <v>0</v>
      </c>
      <c r="EC17" s="102">
        <v>0</v>
      </c>
      <c r="ED17" s="102">
        <v>0</v>
      </c>
      <c r="EE17" s="102">
        <v>0</v>
      </c>
      <c r="EF17" s="102">
        <v>0</v>
      </c>
      <c r="EG17" s="102">
        <v>0</v>
      </c>
      <c r="EH17" s="102">
        <v>0</v>
      </c>
      <c r="EI17" s="102">
        <v>0</v>
      </c>
      <c r="EJ17" s="102">
        <v>0</v>
      </c>
      <c r="EK17" s="102">
        <v>0</v>
      </c>
      <c r="EL17" s="102">
        <v>0</v>
      </c>
      <c r="EM17" s="102">
        <v>0</v>
      </c>
      <c r="EN17" s="102">
        <v>0</v>
      </c>
      <c r="EO17" s="102">
        <v>0</v>
      </c>
      <c r="EP17" s="102">
        <v>0</v>
      </c>
      <c r="EQ17" s="102">
        <v>0</v>
      </c>
      <c r="ER17" s="102">
        <v>0</v>
      </c>
      <c r="ES17" s="102">
        <v>0</v>
      </c>
      <c r="ET17" s="102">
        <v>0</v>
      </c>
      <c r="EU17" s="102">
        <v>0</v>
      </c>
      <c r="EV17" s="102">
        <v>0</v>
      </c>
      <c r="EW17" s="102">
        <v>0</v>
      </c>
      <c r="EX17" s="102">
        <v>0</v>
      </c>
      <c r="EY17" s="102">
        <v>0</v>
      </c>
      <c r="EZ17" s="102">
        <v>0</v>
      </c>
      <c r="FA17" s="102">
        <v>0</v>
      </c>
      <c r="FB17" s="102">
        <v>0</v>
      </c>
      <c r="FC17" s="102">
        <v>0</v>
      </c>
      <c r="FD17" s="102">
        <v>0</v>
      </c>
      <c r="FE17" s="102">
        <v>0</v>
      </c>
      <c r="FF17" s="102">
        <v>0</v>
      </c>
      <c r="FG17" s="102">
        <v>0</v>
      </c>
      <c r="FH17" s="102">
        <v>0</v>
      </c>
      <c r="FI17" s="102">
        <v>0</v>
      </c>
      <c r="FJ17" s="71">
        <v>0</v>
      </c>
    </row>
    <row r="18" spans="1:166" x14ac:dyDescent="0.3">
      <c r="A18" s="401" t="s">
        <v>675</v>
      </c>
      <c r="B18" s="103" t="s">
        <v>424</v>
      </c>
      <c r="C18" s="103" t="s">
        <v>623</v>
      </c>
      <c r="D18" s="103" t="s">
        <v>14</v>
      </c>
      <c r="E18" s="103" t="s">
        <v>654</v>
      </c>
      <c r="F18" s="103" t="s">
        <v>274</v>
      </c>
      <c r="G18" s="103" t="s">
        <v>358</v>
      </c>
      <c r="H18" s="103" t="s">
        <v>306</v>
      </c>
      <c r="I18" s="103">
        <v>0</v>
      </c>
      <c r="J18" s="103" t="s">
        <v>661</v>
      </c>
      <c r="K18" s="103">
        <v>0</v>
      </c>
      <c r="L18" s="103" t="s">
        <v>307</v>
      </c>
      <c r="M18" s="102">
        <v>3</v>
      </c>
      <c r="N18" s="102">
        <v>0</v>
      </c>
      <c r="O18" s="393">
        <v>9000000</v>
      </c>
      <c r="P18" s="393">
        <f t="shared" si="0"/>
        <v>27000000</v>
      </c>
      <c r="Q18" s="102">
        <v>0</v>
      </c>
      <c r="R18" s="102">
        <v>0</v>
      </c>
      <c r="S18" s="394">
        <v>0</v>
      </c>
      <c r="T18" s="395">
        <v>1</v>
      </c>
      <c r="U18" s="103">
        <v>0</v>
      </c>
      <c r="V18" s="102">
        <v>0</v>
      </c>
      <c r="W18" s="102">
        <v>0</v>
      </c>
      <c r="X18" s="102">
        <v>0</v>
      </c>
      <c r="Y18" s="102">
        <v>0</v>
      </c>
      <c r="Z18" s="102">
        <v>0</v>
      </c>
      <c r="AA18" s="102">
        <v>0</v>
      </c>
      <c r="AB18" s="102">
        <v>0</v>
      </c>
      <c r="AC18" s="102">
        <v>0</v>
      </c>
      <c r="AD18" s="102">
        <v>0</v>
      </c>
      <c r="AE18" s="102">
        <v>0</v>
      </c>
      <c r="AF18" s="102">
        <v>0</v>
      </c>
      <c r="AG18" s="102">
        <v>0</v>
      </c>
      <c r="AH18" s="102">
        <v>0</v>
      </c>
      <c r="AI18" s="102">
        <v>0</v>
      </c>
      <c r="AJ18" s="102">
        <v>0</v>
      </c>
      <c r="AK18" s="102">
        <v>0</v>
      </c>
      <c r="AL18" s="102">
        <v>0</v>
      </c>
      <c r="AM18" s="102">
        <v>0</v>
      </c>
      <c r="AN18" s="102">
        <v>0</v>
      </c>
      <c r="AO18" s="102">
        <v>0</v>
      </c>
      <c r="AP18" s="102">
        <v>0</v>
      </c>
      <c r="AQ18" s="102">
        <v>0</v>
      </c>
      <c r="AR18" s="102">
        <v>0</v>
      </c>
      <c r="AS18" s="102">
        <v>0</v>
      </c>
      <c r="AT18" s="102">
        <v>0</v>
      </c>
      <c r="AU18" s="102">
        <v>0</v>
      </c>
      <c r="AV18" s="102">
        <v>0</v>
      </c>
      <c r="AW18" s="102">
        <v>0</v>
      </c>
      <c r="AX18" s="102">
        <v>0</v>
      </c>
      <c r="AY18" s="102">
        <v>0</v>
      </c>
      <c r="AZ18" s="102">
        <v>0</v>
      </c>
      <c r="BA18" s="102">
        <v>0</v>
      </c>
      <c r="BB18" s="102">
        <v>0</v>
      </c>
      <c r="BC18" s="102">
        <v>0</v>
      </c>
      <c r="BD18" s="102">
        <v>0</v>
      </c>
      <c r="BE18" s="102">
        <v>0</v>
      </c>
      <c r="BF18" s="102">
        <v>0</v>
      </c>
      <c r="BG18" s="102">
        <v>0</v>
      </c>
      <c r="BH18" s="102">
        <v>0</v>
      </c>
      <c r="BI18" s="102">
        <v>0</v>
      </c>
      <c r="BJ18" s="102">
        <v>0</v>
      </c>
      <c r="BK18" s="102">
        <v>0</v>
      </c>
      <c r="BL18" s="102">
        <v>0</v>
      </c>
      <c r="BM18" s="102">
        <v>0</v>
      </c>
      <c r="BN18" s="102">
        <v>0</v>
      </c>
      <c r="BO18" s="102">
        <v>0</v>
      </c>
      <c r="BP18" s="102">
        <v>0</v>
      </c>
      <c r="BQ18" s="102">
        <v>0</v>
      </c>
      <c r="BR18" s="102">
        <v>0</v>
      </c>
      <c r="BS18" s="102">
        <v>0</v>
      </c>
      <c r="BT18" s="102">
        <v>0</v>
      </c>
      <c r="BU18" s="102">
        <v>0</v>
      </c>
      <c r="BV18" s="102">
        <v>0</v>
      </c>
      <c r="BW18" s="102">
        <v>0</v>
      </c>
      <c r="BX18" s="102">
        <v>0</v>
      </c>
      <c r="BY18" s="102">
        <v>0</v>
      </c>
      <c r="BZ18" s="102">
        <v>0</v>
      </c>
      <c r="CA18" s="102">
        <v>0</v>
      </c>
      <c r="CB18" s="102">
        <v>0</v>
      </c>
      <c r="CC18" s="102">
        <v>0</v>
      </c>
      <c r="CD18" s="102">
        <v>0</v>
      </c>
      <c r="CE18" s="102">
        <v>0</v>
      </c>
      <c r="CF18" s="102">
        <v>0</v>
      </c>
      <c r="CG18" s="102">
        <v>0</v>
      </c>
      <c r="CH18" s="102">
        <v>0</v>
      </c>
      <c r="CI18" s="102">
        <v>0</v>
      </c>
      <c r="CJ18" s="102">
        <v>0</v>
      </c>
      <c r="CK18" s="102">
        <v>0</v>
      </c>
      <c r="CL18" s="102">
        <v>0</v>
      </c>
      <c r="CM18" s="102">
        <v>0</v>
      </c>
      <c r="CN18" s="102">
        <v>0</v>
      </c>
      <c r="CO18" s="102">
        <v>0</v>
      </c>
      <c r="CP18" s="102">
        <v>0</v>
      </c>
      <c r="CQ18" s="102">
        <v>0</v>
      </c>
      <c r="CR18" s="102">
        <v>0</v>
      </c>
      <c r="CS18" s="102">
        <v>0</v>
      </c>
      <c r="CT18" s="102">
        <v>0</v>
      </c>
      <c r="CU18" s="102">
        <v>0</v>
      </c>
      <c r="CV18" s="102">
        <v>0</v>
      </c>
      <c r="CW18" s="102">
        <v>0</v>
      </c>
      <c r="CX18" s="102">
        <v>0</v>
      </c>
      <c r="CY18" s="102">
        <v>0</v>
      </c>
      <c r="CZ18" s="102">
        <v>0</v>
      </c>
      <c r="DA18" s="102">
        <v>0</v>
      </c>
      <c r="DB18" s="102">
        <v>0</v>
      </c>
      <c r="DC18" s="102">
        <v>0</v>
      </c>
      <c r="DD18" s="102">
        <v>0</v>
      </c>
      <c r="DE18" s="102">
        <v>0</v>
      </c>
      <c r="DF18" s="102">
        <v>0</v>
      </c>
      <c r="DG18" s="102">
        <v>0</v>
      </c>
      <c r="DH18" s="102">
        <v>0</v>
      </c>
      <c r="DI18" s="102">
        <v>0</v>
      </c>
      <c r="DJ18" s="102">
        <v>0</v>
      </c>
      <c r="DK18" s="102">
        <v>0</v>
      </c>
      <c r="DL18" s="102">
        <v>0</v>
      </c>
      <c r="DM18" s="102">
        <v>0</v>
      </c>
      <c r="DN18" s="102">
        <v>0</v>
      </c>
      <c r="DO18" s="102">
        <v>0</v>
      </c>
      <c r="DP18" s="102">
        <v>0</v>
      </c>
      <c r="DQ18" s="102">
        <v>0</v>
      </c>
      <c r="DR18" s="102">
        <v>0</v>
      </c>
      <c r="DS18" s="102">
        <v>0</v>
      </c>
      <c r="DT18" s="102">
        <v>0</v>
      </c>
      <c r="DU18" s="102">
        <v>0</v>
      </c>
      <c r="DV18" s="102">
        <v>0</v>
      </c>
      <c r="DW18" s="102">
        <v>0</v>
      </c>
      <c r="DX18" s="102">
        <v>0</v>
      </c>
      <c r="DY18" s="102">
        <v>0</v>
      </c>
      <c r="DZ18" s="102">
        <v>0</v>
      </c>
      <c r="EA18" s="102">
        <v>0</v>
      </c>
      <c r="EB18" s="102">
        <v>0</v>
      </c>
      <c r="EC18" s="102">
        <v>0</v>
      </c>
      <c r="ED18" s="102">
        <v>0</v>
      </c>
      <c r="EE18" s="102">
        <v>0</v>
      </c>
      <c r="EF18" s="102">
        <v>0</v>
      </c>
      <c r="EG18" s="102">
        <v>0</v>
      </c>
      <c r="EH18" s="102">
        <v>0</v>
      </c>
      <c r="EI18" s="102">
        <v>0</v>
      </c>
      <c r="EJ18" s="102">
        <v>0</v>
      </c>
      <c r="EK18" s="102">
        <v>0</v>
      </c>
      <c r="EL18" s="102">
        <v>0</v>
      </c>
      <c r="EM18" s="102">
        <v>0</v>
      </c>
      <c r="EN18" s="102">
        <v>0</v>
      </c>
      <c r="EO18" s="102">
        <v>0</v>
      </c>
      <c r="EP18" s="102">
        <v>0</v>
      </c>
      <c r="EQ18" s="102">
        <v>0</v>
      </c>
      <c r="ER18" s="102">
        <v>0</v>
      </c>
      <c r="ES18" s="102">
        <v>0</v>
      </c>
      <c r="ET18" s="102">
        <v>0</v>
      </c>
      <c r="EU18" s="102">
        <v>0</v>
      </c>
      <c r="EV18" s="102">
        <v>0</v>
      </c>
      <c r="EW18" s="102">
        <v>0</v>
      </c>
      <c r="EX18" s="102">
        <v>0</v>
      </c>
      <c r="EY18" s="102">
        <v>0</v>
      </c>
      <c r="EZ18" s="102">
        <v>0</v>
      </c>
      <c r="FA18" s="102">
        <v>0</v>
      </c>
      <c r="FB18" s="102">
        <v>0</v>
      </c>
      <c r="FC18" s="102">
        <v>0</v>
      </c>
      <c r="FD18" s="102">
        <v>0</v>
      </c>
      <c r="FE18" s="102">
        <v>0</v>
      </c>
      <c r="FF18" s="102">
        <v>0</v>
      </c>
      <c r="FG18" s="102">
        <v>0</v>
      </c>
      <c r="FH18" s="102">
        <v>0</v>
      </c>
      <c r="FI18" s="102">
        <v>0</v>
      </c>
      <c r="FJ18" s="71">
        <v>0</v>
      </c>
    </row>
    <row r="19" spans="1:166" x14ac:dyDescent="0.3">
      <c r="A19" s="401" t="s">
        <v>676</v>
      </c>
      <c r="B19" s="103" t="s">
        <v>424</v>
      </c>
      <c r="C19" s="103" t="s">
        <v>623</v>
      </c>
      <c r="D19" s="103" t="s">
        <v>14</v>
      </c>
      <c r="E19" s="103" t="s">
        <v>654</v>
      </c>
      <c r="F19" s="103" t="s">
        <v>274</v>
      </c>
      <c r="G19" s="103" t="s">
        <v>626</v>
      </c>
      <c r="H19" s="103" t="s">
        <v>305</v>
      </c>
      <c r="I19" s="103">
        <v>0</v>
      </c>
      <c r="J19" s="103" t="s">
        <v>661</v>
      </c>
      <c r="K19" s="103">
        <v>0</v>
      </c>
      <c r="L19" s="103" t="s">
        <v>307</v>
      </c>
      <c r="M19" s="102">
        <v>2</v>
      </c>
      <c r="N19" s="102">
        <v>0</v>
      </c>
      <c r="O19" s="393">
        <v>10000000</v>
      </c>
      <c r="P19" s="393">
        <f t="shared" si="0"/>
        <v>20000000</v>
      </c>
      <c r="Q19" s="102">
        <v>0</v>
      </c>
      <c r="R19" s="102">
        <v>0</v>
      </c>
      <c r="S19" s="394">
        <v>0</v>
      </c>
      <c r="T19" s="395">
        <v>1</v>
      </c>
      <c r="U19" s="103">
        <v>0</v>
      </c>
      <c r="V19" s="102">
        <v>0</v>
      </c>
      <c r="W19" s="102">
        <v>0</v>
      </c>
      <c r="X19" s="102">
        <v>0</v>
      </c>
      <c r="Y19" s="102">
        <v>0</v>
      </c>
      <c r="Z19" s="102">
        <v>0</v>
      </c>
      <c r="AA19" s="102">
        <v>0</v>
      </c>
      <c r="AB19" s="102">
        <v>0</v>
      </c>
      <c r="AC19" s="102">
        <v>0</v>
      </c>
      <c r="AD19" s="102">
        <v>0</v>
      </c>
      <c r="AE19" s="102">
        <v>0</v>
      </c>
      <c r="AF19" s="102">
        <v>0</v>
      </c>
      <c r="AG19" s="102">
        <v>0</v>
      </c>
      <c r="AH19" s="102">
        <v>0</v>
      </c>
      <c r="AI19" s="102">
        <v>0</v>
      </c>
      <c r="AJ19" s="102">
        <v>0</v>
      </c>
      <c r="AK19" s="102">
        <v>0</v>
      </c>
      <c r="AL19" s="102">
        <v>0</v>
      </c>
      <c r="AM19" s="102">
        <v>0</v>
      </c>
      <c r="AN19" s="102">
        <v>0</v>
      </c>
      <c r="AO19" s="102">
        <v>0</v>
      </c>
      <c r="AP19" s="102">
        <v>0</v>
      </c>
      <c r="AQ19" s="102">
        <v>0</v>
      </c>
      <c r="AR19" s="102">
        <v>0</v>
      </c>
      <c r="AS19" s="102">
        <v>0</v>
      </c>
      <c r="AT19" s="102">
        <v>0</v>
      </c>
      <c r="AU19" s="102">
        <v>0</v>
      </c>
      <c r="AV19" s="102">
        <v>0</v>
      </c>
      <c r="AW19" s="102">
        <v>0</v>
      </c>
      <c r="AX19" s="102">
        <v>0</v>
      </c>
      <c r="AY19" s="102">
        <v>0</v>
      </c>
      <c r="AZ19" s="102">
        <v>0</v>
      </c>
      <c r="BA19" s="102">
        <v>0</v>
      </c>
      <c r="BB19" s="102">
        <v>0</v>
      </c>
      <c r="BC19" s="102">
        <v>0</v>
      </c>
      <c r="BD19" s="102">
        <v>0</v>
      </c>
      <c r="BE19" s="102">
        <v>0</v>
      </c>
      <c r="BF19" s="102">
        <v>0</v>
      </c>
      <c r="BG19" s="102">
        <v>0</v>
      </c>
      <c r="BH19" s="102">
        <v>0</v>
      </c>
      <c r="BI19" s="102">
        <v>0</v>
      </c>
      <c r="BJ19" s="102">
        <v>0</v>
      </c>
      <c r="BK19" s="102">
        <v>0</v>
      </c>
      <c r="BL19" s="102">
        <v>0</v>
      </c>
      <c r="BM19" s="102">
        <v>0</v>
      </c>
      <c r="BN19" s="102">
        <v>0</v>
      </c>
      <c r="BO19" s="102">
        <v>0</v>
      </c>
      <c r="BP19" s="102">
        <v>0</v>
      </c>
      <c r="BQ19" s="102">
        <v>0</v>
      </c>
      <c r="BR19" s="102">
        <v>0</v>
      </c>
      <c r="BS19" s="102">
        <v>0</v>
      </c>
      <c r="BT19" s="102">
        <v>0</v>
      </c>
      <c r="BU19" s="102">
        <v>0</v>
      </c>
      <c r="BV19" s="102">
        <v>0</v>
      </c>
      <c r="BW19" s="102">
        <v>0</v>
      </c>
      <c r="BX19" s="102">
        <v>0</v>
      </c>
      <c r="BY19" s="102">
        <v>0</v>
      </c>
      <c r="BZ19" s="102">
        <v>0</v>
      </c>
      <c r="CA19" s="102">
        <v>0</v>
      </c>
      <c r="CB19" s="102">
        <v>0</v>
      </c>
      <c r="CC19" s="102">
        <v>0</v>
      </c>
      <c r="CD19" s="102">
        <v>0</v>
      </c>
      <c r="CE19" s="102">
        <v>0</v>
      </c>
      <c r="CF19" s="102">
        <v>0</v>
      </c>
      <c r="CG19" s="102">
        <v>0</v>
      </c>
      <c r="CH19" s="102">
        <v>0</v>
      </c>
      <c r="CI19" s="102">
        <v>0</v>
      </c>
      <c r="CJ19" s="102">
        <v>0</v>
      </c>
      <c r="CK19" s="102">
        <v>0</v>
      </c>
      <c r="CL19" s="102">
        <v>0</v>
      </c>
      <c r="CM19" s="102">
        <v>0</v>
      </c>
      <c r="CN19" s="102">
        <v>0</v>
      </c>
      <c r="CO19" s="102">
        <v>0</v>
      </c>
      <c r="CP19" s="102">
        <v>0</v>
      </c>
      <c r="CQ19" s="102">
        <v>0</v>
      </c>
      <c r="CR19" s="102">
        <v>0</v>
      </c>
      <c r="CS19" s="102">
        <v>0</v>
      </c>
      <c r="CT19" s="102">
        <v>0</v>
      </c>
      <c r="CU19" s="102">
        <v>0</v>
      </c>
      <c r="CV19" s="102">
        <v>0</v>
      </c>
      <c r="CW19" s="102">
        <v>0</v>
      </c>
      <c r="CX19" s="102">
        <v>0</v>
      </c>
      <c r="CY19" s="102">
        <v>0</v>
      </c>
      <c r="CZ19" s="102">
        <v>0</v>
      </c>
      <c r="DA19" s="102">
        <v>0</v>
      </c>
      <c r="DB19" s="102">
        <v>0</v>
      </c>
      <c r="DC19" s="102">
        <v>0</v>
      </c>
      <c r="DD19" s="102">
        <v>0</v>
      </c>
      <c r="DE19" s="102">
        <v>0</v>
      </c>
      <c r="DF19" s="102">
        <v>0</v>
      </c>
      <c r="DG19" s="102">
        <v>0</v>
      </c>
      <c r="DH19" s="102">
        <v>0</v>
      </c>
      <c r="DI19" s="102">
        <v>0</v>
      </c>
      <c r="DJ19" s="102">
        <v>0</v>
      </c>
      <c r="DK19" s="102">
        <v>0</v>
      </c>
      <c r="DL19" s="102">
        <v>0</v>
      </c>
      <c r="DM19" s="102">
        <v>0</v>
      </c>
      <c r="DN19" s="102">
        <v>0</v>
      </c>
      <c r="DO19" s="102">
        <v>0</v>
      </c>
      <c r="DP19" s="102">
        <v>0</v>
      </c>
      <c r="DQ19" s="102">
        <v>0</v>
      </c>
      <c r="DR19" s="102">
        <v>0</v>
      </c>
      <c r="DS19" s="102">
        <v>0</v>
      </c>
      <c r="DT19" s="102">
        <v>0</v>
      </c>
      <c r="DU19" s="102">
        <v>0</v>
      </c>
      <c r="DV19" s="102">
        <v>0</v>
      </c>
      <c r="DW19" s="102">
        <v>0</v>
      </c>
      <c r="DX19" s="102">
        <v>0</v>
      </c>
      <c r="DY19" s="102">
        <v>0</v>
      </c>
      <c r="DZ19" s="102">
        <v>0</v>
      </c>
      <c r="EA19" s="102">
        <v>0</v>
      </c>
      <c r="EB19" s="102">
        <v>0</v>
      </c>
      <c r="EC19" s="102">
        <v>0</v>
      </c>
      <c r="ED19" s="102">
        <v>0</v>
      </c>
      <c r="EE19" s="102">
        <v>0</v>
      </c>
      <c r="EF19" s="102">
        <v>0</v>
      </c>
      <c r="EG19" s="102">
        <v>0</v>
      </c>
      <c r="EH19" s="102">
        <v>0</v>
      </c>
      <c r="EI19" s="102">
        <v>0</v>
      </c>
      <c r="EJ19" s="102">
        <v>0</v>
      </c>
      <c r="EK19" s="102">
        <v>0</v>
      </c>
      <c r="EL19" s="102">
        <v>0</v>
      </c>
      <c r="EM19" s="102">
        <v>0</v>
      </c>
      <c r="EN19" s="102">
        <v>0</v>
      </c>
      <c r="EO19" s="102">
        <v>0</v>
      </c>
      <c r="EP19" s="102">
        <v>0</v>
      </c>
      <c r="EQ19" s="102">
        <v>0</v>
      </c>
      <c r="ER19" s="102">
        <v>0</v>
      </c>
      <c r="ES19" s="102">
        <v>0</v>
      </c>
      <c r="ET19" s="102">
        <v>0</v>
      </c>
      <c r="EU19" s="102">
        <v>0</v>
      </c>
      <c r="EV19" s="102">
        <v>0</v>
      </c>
      <c r="EW19" s="102">
        <v>0</v>
      </c>
      <c r="EX19" s="102">
        <v>0</v>
      </c>
      <c r="EY19" s="102">
        <v>0</v>
      </c>
      <c r="EZ19" s="102">
        <v>0</v>
      </c>
      <c r="FA19" s="102">
        <v>0</v>
      </c>
      <c r="FB19" s="102">
        <v>0</v>
      </c>
      <c r="FC19" s="102">
        <v>0</v>
      </c>
      <c r="FD19" s="102">
        <v>0</v>
      </c>
      <c r="FE19" s="102">
        <v>0</v>
      </c>
      <c r="FF19" s="102">
        <v>0</v>
      </c>
      <c r="FG19" s="102">
        <v>0</v>
      </c>
      <c r="FH19" s="102">
        <v>0</v>
      </c>
      <c r="FI19" s="102">
        <v>0</v>
      </c>
      <c r="FJ19" s="71">
        <v>0</v>
      </c>
    </row>
    <row r="20" spans="1:166" x14ac:dyDescent="0.3">
      <c r="A20" s="401" t="s">
        <v>677</v>
      </c>
      <c r="B20" s="103" t="s">
        <v>424</v>
      </c>
      <c r="C20" s="103" t="s">
        <v>623</v>
      </c>
      <c r="D20" s="103" t="s">
        <v>14</v>
      </c>
      <c r="E20" s="103" t="s">
        <v>654</v>
      </c>
      <c r="F20" s="103" t="s">
        <v>274</v>
      </c>
      <c r="G20" s="103" t="s">
        <v>627</v>
      </c>
      <c r="H20" s="103" t="s">
        <v>305</v>
      </c>
      <c r="I20" s="103">
        <v>0</v>
      </c>
      <c r="J20" s="103" t="s">
        <v>661</v>
      </c>
      <c r="K20" s="103">
        <v>0</v>
      </c>
      <c r="L20" s="103" t="s">
        <v>307</v>
      </c>
      <c r="M20" s="102">
        <v>3</v>
      </c>
      <c r="N20" s="102">
        <v>0</v>
      </c>
      <c r="O20" s="393">
        <v>10000000</v>
      </c>
      <c r="P20" s="393">
        <f t="shared" si="0"/>
        <v>30000000</v>
      </c>
      <c r="Q20" s="102">
        <v>0</v>
      </c>
      <c r="R20" s="102">
        <v>0</v>
      </c>
      <c r="S20" s="394">
        <v>0</v>
      </c>
      <c r="T20" s="395">
        <v>1</v>
      </c>
      <c r="U20" s="103">
        <v>0</v>
      </c>
      <c r="V20" s="102">
        <v>0</v>
      </c>
      <c r="W20" s="102">
        <v>0</v>
      </c>
      <c r="X20" s="102">
        <v>0</v>
      </c>
      <c r="Y20" s="102">
        <v>0</v>
      </c>
      <c r="Z20" s="102">
        <v>0</v>
      </c>
      <c r="AA20" s="102">
        <v>0</v>
      </c>
      <c r="AB20" s="102">
        <v>0</v>
      </c>
      <c r="AC20" s="102">
        <v>0</v>
      </c>
      <c r="AD20" s="102">
        <v>0</v>
      </c>
      <c r="AE20" s="102">
        <v>0</v>
      </c>
      <c r="AF20" s="102">
        <v>0</v>
      </c>
      <c r="AG20" s="102">
        <v>0</v>
      </c>
      <c r="AH20" s="102">
        <v>0</v>
      </c>
      <c r="AI20" s="102">
        <v>0</v>
      </c>
      <c r="AJ20" s="102">
        <v>0</v>
      </c>
      <c r="AK20" s="102">
        <v>0</v>
      </c>
      <c r="AL20" s="102">
        <v>0</v>
      </c>
      <c r="AM20" s="102">
        <v>0</v>
      </c>
      <c r="AN20" s="102">
        <v>0</v>
      </c>
      <c r="AO20" s="102">
        <v>0</v>
      </c>
      <c r="AP20" s="102">
        <v>0</v>
      </c>
      <c r="AQ20" s="102">
        <v>0</v>
      </c>
      <c r="AR20" s="102">
        <v>0</v>
      </c>
      <c r="AS20" s="102">
        <v>0</v>
      </c>
      <c r="AT20" s="102">
        <v>0</v>
      </c>
      <c r="AU20" s="102">
        <v>0</v>
      </c>
      <c r="AV20" s="102">
        <v>0</v>
      </c>
      <c r="AW20" s="102">
        <v>0</v>
      </c>
      <c r="AX20" s="102">
        <v>0</v>
      </c>
      <c r="AY20" s="102">
        <v>0</v>
      </c>
      <c r="AZ20" s="102">
        <v>0</v>
      </c>
      <c r="BA20" s="102">
        <v>0</v>
      </c>
      <c r="BB20" s="102">
        <v>0</v>
      </c>
      <c r="BC20" s="102">
        <v>0</v>
      </c>
      <c r="BD20" s="102">
        <v>0</v>
      </c>
      <c r="BE20" s="102">
        <v>0</v>
      </c>
      <c r="BF20" s="102">
        <v>0</v>
      </c>
      <c r="BG20" s="102">
        <v>0</v>
      </c>
      <c r="BH20" s="102">
        <v>0</v>
      </c>
      <c r="BI20" s="102">
        <v>0</v>
      </c>
      <c r="BJ20" s="102">
        <v>0</v>
      </c>
      <c r="BK20" s="102">
        <v>0</v>
      </c>
      <c r="BL20" s="102">
        <v>0</v>
      </c>
      <c r="BM20" s="102">
        <v>0</v>
      </c>
      <c r="BN20" s="102">
        <v>0</v>
      </c>
      <c r="BO20" s="102">
        <v>0</v>
      </c>
      <c r="BP20" s="102">
        <v>0</v>
      </c>
      <c r="BQ20" s="102">
        <v>0</v>
      </c>
      <c r="BR20" s="102">
        <v>0</v>
      </c>
      <c r="BS20" s="102">
        <v>0</v>
      </c>
      <c r="BT20" s="102">
        <v>0</v>
      </c>
      <c r="BU20" s="102">
        <v>0</v>
      </c>
      <c r="BV20" s="102">
        <v>0</v>
      </c>
      <c r="BW20" s="102">
        <v>0</v>
      </c>
      <c r="BX20" s="102">
        <v>0</v>
      </c>
      <c r="BY20" s="102">
        <v>0</v>
      </c>
      <c r="BZ20" s="102">
        <v>0</v>
      </c>
      <c r="CA20" s="102">
        <v>0</v>
      </c>
      <c r="CB20" s="102">
        <v>0</v>
      </c>
      <c r="CC20" s="102">
        <v>0</v>
      </c>
      <c r="CD20" s="102">
        <v>0</v>
      </c>
      <c r="CE20" s="102">
        <v>0</v>
      </c>
      <c r="CF20" s="102">
        <v>0</v>
      </c>
      <c r="CG20" s="102">
        <v>0</v>
      </c>
      <c r="CH20" s="102">
        <v>0</v>
      </c>
      <c r="CI20" s="102">
        <v>0</v>
      </c>
      <c r="CJ20" s="102">
        <v>0</v>
      </c>
      <c r="CK20" s="102">
        <v>0</v>
      </c>
      <c r="CL20" s="102">
        <v>0</v>
      </c>
      <c r="CM20" s="102">
        <v>0</v>
      </c>
      <c r="CN20" s="102">
        <v>0</v>
      </c>
      <c r="CO20" s="102">
        <v>0</v>
      </c>
      <c r="CP20" s="102">
        <v>0</v>
      </c>
      <c r="CQ20" s="102">
        <v>0</v>
      </c>
      <c r="CR20" s="102">
        <v>0</v>
      </c>
      <c r="CS20" s="102">
        <v>0</v>
      </c>
      <c r="CT20" s="102">
        <v>0</v>
      </c>
      <c r="CU20" s="102">
        <v>0</v>
      </c>
      <c r="CV20" s="102">
        <v>0</v>
      </c>
      <c r="CW20" s="102">
        <v>0</v>
      </c>
      <c r="CX20" s="102">
        <v>0</v>
      </c>
      <c r="CY20" s="102">
        <v>0</v>
      </c>
      <c r="CZ20" s="102">
        <v>0</v>
      </c>
      <c r="DA20" s="102">
        <v>0</v>
      </c>
      <c r="DB20" s="102">
        <v>0</v>
      </c>
      <c r="DC20" s="102">
        <v>0</v>
      </c>
      <c r="DD20" s="102">
        <v>0</v>
      </c>
      <c r="DE20" s="102">
        <v>0</v>
      </c>
      <c r="DF20" s="102">
        <v>0</v>
      </c>
      <c r="DG20" s="102">
        <v>0</v>
      </c>
      <c r="DH20" s="102">
        <v>0</v>
      </c>
      <c r="DI20" s="102">
        <v>0</v>
      </c>
      <c r="DJ20" s="102">
        <v>0</v>
      </c>
      <c r="DK20" s="102">
        <v>0</v>
      </c>
      <c r="DL20" s="102">
        <v>0</v>
      </c>
      <c r="DM20" s="102">
        <v>0</v>
      </c>
      <c r="DN20" s="102">
        <v>0</v>
      </c>
      <c r="DO20" s="102">
        <v>0</v>
      </c>
      <c r="DP20" s="102">
        <v>0</v>
      </c>
      <c r="DQ20" s="102">
        <v>0</v>
      </c>
      <c r="DR20" s="102">
        <v>0</v>
      </c>
      <c r="DS20" s="102">
        <v>0</v>
      </c>
      <c r="DT20" s="102">
        <v>0</v>
      </c>
      <c r="DU20" s="102">
        <v>0</v>
      </c>
      <c r="DV20" s="102">
        <v>0</v>
      </c>
      <c r="DW20" s="102">
        <v>0</v>
      </c>
      <c r="DX20" s="102">
        <v>0</v>
      </c>
      <c r="DY20" s="102">
        <v>0</v>
      </c>
      <c r="DZ20" s="102">
        <v>0</v>
      </c>
      <c r="EA20" s="102">
        <v>0</v>
      </c>
      <c r="EB20" s="102">
        <v>0</v>
      </c>
      <c r="EC20" s="102">
        <v>0</v>
      </c>
      <c r="ED20" s="102">
        <v>0</v>
      </c>
      <c r="EE20" s="102">
        <v>0</v>
      </c>
      <c r="EF20" s="102">
        <v>0</v>
      </c>
      <c r="EG20" s="102">
        <v>0</v>
      </c>
      <c r="EH20" s="102">
        <v>0</v>
      </c>
      <c r="EI20" s="102">
        <v>0</v>
      </c>
      <c r="EJ20" s="102">
        <v>0</v>
      </c>
      <c r="EK20" s="102">
        <v>0</v>
      </c>
      <c r="EL20" s="102">
        <v>0</v>
      </c>
      <c r="EM20" s="102">
        <v>0</v>
      </c>
      <c r="EN20" s="102">
        <v>0</v>
      </c>
      <c r="EO20" s="102">
        <v>0</v>
      </c>
      <c r="EP20" s="102">
        <v>0</v>
      </c>
      <c r="EQ20" s="102">
        <v>0</v>
      </c>
      <c r="ER20" s="102">
        <v>0</v>
      </c>
      <c r="ES20" s="102">
        <v>0</v>
      </c>
      <c r="ET20" s="102">
        <v>0</v>
      </c>
      <c r="EU20" s="102">
        <v>0</v>
      </c>
      <c r="EV20" s="102">
        <v>0</v>
      </c>
      <c r="EW20" s="102">
        <v>0</v>
      </c>
      <c r="EX20" s="102">
        <v>0</v>
      </c>
      <c r="EY20" s="102">
        <v>0</v>
      </c>
      <c r="EZ20" s="102">
        <v>0</v>
      </c>
      <c r="FA20" s="102">
        <v>0</v>
      </c>
      <c r="FB20" s="102">
        <v>0</v>
      </c>
      <c r="FC20" s="102">
        <v>0</v>
      </c>
      <c r="FD20" s="102">
        <v>0</v>
      </c>
      <c r="FE20" s="102">
        <v>0</v>
      </c>
      <c r="FF20" s="102">
        <v>0</v>
      </c>
      <c r="FG20" s="102">
        <v>0</v>
      </c>
      <c r="FH20" s="102">
        <v>0</v>
      </c>
      <c r="FI20" s="102">
        <v>0</v>
      </c>
      <c r="FJ20" s="71">
        <v>0</v>
      </c>
    </row>
    <row r="21" spans="1:166" x14ac:dyDescent="0.3">
      <c r="A21" s="401" t="s">
        <v>678</v>
      </c>
      <c r="B21" s="103" t="s">
        <v>424</v>
      </c>
      <c r="C21" s="103" t="s">
        <v>623</v>
      </c>
      <c r="D21" s="103" t="s">
        <v>14</v>
      </c>
      <c r="E21" s="103" t="s">
        <v>654</v>
      </c>
      <c r="F21" s="103" t="s">
        <v>274</v>
      </c>
      <c r="G21" s="103" t="s">
        <v>628</v>
      </c>
      <c r="H21" s="103" t="s">
        <v>305</v>
      </c>
      <c r="I21" s="103">
        <v>0</v>
      </c>
      <c r="J21" s="103" t="s">
        <v>661</v>
      </c>
      <c r="K21" s="103">
        <v>0</v>
      </c>
      <c r="L21" s="103" t="s">
        <v>307</v>
      </c>
      <c r="M21" s="102">
        <v>4</v>
      </c>
      <c r="N21" s="102">
        <v>0</v>
      </c>
      <c r="O21" s="393">
        <v>10000000</v>
      </c>
      <c r="P21" s="393">
        <f t="shared" si="0"/>
        <v>40000000</v>
      </c>
      <c r="Q21" s="102">
        <v>0</v>
      </c>
      <c r="R21" s="102">
        <v>0</v>
      </c>
      <c r="S21" s="394">
        <v>0</v>
      </c>
      <c r="T21" s="395">
        <v>1</v>
      </c>
      <c r="U21" s="103">
        <v>0</v>
      </c>
      <c r="V21" s="102">
        <v>0</v>
      </c>
      <c r="W21" s="102">
        <v>0</v>
      </c>
      <c r="X21" s="102">
        <v>0</v>
      </c>
      <c r="Y21" s="102">
        <v>0</v>
      </c>
      <c r="Z21" s="102">
        <v>0</v>
      </c>
      <c r="AA21" s="102">
        <v>0</v>
      </c>
      <c r="AB21" s="102">
        <v>0</v>
      </c>
      <c r="AC21" s="102">
        <v>0</v>
      </c>
      <c r="AD21" s="102">
        <v>0</v>
      </c>
      <c r="AE21" s="102">
        <v>0</v>
      </c>
      <c r="AF21" s="102">
        <v>0</v>
      </c>
      <c r="AG21" s="102">
        <v>0</v>
      </c>
      <c r="AH21" s="102">
        <v>0</v>
      </c>
      <c r="AI21" s="102">
        <v>0</v>
      </c>
      <c r="AJ21" s="102">
        <v>0</v>
      </c>
      <c r="AK21" s="102">
        <v>0</v>
      </c>
      <c r="AL21" s="102">
        <v>0</v>
      </c>
      <c r="AM21" s="102">
        <v>0</v>
      </c>
      <c r="AN21" s="102">
        <v>0</v>
      </c>
      <c r="AO21" s="102">
        <v>0</v>
      </c>
      <c r="AP21" s="102">
        <v>0</v>
      </c>
      <c r="AQ21" s="102">
        <v>0</v>
      </c>
      <c r="AR21" s="102">
        <v>0</v>
      </c>
      <c r="AS21" s="102">
        <v>0</v>
      </c>
      <c r="AT21" s="102">
        <v>0</v>
      </c>
      <c r="AU21" s="102">
        <v>0</v>
      </c>
      <c r="AV21" s="102">
        <v>0</v>
      </c>
      <c r="AW21" s="102">
        <v>0</v>
      </c>
      <c r="AX21" s="102">
        <v>0</v>
      </c>
      <c r="AY21" s="102">
        <v>0</v>
      </c>
      <c r="AZ21" s="102">
        <v>0</v>
      </c>
      <c r="BA21" s="102">
        <v>0</v>
      </c>
      <c r="BB21" s="102">
        <v>0</v>
      </c>
      <c r="BC21" s="102">
        <v>0</v>
      </c>
      <c r="BD21" s="102">
        <v>0</v>
      </c>
      <c r="BE21" s="102">
        <v>0</v>
      </c>
      <c r="BF21" s="102">
        <v>0</v>
      </c>
      <c r="BG21" s="102">
        <v>0</v>
      </c>
      <c r="BH21" s="102">
        <v>0</v>
      </c>
      <c r="BI21" s="102">
        <v>0</v>
      </c>
      <c r="BJ21" s="102">
        <v>0</v>
      </c>
      <c r="BK21" s="102">
        <v>0</v>
      </c>
      <c r="BL21" s="102">
        <v>0</v>
      </c>
      <c r="BM21" s="102">
        <v>0</v>
      </c>
      <c r="BN21" s="102">
        <v>0</v>
      </c>
      <c r="BO21" s="102">
        <v>0</v>
      </c>
      <c r="BP21" s="102">
        <v>0</v>
      </c>
      <c r="BQ21" s="102">
        <v>0</v>
      </c>
      <c r="BR21" s="102">
        <v>0</v>
      </c>
      <c r="BS21" s="102">
        <v>0</v>
      </c>
      <c r="BT21" s="102">
        <v>0</v>
      </c>
      <c r="BU21" s="102">
        <v>0</v>
      </c>
      <c r="BV21" s="102">
        <v>0</v>
      </c>
      <c r="BW21" s="102">
        <v>0</v>
      </c>
      <c r="BX21" s="102">
        <v>0</v>
      </c>
      <c r="BY21" s="102">
        <v>0</v>
      </c>
      <c r="BZ21" s="102">
        <v>0</v>
      </c>
      <c r="CA21" s="102">
        <v>0</v>
      </c>
      <c r="CB21" s="102">
        <v>0</v>
      </c>
      <c r="CC21" s="102">
        <v>0</v>
      </c>
      <c r="CD21" s="102">
        <v>0</v>
      </c>
      <c r="CE21" s="102">
        <v>0</v>
      </c>
      <c r="CF21" s="102">
        <v>0</v>
      </c>
      <c r="CG21" s="102">
        <v>0</v>
      </c>
      <c r="CH21" s="102">
        <v>0</v>
      </c>
      <c r="CI21" s="102">
        <v>0</v>
      </c>
      <c r="CJ21" s="102">
        <v>0</v>
      </c>
      <c r="CK21" s="102">
        <v>0</v>
      </c>
      <c r="CL21" s="102">
        <v>0</v>
      </c>
      <c r="CM21" s="102">
        <v>0</v>
      </c>
      <c r="CN21" s="102">
        <v>0</v>
      </c>
      <c r="CO21" s="102">
        <v>0</v>
      </c>
      <c r="CP21" s="102">
        <v>0</v>
      </c>
      <c r="CQ21" s="102">
        <v>0</v>
      </c>
      <c r="CR21" s="102">
        <v>0</v>
      </c>
      <c r="CS21" s="102">
        <v>0</v>
      </c>
      <c r="CT21" s="102">
        <v>0</v>
      </c>
      <c r="CU21" s="102">
        <v>0</v>
      </c>
      <c r="CV21" s="102">
        <v>0</v>
      </c>
      <c r="CW21" s="102">
        <v>0</v>
      </c>
      <c r="CX21" s="102">
        <v>0</v>
      </c>
      <c r="CY21" s="102">
        <v>0</v>
      </c>
      <c r="CZ21" s="102">
        <v>0</v>
      </c>
      <c r="DA21" s="102">
        <v>0</v>
      </c>
      <c r="DB21" s="102">
        <v>0</v>
      </c>
      <c r="DC21" s="102">
        <v>0</v>
      </c>
      <c r="DD21" s="102">
        <v>0</v>
      </c>
      <c r="DE21" s="102">
        <v>0</v>
      </c>
      <c r="DF21" s="102">
        <v>0</v>
      </c>
      <c r="DG21" s="102">
        <v>0</v>
      </c>
      <c r="DH21" s="102">
        <v>0</v>
      </c>
      <c r="DI21" s="102">
        <v>0</v>
      </c>
      <c r="DJ21" s="102">
        <v>0</v>
      </c>
      <c r="DK21" s="102">
        <v>0</v>
      </c>
      <c r="DL21" s="102">
        <v>0</v>
      </c>
      <c r="DM21" s="102">
        <v>0</v>
      </c>
      <c r="DN21" s="102">
        <v>0</v>
      </c>
      <c r="DO21" s="102">
        <v>0</v>
      </c>
      <c r="DP21" s="102">
        <v>0</v>
      </c>
      <c r="DQ21" s="102">
        <v>0</v>
      </c>
      <c r="DR21" s="102">
        <v>0</v>
      </c>
      <c r="DS21" s="102">
        <v>0</v>
      </c>
      <c r="DT21" s="102">
        <v>0</v>
      </c>
      <c r="DU21" s="102">
        <v>0</v>
      </c>
      <c r="DV21" s="102">
        <v>0</v>
      </c>
      <c r="DW21" s="102">
        <v>0</v>
      </c>
      <c r="DX21" s="102">
        <v>0</v>
      </c>
      <c r="DY21" s="102">
        <v>0</v>
      </c>
      <c r="DZ21" s="102">
        <v>0</v>
      </c>
      <c r="EA21" s="102">
        <v>0</v>
      </c>
      <c r="EB21" s="102">
        <v>0</v>
      </c>
      <c r="EC21" s="102">
        <v>0</v>
      </c>
      <c r="ED21" s="102">
        <v>0</v>
      </c>
      <c r="EE21" s="102">
        <v>0</v>
      </c>
      <c r="EF21" s="102">
        <v>0</v>
      </c>
      <c r="EG21" s="102">
        <v>0</v>
      </c>
      <c r="EH21" s="102">
        <v>0</v>
      </c>
      <c r="EI21" s="102">
        <v>0</v>
      </c>
      <c r="EJ21" s="102">
        <v>0</v>
      </c>
      <c r="EK21" s="102">
        <v>0</v>
      </c>
      <c r="EL21" s="102">
        <v>0</v>
      </c>
      <c r="EM21" s="102">
        <v>0</v>
      </c>
      <c r="EN21" s="102">
        <v>0</v>
      </c>
      <c r="EO21" s="102">
        <v>0</v>
      </c>
      <c r="EP21" s="102">
        <v>0</v>
      </c>
      <c r="EQ21" s="102">
        <v>0</v>
      </c>
      <c r="ER21" s="102">
        <v>0</v>
      </c>
      <c r="ES21" s="102">
        <v>0</v>
      </c>
      <c r="ET21" s="102">
        <v>0</v>
      </c>
      <c r="EU21" s="102">
        <v>0</v>
      </c>
      <c r="EV21" s="102">
        <v>0</v>
      </c>
      <c r="EW21" s="102">
        <v>0</v>
      </c>
      <c r="EX21" s="102">
        <v>0</v>
      </c>
      <c r="EY21" s="102">
        <v>0</v>
      </c>
      <c r="EZ21" s="102">
        <v>0</v>
      </c>
      <c r="FA21" s="102">
        <v>0</v>
      </c>
      <c r="FB21" s="102">
        <v>0</v>
      </c>
      <c r="FC21" s="102">
        <v>0</v>
      </c>
      <c r="FD21" s="102">
        <v>0</v>
      </c>
      <c r="FE21" s="102">
        <v>0</v>
      </c>
      <c r="FF21" s="102">
        <v>0</v>
      </c>
      <c r="FG21" s="102">
        <v>0</v>
      </c>
      <c r="FH21" s="102">
        <v>0</v>
      </c>
      <c r="FI21" s="102">
        <v>0</v>
      </c>
      <c r="FJ21" s="71">
        <v>0</v>
      </c>
    </row>
    <row r="22" spans="1:166" x14ac:dyDescent="0.3">
      <c r="A22" s="401" t="s">
        <v>679</v>
      </c>
      <c r="B22" s="103" t="s">
        <v>424</v>
      </c>
      <c r="C22" s="103" t="s">
        <v>639</v>
      </c>
      <c r="D22" s="103" t="s">
        <v>14</v>
      </c>
      <c r="E22" s="103" t="s">
        <v>654</v>
      </c>
      <c r="F22" s="103" t="s">
        <v>274</v>
      </c>
      <c r="G22" s="103" t="s">
        <v>629</v>
      </c>
      <c r="H22" s="103" t="s">
        <v>305</v>
      </c>
      <c r="I22" s="103">
        <v>0</v>
      </c>
      <c r="J22" s="103" t="s">
        <v>661</v>
      </c>
      <c r="K22" s="103">
        <v>0</v>
      </c>
      <c r="L22" s="103" t="s">
        <v>307</v>
      </c>
      <c r="M22" s="102">
        <v>6</v>
      </c>
      <c r="N22" s="103">
        <v>0</v>
      </c>
      <c r="O22" s="393">
        <v>10000000</v>
      </c>
      <c r="P22" s="393">
        <f t="shared" si="0"/>
        <v>60000000</v>
      </c>
      <c r="Q22" s="102">
        <v>0</v>
      </c>
      <c r="R22" s="102">
        <v>0</v>
      </c>
      <c r="S22" s="394">
        <v>0</v>
      </c>
      <c r="T22" s="395">
        <v>1</v>
      </c>
      <c r="U22" s="103">
        <v>0</v>
      </c>
      <c r="V22" s="102">
        <v>0</v>
      </c>
      <c r="W22" s="102">
        <v>0</v>
      </c>
      <c r="X22" s="102">
        <v>0</v>
      </c>
      <c r="Y22" s="102">
        <v>0</v>
      </c>
      <c r="Z22" s="102">
        <v>0</v>
      </c>
      <c r="AA22" s="102">
        <v>0</v>
      </c>
      <c r="AB22" s="102">
        <v>0</v>
      </c>
      <c r="AC22" s="102">
        <v>0</v>
      </c>
      <c r="AD22" s="102">
        <v>0</v>
      </c>
      <c r="AE22" s="102">
        <v>0</v>
      </c>
      <c r="AF22" s="102">
        <v>0</v>
      </c>
      <c r="AG22" s="102">
        <v>0</v>
      </c>
      <c r="AH22" s="102">
        <v>0</v>
      </c>
      <c r="AI22" s="102">
        <v>0</v>
      </c>
      <c r="AJ22" s="102">
        <v>0</v>
      </c>
      <c r="AK22" s="102">
        <v>0</v>
      </c>
      <c r="AL22" s="102">
        <v>0</v>
      </c>
      <c r="AM22" s="102">
        <v>0</v>
      </c>
      <c r="AN22" s="102">
        <v>0</v>
      </c>
      <c r="AO22" s="102">
        <v>0</v>
      </c>
      <c r="AP22" s="102">
        <v>0</v>
      </c>
      <c r="AQ22" s="102">
        <v>0</v>
      </c>
      <c r="AR22" s="102">
        <v>0</v>
      </c>
      <c r="AS22" s="102">
        <v>0</v>
      </c>
      <c r="AT22" s="102">
        <v>0</v>
      </c>
      <c r="AU22" s="102">
        <v>0</v>
      </c>
      <c r="AV22" s="102">
        <v>0</v>
      </c>
      <c r="AW22" s="102">
        <v>0</v>
      </c>
      <c r="AX22" s="102">
        <v>0</v>
      </c>
      <c r="AY22" s="102">
        <v>0</v>
      </c>
      <c r="AZ22" s="102">
        <v>0</v>
      </c>
      <c r="BA22" s="102">
        <v>0</v>
      </c>
      <c r="BB22" s="102">
        <v>0</v>
      </c>
      <c r="BC22" s="102">
        <v>0</v>
      </c>
      <c r="BD22" s="102">
        <v>0</v>
      </c>
      <c r="BE22" s="102">
        <v>0</v>
      </c>
      <c r="BF22" s="102">
        <v>0</v>
      </c>
      <c r="BG22" s="102">
        <v>0</v>
      </c>
      <c r="BH22" s="102">
        <v>0</v>
      </c>
      <c r="BI22" s="102">
        <v>0</v>
      </c>
      <c r="BJ22" s="102">
        <v>0</v>
      </c>
      <c r="BK22" s="102">
        <v>0</v>
      </c>
      <c r="BL22" s="102">
        <v>0</v>
      </c>
      <c r="BM22" s="102">
        <v>0</v>
      </c>
      <c r="BN22" s="102">
        <v>0</v>
      </c>
      <c r="BO22" s="102">
        <v>0</v>
      </c>
      <c r="BP22" s="102">
        <v>0</v>
      </c>
      <c r="BQ22" s="102">
        <v>0</v>
      </c>
      <c r="BR22" s="102">
        <v>0</v>
      </c>
      <c r="BS22" s="102">
        <v>0</v>
      </c>
      <c r="BT22" s="102">
        <v>0</v>
      </c>
      <c r="BU22" s="102">
        <v>0</v>
      </c>
      <c r="BV22" s="102">
        <v>0</v>
      </c>
      <c r="BW22" s="102">
        <v>0</v>
      </c>
      <c r="BX22" s="102">
        <v>0</v>
      </c>
      <c r="BY22" s="102">
        <v>0</v>
      </c>
      <c r="BZ22" s="102">
        <v>0</v>
      </c>
      <c r="CA22" s="102">
        <v>0</v>
      </c>
      <c r="CB22" s="102">
        <v>0</v>
      </c>
      <c r="CC22" s="102">
        <v>0</v>
      </c>
      <c r="CD22" s="102">
        <v>0</v>
      </c>
      <c r="CE22" s="102">
        <v>0</v>
      </c>
      <c r="CF22" s="102">
        <v>0</v>
      </c>
      <c r="CG22" s="102">
        <v>0</v>
      </c>
      <c r="CH22" s="102">
        <v>0</v>
      </c>
      <c r="CI22" s="102">
        <v>0</v>
      </c>
      <c r="CJ22" s="102">
        <v>0</v>
      </c>
      <c r="CK22" s="102">
        <v>0</v>
      </c>
      <c r="CL22" s="102">
        <v>0</v>
      </c>
      <c r="CM22" s="102">
        <v>0</v>
      </c>
      <c r="CN22" s="102">
        <v>0</v>
      </c>
      <c r="CO22" s="102">
        <v>0</v>
      </c>
      <c r="CP22" s="102">
        <v>0</v>
      </c>
      <c r="CQ22" s="102">
        <v>0</v>
      </c>
      <c r="CR22" s="102">
        <v>0</v>
      </c>
      <c r="CS22" s="102">
        <v>0</v>
      </c>
      <c r="CT22" s="102">
        <v>0</v>
      </c>
      <c r="CU22" s="102">
        <v>0</v>
      </c>
      <c r="CV22" s="102">
        <v>0</v>
      </c>
      <c r="CW22" s="102">
        <v>0</v>
      </c>
      <c r="CX22" s="102">
        <v>0</v>
      </c>
      <c r="CY22" s="102">
        <v>0</v>
      </c>
      <c r="CZ22" s="102">
        <v>0</v>
      </c>
      <c r="DA22" s="102">
        <v>0</v>
      </c>
      <c r="DB22" s="102">
        <v>0</v>
      </c>
      <c r="DC22" s="102">
        <v>0</v>
      </c>
      <c r="DD22" s="102">
        <v>0</v>
      </c>
      <c r="DE22" s="102">
        <v>0</v>
      </c>
      <c r="DF22" s="102">
        <v>0</v>
      </c>
      <c r="DG22" s="102">
        <v>0</v>
      </c>
      <c r="DH22" s="102">
        <v>0</v>
      </c>
      <c r="DI22" s="102">
        <v>0</v>
      </c>
      <c r="DJ22" s="102">
        <v>0</v>
      </c>
      <c r="DK22" s="102">
        <v>0</v>
      </c>
      <c r="DL22" s="102">
        <v>0</v>
      </c>
      <c r="DM22" s="102">
        <v>0</v>
      </c>
      <c r="DN22" s="102">
        <v>0</v>
      </c>
      <c r="DO22" s="102">
        <v>0</v>
      </c>
      <c r="DP22" s="102">
        <v>0</v>
      </c>
      <c r="DQ22" s="102">
        <v>0</v>
      </c>
      <c r="DR22" s="102">
        <v>0</v>
      </c>
      <c r="DS22" s="102">
        <v>0</v>
      </c>
      <c r="DT22" s="102">
        <v>0</v>
      </c>
      <c r="DU22" s="102">
        <v>0</v>
      </c>
      <c r="DV22" s="102">
        <v>0</v>
      </c>
      <c r="DW22" s="102">
        <v>0</v>
      </c>
      <c r="DX22" s="102">
        <v>0</v>
      </c>
      <c r="DY22" s="102">
        <v>0</v>
      </c>
      <c r="DZ22" s="102">
        <v>0</v>
      </c>
      <c r="EA22" s="102">
        <v>0</v>
      </c>
      <c r="EB22" s="102">
        <v>0</v>
      </c>
      <c r="EC22" s="102">
        <v>0</v>
      </c>
      <c r="ED22" s="102">
        <v>0</v>
      </c>
      <c r="EE22" s="102">
        <v>0</v>
      </c>
      <c r="EF22" s="102">
        <v>0</v>
      </c>
      <c r="EG22" s="102">
        <v>0</v>
      </c>
      <c r="EH22" s="102">
        <v>0</v>
      </c>
      <c r="EI22" s="102">
        <v>0</v>
      </c>
      <c r="EJ22" s="102">
        <v>0</v>
      </c>
      <c r="EK22" s="102">
        <v>0</v>
      </c>
      <c r="EL22" s="102">
        <v>0</v>
      </c>
      <c r="EM22" s="102">
        <v>0</v>
      </c>
      <c r="EN22" s="102">
        <v>0</v>
      </c>
      <c r="EO22" s="102">
        <v>0</v>
      </c>
      <c r="EP22" s="102">
        <v>0</v>
      </c>
      <c r="EQ22" s="102">
        <v>0</v>
      </c>
      <c r="ER22" s="102">
        <v>0</v>
      </c>
      <c r="ES22" s="102">
        <v>0</v>
      </c>
      <c r="ET22" s="102">
        <v>0</v>
      </c>
      <c r="EU22" s="102">
        <v>0</v>
      </c>
      <c r="EV22" s="102">
        <v>0</v>
      </c>
      <c r="EW22" s="102">
        <v>0</v>
      </c>
      <c r="EX22" s="102">
        <v>0</v>
      </c>
      <c r="EY22" s="102">
        <v>0</v>
      </c>
      <c r="EZ22" s="102">
        <v>0</v>
      </c>
      <c r="FA22" s="102">
        <v>0</v>
      </c>
      <c r="FB22" s="102">
        <v>0</v>
      </c>
      <c r="FC22" s="102">
        <v>0</v>
      </c>
      <c r="FD22" s="102">
        <v>0</v>
      </c>
      <c r="FE22" s="102">
        <v>0</v>
      </c>
      <c r="FF22" s="102">
        <v>0</v>
      </c>
      <c r="FG22" s="102">
        <v>0</v>
      </c>
      <c r="FH22" s="102">
        <v>0</v>
      </c>
      <c r="FI22" s="102">
        <v>0</v>
      </c>
      <c r="FJ22" s="71">
        <v>0</v>
      </c>
    </row>
    <row r="23" spans="1:166" x14ac:dyDescent="0.3">
      <c r="A23" s="401" t="s">
        <v>680</v>
      </c>
      <c r="B23" s="103" t="s">
        <v>424</v>
      </c>
      <c r="C23" s="103" t="s">
        <v>639</v>
      </c>
      <c r="D23" s="103" t="s">
        <v>14</v>
      </c>
      <c r="E23" s="103" t="s">
        <v>654</v>
      </c>
      <c r="F23" s="103" t="s">
        <v>274</v>
      </c>
      <c r="G23" s="103" t="s">
        <v>630</v>
      </c>
      <c r="H23" s="103" t="s">
        <v>305</v>
      </c>
      <c r="I23" s="103">
        <v>0</v>
      </c>
      <c r="J23" s="103" t="s">
        <v>661</v>
      </c>
      <c r="K23" s="103">
        <v>0</v>
      </c>
      <c r="L23" s="103" t="s">
        <v>307</v>
      </c>
      <c r="M23" s="102">
        <v>6</v>
      </c>
      <c r="N23" s="103">
        <v>0</v>
      </c>
      <c r="O23" s="393">
        <v>10000000</v>
      </c>
      <c r="P23" s="393">
        <f t="shared" si="0"/>
        <v>60000000</v>
      </c>
      <c r="Q23" s="102">
        <v>0</v>
      </c>
      <c r="R23" s="102">
        <v>0</v>
      </c>
      <c r="S23" s="394">
        <v>0</v>
      </c>
      <c r="T23" s="395">
        <v>1</v>
      </c>
      <c r="U23" s="103">
        <v>0</v>
      </c>
      <c r="V23" s="102">
        <v>0</v>
      </c>
      <c r="W23" s="102">
        <v>0</v>
      </c>
      <c r="X23" s="102">
        <v>0</v>
      </c>
      <c r="Y23" s="102">
        <v>0</v>
      </c>
      <c r="Z23" s="102">
        <v>0</v>
      </c>
      <c r="AA23" s="102">
        <v>0</v>
      </c>
      <c r="AB23" s="102">
        <v>0</v>
      </c>
      <c r="AC23" s="102">
        <v>0</v>
      </c>
      <c r="AD23" s="102">
        <v>0</v>
      </c>
      <c r="AE23" s="102">
        <v>0</v>
      </c>
      <c r="AF23" s="102">
        <v>0</v>
      </c>
      <c r="AG23" s="102">
        <v>0</v>
      </c>
      <c r="AH23" s="102">
        <v>0</v>
      </c>
      <c r="AI23" s="102">
        <v>0</v>
      </c>
      <c r="AJ23" s="102">
        <v>0</v>
      </c>
      <c r="AK23" s="102">
        <v>0</v>
      </c>
      <c r="AL23" s="102">
        <v>0</v>
      </c>
      <c r="AM23" s="102">
        <v>0</v>
      </c>
      <c r="AN23" s="102">
        <v>0</v>
      </c>
      <c r="AO23" s="102">
        <v>0</v>
      </c>
      <c r="AP23" s="102">
        <v>0</v>
      </c>
      <c r="AQ23" s="102">
        <v>0</v>
      </c>
      <c r="AR23" s="102">
        <v>0</v>
      </c>
      <c r="AS23" s="102">
        <v>0</v>
      </c>
      <c r="AT23" s="102">
        <v>0</v>
      </c>
      <c r="AU23" s="102">
        <v>0</v>
      </c>
      <c r="AV23" s="102">
        <v>0</v>
      </c>
      <c r="AW23" s="102">
        <v>0</v>
      </c>
      <c r="AX23" s="102">
        <v>0</v>
      </c>
      <c r="AY23" s="102">
        <v>0</v>
      </c>
      <c r="AZ23" s="102">
        <v>0</v>
      </c>
      <c r="BA23" s="102">
        <v>0</v>
      </c>
      <c r="BB23" s="102">
        <v>0</v>
      </c>
      <c r="BC23" s="102">
        <v>0</v>
      </c>
      <c r="BD23" s="102">
        <v>0</v>
      </c>
      <c r="BE23" s="102">
        <v>0</v>
      </c>
      <c r="BF23" s="102">
        <v>0</v>
      </c>
      <c r="BG23" s="102">
        <v>0</v>
      </c>
      <c r="BH23" s="102">
        <v>0</v>
      </c>
      <c r="BI23" s="102">
        <v>0</v>
      </c>
      <c r="BJ23" s="102">
        <v>0</v>
      </c>
      <c r="BK23" s="102">
        <v>0</v>
      </c>
      <c r="BL23" s="102">
        <v>0</v>
      </c>
      <c r="BM23" s="102">
        <v>0</v>
      </c>
      <c r="BN23" s="102">
        <v>0</v>
      </c>
      <c r="BO23" s="102">
        <v>0</v>
      </c>
      <c r="BP23" s="102">
        <v>0</v>
      </c>
      <c r="BQ23" s="102">
        <v>0</v>
      </c>
      <c r="BR23" s="102">
        <v>0</v>
      </c>
      <c r="BS23" s="102">
        <v>0</v>
      </c>
      <c r="BT23" s="102">
        <v>0</v>
      </c>
      <c r="BU23" s="102">
        <v>0</v>
      </c>
      <c r="BV23" s="102">
        <v>0</v>
      </c>
      <c r="BW23" s="102">
        <v>0</v>
      </c>
      <c r="BX23" s="102">
        <v>0</v>
      </c>
      <c r="BY23" s="102">
        <v>0</v>
      </c>
      <c r="BZ23" s="102">
        <v>0</v>
      </c>
      <c r="CA23" s="102">
        <v>0</v>
      </c>
      <c r="CB23" s="102">
        <v>0</v>
      </c>
      <c r="CC23" s="102">
        <v>0</v>
      </c>
      <c r="CD23" s="102">
        <v>0</v>
      </c>
      <c r="CE23" s="102">
        <v>0</v>
      </c>
      <c r="CF23" s="102">
        <v>0</v>
      </c>
      <c r="CG23" s="102">
        <v>0</v>
      </c>
      <c r="CH23" s="102">
        <v>0</v>
      </c>
      <c r="CI23" s="102">
        <v>0</v>
      </c>
      <c r="CJ23" s="102">
        <v>0</v>
      </c>
      <c r="CK23" s="102">
        <v>0</v>
      </c>
      <c r="CL23" s="102">
        <v>0</v>
      </c>
      <c r="CM23" s="102">
        <v>0</v>
      </c>
      <c r="CN23" s="102">
        <v>0</v>
      </c>
      <c r="CO23" s="102">
        <v>0</v>
      </c>
      <c r="CP23" s="102">
        <v>0</v>
      </c>
      <c r="CQ23" s="102">
        <v>0</v>
      </c>
      <c r="CR23" s="102">
        <v>0</v>
      </c>
      <c r="CS23" s="102">
        <v>0</v>
      </c>
      <c r="CT23" s="102">
        <v>0</v>
      </c>
      <c r="CU23" s="102">
        <v>0</v>
      </c>
      <c r="CV23" s="102">
        <v>0</v>
      </c>
      <c r="CW23" s="102">
        <v>0</v>
      </c>
      <c r="CX23" s="102">
        <v>0</v>
      </c>
      <c r="CY23" s="102">
        <v>0</v>
      </c>
      <c r="CZ23" s="102">
        <v>0</v>
      </c>
      <c r="DA23" s="102">
        <v>0</v>
      </c>
      <c r="DB23" s="102">
        <v>0</v>
      </c>
      <c r="DC23" s="102">
        <v>0</v>
      </c>
      <c r="DD23" s="102">
        <v>0</v>
      </c>
      <c r="DE23" s="102">
        <v>0</v>
      </c>
      <c r="DF23" s="102">
        <v>0</v>
      </c>
      <c r="DG23" s="102">
        <v>0</v>
      </c>
      <c r="DH23" s="102">
        <v>0</v>
      </c>
      <c r="DI23" s="102">
        <v>0</v>
      </c>
      <c r="DJ23" s="102">
        <v>0</v>
      </c>
      <c r="DK23" s="102">
        <v>0</v>
      </c>
      <c r="DL23" s="102">
        <v>0</v>
      </c>
      <c r="DM23" s="102">
        <v>0</v>
      </c>
      <c r="DN23" s="102">
        <v>0</v>
      </c>
      <c r="DO23" s="102">
        <v>0</v>
      </c>
      <c r="DP23" s="102">
        <v>0</v>
      </c>
      <c r="DQ23" s="102">
        <v>0</v>
      </c>
      <c r="DR23" s="102">
        <v>0</v>
      </c>
      <c r="DS23" s="102">
        <v>0</v>
      </c>
      <c r="DT23" s="102">
        <v>0</v>
      </c>
      <c r="DU23" s="102">
        <v>0</v>
      </c>
      <c r="DV23" s="102">
        <v>0</v>
      </c>
      <c r="DW23" s="102">
        <v>0</v>
      </c>
      <c r="DX23" s="102">
        <v>0</v>
      </c>
      <c r="DY23" s="102">
        <v>0</v>
      </c>
      <c r="DZ23" s="102">
        <v>0</v>
      </c>
      <c r="EA23" s="102">
        <v>0</v>
      </c>
      <c r="EB23" s="102">
        <v>0</v>
      </c>
      <c r="EC23" s="102">
        <v>0</v>
      </c>
      <c r="ED23" s="102">
        <v>0</v>
      </c>
      <c r="EE23" s="102">
        <v>0</v>
      </c>
      <c r="EF23" s="102">
        <v>0</v>
      </c>
      <c r="EG23" s="102">
        <v>0</v>
      </c>
      <c r="EH23" s="102">
        <v>0</v>
      </c>
      <c r="EI23" s="102">
        <v>0</v>
      </c>
      <c r="EJ23" s="102">
        <v>0</v>
      </c>
      <c r="EK23" s="102">
        <v>0</v>
      </c>
      <c r="EL23" s="102">
        <v>0</v>
      </c>
      <c r="EM23" s="102">
        <v>0</v>
      </c>
      <c r="EN23" s="102">
        <v>0</v>
      </c>
      <c r="EO23" s="102">
        <v>0</v>
      </c>
      <c r="EP23" s="102">
        <v>0</v>
      </c>
      <c r="EQ23" s="102">
        <v>0</v>
      </c>
      <c r="ER23" s="102">
        <v>0</v>
      </c>
      <c r="ES23" s="102">
        <v>0</v>
      </c>
      <c r="ET23" s="102">
        <v>0</v>
      </c>
      <c r="EU23" s="102">
        <v>0</v>
      </c>
      <c r="EV23" s="102">
        <v>0</v>
      </c>
      <c r="EW23" s="102">
        <v>0</v>
      </c>
      <c r="EX23" s="102">
        <v>0</v>
      </c>
      <c r="EY23" s="102">
        <v>0</v>
      </c>
      <c r="EZ23" s="102">
        <v>0</v>
      </c>
      <c r="FA23" s="102">
        <v>0</v>
      </c>
      <c r="FB23" s="102">
        <v>0</v>
      </c>
      <c r="FC23" s="102">
        <v>0</v>
      </c>
      <c r="FD23" s="102">
        <v>0</v>
      </c>
      <c r="FE23" s="102">
        <v>0</v>
      </c>
      <c r="FF23" s="102">
        <v>0</v>
      </c>
      <c r="FG23" s="102">
        <v>0</v>
      </c>
      <c r="FH23" s="102">
        <v>0</v>
      </c>
      <c r="FI23" s="102">
        <v>0</v>
      </c>
      <c r="FJ23" s="71">
        <v>0</v>
      </c>
    </row>
    <row r="24" spans="1:166" x14ac:dyDescent="0.3">
      <c r="A24" s="401" t="s">
        <v>681</v>
      </c>
      <c r="B24" s="103" t="s">
        <v>424</v>
      </c>
      <c r="C24" s="103" t="s">
        <v>639</v>
      </c>
      <c r="D24" s="103" t="s">
        <v>14</v>
      </c>
      <c r="E24" s="103" t="s">
        <v>654</v>
      </c>
      <c r="F24" s="103" t="s">
        <v>274</v>
      </c>
      <c r="G24" s="103" t="s">
        <v>631</v>
      </c>
      <c r="H24" s="103" t="s">
        <v>622</v>
      </c>
      <c r="I24" s="103">
        <v>0</v>
      </c>
      <c r="J24" s="103" t="s">
        <v>661</v>
      </c>
      <c r="K24" s="103">
        <v>0</v>
      </c>
      <c r="L24" s="103" t="s">
        <v>307</v>
      </c>
      <c r="M24" s="102">
        <v>3</v>
      </c>
      <c r="N24" s="103">
        <v>0</v>
      </c>
      <c r="O24" s="393">
        <v>8000000</v>
      </c>
      <c r="P24" s="393">
        <f t="shared" si="0"/>
        <v>24000000</v>
      </c>
      <c r="Q24" s="102">
        <v>0</v>
      </c>
      <c r="R24" s="102">
        <v>0</v>
      </c>
      <c r="S24" s="394">
        <v>0</v>
      </c>
      <c r="T24" s="395">
        <v>1</v>
      </c>
      <c r="U24" s="103">
        <v>0</v>
      </c>
      <c r="V24" s="102">
        <v>0</v>
      </c>
      <c r="W24" s="102">
        <v>0</v>
      </c>
      <c r="X24" s="102">
        <v>0</v>
      </c>
      <c r="Y24" s="102">
        <v>0</v>
      </c>
      <c r="Z24" s="102">
        <v>0</v>
      </c>
      <c r="AA24" s="102">
        <v>0</v>
      </c>
      <c r="AB24" s="102">
        <v>0</v>
      </c>
      <c r="AC24" s="102">
        <v>0</v>
      </c>
      <c r="AD24" s="102">
        <v>0</v>
      </c>
      <c r="AE24" s="102">
        <v>0</v>
      </c>
      <c r="AF24" s="102">
        <v>0</v>
      </c>
      <c r="AG24" s="102">
        <v>0</v>
      </c>
      <c r="AH24" s="102">
        <v>0</v>
      </c>
      <c r="AI24" s="102">
        <v>0</v>
      </c>
      <c r="AJ24" s="102">
        <v>0</v>
      </c>
      <c r="AK24" s="102">
        <v>0</v>
      </c>
      <c r="AL24" s="102">
        <v>0</v>
      </c>
      <c r="AM24" s="102">
        <v>0</v>
      </c>
      <c r="AN24" s="102">
        <v>0</v>
      </c>
      <c r="AO24" s="102">
        <v>0</v>
      </c>
      <c r="AP24" s="102">
        <v>0</v>
      </c>
      <c r="AQ24" s="102">
        <v>0</v>
      </c>
      <c r="AR24" s="102">
        <v>0</v>
      </c>
      <c r="AS24" s="102">
        <v>0</v>
      </c>
      <c r="AT24" s="102">
        <v>0</v>
      </c>
      <c r="AU24" s="102">
        <v>0</v>
      </c>
      <c r="AV24" s="102">
        <v>0</v>
      </c>
      <c r="AW24" s="102">
        <v>0</v>
      </c>
      <c r="AX24" s="102">
        <v>0</v>
      </c>
      <c r="AY24" s="102">
        <v>0</v>
      </c>
      <c r="AZ24" s="102">
        <v>0</v>
      </c>
      <c r="BA24" s="102">
        <v>0</v>
      </c>
      <c r="BB24" s="102">
        <v>0</v>
      </c>
      <c r="BC24" s="102">
        <v>0</v>
      </c>
      <c r="BD24" s="102">
        <v>0</v>
      </c>
      <c r="BE24" s="102">
        <v>0</v>
      </c>
      <c r="BF24" s="102">
        <v>0</v>
      </c>
      <c r="BG24" s="102">
        <v>0</v>
      </c>
      <c r="BH24" s="102">
        <v>0</v>
      </c>
      <c r="BI24" s="102">
        <v>0</v>
      </c>
      <c r="BJ24" s="102">
        <v>0</v>
      </c>
      <c r="BK24" s="102">
        <v>0</v>
      </c>
      <c r="BL24" s="102">
        <v>0</v>
      </c>
      <c r="BM24" s="102">
        <v>0</v>
      </c>
      <c r="BN24" s="102">
        <v>0</v>
      </c>
      <c r="BO24" s="102">
        <v>0</v>
      </c>
      <c r="BP24" s="102">
        <v>0</v>
      </c>
      <c r="BQ24" s="102">
        <v>0</v>
      </c>
      <c r="BR24" s="102">
        <v>0</v>
      </c>
      <c r="BS24" s="102">
        <v>0</v>
      </c>
      <c r="BT24" s="102">
        <v>0</v>
      </c>
      <c r="BU24" s="102">
        <v>0</v>
      </c>
      <c r="BV24" s="102">
        <v>0</v>
      </c>
      <c r="BW24" s="102">
        <v>0</v>
      </c>
      <c r="BX24" s="102">
        <v>0</v>
      </c>
      <c r="BY24" s="102">
        <v>0</v>
      </c>
      <c r="BZ24" s="102">
        <v>0</v>
      </c>
      <c r="CA24" s="102">
        <v>0</v>
      </c>
      <c r="CB24" s="102">
        <v>0</v>
      </c>
      <c r="CC24" s="102">
        <v>0</v>
      </c>
      <c r="CD24" s="102">
        <v>0</v>
      </c>
      <c r="CE24" s="102">
        <v>0</v>
      </c>
      <c r="CF24" s="102">
        <v>0</v>
      </c>
      <c r="CG24" s="102">
        <v>0</v>
      </c>
      <c r="CH24" s="102">
        <v>0</v>
      </c>
      <c r="CI24" s="102">
        <v>0</v>
      </c>
      <c r="CJ24" s="102">
        <v>0</v>
      </c>
      <c r="CK24" s="102">
        <v>0</v>
      </c>
      <c r="CL24" s="102">
        <v>0</v>
      </c>
      <c r="CM24" s="102">
        <v>0</v>
      </c>
      <c r="CN24" s="102">
        <v>0</v>
      </c>
      <c r="CO24" s="102">
        <v>0</v>
      </c>
      <c r="CP24" s="102">
        <v>0</v>
      </c>
      <c r="CQ24" s="102">
        <v>0</v>
      </c>
      <c r="CR24" s="102">
        <v>0</v>
      </c>
      <c r="CS24" s="102">
        <v>0</v>
      </c>
      <c r="CT24" s="102">
        <v>0</v>
      </c>
      <c r="CU24" s="102">
        <v>0</v>
      </c>
      <c r="CV24" s="102">
        <v>0</v>
      </c>
      <c r="CW24" s="102">
        <v>0</v>
      </c>
      <c r="CX24" s="102">
        <v>0</v>
      </c>
      <c r="CY24" s="102">
        <v>0</v>
      </c>
      <c r="CZ24" s="102">
        <v>0</v>
      </c>
      <c r="DA24" s="102">
        <v>0</v>
      </c>
      <c r="DB24" s="102">
        <v>0</v>
      </c>
      <c r="DC24" s="102">
        <v>0</v>
      </c>
      <c r="DD24" s="102">
        <v>0</v>
      </c>
      <c r="DE24" s="102">
        <v>0</v>
      </c>
      <c r="DF24" s="102">
        <v>0</v>
      </c>
      <c r="DG24" s="102">
        <v>0</v>
      </c>
      <c r="DH24" s="102">
        <v>0</v>
      </c>
      <c r="DI24" s="102">
        <v>0</v>
      </c>
      <c r="DJ24" s="102">
        <v>0</v>
      </c>
      <c r="DK24" s="102">
        <v>0</v>
      </c>
      <c r="DL24" s="102">
        <v>0</v>
      </c>
      <c r="DM24" s="102">
        <v>0</v>
      </c>
      <c r="DN24" s="102">
        <v>0</v>
      </c>
      <c r="DO24" s="102">
        <v>0</v>
      </c>
      <c r="DP24" s="102">
        <v>0</v>
      </c>
      <c r="DQ24" s="102">
        <v>0</v>
      </c>
      <c r="DR24" s="102">
        <v>0</v>
      </c>
      <c r="DS24" s="102">
        <v>0</v>
      </c>
      <c r="DT24" s="102">
        <v>0</v>
      </c>
      <c r="DU24" s="102">
        <v>0</v>
      </c>
      <c r="DV24" s="102">
        <v>0</v>
      </c>
      <c r="DW24" s="102">
        <v>0</v>
      </c>
      <c r="DX24" s="102">
        <v>0</v>
      </c>
      <c r="DY24" s="102">
        <v>0</v>
      </c>
      <c r="DZ24" s="102">
        <v>0</v>
      </c>
      <c r="EA24" s="102">
        <v>0</v>
      </c>
      <c r="EB24" s="102">
        <v>0</v>
      </c>
      <c r="EC24" s="102">
        <v>0</v>
      </c>
      <c r="ED24" s="102">
        <v>0</v>
      </c>
      <c r="EE24" s="102">
        <v>0</v>
      </c>
      <c r="EF24" s="102">
        <v>0</v>
      </c>
      <c r="EG24" s="102">
        <v>0</v>
      </c>
      <c r="EH24" s="102">
        <v>0</v>
      </c>
      <c r="EI24" s="102">
        <v>0</v>
      </c>
      <c r="EJ24" s="102">
        <v>0</v>
      </c>
      <c r="EK24" s="102">
        <v>0</v>
      </c>
      <c r="EL24" s="102">
        <v>0</v>
      </c>
      <c r="EM24" s="102">
        <v>0</v>
      </c>
      <c r="EN24" s="102">
        <v>0</v>
      </c>
      <c r="EO24" s="102">
        <v>0</v>
      </c>
      <c r="EP24" s="102">
        <v>0</v>
      </c>
      <c r="EQ24" s="102">
        <v>0</v>
      </c>
      <c r="ER24" s="102">
        <v>0</v>
      </c>
      <c r="ES24" s="102">
        <v>0</v>
      </c>
      <c r="ET24" s="102">
        <v>0</v>
      </c>
      <c r="EU24" s="102">
        <v>0</v>
      </c>
      <c r="EV24" s="102">
        <v>0</v>
      </c>
      <c r="EW24" s="102">
        <v>0</v>
      </c>
      <c r="EX24" s="102">
        <v>0</v>
      </c>
      <c r="EY24" s="102">
        <v>0</v>
      </c>
      <c r="EZ24" s="102">
        <v>0</v>
      </c>
      <c r="FA24" s="102">
        <v>0</v>
      </c>
      <c r="FB24" s="102">
        <v>0</v>
      </c>
      <c r="FC24" s="102">
        <v>0</v>
      </c>
      <c r="FD24" s="102">
        <v>0</v>
      </c>
      <c r="FE24" s="102">
        <v>0</v>
      </c>
      <c r="FF24" s="102">
        <v>0</v>
      </c>
      <c r="FG24" s="102">
        <v>0</v>
      </c>
      <c r="FH24" s="102">
        <v>0</v>
      </c>
      <c r="FI24" s="102">
        <v>0</v>
      </c>
      <c r="FJ24" s="71">
        <v>0</v>
      </c>
    </row>
    <row r="25" spans="1:166" x14ac:dyDescent="0.3">
      <c r="A25" s="401" t="s">
        <v>682</v>
      </c>
      <c r="B25" s="103" t="s">
        <v>424</v>
      </c>
      <c r="C25" s="103" t="s">
        <v>639</v>
      </c>
      <c r="D25" s="103" t="s">
        <v>14</v>
      </c>
      <c r="E25" s="103" t="s">
        <v>654</v>
      </c>
      <c r="F25" s="103" t="s">
        <v>274</v>
      </c>
      <c r="G25" s="103" t="s">
        <v>632</v>
      </c>
      <c r="H25" s="103" t="s">
        <v>306</v>
      </c>
      <c r="I25" s="103">
        <v>0</v>
      </c>
      <c r="J25" s="103" t="s">
        <v>661</v>
      </c>
      <c r="K25" s="103">
        <v>0</v>
      </c>
      <c r="L25" s="103" t="s">
        <v>307</v>
      </c>
      <c r="M25" s="102">
        <v>4</v>
      </c>
      <c r="N25" s="103">
        <v>0</v>
      </c>
      <c r="O25" s="393">
        <v>9000000</v>
      </c>
      <c r="P25" s="393">
        <f t="shared" si="0"/>
        <v>36000000</v>
      </c>
      <c r="Q25" s="102">
        <v>0</v>
      </c>
      <c r="R25" s="102">
        <v>0</v>
      </c>
      <c r="S25" s="394">
        <v>0</v>
      </c>
      <c r="T25" s="395">
        <v>1</v>
      </c>
      <c r="U25" s="103">
        <v>0</v>
      </c>
      <c r="V25" s="102">
        <v>0</v>
      </c>
      <c r="W25" s="102">
        <v>0</v>
      </c>
      <c r="X25" s="102">
        <v>0</v>
      </c>
      <c r="Y25" s="102">
        <v>0</v>
      </c>
      <c r="Z25" s="102">
        <v>0</v>
      </c>
      <c r="AA25" s="102">
        <v>0</v>
      </c>
      <c r="AB25" s="102">
        <v>0</v>
      </c>
      <c r="AC25" s="102">
        <v>0</v>
      </c>
      <c r="AD25" s="102">
        <v>0</v>
      </c>
      <c r="AE25" s="102">
        <v>0</v>
      </c>
      <c r="AF25" s="102">
        <v>0</v>
      </c>
      <c r="AG25" s="102">
        <v>0</v>
      </c>
      <c r="AH25" s="102">
        <v>0</v>
      </c>
      <c r="AI25" s="102">
        <v>0</v>
      </c>
      <c r="AJ25" s="102">
        <v>0</v>
      </c>
      <c r="AK25" s="102">
        <v>0</v>
      </c>
      <c r="AL25" s="102">
        <v>0</v>
      </c>
      <c r="AM25" s="102">
        <v>0</v>
      </c>
      <c r="AN25" s="102">
        <v>0</v>
      </c>
      <c r="AO25" s="102">
        <v>0</v>
      </c>
      <c r="AP25" s="102">
        <v>0</v>
      </c>
      <c r="AQ25" s="102">
        <v>0</v>
      </c>
      <c r="AR25" s="102">
        <v>0</v>
      </c>
      <c r="AS25" s="102">
        <v>0</v>
      </c>
      <c r="AT25" s="102">
        <v>0</v>
      </c>
      <c r="AU25" s="102">
        <v>0</v>
      </c>
      <c r="AV25" s="102">
        <v>0</v>
      </c>
      <c r="AW25" s="102">
        <v>0</v>
      </c>
      <c r="AX25" s="102">
        <v>0</v>
      </c>
      <c r="AY25" s="102">
        <v>0</v>
      </c>
      <c r="AZ25" s="102">
        <v>0</v>
      </c>
      <c r="BA25" s="102">
        <v>0</v>
      </c>
      <c r="BB25" s="102">
        <v>0</v>
      </c>
      <c r="BC25" s="102">
        <v>0</v>
      </c>
      <c r="BD25" s="102">
        <v>0</v>
      </c>
      <c r="BE25" s="102">
        <v>0</v>
      </c>
      <c r="BF25" s="102">
        <v>0</v>
      </c>
      <c r="BG25" s="102">
        <v>0</v>
      </c>
      <c r="BH25" s="102">
        <v>0</v>
      </c>
      <c r="BI25" s="102">
        <v>0</v>
      </c>
      <c r="BJ25" s="102">
        <v>0</v>
      </c>
      <c r="BK25" s="102">
        <v>0</v>
      </c>
      <c r="BL25" s="102">
        <v>0</v>
      </c>
      <c r="BM25" s="102">
        <v>0</v>
      </c>
      <c r="BN25" s="102">
        <v>0</v>
      </c>
      <c r="BO25" s="102">
        <v>0</v>
      </c>
      <c r="BP25" s="102">
        <v>0</v>
      </c>
      <c r="BQ25" s="102">
        <v>0</v>
      </c>
      <c r="BR25" s="102">
        <v>0</v>
      </c>
      <c r="BS25" s="102">
        <v>0</v>
      </c>
      <c r="BT25" s="102">
        <v>0</v>
      </c>
      <c r="BU25" s="102">
        <v>0</v>
      </c>
      <c r="BV25" s="102">
        <v>0</v>
      </c>
      <c r="BW25" s="102">
        <v>0</v>
      </c>
      <c r="BX25" s="102">
        <v>0</v>
      </c>
      <c r="BY25" s="102">
        <v>0</v>
      </c>
      <c r="BZ25" s="102">
        <v>0</v>
      </c>
      <c r="CA25" s="102">
        <v>0</v>
      </c>
      <c r="CB25" s="102">
        <v>0</v>
      </c>
      <c r="CC25" s="102">
        <v>0</v>
      </c>
      <c r="CD25" s="102">
        <v>0</v>
      </c>
      <c r="CE25" s="102">
        <v>0</v>
      </c>
      <c r="CF25" s="102">
        <v>0</v>
      </c>
      <c r="CG25" s="102">
        <v>0</v>
      </c>
      <c r="CH25" s="102">
        <v>0</v>
      </c>
      <c r="CI25" s="102">
        <v>0</v>
      </c>
      <c r="CJ25" s="102">
        <v>0</v>
      </c>
      <c r="CK25" s="102">
        <v>0</v>
      </c>
      <c r="CL25" s="102">
        <v>0</v>
      </c>
      <c r="CM25" s="102">
        <v>0</v>
      </c>
      <c r="CN25" s="102">
        <v>0</v>
      </c>
      <c r="CO25" s="102">
        <v>0</v>
      </c>
      <c r="CP25" s="102">
        <v>0</v>
      </c>
      <c r="CQ25" s="102">
        <v>0</v>
      </c>
      <c r="CR25" s="102">
        <v>0</v>
      </c>
      <c r="CS25" s="102">
        <v>0</v>
      </c>
      <c r="CT25" s="102">
        <v>0</v>
      </c>
      <c r="CU25" s="102">
        <v>0</v>
      </c>
      <c r="CV25" s="102">
        <v>0</v>
      </c>
      <c r="CW25" s="102">
        <v>0</v>
      </c>
      <c r="CX25" s="102">
        <v>0</v>
      </c>
      <c r="CY25" s="102">
        <v>0</v>
      </c>
      <c r="CZ25" s="102">
        <v>0</v>
      </c>
      <c r="DA25" s="102">
        <v>0</v>
      </c>
      <c r="DB25" s="102">
        <v>0</v>
      </c>
      <c r="DC25" s="102">
        <v>0</v>
      </c>
      <c r="DD25" s="102">
        <v>0</v>
      </c>
      <c r="DE25" s="102">
        <v>0</v>
      </c>
      <c r="DF25" s="102">
        <v>0</v>
      </c>
      <c r="DG25" s="102">
        <v>0</v>
      </c>
      <c r="DH25" s="102">
        <v>0</v>
      </c>
      <c r="DI25" s="102">
        <v>0</v>
      </c>
      <c r="DJ25" s="102">
        <v>0</v>
      </c>
      <c r="DK25" s="102">
        <v>0</v>
      </c>
      <c r="DL25" s="102">
        <v>0</v>
      </c>
      <c r="DM25" s="102">
        <v>0</v>
      </c>
      <c r="DN25" s="102">
        <v>0</v>
      </c>
      <c r="DO25" s="102">
        <v>0</v>
      </c>
      <c r="DP25" s="102">
        <v>0</v>
      </c>
      <c r="DQ25" s="102">
        <v>0</v>
      </c>
      <c r="DR25" s="102">
        <v>0</v>
      </c>
      <c r="DS25" s="102">
        <v>0</v>
      </c>
      <c r="DT25" s="102">
        <v>0</v>
      </c>
      <c r="DU25" s="102">
        <v>0</v>
      </c>
      <c r="DV25" s="102">
        <v>0</v>
      </c>
      <c r="DW25" s="102">
        <v>0</v>
      </c>
      <c r="DX25" s="102">
        <v>0</v>
      </c>
      <c r="DY25" s="102">
        <v>0</v>
      </c>
      <c r="DZ25" s="102">
        <v>0</v>
      </c>
      <c r="EA25" s="102">
        <v>0</v>
      </c>
      <c r="EB25" s="102">
        <v>0</v>
      </c>
      <c r="EC25" s="102">
        <v>0</v>
      </c>
      <c r="ED25" s="102">
        <v>0</v>
      </c>
      <c r="EE25" s="102">
        <v>0</v>
      </c>
      <c r="EF25" s="102">
        <v>0</v>
      </c>
      <c r="EG25" s="102">
        <v>0</v>
      </c>
      <c r="EH25" s="102">
        <v>0</v>
      </c>
      <c r="EI25" s="102">
        <v>0</v>
      </c>
      <c r="EJ25" s="102">
        <v>0</v>
      </c>
      <c r="EK25" s="102">
        <v>0</v>
      </c>
      <c r="EL25" s="102">
        <v>0</v>
      </c>
      <c r="EM25" s="102">
        <v>0</v>
      </c>
      <c r="EN25" s="102">
        <v>0</v>
      </c>
      <c r="EO25" s="102">
        <v>0</v>
      </c>
      <c r="EP25" s="102">
        <v>0</v>
      </c>
      <c r="EQ25" s="102">
        <v>0</v>
      </c>
      <c r="ER25" s="102">
        <v>0</v>
      </c>
      <c r="ES25" s="102">
        <v>0</v>
      </c>
      <c r="ET25" s="102">
        <v>0</v>
      </c>
      <c r="EU25" s="102">
        <v>0</v>
      </c>
      <c r="EV25" s="102">
        <v>0</v>
      </c>
      <c r="EW25" s="102">
        <v>0</v>
      </c>
      <c r="EX25" s="102">
        <v>0</v>
      </c>
      <c r="EY25" s="102">
        <v>0</v>
      </c>
      <c r="EZ25" s="102">
        <v>0</v>
      </c>
      <c r="FA25" s="102">
        <v>0</v>
      </c>
      <c r="FB25" s="102">
        <v>0</v>
      </c>
      <c r="FC25" s="102">
        <v>0</v>
      </c>
      <c r="FD25" s="102">
        <v>0</v>
      </c>
      <c r="FE25" s="102">
        <v>0</v>
      </c>
      <c r="FF25" s="102">
        <v>0</v>
      </c>
      <c r="FG25" s="102">
        <v>0</v>
      </c>
      <c r="FH25" s="102">
        <v>0</v>
      </c>
      <c r="FI25" s="102">
        <v>0</v>
      </c>
      <c r="FJ25" s="71">
        <v>0</v>
      </c>
    </row>
    <row r="26" spans="1:166" x14ac:dyDescent="0.3">
      <c r="A26" s="401" t="s">
        <v>683</v>
      </c>
      <c r="B26" s="103" t="s">
        <v>424</v>
      </c>
      <c r="C26" s="103" t="s">
        <v>639</v>
      </c>
      <c r="D26" s="103" t="s">
        <v>14</v>
      </c>
      <c r="E26" s="103" t="s">
        <v>654</v>
      </c>
      <c r="F26" s="103" t="s">
        <v>274</v>
      </c>
      <c r="G26" s="103" t="s">
        <v>633</v>
      </c>
      <c r="H26" s="103" t="s">
        <v>305</v>
      </c>
      <c r="I26" s="103">
        <v>0</v>
      </c>
      <c r="J26" s="103" t="s">
        <v>661</v>
      </c>
      <c r="K26" s="103">
        <v>0</v>
      </c>
      <c r="L26" s="103" t="s">
        <v>307</v>
      </c>
      <c r="M26" s="102">
        <v>2</v>
      </c>
      <c r="N26" s="103">
        <v>0</v>
      </c>
      <c r="O26" s="393">
        <v>10000000</v>
      </c>
      <c r="P26" s="393">
        <f t="shared" si="0"/>
        <v>20000000</v>
      </c>
      <c r="Q26" s="102">
        <v>0</v>
      </c>
      <c r="R26" s="102">
        <v>0</v>
      </c>
      <c r="S26" s="103">
        <v>0</v>
      </c>
      <c r="T26" s="395">
        <v>1</v>
      </c>
      <c r="U26" s="103">
        <v>0</v>
      </c>
      <c r="V26" s="102">
        <v>0</v>
      </c>
      <c r="W26" s="102">
        <v>0</v>
      </c>
      <c r="X26" s="102">
        <v>0</v>
      </c>
      <c r="Y26" s="102">
        <v>0</v>
      </c>
      <c r="Z26" s="102">
        <v>0</v>
      </c>
      <c r="AA26" s="102">
        <v>0</v>
      </c>
      <c r="AB26" s="102">
        <v>0</v>
      </c>
      <c r="AC26" s="102">
        <v>0</v>
      </c>
      <c r="AD26" s="102">
        <v>0</v>
      </c>
      <c r="AE26" s="102">
        <v>0</v>
      </c>
      <c r="AF26" s="102">
        <v>0</v>
      </c>
      <c r="AG26" s="102">
        <v>0</v>
      </c>
      <c r="AH26" s="102">
        <v>0</v>
      </c>
      <c r="AI26" s="102">
        <v>0</v>
      </c>
      <c r="AJ26" s="102">
        <v>0</v>
      </c>
      <c r="AK26" s="102">
        <v>0</v>
      </c>
      <c r="AL26" s="102">
        <v>0</v>
      </c>
      <c r="AM26" s="102">
        <v>0</v>
      </c>
      <c r="AN26" s="102">
        <v>0</v>
      </c>
      <c r="AO26" s="102">
        <v>0</v>
      </c>
      <c r="AP26" s="102">
        <v>0</v>
      </c>
      <c r="AQ26" s="102">
        <v>0</v>
      </c>
      <c r="AR26" s="102">
        <v>0</v>
      </c>
      <c r="AS26" s="102">
        <v>0</v>
      </c>
      <c r="AT26" s="102">
        <v>0</v>
      </c>
      <c r="AU26" s="102">
        <v>0</v>
      </c>
      <c r="AV26" s="102">
        <v>0</v>
      </c>
      <c r="AW26" s="102">
        <v>0</v>
      </c>
      <c r="AX26" s="102">
        <v>0</v>
      </c>
      <c r="AY26" s="102">
        <v>0</v>
      </c>
      <c r="AZ26" s="102">
        <v>0</v>
      </c>
      <c r="BA26" s="102">
        <v>0</v>
      </c>
      <c r="BB26" s="102">
        <v>0</v>
      </c>
      <c r="BC26" s="102">
        <v>0</v>
      </c>
      <c r="BD26" s="102">
        <v>0</v>
      </c>
      <c r="BE26" s="102">
        <v>0</v>
      </c>
      <c r="BF26" s="102">
        <v>0</v>
      </c>
      <c r="BG26" s="102">
        <v>0</v>
      </c>
      <c r="BH26" s="102">
        <v>0</v>
      </c>
      <c r="BI26" s="102">
        <v>0</v>
      </c>
      <c r="BJ26" s="102">
        <v>0</v>
      </c>
      <c r="BK26" s="102">
        <v>0</v>
      </c>
      <c r="BL26" s="102">
        <v>0</v>
      </c>
      <c r="BM26" s="102">
        <v>0</v>
      </c>
      <c r="BN26" s="102">
        <v>0</v>
      </c>
      <c r="BO26" s="102">
        <v>0</v>
      </c>
      <c r="BP26" s="102">
        <v>0</v>
      </c>
      <c r="BQ26" s="102">
        <v>0</v>
      </c>
      <c r="BR26" s="102">
        <v>0</v>
      </c>
      <c r="BS26" s="102">
        <v>0</v>
      </c>
      <c r="BT26" s="102">
        <v>0</v>
      </c>
      <c r="BU26" s="102">
        <v>0</v>
      </c>
      <c r="BV26" s="102">
        <v>0</v>
      </c>
      <c r="BW26" s="102">
        <v>0</v>
      </c>
      <c r="BX26" s="102">
        <v>0</v>
      </c>
      <c r="BY26" s="102">
        <v>0</v>
      </c>
      <c r="BZ26" s="102">
        <v>0</v>
      </c>
      <c r="CA26" s="102">
        <v>0</v>
      </c>
      <c r="CB26" s="102">
        <v>0</v>
      </c>
      <c r="CC26" s="102">
        <v>0</v>
      </c>
      <c r="CD26" s="102">
        <v>0</v>
      </c>
      <c r="CE26" s="102">
        <v>0</v>
      </c>
      <c r="CF26" s="102">
        <v>0</v>
      </c>
      <c r="CG26" s="102">
        <v>0</v>
      </c>
      <c r="CH26" s="102">
        <v>0</v>
      </c>
      <c r="CI26" s="102">
        <v>0</v>
      </c>
      <c r="CJ26" s="102">
        <v>0</v>
      </c>
      <c r="CK26" s="102">
        <v>0</v>
      </c>
      <c r="CL26" s="102">
        <v>0</v>
      </c>
      <c r="CM26" s="102">
        <v>0</v>
      </c>
      <c r="CN26" s="102">
        <v>0</v>
      </c>
      <c r="CO26" s="102">
        <v>0</v>
      </c>
      <c r="CP26" s="102">
        <v>0</v>
      </c>
      <c r="CQ26" s="102">
        <v>0</v>
      </c>
      <c r="CR26" s="102">
        <v>0</v>
      </c>
      <c r="CS26" s="102">
        <v>0</v>
      </c>
      <c r="CT26" s="102">
        <v>0</v>
      </c>
      <c r="CU26" s="102">
        <v>0</v>
      </c>
      <c r="CV26" s="102">
        <v>0</v>
      </c>
      <c r="CW26" s="102">
        <v>0</v>
      </c>
      <c r="CX26" s="102">
        <v>0</v>
      </c>
      <c r="CY26" s="102">
        <v>0</v>
      </c>
      <c r="CZ26" s="102">
        <v>0</v>
      </c>
      <c r="DA26" s="102">
        <v>0</v>
      </c>
      <c r="DB26" s="102">
        <v>0</v>
      </c>
      <c r="DC26" s="102">
        <v>0</v>
      </c>
      <c r="DD26" s="102">
        <v>0</v>
      </c>
      <c r="DE26" s="102">
        <v>0</v>
      </c>
      <c r="DF26" s="102">
        <v>0</v>
      </c>
      <c r="DG26" s="102">
        <v>0</v>
      </c>
      <c r="DH26" s="102">
        <v>0</v>
      </c>
      <c r="DI26" s="102">
        <v>0</v>
      </c>
      <c r="DJ26" s="102">
        <v>0</v>
      </c>
      <c r="DK26" s="102">
        <v>0</v>
      </c>
      <c r="DL26" s="102">
        <v>0</v>
      </c>
      <c r="DM26" s="102">
        <v>0</v>
      </c>
      <c r="DN26" s="102">
        <v>0</v>
      </c>
      <c r="DO26" s="102">
        <v>0</v>
      </c>
      <c r="DP26" s="102">
        <v>0</v>
      </c>
      <c r="DQ26" s="102">
        <v>0</v>
      </c>
      <c r="DR26" s="102">
        <v>0</v>
      </c>
      <c r="DS26" s="102">
        <v>0</v>
      </c>
      <c r="DT26" s="102">
        <v>0</v>
      </c>
      <c r="DU26" s="102">
        <v>0</v>
      </c>
      <c r="DV26" s="102">
        <v>0</v>
      </c>
      <c r="DW26" s="102">
        <v>0</v>
      </c>
      <c r="DX26" s="102">
        <v>0</v>
      </c>
      <c r="DY26" s="102">
        <v>0</v>
      </c>
      <c r="DZ26" s="102">
        <v>0</v>
      </c>
      <c r="EA26" s="102">
        <v>0</v>
      </c>
      <c r="EB26" s="102">
        <v>0</v>
      </c>
      <c r="EC26" s="102">
        <v>0</v>
      </c>
      <c r="ED26" s="102">
        <v>0</v>
      </c>
      <c r="EE26" s="102">
        <v>0</v>
      </c>
      <c r="EF26" s="102">
        <v>0</v>
      </c>
      <c r="EG26" s="102">
        <v>0</v>
      </c>
      <c r="EH26" s="102">
        <v>0</v>
      </c>
      <c r="EI26" s="102">
        <v>0</v>
      </c>
      <c r="EJ26" s="102">
        <v>0</v>
      </c>
      <c r="EK26" s="102">
        <v>0</v>
      </c>
      <c r="EL26" s="102">
        <v>0</v>
      </c>
      <c r="EM26" s="102">
        <v>0</v>
      </c>
      <c r="EN26" s="102">
        <v>0</v>
      </c>
      <c r="EO26" s="102">
        <v>0</v>
      </c>
      <c r="EP26" s="102">
        <v>0</v>
      </c>
      <c r="EQ26" s="102">
        <v>0</v>
      </c>
      <c r="ER26" s="102">
        <v>0</v>
      </c>
      <c r="ES26" s="102">
        <v>0</v>
      </c>
      <c r="ET26" s="102">
        <v>0</v>
      </c>
      <c r="EU26" s="102">
        <v>0</v>
      </c>
      <c r="EV26" s="102">
        <v>0</v>
      </c>
      <c r="EW26" s="102">
        <v>0</v>
      </c>
      <c r="EX26" s="102">
        <v>0</v>
      </c>
      <c r="EY26" s="102">
        <v>0</v>
      </c>
      <c r="EZ26" s="102">
        <v>0</v>
      </c>
      <c r="FA26" s="102">
        <v>0</v>
      </c>
      <c r="FB26" s="102">
        <v>0</v>
      </c>
      <c r="FC26" s="102">
        <v>0</v>
      </c>
      <c r="FD26" s="102">
        <v>0</v>
      </c>
      <c r="FE26" s="102">
        <v>0</v>
      </c>
      <c r="FF26" s="102">
        <v>0</v>
      </c>
      <c r="FG26" s="102">
        <v>0</v>
      </c>
      <c r="FH26" s="102">
        <v>0</v>
      </c>
      <c r="FI26" s="102">
        <v>0</v>
      </c>
      <c r="FJ26" s="71">
        <v>0</v>
      </c>
    </row>
    <row r="27" spans="1:166" x14ac:dyDescent="0.3">
      <c r="A27" s="401" t="s">
        <v>684</v>
      </c>
      <c r="B27" s="103" t="s">
        <v>424</v>
      </c>
      <c r="C27" s="103" t="s">
        <v>639</v>
      </c>
      <c r="D27" s="103" t="s">
        <v>14</v>
      </c>
      <c r="E27" s="103" t="s">
        <v>654</v>
      </c>
      <c r="F27" s="103" t="s">
        <v>274</v>
      </c>
      <c r="G27" s="103" t="s">
        <v>634</v>
      </c>
      <c r="H27" s="103" t="s">
        <v>306</v>
      </c>
      <c r="I27" s="103">
        <v>0</v>
      </c>
      <c r="J27" s="103" t="s">
        <v>661</v>
      </c>
      <c r="K27" s="103">
        <v>0</v>
      </c>
      <c r="L27" s="103" t="s">
        <v>307</v>
      </c>
      <c r="M27" s="102">
        <v>5</v>
      </c>
      <c r="N27" s="103">
        <v>0</v>
      </c>
      <c r="O27" s="393">
        <v>9000000</v>
      </c>
      <c r="P27" s="393">
        <f t="shared" si="0"/>
        <v>45000000</v>
      </c>
      <c r="Q27" s="102">
        <v>0</v>
      </c>
      <c r="R27" s="102">
        <v>0</v>
      </c>
      <c r="S27" s="103">
        <v>0</v>
      </c>
      <c r="T27" s="395">
        <v>1</v>
      </c>
      <c r="U27" s="103">
        <v>0</v>
      </c>
      <c r="V27" s="102">
        <v>0</v>
      </c>
      <c r="W27" s="102">
        <v>0</v>
      </c>
      <c r="X27" s="102">
        <v>0</v>
      </c>
      <c r="Y27" s="102">
        <v>0</v>
      </c>
      <c r="Z27" s="102">
        <v>0</v>
      </c>
      <c r="AA27" s="102">
        <v>0</v>
      </c>
      <c r="AB27" s="102">
        <v>0</v>
      </c>
      <c r="AC27" s="102">
        <v>0</v>
      </c>
      <c r="AD27" s="102">
        <v>0</v>
      </c>
      <c r="AE27" s="102">
        <v>0</v>
      </c>
      <c r="AF27" s="102">
        <v>0</v>
      </c>
      <c r="AG27" s="102">
        <v>0</v>
      </c>
      <c r="AH27" s="102">
        <v>0</v>
      </c>
      <c r="AI27" s="102">
        <v>0</v>
      </c>
      <c r="AJ27" s="102">
        <v>0</v>
      </c>
      <c r="AK27" s="102">
        <v>0</v>
      </c>
      <c r="AL27" s="102">
        <v>0</v>
      </c>
      <c r="AM27" s="102">
        <v>0</v>
      </c>
      <c r="AN27" s="102">
        <v>0</v>
      </c>
      <c r="AO27" s="102">
        <v>0</v>
      </c>
      <c r="AP27" s="102">
        <v>0</v>
      </c>
      <c r="AQ27" s="102">
        <v>0</v>
      </c>
      <c r="AR27" s="102">
        <v>0</v>
      </c>
      <c r="AS27" s="102">
        <v>0</v>
      </c>
      <c r="AT27" s="102">
        <v>0</v>
      </c>
      <c r="AU27" s="102">
        <v>0</v>
      </c>
      <c r="AV27" s="102">
        <v>0</v>
      </c>
      <c r="AW27" s="102">
        <v>0</v>
      </c>
      <c r="AX27" s="102">
        <v>0</v>
      </c>
      <c r="AY27" s="102">
        <v>0</v>
      </c>
      <c r="AZ27" s="102">
        <v>0</v>
      </c>
      <c r="BA27" s="102">
        <v>0</v>
      </c>
      <c r="BB27" s="102">
        <v>0</v>
      </c>
      <c r="BC27" s="102">
        <v>0</v>
      </c>
      <c r="BD27" s="102">
        <v>0</v>
      </c>
      <c r="BE27" s="102">
        <v>0</v>
      </c>
      <c r="BF27" s="102">
        <v>0</v>
      </c>
      <c r="BG27" s="102">
        <v>0</v>
      </c>
      <c r="BH27" s="102">
        <v>0</v>
      </c>
      <c r="BI27" s="102">
        <v>0</v>
      </c>
      <c r="BJ27" s="102">
        <v>0</v>
      </c>
      <c r="BK27" s="102">
        <v>0</v>
      </c>
      <c r="BL27" s="102">
        <v>0</v>
      </c>
      <c r="BM27" s="102">
        <v>0</v>
      </c>
      <c r="BN27" s="102">
        <v>0</v>
      </c>
      <c r="BO27" s="102">
        <v>0</v>
      </c>
      <c r="BP27" s="102">
        <v>0</v>
      </c>
      <c r="BQ27" s="102">
        <v>0</v>
      </c>
      <c r="BR27" s="102">
        <v>0</v>
      </c>
      <c r="BS27" s="102">
        <v>0</v>
      </c>
      <c r="BT27" s="102">
        <v>0</v>
      </c>
      <c r="BU27" s="102">
        <v>0</v>
      </c>
      <c r="BV27" s="102">
        <v>0</v>
      </c>
      <c r="BW27" s="102">
        <v>0</v>
      </c>
      <c r="BX27" s="102">
        <v>0</v>
      </c>
      <c r="BY27" s="102">
        <v>0</v>
      </c>
      <c r="BZ27" s="102">
        <v>0</v>
      </c>
      <c r="CA27" s="102">
        <v>0</v>
      </c>
      <c r="CB27" s="102">
        <v>0</v>
      </c>
      <c r="CC27" s="102">
        <v>0</v>
      </c>
      <c r="CD27" s="102">
        <v>0</v>
      </c>
      <c r="CE27" s="102">
        <v>0</v>
      </c>
      <c r="CF27" s="102">
        <v>0</v>
      </c>
      <c r="CG27" s="102">
        <v>0</v>
      </c>
      <c r="CH27" s="102">
        <v>0</v>
      </c>
      <c r="CI27" s="102">
        <v>0</v>
      </c>
      <c r="CJ27" s="102">
        <v>0</v>
      </c>
      <c r="CK27" s="102">
        <v>0</v>
      </c>
      <c r="CL27" s="102">
        <v>0</v>
      </c>
      <c r="CM27" s="102">
        <v>0</v>
      </c>
      <c r="CN27" s="102">
        <v>0</v>
      </c>
      <c r="CO27" s="102">
        <v>0</v>
      </c>
      <c r="CP27" s="102">
        <v>0</v>
      </c>
      <c r="CQ27" s="102">
        <v>0</v>
      </c>
      <c r="CR27" s="102">
        <v>0</v>
      </c>
      <c r="CS27" s="102">
        <v>0</v>
      </c>
      <c r="CT27" s="102">
        <v>0</v>
      </c>
      <c r="CU27" s="102">
        <v>0</v>
      </c>
      <c r="CV27" s="102">
        <v>0</v>
      </c>
      <c r="CW27" s="102">
        <v>0</v>
      </c>
      <c r="CX27" s="102">
        <v>0</v>
      </c>
      <c r="CY27" s="102">
        <v>0</v>
      </c>
      <c r="CZ27" s="102">
        <v>0</v>
      </c>
      <c r="DA27" s="102">
        <v>0</v>
      </c>
      <c r="DB27" s="102">
        <v>0</v>
      </c>
      <c r="DC27" s="102">
        <v>0</v>
      </c>
      <c r="DD27" s="102">
        <v>0</v>
      </c>
      <c r="DE27" s="102">
        <v>0</v>
      </c>
      <c r="DF27" s="102">
        <v>0</v>
      </c>
      <c r="DG27" s="102">
        <v>0</v>
      </c>
      <c r="DH27" s="102">
        <v>0</v>
      </c>
      <c r="DI27" s="102">
        <v>0</v>
      </c>
      <c r="DJ27" s="102">
        <v>0</v>
      </c>
      <c r="DK27" s="102">
        <v>0</v>
      </c>
      <c r="DL27" s="102">
        <v>0</v>
      </c>
      <c r="DM27" s="102">
        <v>0</v>
      </c>
      <c r="DN27" s="102">
        <v>0</v>
      </c>
      <c r="DO27" s="102">
        <v>0</v>
      </c>
      <c r="DP27" s="102">
        <v>0</v>
      </c>
      <c r="DQ27" s="102">
        <v>0</v>
      </c>
      <c r="DR27" s="102">
        <v>0</v>
      </c>
      <c r="DS27" s="102">
        <v>0</v>
      </c>
      <c r="DT27" s="102">
        <v>0</v>
      </c>
      <c r="DU27" s="102">
        <v>0</v>
      </c>
      <c r="DV27" s="102">
        <v>0</v>
      </c>
      <c r="DW27" s="102">
        <v>0</v>
      </c>
      <c r="DX27" s="102">
        <v>0</v>
      </c>
      <c r="DY27" s="102">
        <v>0</v>
      </c>
      <c r="DZ27" s="102">
        <v>0</v>
      </c>
      <c r="EA27" s="102">
        <v>0</v>
      </c>
      <c r="EB27" s="102">
        <v>0</v>
      </c>
      <c r="EC27" s="102">
        <v>0</v>
      </c>
      <c r="ED27" s="102">
        <v>0</v>
      </c>
      <c r="EE27" s="102">
        <v>0</v>
      </c>
      <c r="EF27" s="102">
        <v>0</v>
      </c>
      <c r="EG27" s="102">
        <v>0</v>
      </c>
      <c r="EH27" s="102">
        <v>0</v>
      </c>
      <c r="EI27" s="102">
        <v>0</v>
      </c>
      <c r="EJ27" s="102">
        <v>0</v>
      </c>
      <c r="EK27" s="102">
        <v>0</v>
      </c>
      <c r="EL27" s="102">
        <v>0</v>
      </c>
      <c r="EM27" s="102">
        <v>0</v>
      </c>
      <c r="EN27" s="102">
        <v>0</v>
      </c>
      <c r="EO27" s="102">
        <v>0</v>
      </c>
      <c r="EP27" s="102">
        <v>0</v>
      </c>
      <c r="EQ27" s="102">
        <v>0</v>
      </c>
      <c r="ER27" s="102">
        <v>0</v>
      </c>
      <c r="ES27" s="102">
        <v>0</v>
      </c>
      <c r="ET27" s="102">
        <v>0</v>
      </c>
      <c r="EU27" s="102">
        <v>0</v>
      </c>
      <c r="EV27" s="102">
        <v>0</v>
      </c>
      <c r="EW27" s="102">
        <v>0</v>
      </c>
      <c r="EX27" s="102">
        <v>0</v>
      </c>
      <c r="EY27" s="102">
        <v>0</v>
      </c>
      <c r="EZ27" s="102">
        <v>0</v>
      </c>
      <c r="FA27" s="102">
        <v>0</v>
      </c>
      <c r="FB27" s="102">
        <v>0</v>
      </c>
      <c r="FC27" s="102">
        <v>0</v>
      </c>
      <c r="FD27" s="102">
        <v>0</v>
      </c>
      <c r="FE27" s="102">
        <v>0</v>
      </c>
      <c r="FF27" s="102">
        <v>0</v>
      </c>
      <c r="FG27" s="102">
        <v>0</v>
      </c>
      <c r="FH27" s="102">
        <v>0</v>
      </c>
      <c r="FI27" s="102">
        <v>0</v>
      </c>
      <c r="FJ27" s="71">
        <v>0</v>
      </c>
    </row>
    <row r="28" spans="1:166" x14ac:dyDescent="0.3">
      <c r="A28" s="401" t="s">
        <v>685</v>
      </c>
      <c r="B28" s="103" t="s">
        <v>424</v>
      </c>
      <c r="C28" s="103" t="s">
        <v>639</v>
      </c>
      <c r="D28" s="103" t="s">
        <v>14</v>
      </c>
      <c r="E28" s="103" t="s">
        <v>654</v>
      </c>
      <c r="F28" s="103" t="s">
        <v>274</v>
      </c>
      <c r="G28" s="103" t="s">
        <v>635</v>
      </c>
      <c r="H28" s="103" t="s">
        <v>306</v>
      </c>
      <c r="I28" s="103">
        <v>0</v>
      </c>
      <c r="J28" s="103" t="s">
        <v>661</v>
      </c>
      <c r="K28" s="103">
        <v>0</v>
      </c>
      <c r="L28" s="103" t="s">
        <v>307</v>
      </c>
      <c r="M28" s="102">
        <v>1</v>
      </c>
      <c r="N28" s="103">
        <v>0</v>
      </c>
      <c r="O28" s="393">
        <v>9000000</v>
      </c>
      <c r="P28" s="393">
        <f t="shared" si="0"/>
        <v>9000000</v>
      </c>
      <c r="Q28" s="102">
        <v>0</v>
      </c>
      <c r="R28" s="102">
        <v>0</v>
      </c>
      <c r="S28" s="103">
        <v>0</v>
      </c>
      <c r="T28" s="395">
        <v>1</v>
      </c>
      <c r="U28" s="103">
        <v>0</v>
      </c>
      <c r="V28" s="102">
        <v>0</v>
      </c>
      <c r="W28" s="102">
        <v>0</v>
      </c>
      <c r="X28" s="102">
        <v>0</v>
      </c>
      <c r="Y28" s="102">
        <v>0</v>
      </c>
      <c r="Z28" s="102">
        <v>0</v>
      </c>
      <c r="AA28" s="102">
        <v>0</v>
      </c>
      <c r="AB28" s="102">
        <v>0</v>
      </c>
      <c r="AC28" s="102">
        <v>0</v>
      </c>
      <c r="AD28" s="102">
        <v>0</v>
      </c>
      <c r="AE28" s="102">
        <v>0</v>
      </c>
      <c r="AF28" s="102">
        <v>0</v>
      </c>
      <c r="AG28" s="102">
        <v>0</v>
      </c>
      <c r="AH28" s="102">
        <v>0</v>
      </c>
      <c r="AI28" s="102">
        <v>0</v>
      </c>
      <c r="AJ28" s="102">
        <v>0</v>
      </c>
      <c r="AK28" s="102">
        <v>0</v>
      </c>
      <c r="AL28" s="102">
        <v>0</v>
      </c>
      <c r="AM28" s="102">
        <v>0</v>
      </c>
      <c r="AN28" s="102">
        <v>0</v>
      </c>
      <c r="AO28" s="102">
        <v>0</v>
      </c>
      <c r="AP28" s="102">
        <v>0</v>
      </c>
      <c r="AQ28" s="102">
        <v>0</v>
      </c>
      <c r="AR28" s="102">
        <v>0</v>
      </c>
      <c r="AS28" s="102">
        <v>0</v>
      </c>
      <c r="AT28" s="102">
        <v>0</v>
      </c>
      <c r="AU28" s="102">
        <v>0</v>
      </c>
      <c r="AV28" s="102">
        <v>0</v>
      </c>
      <c r="AW28" s="102">
        <v>0</v>
      </c>
      <c r="AX28" s="102">
        <v>0</v>
      </c>
      <c r="AY28" s="102">
        <v>0</v>
      </c>
      <c r="AZ28" s="102">
        <v>0</v>
      </c>
      <c r="BA28" s="102">
        <v>0</v>
      </c>
      <c r="BB28" s="102">
        <v>0</v>
      </c>
      <c r="BC28" s="102">
        <v>0</v>
      </c>
      <c r="BD28" s="102">
        <v>0</v>
      </c>
      <c r="BE28" s="102">
        <v>0</v>
      </c>
      <c r="BF28" s="102">
        <v>0</v>
      </c>
      <c r="BG28" s="102">
        <v>0</v>
      </c>
      <c r="BH28" s="102">
        <v>0</v>
      </c>
      <c r="BI28" s="102">
        <v>0</v>
      </c>
      <c r="BJ28" s="102">
        <v>0</v>
      </c>
      <c r="BK28" s="102">
        <v>0</v>
      </c>
      <c r="BL28" s="102">
        <v>0</v>
      </c>
      <c r="BM28" s="102">
        <v>0</v>
      </c>
      <c r="BN28" s="102">
        <v>0</v>
      </c>
      <c r="BO28" s="102">
        <v>0</v>
      </c>
      <c r="BP28" s="102">
        <v>0</v>
      </c>
      <c r="BQ28" s="102">
        <v>0</v>
      </c>
      <c r="BR28" s="102">
        <v>0</v>
      </c>
      <c r="BS28" s="102">
        <v>0</v>
      </c>
      <c r="BT28" s="102">
        <v>0</v>
      </c>
      <c r="BU28" s="102">
        <v>0</v>
      </c>
      <c r="BV28" s="102">
        <v>0</v>
      </c>
      <c r="BW28" s="102">
        <v>0</v>
      </c>
      <c r="BX28" s="102">
        <v>0</v>
      </c>
      <c r="BY28" s="102">
        <v>0</v>
      </c>
      <c r="BZ28" s="102">
        <v>0</v>
      </c>
      <c r="CA28" s="102">
        <v>0</v>
      </c>
      <c r="CB28" s="102">
        <v>0</v>
      </c>
      <c r="CC28" s="102">
        <v>0</v>
      </c>
      <c r="CD28" s="102">
        <v>0</v>
      </c>
      <c r="CE28" s="102">
        <v>0</v>
      </c>
      <c r="CF28" s="102">
        <v>0</v>
      </c>
      <c r="CG28" s="102">
        <v>0</v>
      </c>
      <c r="CH28" s="102">
        <v>0</v>
      </c>
      <c r="CI28" s="102">
        <v>0</v>
      </c>
      <c r="CJ28" s="102">
        <v>0</v>
      </c>
      <c r="CK28" s="102">
        <v>0</v>
      </c>
      <c r="CL28" s="102">
        <v>0</v>
      </c>
      <c r="CM28" s="102">
        <v>0</v>
      </c>
      <c r="CN28" s="102">
        <v>0</v>
      </c>
      <c r="CO28" s="102">
        <v>0</v>
      </c>
      <c r="CP28" s="102">
        <v>0</v>
      </c>
      <c r="CQ28" s="102">
        <v>0</v>
      </c>
      <c r="CR28" s="102">
        <v>0</v>
      </c>
      <c r="CS28" s="102">
        <v>0</v>
      </c>
      <c r="CT28" s="102">
        <v>0</v>
      </c>
      <c r="CU28" s="102">
        <v>0</v>
      </c>
      <c r="CV28" s="102">
        <v>0</v>
      </c>
      <c r="CW28" s="102">
        <v>0</v>
      </c>
      <c r="CX28" s="102">
        <v>0</v>
      </c>
      <c r="CY28" s="102">
        <v>0</v>
      </c>
      <c r="CZ28" s="102">
        <v>0</v>
      </c>
      <c r="DA28" s="102">
        <v>0</v>
      </c>
      <c r="DB28" s="102">
        <v>0</v>
      </c>
      <c r="DC28" s="102">
        <v>0</v>
      </c>
      <c r="DD28" s="102">
        <v>0</v>
      </c>
      <c r="DE28" s="102">
        <v>0</v>
      </c>
      <c r="DF28" s="102">
        <v>0</v>
      </c>
      <c r="DG28" s="102">
        <v>0</v>
      </c>
      <c r="DH28" s="102">
        <v>0</v>
      </c>
      <c r="DI28" s="102">
        <v>0</v>
      </c>
      <c r="DJ28" s="102">
        <v>0</v>
      </c>
      <c r="DK28" s="102">
        <v>0</v>
      </c>
      <c r="DL28" s="102">
        <v>0</v>
      </c>
      <c r="DM28" s="102">
        <v>0</v>
      </c>
      <c r="DN28" s="102">
        <v>0</v>
      </c>
      <c r="DO28" s="102">
        <v>0</v>
      </c>
      <c r="DP28" s="102">
        <v>0</v>
      </c>
      <c r="DQ28" s="102">
        <v>0</v>
      </c>
      <c r="DR28" s="102">
        <v>0</v>
      </c>
      <c r="DS28" s="102">
        <v>0</v>
      </c>
      <c r="DT28" s="102">
        <v>0</v>
      </c>
      <c r="DU28" s="102">
        <v>0</v>
      </c>
      <c r="DV28" s="102">
        <v>0</v>
      </c>
      <c r="DW28" s="102">
        <v>0</v>
      </c>
      <c r="DX28" s="102">
        <v>0</v>
      </c>
      <c r="DY28" s="102">
        <v>0</v>
      </c>
      <c r="DZ28" s="102">
        <v>0</v>
      </c>
      <c r="EA28" s="102">
        <v>0</v>
      </c>
      <c r="EB28" s="102">
        <v>0</v>
      </c>
      <c r="EC28" s="102">
        <v>0</v>
      </c>
      <c r="ED28" s="102">
        <v>0</v>
      </c>
      <c r="EE28" s="102">
        <v>0</v>
      </c>
      <c r="EF28" s="102">
        <v>0</v>
      </c>
      <c r="EG28" s="102">
        <v>0</v>
      </c>
      <c r="EH28" s="102">
        <v>0</v>
      </c>
      <c r="EI28" s="102">
        <v>0</v>
      </c>
      <c r="EJ28" s="102">
        <v>0</v>
      </c>
      <c r="EK28" s="102">
        <v>0</v>
      </c>
      <c r="EL28" s="102">
        <v>0</v>
      </c>
      <c r="EM28" s="102">
        <v>0</v>
      </c>
      <c r="EN28" s="102">
        <v>0</v>
      </c>
      <c r="EO28" s="102">
        <v>0</v>
      </c>
      <c r="EP28" s="102">
        <v>0</v>
      </c>
      <c r="EQ28" s="102">
        <v>0</v>
      </c>
      <c r="ER28" s="102">
        <v>0</v>
      </c>
      <c r="ES28" s="102">
        <v>0</v>
      </c>
      <c r="ET28" s="102">
        <v>0</v>
      </c>
      <c r="EU28" s="102">
        <v>0</v>
      </c>
      <c r="EV28" s="102">
        <v>0</v>
      </c>
      <c r="EW28" s="102">
        <v>0</v>
      </c>
      <c r="EX28" s="102">
        <v>0</v>
      </c>
      <c r="EY28" s="102">
        <v>0</v>
      </c>
      <c r="EZ28" s="102">
        <v>0</v>
      </c>
      <c r="FA28" s="102">
        <v>0</v>
      </c>
      <c r="FB28" s="102">
        <v>0</v>
      </c>
      <c r="FC28" s="102">
        <v>0</v>
      </c>
      <c r="FD28" s="102">
        <v>0</v>
      </c>
      <c r="FE28" s="102">
        <v>0</v>
      </c>
      <c r="FF28" s="102">
        <v>0</v>
      </c>
      <c r="FG28" s="102">
        <v>0</v>
      </c>
      <c r="FH28" s="102">
        <v>0</v>
      </c>
      <c r="FI28" s="102">
        <v>0</v>
      </c>
      <c r="FJ28" s="71">
        <v>0</v>
      </c>
    </row>
    <row r="29" spans="1:166" x14ac:dyDescent="0.3">
      <c r="A29" s="401" t="s">
        <v>686</v>
      </c>
      <c r="B29" s="103" t="s">
        <v>424</v>
      </c>
      <c r="C29" s="103" t="s">
        <v>639</v>
      </c>
      <c r="D29" s="103" t="s">
        <v>14</v>
      </c>
      <c r="E29" s="103" t="s">
        <v>654</v>
      </c>
      <c r="F29" s="103" t="s">
        <v>274</v>
      </c>
      <c r="G29" s="103" t="s">
        <v>636</v>
      </c>
      <c r="H29" s="103" t="s">
        <v>306</v>
      </c>
      <c r="I29" s="103">
        <v>0</v>
      </c>
      <c r="J29" s="103" t="s">
        <v>661</v>
      </c>
      <c r="K29" s="103">
        <v>0</v>
      </c>
      <c r="L29" s="103" t="s">
        <v>307</v>
      </c>
      <c r="M29" s="102">
        <v>1</v>
      </c>
      <c r="N29" s="103">
        <v>0</v>
      </c>
      <c r="O29" s="393">
        <v>9000000</v>
      </c>
      <c r="P29" s="393">
        <f t="shared" si="0"/>
        <v>9000000</v>
      </c>
      <c r="Q29" s="102">
        <v>0</v>
      </c>
      <c r="R29" s="102">
        <v>0</v>
      </c>
      <c r="S29" s="103">
        <v>0</v>
      </c>
      <c r="T29" s="395">
        <v>1</v>
      </c>
      <c r="U29" s="103">
        <v>0</v>
      </c>
      <c r="V29" s="102">
        <v>0</v>
      </c>
      <c r="W29" s="102">
        <v>0</v>
      </c>
      <c r="X29" s="102">
        <v>0</v>
      </c>
      <c r="Y29" s="102">
        <v>0</v>
      </c>
      <c r="Z29" s="102">
        <v>0</v>
      </c>
      <c r="AA29" s="102">
        <v>0</v>
      </c>
      <c r="AB29" s="102">
        <v>0</v>
      </c>
      <c r="AC29" s="102">
        <v>0</v>
      </c>
      <c r="AD29" s="102">
        <v>0</v>
      </c>
      <c r="AE29" s="102">
        <v>0</v>
      </c>
      <c r="AF29" s="102">
        <v>0</v>
      </c>
      <c r="AG29" s="102">
        <v>0</v>
      </c>
      <c r="AH29" s="102">
        <v>0</v>
      </c>
      <c r="AI29" s="102">
        <v>0</v>
      </c>
      <c r="AJ29" s="102">
        <v>0</v>
      </c>
      <c r="AK29" s="102">
        <v>0</v>
      </c>
      <c r="AL29" s="102">
        <v>0</v>
      </c>
      <c r="AM29" s="102">
        <v>0</v>
      </c>
      <c r="AN29" s="102">
        <v>0</v>
      </c>
      <c r="AO29" s="102">
        <v>0</v>
      </c>
      <c r="AP29" s="102">
        <v>0</v>
      </c>
      <c r="AQ29" s="102">
        <v>0</v>
      </c>
      <c r="AR29" s="102">
        <v>0</v>
      </c>
      <c r="AS29" s="102">
        <v>0</v>
      </c>
      <c r="AT29" s="102">
        <v>0</v>
      </c>
      <c r="AU29" s="102">
        <v>0</v>
      </c>
      <c r="AV29" s="102">
        <v>0</v>
      </c>
      <c r="AW29" s="102">
        <v>0</v>
      </c>
      <c r="AX29" s="102">
        <v>0</v>
      </c>
      <c r="AY29" s="102">
        <v>0</v>
      </c>
      <c r="AZ29" s="102">
        <v>0</v>
      </c>
      <c r="BA29" s="102">
        <v>0</v>
      </c>
      <c r="BB29" s="102">
        <v>0</v>
      </c>
      <c r="BC29" s="102">
        <v>0</v>
      </c>
      <c r="BD29" s="102">
        <v>0</v>
      </c>
      <c r="BE29" s="102">
        <v>0</v>
      </c>
      <c r="BF29" s="102">
        <v>0</v>
      </c>
      <c r="BG29" s="102">
        <v>0</v>
      </c>
      <c r="BH29" s="102">
        <v>0</v>
      </c>
      <c r="BI29" s="102">
        <v>0</v>
      </c>
      <c r="BJ29" s="102">
        <v>0</v>
      </c>
      <c r="BK29" s="102">
        <v>0</v>
      </c>
      <c r="BL29" s="102">
        <v>0</v>
      </c>
      <c r="BM29" s="102">
        <v>0</v>
      </c>
      <c r="BN29" s="102">
        <v>0</v>
      </c>
      <c r="BO29" s="102">
        <v>0</v>
      </c>
      <c r="BP29" s="102">
        <v>0</v>
      </c>
      <c r="BQ29" s="102">
        <v>0</v>
      </c>
      <c r="BR29" s="102">
        <v>0</v>
      </c>
      <c r="BS29" s="102">
        <v>0</v>
      </c>
      <c r="BT29" s="102">
        <v>0</v>
      </c>
      <c r="BU29" s="102">
        <v>0</v>
      </c>
      <c r="BV29" s="102">
        <v>0</v>
      </c>
      <c r="BW29" s="102">
        <v>0</v>
      </c>
      <c r="BX29" s="102">
        <v>0</v>
      </c>
      <c r="BY29" s="102">
        <v>0</v>
      </c>
      <c r="BZ29" s="102">
        <v>0</v>
      </c>
      <c r="CA29" s="102">
        <v>0</v>
      </c>
      <c r="CB29" s="102">
        <v>0</v>
      </c>
      <c r="CC29" s="102">
        <v>0</v>
      </c>
      <c r="CD29" s="102">
        <v>0</v>
      </c>
      <c r="CE29" s="102">
        <v>0</v>
      </c>
      <c r="CF29" s="102">
        <v>0</v>
      </c>
      <c r="CG29" s="102">
        <v>0</v>
      </c>
      <c r="CH29" s="102">
        <v>0</v>
      </c>
      <c r="CI29" s="102">
        <v>0</v>
      </c>
      <c r="CJ29" s="102">
        <v>0</v>
      </c>
      <c r="CK29" s="102">
        <v>0</v>
      </c>
      <c r="CL29" s="102">
        <v>0</v>
      </c>
      <c r="CM29" s="102">
        <v>0</v>
      </c>
      <c r="CN29" s="102">
        <v>0</v>
      </c>
      <c r="CO29" s="102">
        <v>0</v>
      </c>
      <c r="CP29" s="102">
        <v>0</v>
      </c>
      <c r="CQ29" s="102">
        <v>0</v>
      </c>
      <c r="CR29" s="102">
        <v>0</v>
      </c>
      <c r="CS29" s="102">
        <v>0</v>
      </c>
      <c r="CT29" s="102">
        <v>0</v>
      </c>
      <c r="CU29" s="102">
        <v>0</v>
      </c>
      <c r="CV29" s="102">
        <v>0</v>
      </c>
      <c r="CW29" s="102">
        <v>0</v>
      </c>
      <c r="CX29" s="102">
        <v>0</v>
      </c>
      <c r="CY29" s="102">
        <v>0</v>
      </c>
      <c r="CZ29" s="102">
        <v>0</v>
      </c>
      <c r="DA29" s="102">
        <v>0</v>
      </c>
      <c r="DB29" s="102">
        <v>0</v>
      </c>
      <c r="DC29" s="102">
        <v>0</v>
      </c>
      <c r="DD29" s="102">
        <v>0</v>
      </c>
      <c r="DE29" s="102">
        <v>0</v>
      </c>
      <c r="DF29" s="102">
        <v>0</v>
      </c>
      <c r="DG29" s="102">
        <v>0</v>
      </c>
      <c r="DH29" s="102">
        <v>0</v>
      </c>
      <c r="DI29" s="102">
        <v>0</v>
      </c>
      <c r="DJ29" s="102">
        <v>0</v>
      </c>
      <c r="DK29" s="102">
        <v>0</v>
      </c>
      <c r="DL29" s="102">
        <v>0</v>
      </c>
      <c r="DM29" s="102">
        <v>0</v>
      </c>
      <c r="DN29" s="102">
        <v>0</v>
      </c>
      <c r="DO29" s="102">
        <v>0</v>
      </c>
      <c r="DP29" s="102">
        <v>0</v>
      </c>
      <c r="DQ29" s="102">
        <v>0</v>
      </c>
      <c r="DR29" s="102">
        <v>0</v>
      </c>
      <c r="DS29" s="102">
        <v>0</v>
      </c>
      <c r="DT29" s="102">
        <v>0</v>
      </c>
      <c r="DU29" s="102">
        <v>0</v>
      </c>
      <c r="DV29" s="102">
        <v>0</v>
      </c>
      <c r="DW29" s="102">
        <v>0</v>
      </c>
      <c r="DX29" s="102">
        <v>0</v>
      </c>
      <c r="DY29" s="102">
        <v>0</v>
      </c>
      <c r="DZ29" s="102">
        <v>0</v>
      </c>
      <c r="EA29" s="102">
        <v>0</v>
      </c>
      <c r="EB29" s="102">
        <v>0</v>
      </c>
      <c r="EC29" s="102">
        <v>0</v>
      </c>
      <c r="ED29" s="102">
        <v>0</v>
      </c>
      <c r="EE29" s="102">
        <v>0</v>
      </c>
      <c r="EF29" s="102">
        <v>0</v>
      </c>
      <c r="EG29" s="102">
        <v>0</v>
      </c>
      <c r="EH29" s="102">
        <v>0</v>
      </c>
      <c r="EI29" s="102">
        <v>0</v>
      </c>
      <c r="EJ29" s="102">
        <v>0</v>
      </c>
      <c r="EK29" s="102">
        <v>0</v>
      </c>
      <c r="EL29" s="102">
        <v>0</v>
      </c>
      <c r="EM29" s="102">
        <v>0</v>
      </c>
      <c r="EN29" s="102">
        <v>0</v>
      </c>
      <c r="EO29" s="102">
        <v>0</v>
      </c>
      <c r="EP29" s="102">
        <v>0</v>
      </c>
      <c r="EQ29" s="102">
        <v>0</v>
      </c>
      <c r="ER29" s="102">
        <v>0</v>
      </c>
      <c r="ES29" s="102">
        <v>0</v>
      </c>
      <c r="ET29" s="102">
        <v>0</v>
      </c>
      <c r="EU29" s="102">
        <v>0</v>
      </c>
      <c r="EV29" s="102">
        <v>0</v>
      </c>
      <c r="EW29" s="102">
        <v>0</v>
      </c>
      <c r="EX29" s="102">
        <v>0</v>
      </c>
      <c r="EY29" s="102">
        <v>0</v>
      </c>
      <c r="EZ29" s="102">
        <v>0</v>
      </c>
      <c r="FA29" s="102">
        <v>0</v>
      </c>
      <c r="FB29" s="102">
        <v>0</v>
      </c>
      <c r="FC29" s="102">
        <v>0</v>
      </c>
      <c r="FD29" s="102">
        <v>0</v>
      </c>
      <c r="FE29" s="102">
        <v>0</v>
      </c>
      <c r="FF29" s="102">
        <v>0</v>
      </c>
      <c r="FG29" s="102">
        <v>0</v>
      </c>
      <c r="FH29" s="102">
        <v>0</v>
      </c>
      <c r="FI29" s="102">
        <v>0</v>
      </c>
      <c r="FJ29" s="71">
        <v>0</v>
      </c>
    </row>
    <row r="30" spans="1:166" x14ac:dyDescent="0.3">
      <c r="A30" s="401" t="s">
        <v>687</v>
      </c>
      <c r="B30" s="103" t="s">
        <v>424</v>
      </c>
      <c r="C30" s="103" t="s">
        <v>639</v>
      </c>
      <c r="D30" s="103" t="s">
        <v>14</v>
      </c>
      <c r="E30" s="103" t="s">
        <v>654</v>
      </c>
      <c r="F30" s="103" t="s">
        <v>274</v>
      </c>
      <c r="G30" s="103" t="s">
        <v>637</v>
      </c>
      <c r="H30" s="103" t="s">
        <v>306</v>
      </c>
      <c r="I30" s="103">
        <v>0</v>
      </c>
      <c r="J30" s="103" t="s">
        <v>661</v>
      </c>
      <c r="K30" s="103">
        <v>0</v>
      </c>
      <c r="L30" s="103" t="s">
        <v>307</v>
      </c>
      <c r="M30" s="102">
        <v>2</v>
      </c>
      <c r="N30" s="103">
        <v>0</v>
      </c>
      <c r="O30" s="393">
        <v>9000000</v>
      </c>
      <c r="P30" s="393">
        <f t="shared" si="0"/>
        <v>18000000</v>
      </c>
      <c r="Q30" s="102">
        <v>0</v>
      </c>
      <c r="R30" s="102">
        <v>0</v>
      </c>
      <c r="S30" s="103">
        <v>0</v>
      </c>
      <c r="T30" s="395">
        <v>1</v>
      </c>
      <c r="U30" s="103">
        <v>0</v>
      </c>
      <c r="V30" s="102">
        <v>0</v>
      </c>
      <c r="W30" s="102">
        <v>0</v>
      </c>
      <c r="X30" s="102">
        <v>0</v>
      </c>
      <c r="Y30" s="102">
        <v>0</v>
      </c>
      <c r="Z30" s="102">
        <v>0</v>
      </c>
      <c r="AA30" s="102">
        <v>0</v>
      </c>
      <c r="AB30" s="102">
        <v>0</v>
      </c>
      <c r="AC30" s="102">
        <v>0</v>
      </c>
      <c r="AD30" s="102">
        <v>0</v>
      </c>
      <c r="AE30" s="102">
        <v>0</v>
      </c>
      <c r="AF30" s="102">
        <v>0</v>
      </c>
      <c r="AG30" s="102">
        <v>0</v>
      </c>
      <c r="AH30" s="102">
        <v>0</v>
      </c>
      <c r="AI30" s="102">
        <v>0</v>
      </c>
      <c r="AJ30" s="102">
        <v>0</v>
      </c>
      <c r="AK30" s="102">
        <v>0</v>
      </c>
      <c r="AL30" s="102">
        <v>0</v>
      </c>
      <c r="AM30" s="102">
        <v>0</v>
      </c>
      <c r="AN30" s="102">
        <v>0</v>
      </c>
      <c r="AO30" s="102">
        <v>0</v>
      </c>
      <c r="AP30" s="102">
        <v>0</v>
      </c>
      <c r="AQ30" s="102">
        <v>0</v>
      </c>
      <c r="AR30" s="102">
        <v>0</v>
      </c>
      <c r="AS30" s="102">
        <v>0</v>
      </c>
      <c r="AT30" s="102">
        <v>0</v>
      </c>
      <c r="AU30" s="102">
        <v>0</v>
      </c>
      <c r="AV30" s="102">
        <v>0</v>
      </c>
      <c r="AW30" s="102">
        <v>0</v>
      </c>
      <c r="AX30" s="102">
        <v>0</v>
      </c>
      <c r="AY30" s="102">
        <v>0</v>
      </c>
      <c r="AZ30" s="102">
        <v>0</v>
      </c>
      <c r="BA30" s="102">
        <v>0</v>
      </c>
      <c r="BB30" s="102">
        <v>0</v>
      </c>
      <c r="BC30" s="102">
        <v>0</v>
      </c>
      <c r="BD30" s="102">
        <v>0</v>
      </c>
      <c r="BE30" s="102">
        <v>0</v>
      </c>
      <c r="BF30" s="102">
        <v>0</v>
      </c>
      <c r="BG30" s="102">
        <v>0</v>
      </c>
      <c r="BH30" s="102">
        <v>0</v>
      </c>
      <c r="BI30" s="102">
        <v>0</v>
      </c>
      <c r="BJ30" s="102">
        <v>0</v>
      </c>
      <c r="BK30" s="102">
        <v>0</v>
      </c>
      <c r="BL30" s="102">
        <v>0</v>
      </c>
      <c r="BM30" s="102">
        <v>0</v>
      </c>
      <c r="BN30" s="102">
        <v>0</v>
      </c>
      <c r="BO30" s="102">
        <v>0</v>
      </c>
      <c r="BP30" s="102">
        <v>0</v>
      </c>
      <c r="BQ30" s="102">
        <v>0</v>
      </c>
      <c r="BR30" s="102">
        <v>0</v>
      </c>
      <c r="BS30" s="102">
        <v>0</v>
      </c>
      <c r="BT30" s="102">
        <v>0</v>
      </c>
      <c r="BU30" s="102">
        <v>0</v>
      </c>
      <c r="BV30" s="102">
        <v>0</v>
      </c>
      <c r="BW30" s="102">
        <v>0</v>
      </c>
      <c r="BX30" s="102">
        <v>0</v>
      </c>
      <c r="BY30" s="102">
        <v>0</v>
      </c>
      <c r="BZ30" s="102">
        <v>0</v>
      </c>
      <c r="CA30" s="102">
        <v>0</v>
      </c>
      <c r="CB30" s="102">
        <v>0</v>
      </c>
      <c r="CC30" s="102">
        <v>0</v>
      </c>
      <c r="CD30" s="102">
        <v>0</v>
      </c>
      <c r="CE30" s="102">
        <v>0</v>
      </c>
      <c r="CF30" s="102">
        <v>0</v>
      </c>
      <c r="CG30" s="102">
        <v>0</v>
      </c>
      <c r="CH30" s="102">
        <v>0</v>
      </c>
      <c r="CI30" s="102">
        <v>0</v>
      </c>
      <c r="CJ30" s="102">
        <v>0</v>
      </c>
      <c r="CK30" s="102">
        <v>0</v>
      </c>
      <c r="CL30" s="102">
        <v>0</v>
      </c>
      <c r="CM30" s="102">
        <v>0</v>
      </c>
      <c r="CN30" s="102">
        <v>0</v>
      </c>
      <c r="CO30" s="102">
        <v>0</v>
      </c>
      <c r="CP30" s="102">
        <v>0</v>
      </c>
      <c r="CQ30" s="102">
        <v>0</v>
      </c>
      <c r="CR30" s="102">
        <v>0</v>
      </c>
      <c r="CS30" s="102">
        <v>0</v>
      </c>
      <c r="CT30" s="102">
        <v>0</v>
      </c>
      <c r="CU30" s="102">
        <v>0</v>
      </c>
      <c r="CV30" s="102">
        <v>0</v>
      </c>
      <c r="CW30" s="102">
        <v>0</v>
      </c>
      <c r="CX30" s="102">
        <v>0</v>
      </c>
      <c r="CY30" s="102">
        <v>0</v>
      </c>
      <c r="CZ30" s="102">
        <v>0</v>
      </c>
      <c r="DA30" s="102">
        <v>0</v>
      </c>
      <c r="DB30" s="102">
        <v>0</v>
      </c>
      <c r="DC30" s="102">
        <v>0</v>
      </c>
      <c r="DD30" s="102">
        <v>0</v>
      </c>
      <c r="DE30" s="102">
        <v>0</v>
      </c>
      <c r="DF30" s="102">
        <v>0</v>
      </c>
      <c r="DG30" s="102">
        <v>0</v>
      </c>
      <c r="DH30" s="102">
        <v>0</v>
      </c>
      <c r="DI30" s="102">
        <v>0</v>
      </c>
      <c r="DJ30" s="102">
        <v>0</v>
      </c>
      <c r="DK30" s="102">
        <v>0</v>
      </c>
      <c r="DL30" s="102">
        <v>0</v>
      </c>
      <c r="DM30" s="102">
        <v>0</v>
      </c>
      <c r="DN30" s="102">
        <v>0</v>
      </c>
      <c r="DO30" s="102">
        <v>0</v>
      </c>
      <c r="DP30" s="102">
        <v>0</v>
      </c>
      <c r="DQ30" s="102">
        <v>0</v>
      </c>
      <c r="DR30" s="102">
        <v>0</v>
      </c>
      <c r="DS30" s="102">
        <v>0</v>
      </c>
      <c r="DT30" s="102">
        <v>0</v>
      </c>
      <c r="DU30" s="102">
        <v>0</v>
      </c>
      <c r="DV30" s="102">
        <v>0</v>
      </c>
      <c r="DW30" s="102">
        <v>0</v>
      </c>
      <c r="DX30" s="102">
        <v>0</v>
      </c>
      <c r="DY30" s="102">
        <v>0</v>
      </c>
      <c r="DZ30" s="102">
        <v>0</v>
      </c>
      <c r="EA30" s="102">
        <v>0</v>
      </c>
      <c r="EB30" s="102">
        <v>0</v>
      </c>
      <c r="EC30" s="102">
        <v>0</v>
      </c>
      <c r="ED30" s="102">
        <v>0</v>
      </c>
      <c r="EE30" s="102">
        <v>0</v>
      </c>
      <c r="EF30" s="102">
        <v>0</v>
      </c>
      <c r="EG30" s="102">
        <v>0</v>
      </c>
      <c r="EH30" s="102">
        <v>0</v>
      </c>
      <c r="EI30" s="102">
        <v>0</v>
      </c>
      <c r="EJ30" s="102">
        <v>0</v>
      </c>
      <c r="EK30" s="102">
        <v>0</v>
      </c>
      <c r="EL30" s="102">
        <v>0</v>
      </c>
      <c r="EM30" s="102">
        <v>0</v>
      </c>
      <c r="EN30" s="102">
        <v>0</v>
      </c>
      <c r="EO30" s="102">
        <v>0</v>
      </c>
      <c r="EP30" s="102">
        <v>0</v>
      </c>
      <c r="EQ30" s="102">
        <v>0</v>
      </c>
      <c r="ER30" s="102">
        <v>0</v>
      </c>
      <c r="ES30" s="102">
        <v>0</v>
      </c>
      <c r="ET30" s="102">
        <v>0</v>
      </c>
      <c r="EU30" s="102">
        <v>0</v>
      </c>
      <c r="EV30" s="102">
        <v>0</v>
      </c>
      <c r="EW30" s="102">
        <v>0</v>
      </c>
      <c r="EX30" s="102">
        <v>0</v>
      </c>
      <c r="EY30" s="102">
        <v>0</v>
      </c>
      <c r="EZ30" s="102">
        <v>0</v>
      </c>
      <c r="FA30" s="102">
        <v>0</v>
      </c>
      <c r="FB30" s="102">
        <v>0</v>
      </c>
      <c r="FC30" s="102">
        <v>0</v>
      </c>
      <c r="FD30" s="102">
        <v>0</v>
      </c>
      <c r="FE30" s="102">
        <v>0</v>
      </c>
      <c r="FF30" s="102">
        <v>0</v>
      </c>
      <c r="FG30" s="102">
        <v>0</v>
      </c>
      <c r="FH30" s="102">
        <v>0</v>
      </c>
      <c r="FI30" s="102">
        <v>0</v>
      </c>
      <c r="FJ30" s="71">
        <v>0</v>
      </c>
    </row>
    <row r="31" spans="1:166" x14ac:dyDescent="0.3">
      <c r="A31" s="401" t="s">
        <v>688</v>
      </c>
      <c r="B31" s="103" t="s">
        <v>424</v>
      </c>
      <c r="C31" s="103" t="s">
        <v>639</v>
      </c>
      <c r="D31" s="103" t="s">
        <v>14</v>
      </c>
      <c r="E31" s="103" t="s">
        <v>654</v>
      </c>
      <c r="F31" s="103" t="s">
        <v>274</v>
      </c>
      <c r="G31" s="103" t="s">
        <v>638</v>
      </c>
      <c r="H31" s="103" t="s">
        <v>305</v>
      </c>
      <c r="I31" s="103">
        <v>0</v>
      </c>
      <c r="J31" s="103" t="s">
        <v>661</v>
      </c>
      <c r="K31" s="103">
        <v>0</v>
      </c>
      <c r="L31" s="103" t="s">
        <v>307</v>
      </c>
      <c r="M31" s="102">
        <v>3</v>
      </c>
      <c r="N31" s="103">
        <v>0</v>
      </c>
      <c r="O31" s="393">
        <v>10000000</v>
      </c>
      <c r="P31" s="393">
        <f t="shared" si="0"/>
        <v>30000000</v>
      </c>
      <c r="Q31" s="102">
        <v>0</v>
      </c>
      <c r="R31" s="102">
        <v>0</v>
      </c>
      <c r="S31" s="103">
        <v>0</v>
      </c>
      <c r="T31" s="395">
        <v>1</v>
      </c>
      <c r="U31" s="103">
        <v>0</v>
      </c>
      <c r="V31" s="102">
        <v>0</v>
      </c>
      <c r="W31" s="102">
        <v>0</v>
      </c>
      <c r="X31" s="102">
        <v>0</v>
      </c>
      <c r="Y31" s="102">
        <v>0</v>
      </c>
      <c r="Z31" s="102">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102">
        <v>0</v>
      </c>
      <c r="AX31" s="102">
        <v>0</v>
      </c>
      <c r="AY31" s="102">
        <v>0</v>
      </c>
      <c r="AZ31" s="102">
        <v>0</v>
      </c>
      <c r="BA31" s="102">
        <v>0</v>
      </c>
      <c r="BB31" s="102">
        <v>0</v>
      </c>
      <c r="BC31" s="102">
        <v>0</v>
      </c>
      <c r="BD31" s="102">
        <v>0</v>
      </c>
      <c r="BE31" s="102">
        <v>0</v>
      </c>
      <c r="BF31" s="102">
        <v>0</v>
      </c>
      <c r="BG31" s="102">
        <v>0</v>
      </c>
      <c r="BH31" s="102">
        <v>0</v>
      </c>
      <c r="BI31" s="102">
        <v>0</v>
      </c>
      <c r="BJ31" s="102">
        <v>0</v>
      </c>
      <c r="BK31" s="102">
        <v>0</v>
      </c>
      <c r="BL31" s="102">
        <v>0</v>
      </c>
      <c r="BM31" s="102">
        <v>0</v>
      </c>
      <c r="BN31" s="102">
        <v>0</v>
      </c>
      <c r="BO31" s="102">
        <v>0</v>
      </c>
      <c r="BP31" s="102">
        <v>0</v>
      </c>
      <c r="BQ31" s="102">
        <v>0</v>
      </c>
      <c r="BR31" s="102">
        <v>0</v>
      </c>
      <c r="BS31" s="102">
        <v>0</v>
      </c>
      <c r="BT31" s="102">
        <v>0</v>
      </c>
      <c r="BU31" s="102">
        <v>0</v>
      </c>
      <c r="BV31" s="102">
        <v>0</v>
      </c>
      <c r="BW31" s="102">
        <v>0</v>
      </c>
      <c r="BX31" s="102">
        <v>0</v>
      </c>
      <c r="BY31" s="102">
        <v>0</v>
      </c>
      <c r="BZ31" s="102">
        <v>0</v>
      </c>
      <c r="CA31" s="102">
        <v>0</v>
      </c>
      <c r="CB31" s="102">
        <v>0</v>
      </c>
      <c r="CC31" s="102">
        <v>0</v>
      </c>
      <c r="CD31" s="102">
        <v>0</v>
      </c>
      <c r="CE31" s="102">
        <v>0</v>
      </c>
      <c r="CF31" s="102">
        <v>0</v>
      </c>
      <c r="CG31" s="102">
        <v>0</v>
      </c>
      <c r="CH31" s="102">
        <v>0</v>
      </c>
      <c r="CI31" s="102">
        <v>0</v>
      </c>
      <c r="CJ31" s="102">
        <v>0</v>
      </c>
      <c r="CK31" s="102">
        <v>0</v>
      </c>
      <c r="CL31" s="102">
        <v>0</v>
      </c>
      <c r="CM31" s="102">
        <v>0</v>
      </c>
      <c r="CN31" s="102">
        <v>0</v>
      </c>
      <c r="CO31" s="102">
        <v>0</v>
      </c>
      <c r="CP31" s="102">
        <v>0</v>
      </c>
      <c r="CQ31" s="102">
        <v>0</v>
      </c>
      <c r="CR31" s="102">
        <v>0</v>
      </c>
      <c r="CS31" s="102">
        <v>0</v>
      </c>
      <c r="CT31" s="102">
        <v>0</v>
      </c>
      <c r="CU31" s="102">
        <v>0</v>
      </c>
      <c r="CV31" s="102">
        <v>0</v>
      </c>
      <c r="CW31" s="102">
        <v>0</v>
      </c>
      <c r="CX31" s="102">
        <v>0</v>
      </c>
      <c r="CY31" s="102">
        <v>0</v>
      </c>
      <c r="CZ31" s="102">
        <v>0</v>
      </c>
      <c r="DA31" s="102">
        <v>0</v>
      </c>
      <c r="DB31" s="102">
        <v>0</v>
      </c>
      <c r="DC31" s="102">
        <v>0</v>
      </c>
      <c r="DD31" s="102">
        <v>0</v>
      </c>
      <c r="DE31" s="102">
        <v>0</v>
      </c>
      <c r="DF31" s="102">
        <v>0</v>
      </c>
      <c r="DG31" s="102">
        <v>0</v>
      </c>
      <c r="DH31" s="102">
        <v>0</v>
      </c>
      <c r="DI31" s="102">
        <v>0</v>
      </c>
      <c r="DJ31" s="102">
        <v>0</v>
      </c>
      <c r="DK31" s="102">
        <v>0</v>
      </c>
      <c r="DL31" s="102">
        <v>0</v>
      </c>
      <c r="DM31" s="102">
        <v>0</v>
      </c>
      <c r="DN31" s="102">
        <v>0</v>
      </c>
      <c r="DO31" s="102">
        <v>0</v>
      </c>
      <c r="DP31" s="102">
        <v>0</v>
      </c>
      <c r="DQ31" s="102">
        <v>0</v>
      </c>
      <c r="DR31" s="102">
        <v>0</v>
      </c>
      <c r="DS31" s="102">
        <v>0</v>
      </c>
      <c r="DT31" s="102">
        <v>0</v>
      </c>
      <c r="DU31" s="102">
        <v>0</v>
      </c>
      <c r="DV31" s="102">
        <v>0</v>
      </c>
      <c r="DW31" s="102">
        <v>0</v>
      </c>
      <c r="DX31" s="102">
        <v>0</v>
      </c>
      <c r="DY31" s="102">
        <v>0</v>
      </c>
      <c r="DZ31" s="102">
        <v>0</v>
      </c>
      <c r="EA31" s="102">
        <v>0</v>
      </c>
      <c r="EB31" s="102">
        <v>0</v>
      </c>
      <c r="EC31" s="102">
        <v>0</v>
      </c>
      <c r="ED31" s="102">
        <v>0</v>
      </c>
      <c r="EE31" s="102">
        <v>0</v>
      </c>
      <c r="EF31" s="102">
        <v>0</v>
      </c>
      <c r="EG31" s="102">
        <v>0</v>
      </c>
      <c r="EH31" s="102">
        <v>0</v>
      </c>
      <c r="EI31" s="102">
        <v>0</v>
      </c>
      <c r="EJ31" s="102">
        <v>0</v>
      </c>
      <c r="EK31" s="102">
        <v>0</v>
      </c>
      <c r="EL31" s="102">
        <v>0</v>
      </c>
      <c r="EM31" s="102">
        <v>0</v>
      </c>
      <c r="EN31" s="102">
        <v>0</v>
      </c>
      <c r="EO31" s="102">
        <v>0</v>
      </c>
      <c r="EP31" s="102">
        <v>0</v>
      </c>
      <c r="EQ31" s="102">
        <v>0</v>
      </c>
      <c r="ER31" s="102">
        <v>0</v>
      </c>
      <c r="ES31" s="102">
        <v>0</v>
      </c>
      <c r="ET31" s="102">
        <v>0</v>
      </c>
      <c r="EU31" s="102">
        <v>0</v>
      </c>
      <c r="EV31" s="102">
        <v>0</v>
      </c>
      <c r="EW31" s="102">
        <v>0</v>
      </c>
      <c r="EX31" s="102">
        <v>0</v>
      </c>
      <c r="EY31" s="102">
        <v>0</v>
      </c>
      <c r="EZ31" s="102">
        <v>0</v>
      </c>
      <c r="FA31" s="102">
        <v>0</v>
      </c>
      <c r="FB31" s="102">
        <v>0</v>
      </c>
      <c r="FC31" s="102">
        <v>0</v>
      </c>
      <c r="FD31" s="102">
        <v>0</v>
      </c>
      <c r="FE31" s="102">
        <v>0</v>
      </c>
      <c r="FF31" s="102">
        <v>0</v>
      </c>
      <c r="FG31" s="102">
        <v>0</v>
      </c>
      <c r="FH31" s="102">
        <v>0</v>
      </c>
      <c r="FI31" s="102">
        <v>0</v>
      </c>
      <c r="FJ31" s="71">
        <v>0</v>
      </c>
    </row>
    <row r="32" spans="1:166" x14ac:dyDescent="0.3">
      <c r="A32" s="401" t="s">
        <v>689</v>
      </c>
      <c r="B32" s="103" t="s">
        <v>424</v>
      </c>
      <c r="C32" s="103" t="s">
        <v>639</v>
      </c>
      <c r="D32" s="103" t="s">
        <v>14</v>
      </c>
      <c r="E32" s="103" t="s">
        <v>654</v>
      </c>
      <c r="F32" s="103" t="s">
        <v>640</v>
      </c>
      <c r="G32" s="103" t="s">
        <v>641</v>
      </c>
      <c r="H32" s="103" t="s">
        <v>642</v>
      </c>
      <c r="I32" s="103">
        <v>0</v>
      </c>
      <c r="J32" s="103" t="s">
        <v>661</v>
      </c>
      <c r="K32" s="103">
        <v>0</v>
      </c>
      <c r="L32" s="103" t="s">
        <v>307</v>
      </c>
      <c r="M32" s="102">
        <v>3</v>
      </c>
      <c r="N32" s="102">
        <v>0</v>
      </c>
      <c r="O32" s="393">
        <v>11000000</v>
      </c>
      <c r="P32" s="393">
        <f t="shared" si="0"/>
        <v>33000000</v>
      </c>
      <c r="Q32" s="102">
        <v>0</v>
      </c>
      <c r="R32" s="102">
        <v>0</v>
      </c>
      <c r="S32" s="103">
        <v>0</v>
      </c>
      <c r="T32" s="395">
        <v>1</v>
      </c>
      <c r="U32" s="103">
        <v>0</v>
      </c>
      <c r="V32" s="102">
        <v>0</v>
      </c>
      <c r="W32" s="102">
        <v>0</v>
      </c>
      <c r="X32" s="102">
        <v>0</v>
      </c>
      <c r="Y32" s="102">
        <v>0</v>
      </c>
      <c r="Z32" s="102">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102">
        <v>0</v>
      </c>
      <c r="AX32" s="102">
        <v>0</v>
      </c>
      <c r="AY32" s="102">
        <v>0</v>
      </c>
      <c r="AZ32" s="102">
        <v>0</v>
      </c>
      <c r="BA32" s="102">
        <v>0</v>
      </c>
      <c r="BB32" s="102">
        <v>0</v>
      </c>
      <c r="BC32" s="102">
        <v>0</v>
      </c>
      <c r="BD32" s="102">
        <v>0</v>
      </c>
      <c r="BE32" s="102">
        <v>0</v>
      </c>
      <c r="BF32" s="102">
        <v>0</v>
      </c>
      <c r="BG32" s="102">
        <v>0</v>
      </c>
      <c r="BH32" s="102">
        <v>0</v>
      </c>
      <c r="BI32" s="102">
        <v>0</v>
      </c>
      <c r="BJ32" s="102">
        <v>0</v>
      </c>
      <c r="BK32" s="102">
        <v>0</v>
      </c>
      <c r="BL32" s="102">
        <v>0</v>
      </c>
      <c r="BM32" s="102">
        <v>0</v>
      </c>
      <c r="BN32" s="102">
        <v>0</v>
      </c>
      <c r="BO32" s="102">
        <v>0</v>
      </c>
      <c r="BP32" s="102">
        <v>0</v>
      </c>
      <c r="BQ32" s="102">
        <v>0</v>
      </c>
      <c r="BR32" s="102">
        <v>0</v>
      </c>
      <c r="BS32" s="102">
        <v>0</v>
      </c>
      <c r="BT32" s="102">
        <v>0</v>
      </c>
      <c r="BU32" s="102">
        <v>0</v>
      </c>
      <c r="BV32" s="102">
        <v>0</v>
      </c>
      <c r="BW32" s="102">
        <v>0</v>
      </c>
      <c r="BX32" s="102">
        <v>0</v>
      </c>
      <c r="BY32" s="102">
        <v>0</v>
      </c>
      <c r="BZ32" s="102">
        <v>0</v>
      </c>
      <c r="CA32" s="102">
        <v>0</v>
      </c>
      <c r="CB32" s="102">
        <v>0</v>
      </c>
      <c r="CC32" s="102">
        <v>0</v>
      </c>
      <c r="CD32" s="102">
        <v>0</v>
      </c>
      <c r="CE32" s="102">
        <v>0</v>
      </c>
      <c r="CF32" s="102">
        <v>0</v>
      </c>
      <c r="CG32" s="102">
        <v>0</v>
      </c>
      <c r="CH32" s="102">
        <v>0</v>
      </c>
      <c r="CI32" s="102">
        <v>0</v>
      </c>
      <c r="CJ32" s="102">
        <v>0</v>
      </c>
      <c r="CK32" s="102">
        <v>0</v>
      </c>
      <c r="CL32" s="102">
        <v>0</v>
      </c>
      <c r="CM32" s="102">
        <v>0</v>
      </c>
      <c r="CN32" s="102">
        <v>0</v>
      </c>
      <c r="CO32" s="102">
        <v>0</v>
      </c>
      <c r="CP32" s="102">
        <v>0</v>
      </c>
      <c r="CQ32" s="102">
        <v>0</v>
      </c>
      <c r="CR32" s="102">
        <v>0</v>
      </c>
      <c r="CS32" s="102">
        <v>0</v>
      </c>
      <c r="CT32" s="102">
        <v>0</v>
      </c>
      <c r="CU32" s="102">
        <v>0</v>
      </c>
      <c r="CV32" s="102">
        <v>0</v>
      </c>
      <c r="CW32" s="102">
        <v>0</v>
      </c>
      <c r="CX32" s="102">
        <v>0</v>
      </c>
      <c r="CY32" s="102">
        <v>0</v>
      </c>
      <c r="CZ32" s="102">
        <v>0</v>
      </c>
      <c r="DA32" s="102">
        <v>0</v>
      </c>
      <c r="DB32" s="102">
        <v>0</v>
      </c>
      <c r="DC32" s="102">
        <v>0</v>
      </c>
      <c r="DD32" s="102">
        <v>0</v>
      </c>
      <c r="DE32" s="102">
        <v>0</v>
      </c>
      <c r="DF32" s="102">
        <v>0</v>
      </c>
      <c r="DG32" s="102">
        <v>0</v>
      </c>
      <c r="DH32" s="102">
        <v>0</v>
      </c>
      <c r="DI32" s="102">
        <v>0</v>
      </c>
      <c r="DJ32" s="102">
        <v>0</v>
      </c>
      <c r="DK32" s="102">
        <v>0</v>
      </c>
      <c r="DL32" s="102">
        <v>0</v>
      </c>
      <c r="DM32" s="102">
        <v>0</v>
      </c>
      <c r="DN32" s="102">
        <v>0</v>
      </c>
      <c r="DO32" s="102">
        <v>0</v>
      </c>
      <c r="DP32" s="102">
        <v>0</v>
      </c>
      <c r="DQ32" s="102">
        <v>0</v>
      </c>
      <c r="DR32" s="102">
        <v>0</v>
      </c>
      <c r="DS32" s="102">
        <v>0</v>
      </c>
      <c r="DT32" s="102">
        <v>0</v>
      </c>
      <c r="DU32" s="102">
        <v>0</v>
      </c>
      <c r="DV32" s="102">
        <v>0</v>
      </c>
      <c r="DW32" s="102">
        <v>0</v>
      </c>
      <c r="DX32" s="102">
        <v>0</v>
      </c>
      <c r="DY32" s="102">
        <v>0</v>
      </c>
      <c r="DZ32" s="102">
        <v>0</v>
      </c>
      <c r="EA32" s="102">
        <v>0</v>
      </c>
      <c r="EB32" s="102">
        <v>0</v>
      </c>
      <c r="EC32" s="102">
        <v>0</v>
      </c>
      <c r="ED32" s="102">
        <v>0</v>
      </c>
      <c r="EE32" s="102">
        <v>0</v>
      </c>
      <c r="EF32" s="102">
        <v>0</v>
      </c>
      <c r="EG32" s="102">
        <v>0</v>
      </c>
      <c r="EH32" s="102">
        <v>0</v>
      </c>
      <c r="EI32" s="102">
        <v>0</v>
      </c>
      <c r="EJ32" s="102">
        <v>0</v>
      </c>
      <c r="EK32" s="102">
        <v>0</v>
      </c>
      <c r="EL32" s="102">
        <v>0</v>
      </c>
      <c r="EM32" s="102">
        <v>0</v>
      </c>
      <c r="EN32" s="102">
        <v>0</v>
      </c>
      <c r="EO32" s="102">
        <v>0</v>
      </c>
      <c r="EP32" s="102">
        <v>0</v>
      </c>
      <c r="EQ32" s="102">
        <v>0</v>
      </c>
      <c r="ER32" s="102">
        <v>0</v>
      </c>
      <c r="ES32" s="102">
        <v>0</v>
      </c>
      <c r="ET32" s="102">
        <v>0</v>
      </c>
      <c r="EU32" s="102">
        <v>0</v>
      </c>
      <c r="EV32" s="102">
        <v>0</v>
      </c>
      <c r="EW32" s="102">
        <v>0</v>
      </c>
      <c r="EX32" s="102">
        <v>0</v>
      </c>
      <c r="EY32" s="102">
        <v>0</v>
      </c>
      <c r="EZ32" s="102">
        <v>0</v>
      </c>
      <c r="FA32" s="102">
        <v>0</v>
      </c>
      <c r="FB32" s="102">
        <v>0</v>
      </c>
      <c r="FC32" s="102">
        <v>0</v>
      </c>
      <c r="FD32" s="102">
        <v>0</v>
      </c>
      <c r="FE32" s="102">
        <v>0</v>
      </c>
      <c r="FF32" s="102">
        <v>0</v>
      </c>
      <c r="FG32" s="102">
        <v>0</v>
      </c>
      <c r="FH32" s="102">
        <v>0</v>
      </c>
      <c r="FI32" s="102">
        <v>0</v>
      </c>
      <c r="FJ32" s="71">
        <v>0</v>
      </c>
    </row>
    <row r="33" spans="1:166" x14ac:dyDescent="0.3">
      <c r="A33" s="401" t="s">
        <v>690</v>
      </c>
      <c r="B33" s="103" t="s">
        <v>424</v>
      </c>
      <c r="C33" s="103" t="s">
        <v>639</v>
      </c>
      <c r="D33" s="103" t="s">
        <v>14</v>
      </c>
      <c r="E33" s="103" t="s">
        <v>654</v>
      </c>
      <c r="F33" s="103" t="s">
        <v>643</v>
      </c>
      <c r="G33" s="103" t="s">
        <v>644</v>
      </c>
      <c r="H33" s="103" t="s">
        <v>306</v>
      </c>
      <c r="I33" s="103">
        <v>0</v>
      </c>
      <c r="J33" s="103" t="s">
        <v>661</v>
      </c>
      <c r="K33" s="103">
        <v>0</v>
      </c>
      <c r="L33" s="103" t="s">
        <v>307</v>
      </c>
      <c r="M33" s="102">
        <v>3</v>
      </c>
      <c r="N33" s="102">
        <v>0</v>
      </c>
      <c r="O33" s="393">
        <v>9000000</v>
      </c>
      <c r="P33" s="393">
        <f t="shared" si="0"/>
        <v>27000000</v>
      </c>
      <c r="Q33" s="102">
        <v>0</v>
      </c>
      <c r="R33" s="102">
        <v>0</v>
      </c>
      <c r="S33" s="103">
        <v>0</v>
      </c>
      <c r="T33" s="395">
        <v>1</v>
      </c>
      <c r="U33" s="103">
        <v>0</v>
      </c>
      <c r="V33" s="102">
        <v>0</v>
      </c>
      <c r="W33" s="102">
        <v>0</v>
      </c>
      <c r="X33" s="102">
        <v>0</v>
      </c>
      <c r="Y33" s="102">
        <v>0</v>
      </c>
      <c r="Z33" s="102">
        <v>0</v>
      </c>
      <c r="AA33" s="102">
        <v>0</v>
      </c>
      <c r="AB33" s="102">
        <v>0</v>
      </c>
      <c r="AC33" s="102">
        <v>0</v>
      </c>
      <c r="AD33" s="102">
        <v>0</v>
      </c>
      <c r="AE33" s="102">
        <v>0</v>
      </c>
      <c r="AF33" s="102">
        <v>0</v>
      </c>
      <c r="AG33" s="102">
        <v>0</v>
      </c>
      <c r="AH33" s="102">
        <v>0</v>
      </c>
      <c r="AI33" s="102">
        <v>0</v>
      </c>
      <c r="AJ33" s="102">
        <v>0</v>
      </c>
      <c r="AK33" s="102">
        <v>0</v>
      </c>
      <c r="AL33" s="102">
        <v>0</v>
      </c>
      <c r="AM33" s="102">
        <v>0</v>
      </c>
      <c r="AN33" s="102">
        <v>0</v>
      </c>
      <c r="AO33" s="102">
        <v>0</v>
      </c>
      <c r="AP33" s="102">
        <v>0</v>
      </c>
      <c r="AQ33" s="102">
        <v>0</v>
      </c>
      <c r="AR33" s="102">
        <v>0</v>
      </c>
      <c r="AS33" s="102">
        <v>0</v>
      </c>
      <c r="AT33" s="102">
        <v>0</v>
      </c>
      <c r="AU33" s="102">
        <v>0</v>
      </c>
      <c r="AV33" s="102">
        <v>0</v>
      </c>
      <c r="AW33" s="102">
        <v>0</v>
      </c>
      <c r="AX33" s="102">
        <v>0</v>
      </c>
      <c r="AY33" s="102">
        <v>0</v>
      </c>
      <c r="AZ33" s="102">
        <v>0</v>
      </c>
      <c r="BA33" s="102">
        <v>0</v>
      </c>
      <c r="BB33" s="102">
        <v>0</v>
      </c>
      <c r="BC33" s="102">
        <v>0</v>
      </c>
      <c r="BD33" s="102">
        <v>0</v>
      </c>
      <c r="BE33" s="102">
        <v>0</v>
      </c>
      <c r="BF33" s="102">
        <v>0</v>
      </c>
      <c r="BG33" s="102">
        <v>0</v>
      </c>
      <c r="BH33" s="102">
        <v>0</v>
      </c>
      <c r="BI33" s="102">
        <v>0</v>
      </c>
      <c r="BJ33" s="102">
        <v>0</v>
      </c>
      <c r="BK33" s="102">
        <v>0</v>
      </c>
      <c r="BL33" s="102">
        <v>0</v>
      </c>
      <c r="BM33" s="102">
        <v>0</v>
      </c>
      <c r="BN33" s="102">
        <v>0</v>
      </c>
      <c r="BO33" s="102">
        <v>0</v>
      </c>
      <c r="BP33" s="102">
        <v>0</v>
      </c>
      <c r="BQ33" s="102">
        <v>0</v>
      </c>
      <c r="BR33" s="102">
        <v>0</v>
      </c>
      <c r="BS33" s="102">
        <v>0</v>
      </c>
      <c r="BT33" s="102">
        <v>0</v>
      </c>
      <c r="BU33" s="102">
        <v>0</v>
      </c>
      <c r="BV33" s="102">
        <v>0</v>
      </c>
      <c r="BW33" s="102">
        <v>0</v>
      </c>
      <c r="BX33" s="102">
        <v>0</v>
      </c>
      <c r="BY33" s="102">
        <v>0</v>
      </c>
      <c r="BZ33" s="102">
        <v>0</v>
      </c>
      <c r="CA33" s="102">
        <v>0</v>
      </c>
      <c r="CB33" s="102">
        <v>0</v>
      </c>
      <c r="CC33" s="102">
        <v>0</v>
      </c>
      <c r="CD33" s="102">
        <v>0</v>
      </c>
      <c r="CE33" s="102">
        <v>0</v>
      </c>
      <c r="CF33" s="102">
        <v>0</v>
      </c>
      <c r="CG33" s="102">
        <v>0</v>
      </c>
      <c r="CH33" s="102">
        <v>0</v>
      </c>
      <c r="CI33" s="102">
        <v>0</v>
      </c>
      <c r="CJ33" s="102">
        <v>0</v>
      </c>
      <c r="CK33" s="102">
        <v>0</v>
      </c>
      <c r="CL33" s="102">
        <v>0</v>
      </c>
      <c r="CM33" s="102">
        <v>0</v>
      </c>
      <c r="CN33" s="102">
        <v>0</v>
      </c>
      <c r="CO33" s="102">
        <v>0</v>
      </c>
      <c r="CP33" s="102">
        <v>0</v>
      </c>
      <c r="CQ33" s="102">
        <v>0</v>
      </c>
      <c r="CR33" s="102">
        <v>0</v>
      </c>
      <c r="CS33" s="102">
        <v>0</v>
      </c>
      <c r="CT33" s="102">
        <v>0</v>
      </c>
      <c r="CU33" s="102">
        <v>0</v>
      </c>
      <c r="CV33" s="102">
        <v>0</v>
      </c>
      <c r="CW33" s="102">
        <v>0</v>
      </c>
      <c r="CX33" s="102">
        <v>0</v>
      </c>
      <c r="CY33" s="102">
        <v>0</v>
      </c>
      <c r="CZ33" s="102">
        <v>0</v>
      </c>
      <c r="DA33" s="102">
        <v>0</v>
      </c>
      <c r="DB33" s="102">
        <v>0</v>
      </c>
      <c r="DC33" s="102">
        <v>0</v>
      </c>
      <c r="DD33" s="102">
        <v>0</v>
      </c>
      <c r="DE33" s="102">
        <v>0</v>
      </c>
      <c r="DF33" s="102">
        <v>0</v>
      </c>
      <c r="DG33" s="102">
        <v>0</v>
      </c>
      <c r="DH33" s="102">
        <v>0</v>
      </c>
      <c r="DI33" s="102">
        <v>0</v>
      </c>
      <c r="DJ33" s="102">
        <v>0</v>
      </c>
      <c r="DK33" s="102">
        <v>0</v>
      </c>
      <c r="DL33" s="102">
        <v>0</v>
      </c>
      <c r="DM33" s="102">
        <v>0</v>
      </c>
      <c r="DN33" s="102">
        <v>0</v>
      </c>
      <c r="DO33" s="102">
        <v>0</v>
      </c>
      <c r="DP33" s="102">
        <v>0</v>
      </c>
      <c r="DQ33" s="102">
        <v>0</v>
      </c>
      <c r="DR33" s="102">
        <v>0</v>
      </c>
      <c r="DS33" s="102">
        <v>0</v>
      </c>
      <c r="DT33" s="102">
        <v>0</v>
      </c>
      <c r="DU33" s="102">
        <v>0</v>
      </c>
      <c r="DV33" s="102">
        <v>0</v>
      </c>
      <c r="DW33" s="102">
        <v>0</v>
      </c>
      <c r="DX33" s="102">
        <v>0</v>
      </c>
      <c r="DY33" s="102">
        <v>0</v>
      </c>
      <c r="DZ33" s="102">
        <v>0</v>
      </c>
      <c r="EA33" s="102">
        <v>0</v>
      </c>
      <c r="EB33" s="102">
        <v>0</v>
      </c>
      <c r="EC33" s="102">
        <v>0</v>
      </c>
      <c r="ED33" s="102">
        <v>0</v>
      </c>
      <c r="EE33" s="102">
        <v>0</v>
      </c>
      <c r="EF33" s="102">
        <v>0</v>
      </c>
      <c r="EG33" s="102">
        <v>0</v>
      </c>
      <c r="EH33" s="102">
        <v>0</v>
      </c>
      <c r="EI33" s="102">
        <v>0</v>
      </c>
      <c r="EJ33" s="102">
        <v>0</v>
      </c>
      <c r="EK33" s="102">
        <v>0</v>
      </c>
      <c r="EL33" s="102">
        <v>0</v>
      </c>
      <c r="EM33" s="102">
        <v>0</v>
      </c>
      <c r="EN33" s="102">
        <v>0</v>
      </c>
      <c r="EO33" s="102">
        <v>0</v>
      </c>
      <c r="EP33" s="102">
        <v>0</v>
      </c>
      <c r="EQ33" s="102">
        <v>0</v>
      </c>
      <c r="ER33" s="102">
        <v>0</v>
      </c>
      <c r="ES33" s="102">
        <v>0</v>
      </c>
      <c r="ET33" s="102">
        <v>0</v>
      </c>
      <c r="EU33" s="102">
        <v>0</v>
      </c>
      <c r="EV33" s="102">
        <v>0</v>
      </c>
      <c r="EW33" s="102">
        <v>0</v>
      </c>
      <c r="EX33" s="102">
        <v>0</v>
      </c>
      <c r="EY33" s="102">
        <v>0</v>
      </c>
      <c r="EZ33" s="102">
        <v>0</v>
      </c>
      <c r="FA33" s="102">
        <v>0</v>
      </c>
      <c r="FB33" s="102">
        <v>0</v>
      </c>
      <c r="FC33" s="102">
        <v>0</v>
      </c>
      <c r="FD33" s="102">
        <v>0</v>
      </c>
      <c r="FE33" s="102">
        <v>0</v>
      </c>
      <c r="FF33" s="102">
        <v>0</v>
      </c>
      <c r="FG33" s="102">
        <v>0</v>
      </c>
      <c r="FH33" s="102">
        <v>0</v>
      </c>
      <c r="FI33" s="102">
        <v>0</v>
      </c>
      <c r="FJ33" s="71">
        <v>0</v>
      </c>
    </row>
    <row r="34" spans="1:166" x14ac:dyDescent="0.3">
      <c r="A34" s="401" t="s">
        <v>691</v>
      </c>
      <c r="B34" s="103" t="s">
        <v>424</v>
      </c>
      <c r="C34" s="103" t="s">
        <v>639</v>
      </c>
      <c r="D34" s="103" t="s">
        <v>14</v>
      </c>
      <c r="E34" s="103" t="s">
        <v>654</v>
      </c>
      <c r="F34" s="103" t="s">
        <v>643</v>
      </c>
      <c r="G34" s="103" t="s">
        <v>645</v>
      </c>
      <c r="H34" s="103" t="s">
        <v>622</v>
      </c>
      <c r="I34" s="103">
        <v>0</v>
      </c>
      <c r="J34" s="103" t="s">
        <v>661</v>
      </c>
      <c r="K34" s="103">
        <v>0</v>
      </c>
      <c r="L34" s="103" t="s">
        <v>307</v>
      </c>
      <c r="M34" s="102">
        <v>3</v>
      </c>
      <c r="N34" s="102">
        <v>0</v>
      </c>
      <c r="O34" s="393">
        <v>8000000</v>
      </c>
      <c r="P34" s="393">
        <f t="shared" si="0"/>
        <v>24000000</v>
      </c>
      <c r="Q34" s="102">
        <v>0</v>
      </c>
      <c r="R34" s="102">
        <v>0</v>
      </c>
      <c r="S34" s="103">
        <v>0</v>
      </c>
      <c r="T34" s="395">
        <v>1</v>
      </c>
      <c r="U34" s="103">
        <v>0</v>
      </c>
      <c r="V34" s="102">
        <v>0</v>
      </c>
      <c r="W34" s="102">
        <v>0</v>
      </c>
      <c r="X34" s="102">
        <v>0</v>
      </c>
      <c r="Y34" s="102">
        <v>0</v>
      </c>
      <c r="Z34" s="102">
        <v>0</v>
      </c>
      <c r="AA34" s="102">
        <v>0</v>
      </c>
      <c r="AB34" s="102">
        <v>0</v>
      </c>
      <c r="AC34" s="102">
        <v>0</v>
      </c>
      <c r="AD34" s="102">
        <v>0</v>
      </c>
      <c r="AE34" s="102">
        <v>0</v>
      </c>
      <c r="AF34" s="102">
        <v>0</v>
      </c>
      <c r="AG34" s="102">
        <v>0</v>
      </c>
      <c r="AH34" s="102">
        <v>0</v>
      </c>
      <c r="AI34" s="102">
        <v>0</v>
      </c>
      <c r="AJ34" s="102">
        <v>0</v>
      </c>
      <c r="AK34" s="102">
        <v>0</v>
      </c>
      <c r="AL34" s="102">
        <v>0</v>
      </c>
      <c r="AM34" s="102">
        <v>0</v>
      </c>
      <c r="AN34" s="102">
        <v>0</v>
      </c>
      <c r="AO34" s="102">
        <v>0</v>
      </c>
      <c r="AP34" s="102">
        <v>0</v>
      </c>
      <c r="AQ34" s="102">
        <v>0</v>
      </c>
      <c r="AR34" s="102">
        <v>0</v>
      </c>
      <c r="AS34" s="102">
        <v>0</v>
      </c>
      <c r="AT34" s="102">
        <v>0</v>
      </c>
      <c r="AU34" s="102">
        <v>0</v>
      </c>
      <c r="AV34" s="102">
        <v>0</v>
      </c>
      <c r="AW34" s="102">
        <v>0</v>
      </c>
      <c r="AX34" s="102">
        <v>0</v>
      </c>
      <c r="AY34" s="102">
        <v>0</v>
      </c>
      <c r="AZ34" s="102">
        <v>0</v>
      </c>
      <c r="BA34" s="102">
        <v>0</v>
      </c>
      <c r="BB34" s="102">
        <v>0</v>
      </c>
      <c r="BC34" s="102">
        <v>0</v>
      </c>
      <c r="BD34" s="102">
        <v>0</v>
      </c>
      <c r="BE34" s="102">
        <v>0</v>
      </c>
      <c r="BF34" s="102">
        <v>0</v>
      </c>
      <c r="BG34" s="102">
        <v>0</v>
      </c>
      <c r="BH34" s="102">
        <v>0</v>
      </c>
      <c r="BI34" s="102">
        <v>0</v>
      </c>
      <c r="BJ34" s="102">
        <v>0</v>
      </c>
      <c r="BK34" s="102">
        <v>0</v>
      </c>
      <c r="BL34" s="102">
        <v>0</v>
      </c>
      <c r="BM34" s="102">
        <v>0</v>
      </c>
      <c r="BN34" s="102">
        <v>0</v>
      </c>
      <c r="BO34" s="102">
        <v>0</v>
      </c>
      <c r="BP34" s="102">
        <v>0</v>
      </c>
      <c r="BQ34" s="102">
        <v>0</v>
      </c>
      <c r="BR34" s="102">
        <v>0</v>
      </c>
      <c r="BS34" s="102">
        <v>0</v>
      </c>
      <c r="BT34" s="102">
        <v>0</v>
      </c>
      <c r="BU34" s="102">
        <v>0</v>
      </c>
      <c r="BV34" s="102">
        <v>0</v>
      </c>
      <c r="BW34" s="102">
        <v>0</v>
      </c>
      <c r="BX34" s="102">
        <v>0</v>
      </c>
      <c r="BY34" s="102">
        <v>0</v>
      </c>
      <c r="BZ34" s="102">
        <v>0</v>
      </c>
      <c r="CA34" s="102">
        <v>0</v>
      </c>
      <c r="CB34" s="102">
        <v>0</v>
      </c>
      <c r="CC34" s="102">
        <v>0</v>
      </c>
      <c r="CD34" s="102">
        <v>0</v>
      </c>
      <c r="CE34" s="102">
        <v>0</v>
      </c>
      <c r="CF34" s="102">
        <v>0</v>
      </c>
      <c r="CG34" s="102">
        <v>0</v>
      </c>
      <c r="CH34" s="102">
        <v>0</v>
      </c>
      <c r="CI34" s="102">
        <v>0</v>
      </c>
      <c r="CJ34" s="102">
        <v>0</v>
      </c>
      <c r="CK34" s="102">
        <v>0</v>
      </c>
      <c r="CL34" s="102">
        <v>0</v>
      </c>
      <c r="CM34" s="102">
        <v>0</v>
      </c>
      <c r="CN34" s="102">
        <v>0</v>
      </c>
      <c r="CO34" s="102">
        <v>0</v>
      </c>
      <c r="CP34" s="102">
        <v>0</v>
      </c>
      <c r="CQ34" s="102">
        <v>0</v>
      </c>
      <c r="CR34" s="102">
        <v>0</v>
      </c>
      <c r="CS34" s="102">
        <v>0</v>
      </c>
      <c r="CT34" s="102">
        <v>0</v>
      </c>
      <c r="CU34" s="102">
        <v>0</v>
      </c>
      <c r="CV34" s="102">
        <v>0</v>
      </c>
      <c r="CW34" s="102">
        <v>0</v>
      </c>
      <c r="CX34" s="102">
        <v>0</v>
      </c>
      <c r="CY34" s="102">
        <v>0</v>
      </c>
      <c r="CZ34" s="102">
        <v>0</v>
      </c>
      <c r="DA34" s="102">
        <v>0</v>
      </c>
      <c r="DB34" s="102">
        <v>0</v>
      </c>
      <c r="DC34" s="102">
        <v>0</v>
      </c>
      <c r="DD34" s="102">
        <v>0</v>
      </c>
      <c r="DE34" s="102">
        <v>0</v>
      </c>
      <c r="DF34" s="102">
        <v>0</v>
      </c>
      <c r="DG34" s="102">
        <v>0</v>
      </c>
      <c r="DH34" s="102">
        <v>0</v>
      </c>
      <c r="DI34" s="102">
        <v>0</v>
      </c>
      <c r="DJ34" s="102">
        <v>0</v>
      </c>
      <c r="DK34" s="102">
        <v>0</v>
      </c>
      <c r="DL34" s="102">
        <v>0</v>
      </c>
      <c r="DM34" s="102">
        <v>0</v>
      </c>
      <c r="DN34" s="102">
        <v>0</v>
      </c>
      <c r="DO34" s="102">
        <v>0</v>
      </c>
      <c r="DP34" s="102">
        <v>0</v>
      </c>
      <c r="DQ34" s="102">
        <v>0</v>
      </c>
      <c r="DR34" s="102">
        <v>0</v>
      </c>
      <c r="DS34" s="102">
        <v>0</v>
      </c>
      <c r="DT34" s="102">
        <v>0</v>
      </c>
      <c r="DU34" s="102">
        <v>0</v>
      </c>
      <c r="DV34" s="102">
        <v>0</v>
      </c>
      <c r="DW34" s="102">
        <v>0</v>
      </c>
      <c r="DX34" s="102">
        <v>0</v>
      </c>
      <c r="DY34" s="102">
        <v>0</v>
      </c>
      <c r="DZ34" s="102">
        <v>0</v>
      </c>
      <c r="EA34" s="102">
        <v>0</v>
      </c>
      <c r="EB34" s="102">
        <v>0</v>
      </c>
      <c r="EC34" s="102">
        <v>0</v>
      </c>
      <c r="ED34" s="102">
        <v>0</v>
      </c>
      <c r="EE34" s="102">
        <v>0</v>
      </c>
      <c r="EF34" s="102">
        <v>0</v>
      </c>
      <c r="EG34" s="102">
        <v>0</v>
      </c>
      <c r="EH34" s="102">
        <v>0</v>
      </c>
      <c r="EI34" s="102">
        <v>0</v>
      </c>
      <c r="EJ34" s="102">
        <v>0</v>
      </c>
      <c r="EK34" s="102">
        <v>0</v>
      </c>
      <c r="EL34" s="102">
        <v>0</v>
      </c>
      <c r="EM34" s="102">
        <v>0</v>
      </c>
      <c r="EN34" s="102">
        <v>0</v>
      </c>
      <c r="EO34" s="102">
        <v>0</v>
      </c>
      <c r="EP34" s="102">
        <v>0</v>
      </c>
      <c r="EQ34" s="102">
        <v>0</v>
      </c>
      <c r="ER34" s="102">
        <v>0</v>
      </c>
      <c r="ES34" s="102">
        <v>0</v>
      </c>
      <c r="ET34" s="102">
        <v>0</v>
      </c>
      <c r="EU34" s="102">
        <v>0</v>
      </c>
      <c r="EV34" s="102">
        <v>0</v>
      </c>
      <c r="EW34" s="102">
        <v>0</v>
      </c>
      <c r="EX34" s="102">
        <v>0</v>
      </c>
      <c r="EY34" s="102">
        <v>0</v>
      </c>
      <c r="EZ34" s="102">
        <v>0</v>
      </c>
      <c r="FA34" s="102">
        <v>0</v>
      </c>
      <c r="FB34" s="102">
        <v>0</v>
      </c>
      <c r="FC34" s="102">
        <v>0</v>
      </c>
      <c r="FD34" s="102">
        <v>0</v>
      </c>
      <c r="FE34" s="102">
        <v>0</v>
      </c>
      <c r="FF34" s="102">
        <v>0</v>
      </c>
      <c r="FG34" s="102">
        <v>0</v>
      </c>
      <c r="FH34" s="102">
        <v>0</v>
      </c>
      <c r="FI34" s="102">
        <v>0</v>
      </c>
      <c r="FJ34" s="71">
        <v>0</v>
      </c>
    </row>
    <row r="35" spans="1:166" x14ac:dyDescent="0.3">
      <c r="A35" s="401" t="s">
        <v>692</v>
      </c>
      <c r="B35" s="103" t="s">
        <v>424</v>
      </c>
      <c r="C35" s="103" t="s">
        <v>639</v>
      </c>
      <c r="D35" s="103" t="s">
        <v>14</v>
      </c>
      <c r="E35" s="103" t="s">
        <v>654</v>
      </c>
      <c r="F35" s="103" t="s">
        <v>646</v>
      </c>
      <c r="G35" s="103" t="s">
        <v>647</v>
      </c>
      <c r="H35" s="103" t="s">
        <v>642</v>
      </c>
      <c r="I35" s="103">
        <v>0</v>
      </c>
      <c r="J35" s="103" t="s">
        <v>661</v>
      </c>
      <c r="K35" s="103">
        <v>0</v>
      </c>
      <c r="L35" s="103" t="s">
        <v>307</v>
      </c>
      <c r="M35" s="102">
        <v>1</v>
      </c>
      <c r="N35" s="102">
        <v>0</v>
      </c>
      <c r="O35" s="393">
        <v>11000000</v>
      </c>
      <c r="P35" s="393">
        <f t="shared" si="0"/>
        <v>11000000</v>
      </c>
      <c r="Q35" s="102">
        <v>0</v>
      </c>
      <c r="R35" s="102">
        <v>0</v>
      </c>
      <c r="S35" s="103">
        <v>0</v>
      </c>
      <c r="T35" s="395">
        <v>1</v>
      </c>
      <c r="U35" s="103">
        <v>0</v>
      </c>
      <c r="V35" s="102">
        <v>0</v>
      </c>
      <c r="W35" s="102">
        <v>0</v>
      </c>
      <c r="X35" s="102">
        <v>0</v>
      </c>
      <c r="Y35" s="102">
        <v>0</v>
      </c>
      <c r="Z35" s="102">
        <v>0</v>
      </c>
      <c r="AA35" s="102">
        <v>0</v>
      </c>
      <c r="AB35" s="102">
        <v>0</v>
      </c>
      <c r="AC35" s="102">
        <v>0</v>
      </c>
      <c r="AD35" s="102">
        <v>0</v>
      </c>
      <c r="AE35" s="102">
        <v>0</v>
      </c>
      <c r="AF35" s="102">
        <v>0</v>
      </c>
      <c r="AG35" s="102">
        <v>0</v>
      </c>
      <c r="AH35" s="102">
        <v>0</v>
      </c>
      <c r="AI35" s="102">
        <v>0</v>
      </c>
      <c r="AJ35" s="102">
        <v>0</v>
      </c>
      <c r="AK35" s="102">
        <v>0</v>
      </c>
      <c r="AL35" s="102">
        <v>0</v>
      </c>
      <c r="AM35" s="102">
        <v>0</v>
      </c>
      <c r="AN35" s="102">
        <v>0</v>
      </c>
      <c r="AO35" s="102">
        <v>0</v>
      </c>
      <c r="AP35" s="102">
        <v>0</v>
      </c>
      <c r="AQ35" s="102">
        <v>0</v>
      </c>
      <c r="AR35" s="102">
        <v>0</v>
      </c>
      <c r="AS35" s="102">
        <v>0</v>
      </c>
      <c r="AT35" s="102">
        <v>0</v>
      </c>
      <c r="AU35" s="102">
        <v>0</v>
      </c>
      <c r="AV35" s="102">
        <v>0</v>
      </c>
      <c r="AW35" s="102">
        <v>0</v>
      </c>
      <c r="AX35" s="102">
        <v>0</v>
      </c>
      <c r="AY35" s="102">
        <v>0</v>
      </c>
      <c r="AZ35" s="102">
        <v>0</v>
      </c>
      <c r="BA35" s="102">
        <v>0</v>
      </c>
      <c r="BB35" s="102">
        <v>0</v>
      </c>
      <c r="BC35" s="102">
        <v>0</v>
      </c>
      <c r="BD35" s="102">
        <v>0</v>
      </c>
      <c r="BE35" s="102">
        <v>0</v>
      </c>
      <c r="BF35" s="102">
        <v>0</v>
      </c>
      <c r="BG35" s="102">
        <v>0</v>
      </c>
      <c r="BH35" s="102">
        <v>0</v>
      </c>
      <c r="BI35" s="102">
        <v>0</v>
      </c>
      <c r="BJ35" s="102">
        <v>0</v>
      </c>
      <c r="BK35" s="102">
        <v>0</v>
      </c>
      <c r="BL35" s="102">
        <v>0</v>
      </c>
      <c r="BM35" s="102">
        <v>0</v>
      </c>
      <c r="BN35" s="102">
        <v>0</v>
      </c>
      <c r="BO35" s="102">
        <v>0</v>
      </c>
      <c r="BP35" s="102">
        <v>0</v>
      </c>
      <c r="BQ35" s="102">
        <v>0</v>
      </c>
      <c r="BR35" s="102">
        <v>0</v>
      </c>
      <c r="BS35" s="102">
        <v>0</v>
      </c>
      <c r="BT35" s="102">
        <v>0</v>
      </c>
      <c r="BU35" s="102">
        <v>0</v>
      </c>
      <c r="BV35" s="102">
        <v>0</v>
      </c>
      <c r="BW35" s="102">
        <v>0</v>
      </c>
      <c r="BX35" s="102">
        <v>0</v>
      </c>
      <c r="BY35" s="102">
        <v>0</v>
      </c>
      <c r="BZ35" s="102">
        <v>0</v>
      </c>
      <c r="CA35" s="102">
        <v>0</v>
      </c>
      <c r="CB35" s="102">
        <v>0</v>
      </c>
      <c r="CC35" s="102">
        <v>0</v>
      </c>
      <c r="CD35" s="102">
        <v>0</v>
      </c>
      <c r="CE35" s="102">
        <v>0</v>
      </c>
      <c r="CF35" s="102">
        <v>0</v>
      </c>
      <c r="CG35" s="102">
        <v>0</v>
      </c>
      <c r="CH35" s="102">
        <v>0</v>
      </c>
      <c r="CI35" s="102">
        <v>0</v>
      </c>
      <c r="CJ35" s="102">
        <v>0</v>
      </c>
      <c r="CK35" s="102">
        <v>0</v>
      </c>
      <c r="CL35" s="102">
        <v>0</v>
      </c>
      <c r="CM35" s="102">
        <v>0</v>
      </c>
      <c r="CN35" s="102">
        <v>0</v>
      </c>
      <c r="CO35" s="102">
        <v>0</v>
      </c>
      <c r="CP35" s="102">
        <v>0</v>
      </c>
      <c r="CQ35" s="102">
        <v>0</v>
      </c>
      <c r="CR35" s="102">
        <v>0</v>
      </c>
      <c r="CS35" s="102">
        <v>0</v>
      </c>
      <c r="CT35" s="102">
        <v>0</v>
      </c>
      <c r="CU35" s="102">
        <v>0</v>
      </c>
      <c r="CV35" s="102">
        <v>0</v>
      </c>
      <c r="CW35" s="102">
        <v>0</v>
      </c>
      <c r="CX35" s="102">
        <v>0</v>
      </c>
      <c r="CY35" s="102">
        <v>0</v>
      </c>
      <c r="CZ35" s="102">
        <v>0</v>
      </c>
      <c r="DA35" s="102">
        <v>0</v>
      </c>
      <c r="DB35" s="102">
        <v>0</v>
      </c>
      <c r="DC35" s="102">
        <v>0</v>
      </c>
      <c r="DD35" s="102">
        <v>0</v>
      </c>
      <c r="DE35" s="102">
        <v>0</v>
      </c>
      <c r="DF35" s="102">
        <v>0</v>
      </c>
      <c r="DG35" s="102">
        <v>0</v>
      </c>
      <c r="DH35" s="102">
        <v>0</v>
      </c>
      <c r="DI35" s="102">
        <v>0</v>
      </c>
      <c r="DJ35" s="102">
        <v>0</v>
      </c>
      <c r="DK35" s="102">
        <v>0</v>
      </c>
      <c r="DL35" s="102">
        <v>0</v>
      </c>
      <c r="DM35" s="102">
        <v>0</v>
      </c>
      <c r="DN35" s="102">
        <v>0</v>
      </c>
      <c r="DO35" s="102">
        <v>0</v>
      </c>
      <c r="DP35" s="102">
        <v>0</v>
      </c>
      <c r="DQ35" s="102">
        <v>0</v>
      </c>
      <c r="DR35" s="102">
        <v>0</v>
      </c>
      <c r="DS35" s="102">
        <v>0</v>
      </c>
      <c r="DT35" s="102">
        <v>0</v>
      </c>
      <c r="DU35" s="102">
        <v>0</v>
      </c>
      <c r="DV35" s="102">
        <v>0</v>
      </c>
      <c r="DW35" s="102">
        <v>0</v>
      </c>
      <c r="DX35" s="102">
        <v>0</v>
      </c>
      <c r="DY35" s="102">
        <v>0</v>
      </c>
      <c r="DZ35" s="102">
        <v>0</v>
      </c>
      <c r="EA35" s="102">
        <v>0</v>
      </c>
      <c r="EB35" s="102">
        <v>0</v>
      </c>
      <c r="EC35" s="102">
        <v>0</v>
      </c>
      <c r="ED35" s="102">
        <v>0</v>
      </c>
      <c r="EE35" s="102">
        <v>0</v>
      </c>
      <c r="EF35" s="102">
        <v>0</v>
      </c>
      <c r="EG35" s="102">
        <v>0</v>
      </c>
      <c r="EH35" s="102">
        <v>0</v>
      </c>
      <c r="EI35" s="102">
        <v>0</v>
      </c>
      <c r="EJ35" s="102">
        <v>0</v>
      </c>
      <c r="EK35" s="102">
        <v>0</v>
      </c>
      <c r="EL35" s="102">
        <v>0</v>
      </c>
      <c r="EM35" s="102">
        <v>0</v>
      </c>
      <c r="EN35" s="102">
        <v>0</v>
      </c>
      <c r="EO35" s="102">
        <v>0</v>
      </c>
      <c r="EP35" s="102">
        <v>0</v>
      </c>
      <c r="EQ35" s="102">
        <v>0</v>
      </c>
      <c r="ER35" s="102">
        <v>0</v>
      </c>
      <c r="ES35" s="102">
        <v>0</v>
      </c>
      <c r="ET35" s="102">
        <v>0</v>
      </c>
      <c r="EU35" s="102">
        <v>0</v>
      </c>
      <c r="EV35" s="102">
        <v>0</v>
      </c>
      <c r="EW35" s="102">
        <v>0</v>
      </c>
      <c r="EX35" s="102">
        <v>0</v>
      </c>
      <c r="EY35" s="102">
        <v>0</v>
      </c>
      <c r="EZ35" s="102">
        <v>0</v>
      </c>
      <c r="FA35" s="102">
        <v>0</v>
      </c>
      <c r="FB35" s="102">
        <v>0</v>
      </c>
      <c r="FC35" s="102">
        <v>0</v>
      </c>
      <c r="FD35" s="102">
        <v>0</v>
      </c>
      <c r="FE35" s="102">
        <v>0</v>
      </c>
      <c r="FF35" s="102">
        <v>0</v>
      </c>
      <c r="FG35" s="102">
        <v>0</v>
      </c>
      <c r="FH35" s="102">
        <v>0</v>
      </c>
      <c r="FI35" s="102">
        <v>0</v>
      </c>
      <c r="FJ35" s="71">
        <v>0</v>
      </c>
    </row>
    <row r="36" spans="1:166" x14ac:dyDescent="0.3">
      <c r="A36" s="401" t="s">
        <v>693</v>
      </c>
      <c r="B36" s="103" t="s">
        <v>424</v>
      </c>
      <c r="C36" s="103" t="s">
        <v>639</v>
      </c>
      <c r="D36" s="103" t="s">
        <v>14</v>
      </c>
      <c r="E36" s="103" t="s">
        <v>654</v>
      </c>
      <c r="F36" s="103" t="s">
        <v>648</v>
      </c>
      <c r="G36" s="103" t="s">
        <v>649</v>
      </c>
      <c r="H36" s="103" t="s">
        <v>306</v>
      </c>
      <c r="I36" s="103">
        <v>0</v>
      </c>
      <c r="J36" s="103" t="s">
        <v>661</v>
      </c>
      <c r="K36" s="103">
        <v>0</v>
      </c>
      <c r="L36" s="103" t="s">
        <v>307</v>
      </c>
      <c r="M36" s="102">
        <v>2</v>
      </c>
      <c r="N36" s="102">
        <v>0</v>
      </c>
      <c r="O36" s="393">
        <v>9000000</v>
      </c>
      <c r="P36" s="393">
        <f t="shared" si="0"/>
        <v>18000000</v>
      </c>
      <c r="Q36" s="102">
        <v>0</v>
      </c>
      <c r="R36" s="102">
        <v>0</v>
      </c>
      <c r="S36" s="103">
        <v>0</v>
      </c>
      <c r="T36" s="395">
        <v>1</v>
      </c>
      <c r="U36" s="103">
        <v>0</v>
      </c>
      <c r="V36" s="102">
        <v>0</v>
      </c>
      <c r="W36" s="102">
        <v>0</v>
      </c>
      <c r="X36" s="102">
        <v>0</v>
      </c>
      <c r="Y36" s="102">
        <v>0</v>
      </c>
      <c r="Z36" s="102">
        <v>0</v>
      </c>
      <c r="AA36" s="102">
        <v>0</v>
      </c>
      <c r="AB36" s="102">
        <v>0</v>
      </c>
      <c r="AC36" s="102">
        <v>0</v>
      </c>
      <c r="AD36" s="102">
        <v>0</v>
      </c>
      <c r="AE36" s="102">
        <v>0</v>
      </c>
      <c r="AF36" s="102">
        <v>0</v>
      </c>
      <c r="AG36" s="102">
        <v>0</v>
      </c>
      <c r="AH36" s="102">
        <v>0</v>
      </c>
      <c r="AI36" s="102">
        <v>0</v>
      </c>
      <c r="AJ36" s="102">
        <v>0</v>
      </c>
      <c r="AK36" s="102">
        <v>0</v>
      </c>
      <c r="AL36" s="102">
        <v>0</v>
      </c>
      <c r="AM36" s="102">
        <v>0</v>
      </c>
      <c r="AN36" s="102">
        <v>0</v>
      </c>
      <c r="AO36" s="102">
        <v>0</v>
      </c>
      <c r="AP36" s="102">
        <v>0</v>
      </c>
      <c r="AQ36" s="102">
        <v>0</v>
      </c>
      <c r="AR36" s="102">
        <v>0</v>
      </c>
      <c r="AS36" s="102">
        <v>0</v>
      </c>
      <c r="AT36" s="102">
        <v>0</v>
      </c>
      <c r="AU36" s="102">
        <v>0</v>
      </c>
      <c r="AV36" s="102">
        <v>0</v>
      </c>
      <c r="AW36" s="102">
        <v>0</v>
      </c>
      <c r="AX36" s="102">
        <v>0</v>
      </c>
      <c r="AY36" s="102">
        <v>0</v>
      </c>
      <c r="AZ36" s="102">
        <v>0</v>
      </c>
      <c r="BA36" s="102">
        <v>0</v>
      </c>
      <c r="BB36" s="102">
        <v>0</v>
      </c>
      <c r="BC36" s="102">
        <v>0</v>
      </c>
      <c r="BD36" s="102">
        <v>0</v>
      </c>
      <c r="BE36" s="102">
        <v>0</v>
      </c>
      <c r="BF36" s="102">
        <v>0</v>
      </c>
      <c r="BG36" s="102">
        <v>0</v>
      </c>
      <c r="BH36" s="102">
        <v>0</v>
      </c>
      <c r="BI36" s="102">
        <v>0</v>
      </c>
      <c r="BJ36" s="102">
        <v>0</v>
      </c>
      <c r="BK36" s="102">
        <v>0</v>
      </c>
      <c r="BL36" s="102">
        <v>0</v>
      </c>
      <c r="BM36" s="102">
        <v>0</v>
      </c>
      <c r="BN36" s="102">
        <v>0</v>
      </c>
      <c r="BO36" s="102">
        <v>0</v>
      </c>
      <c r="BP36" s="102">
        <v>0</v>
      </c>
      <c r="BQ36" s="102">
        <v>0</v>
      </c>
      <c r="BR36" s="102">
        <v>0</v>
      </c>
      <c r="BS36" s="102">
        <v>0</v>
      </c>
      <c r="BT36" s="102">
        <v>0</v>
      </c>
      <c r="BU36" s="102">
        <v>0</v>
      </c>
      <c r="BV36" s="102">
        <v>0</v>
      </c>
      <c r="BW36" s="102">
        <v>0</v>
      </c>
      <c r="BX36" s="102">
        <v>0</v>
      </c>
      <c r="BY36" s="102">
        <v>0</v>
      </c>
      <c r="BZ36" s="102">
        <v>0</v>
      </c>
      <c r="CA36" s="102">
        <v>0</v>
      </c>
      <c r="CB36" s="102">
        <v>0</v>
      </c>
      <c r="CC36" s="102">
        <v>0</v>
      </c>
      <c r="CD36" s="102">
        <v>0</v>
      </c>
      <c r="CE36" s="102">
        <v>0</v>
      </c>
      <c r="CF36" s="102">
        <v>0</v>
      </c>
      <c r="CG36" s="102">
        <v>0</v>
      </c>
      <c r="CH36" s="102">
        <v>0</v>
      </c>
      <c r="CI36" s="102">
        <v>0</v>
      </c>
      <c r="CJ36" s="102">
        <v>0</v>
      </c>
      <c r="CK36" s="102">
        <v>0</v>
      </c>
      <c r="CL36" s="102">
        <v>0</v>
      </c>
      <c r="CM36" s="102">
        <v>0</v>
      </c>
      <c r="CN36" s="102">
        <v>0</v>
      </c>
      <c r="CO36" s="102">
        <v>0</v>
      </c>
      <c r="CP36" s="102">
        <v>0</v>
      </c>
      <c r="CQ36" s="102">
        <v>0</v>
      </c>
      <c r="CR36" s="102">
        <v>0</v>
      </c>
      <c r="CS36" s="102">
        <v>0</v>
      </c>
      <c r="CT36" s="102">
        <v>0</v>
      </c>
      <c r="CU36" s="102">
        <v>0</v>
      </c>
      <c r="CV36" s="102">
        <v>0</v>
      </c>
      <c r="CW36" s="102">
        <v>0</v>
      </c>
      <c r="CX36" s="102">
        <v>0</v>
      </c>
      <c r="CY36" s="102">
        <v>0</v>
      </c>
      <c r="CZ36" s="102">
        <v>0</v>
      </c>
      <c r="DA36" s="102">
        <v>0</v>
      </c>
      <c r="DB36" s="102">
        <v>0</v>
      </c>
      <c r="DC36" s="102">
        <v>0</v>
      </c>
      <c r="DD36" s="102">
        <v>0</v>
      </c>
      <c r="DE36" s="102">
        <v>0</v>
      </c>
      <c r="DF36" s="102">
        <v>0</v>
      </c>
      <c r="DG36" s="102">
        <v>0</v>
      </c>
      <c r="DH36" s="102">
        <v>0</v>
      </c>
      <c r="DI36" s="102">
        <v>0</v>
      </c>
      <c r="DJ36" s="102">
        <v>0</v>
      </c>
      <c r="DK36" s="102">
        <v>0</v>
      </c>
      <c r="DL36" s="102">
        <v>0</v>
      </c>
      <c r="DM36" s="102">
        <v>0</v>
      </c>
      <c r="DN36" s="102">
        <v>0</v>
      </c>
      <c r="DO36" s="102">
        <v>0</v>
      </c>
      <c r="DP36" s="102">
        <v>0</v>
      </c>
      <c r="DQ36" s="102">
        <v>0</v>
      </c>
      <c r="DR36" s="102">
        <v>0</v>
      </c>
      <c r="DS36" s="102">
        <v>0</v>
      </c>
      <c r="DT36" s="102">
        <v>0</v>
      </c>
      <c r="DU36" s="102">
        <v>0</v>
      </c>
      <c r="DV36" s="102">
        <v>0</v>
      </c>
      <c r="DW36" s="102">
        <v>0</v>
      </c>
      <c r="DX36" s="102">
        <v>0</v>
      </c>
      <c r="DY36" s="102">
        <v>0</v>
      </c>
      <c r="DZ36" s="102">
        <v>0</v>
      </c>
      <c r="EA36" s="102">
        <v>0</v>
      </c>
      <c r="EB36" s="102">
        <v>0</v>
      </c>
      <c r="EC36" s="102">
        <v>0</v>
      </c>
      <c r="ED36" s="102">
        <v>0</v>
      </c>
      <c r="EE36" s="102">
        <v>0</v>
      </c>
      <c r="EF36" s="102">
        <v>0</v>
      </c>
      <c r="EG36" s="102">
        <v>0</v>
      </c>
      <c r="EH36" s="102">
        <v>0</v>
      </c>
      <c r="EI36" s="102">
        <v>0</v>
      </c>
      <c r="EJ36" s="102">
        <v>0</v>
      </c>
      <c r="EK36" s="102">
        <v>0</v>
      </c>
      <c r="EL36" s="102">
        <v>0</v>
      </c>
      <c r="EM36" s="102">
        <v>0</v>
      </c>
      <c r="EN36" s="102">
        <v>0</v>
      </c>
      <c r="EO36" s="102">
        <v>0</v>
      </c>
      <c r="EP36" s="102">
        <v>0</v>
      </c>
      <c r="EQ36" s="102">
        <v>0</v>
      </c>
      <c r="ER36" s="102">
        <v>0</v>
      </c>
      <c r="ES36" s="102">
        <v>0</v>
      </c>
      <c r="ET36" s="102">
        <v>0</v>
      </c>
      <c r="EU36" s="102">
        <v>0</v>
      </c>
      <c r="EV36" s="102">
        <v>0</v>
      </c>
      <c r="EW36" s="102">
        <v>0</v>
      </c>
      <c r="EX36" s="102">
        <v>0</v>
      </c>
      <c r="EY36" s="102">
        <v>0</v>
      </c>
      <c r="EZ36" s="102">
        <v>0</v>
      </c>
      <c r="FA36" s="102">
        <v>0</v>
      </c>
      <c r="FB36" s="102">
        <v>0</v>
      </c>
      <c r="FC36" s="102">
        <v>0</v>
      </c>
      <c r="FD36" s="102">
        <v>0</v>
      </c>
      <c r="FE36" s="102">
        <v>0</v>
      </c>
      <c r="FF36" s="102">
        <v>0</v>
      </c>
      <c r="FG36" s="102">
        <v>0</v>
      </c>
      <c r="FH36" s="102">
        <v>0</v>
      </c>
      <c r="FI36" s="102">
        <v>0</v>
      </c>
      <c r="FJ36" s="71">
        <v>0</v>
      </c>
    </row>
    <row r="37" spans="1:166" x14ac:dyDescent="0.3">
      <c r="A37" s="401" t="s">
        <v>694</v>
      </c>
      <c r="B37" s="103" t="s">
        <v>424</v>
      </c>
      <c r="C37" s="103" t="s">
        <v>639</v>
      </c>
      <c r="D37" s="103" t="s">
        <v>14</v>
      </c>
      <c r="E37" s="103" t="s">
        <v>654</v>
      </c>
      <c r="F37" s="103" t="s">
        <v>650</v>
      </c>
      <c r="G37" s="103" t="s">
        <v>651</v>
      </c>
      <c r="H37" s="103" t="s">
        <v>306</v>
      </c>
      <c r="I37" s="103">
        <v>0</v>
      </c>
      <c r="J37" s="103" t="s">
        <v>661</v>
      </c>
      <c r="K37" s="103">
        <v>0</v>
      </c>
      <c r="L37" s="103" t="s">
        <v>307</v>
      </c>
      <c r="M37" s="102">
        <v>2</v>
      </c>
      <c r="N37" s="102">
        <v>0</v>
      </c>
      <c r="O37" s="393">
        <v>9000000</v>
      </c>
      <c r="P37" s="393">
        <f t="shared" si="0"/>
        <v>18000000</v>
      </c>
      <c r="Q37" s="102">
        <v>0</v>
      </c>
      <c r="R37" s="102">
        <v>0</v>
      </c>
      <c r="S37" s="103">
        <v>0</v>
      </c>
      <c r="T37" s="395">
        <v>1</v>
      </c>
      <c r="U37" s="103">
        <v>0</v>
      </c>
      <c r="V37" s="102">
        <v>0</v>
      </c>
      <c r="W37" s="102">
        <v>0</v>
      </c>
      <c r="X37" s="102">
        <v>0</v>
      </c>
      <c r="Y37" s="102">
        <v>0</v>
      </c>
      <c r="Z37" s="102">
        <v>0</v>
      </c>
      <c r="AA37" s="102">
        <v>0</v>
      </c>
      <c r="AB37" s="102">
        <v>0</v>
      </c>
      <c r="AC37" s="102">
        <v>0</v>
      </c>
      <c r="AD37" s="102">
        <v>0</v>
      </c>
      <c r="AE37" s="102">
        <v>0</v>
      </c>
      <c r="AF37" s="102">
        <v>0</v>
      </c>
      <c r="AG37" s="102">
        <v>0</v>
      </c>
      <c r="AH37" s="102">
        <v>0</v>
      </c>
      <c r="AI37" s="102">
        <v>0</v>
      </c>
      <c r="AJ37" s="102">
        <v>0</v>
      </c>
      <c r="AK37" s="102">
        <v>0</v>
      </c>
      <c r="AL37" s="102">
        <v>0</v>
      </c>
      <c r="AM37" s="102">
        <v>0</v>
      </c>
      <c r="AN37" s="102">
        <v>0</v>
      </c>
      <c r="AO37" s="102">
        <v>0</v>
      </c>
      <c r="AP37" s="102">
        <v>0</v>
      </c>
      <c r="AQ37" s="102">
        <v>0</v>
      </c>
      <c r="AR37" s="102">
        <v>0</v>
      </c>
      <c r="AS37" s="102">
        <v>0</v>
      </c>
      <c r="AT37" s="102">
        <v>0</v>
      </c>
      <c r="AU37" s="102">
        <v>0</v>
      </c>
      <c r="AV37" s="102">
        <v>0</v>
      </c>
      <c r="AW37" s="102">
        <v>0</v>
      </c>
      <c r="AX37" s="102">
        <v>0</v>
      </c>
      <c r="AY37" s="102">
        <v>0</v>
      </c>
      <c r="AZ37" s="102">
        <v>0</v>
      </c>
      <c r="BA37" s="102">
        <v>0</v>
      </c>
      <c r="BB37" s="102">
        <v>0</v>
      </c>
      <c r="BC37" s="102">
        <v>0</v>
      </c>
      <c r="BD37" s="102">
        <v>0</v>
      </c>
      <c r="BE37" s="102">
        <v>0</v>
      </c>
      <c r="BF37" s="102">
        <v>0</v>
      </c>
      <c r="BG37" s="102">
        <v>0</v>
      </c>
      <c r="BH37" s="102">
        <v>0</v>
      </c>
      <c r="BI37" s="102">
        <v>0</v>
      </c>
      <c r="BJ37" s="102">
        <v>0</v>
      </c>
      <c r="BK37" s="102">
        <v>0</v>
      </c>
      <c r="BL37" s="102">
        <v>0</v>
      </c>
      <c r="BM37" s="102">
        <v>0</v>
      </c>
      <c r="BN37" s="102">
        <v>0</v>
      </c>
      <c r="BO37" s="102">
        <v>0</v>
      </c>
      <c r="BP37" s="102">
        <v>0</v>
      </c>
      <c r="BQ37" s="102">
        <v>0</v>
      </c>
      <c r="BR37" s="102">
        <v>0</v>
      </c>
      <c r="BS37" s="102">
        <v>0</v>
      </c>
      <c r="BT37" s="102">
        <v>0</v>
      </c>
      <c r="BU37" s="102">
        <v>0</v>
      </c>
      <c r="BV37" s="102">
        <v>0</v>
      </c>
      <c r="BW37" s="102">
        <v>0</v>
      </c>
      <c r="BX37" s="102">
        <v>0</v>
      </c>
      <c r="BY37" s="102">
        <v>0</v>
      </c>
      <c r="BZ37" s="102">
        <v>0</v>
      </c>
      <c r="CA37" s="102">
        <v>0</v>
      </c>
      <c r="CB37" s="102">
        <v>0</v>
      </c>
      <c r="CC37" s="102">
        <v>0</v>
      </c>
      <c r="CD37" s="102">
        <v>0</v>
      </c>
      <c r="CE37" s="102">
        <v>0</v>
      </c>
      <c r="CF37" s="102">
        <v>0</v>
      </c>
      <c r="CG37" s="102">
        <v>0</v>
      </c>
      <c r="CH37" s="102">
        <v>0</v>
      </c>
      <c r="CI37" s="102">
        <v>0</v>
      </c>
      <c r="CJ37" s="102">
        <v>0</v>
      </c>
      <c r="CK37" s="102">
        <v>0</v>
      </c>
      <c r="CL37" s="102">
        <v>0</v>
      </c>
      <c r="CM37" s="102">
        <v>0</v>
      </c>
      <c r="CN37" s="102">
        <v>0</v>
      </c>
      <c r="CO37" s="102">
        <v>0</v>
      </c>
      <c r="CP37" s="102">
        <v>0</v>
      </c>
      <c r="CQ37" s="102">
        <v>0</v>
      </c>
      <c r="CR37" s="102">
        <v>0</v>
      </c>
      <c r="CS37" s="102">
        <v>0</v>
      </c>
      <c r="CT37" s="102">
        <v>0</v>
      </c>
      <c r="CU37" s="102">
        <v>0</v>
      </c>
      <c r="CV37" s="102">
        <v>0</v>
      </c>
      <c r="CW37" s="102">
        <v>0</v>
      </c>
      <c r="CX37" s="102">
        <v>0</v>
      </c>
      <c r="CY37" s="102">
        <v>0</v>
      </c>
      <c r="CZ37" s="102">
        <v>0</v>
      </c>
      <c r="DA37" s="102">
        <v>0</v>
      </c>
      <c r="DB37" s="102">
        <v>0</v>
      </c>
      <c r="DC37" s="102">
        <v>0</v>
      </c>
      <c r="DD37" s="102">
        <v>0</v>
      </c>
      <c r="DE37" s="102">
        <v>0</v>
      </c>
      <c r="DF37" s="102">
        <v>0</v>
      </c>
      <c r="DG37" s="102">
        <v>0</v>
      </c>
      <c r="DH37" s="102">
        <v>0</v>
      </c>
      <c r="DI37" s="102">
        <v>0</v>
      </c>
      <c r="DJ37" s="102">
        <v>0</v>
      </c>
      <c r="DK37" s="102">
        <v>0</v>
      </c>
      <c r="DL37" s="102">
        <v>0</v>
      </c>
      <c r="DM37" s="102">
        <v>0</v>
      </c>
      <c r="DN37" s="102">
        <v>0</v>
      </c>
      <c r="DO37" s="102">
        <v>0</v>
      </c>
      <c r="DP37" s="102">
        <v>0</v>
      </c>
      <c r="DQ37" s="102">
        <v>0</v>
      </c>
      <c r="DR37" s="102">
        <v>0</v>
      </c>
      <c r="DS37" s="102">
        <v>0</v>
      </c>
      <c r="DT37" s="102">
        <v>0</v>
      </c>
      <c r="DU37" s="102">
        <v>0</v>
      </c>
      <c r="DV37" s="102">
        <v>0</v>
      </c>
      <c r="DW37" s="102">
        <v>0</v>
      </c>
      <c r="DX37" s="102">
        <v>0</v>
      </c>
      <c r="DY37" s="102">
        <v>0</v>
      </c>
      <c r="DZ37" s="102">
        <v>0</v>
      </c>
      <c r="EA37" s="102">
        <v>0</v>
      </c>
      <c r="EB37" s="102">
        <v>0</v>
      </c>
      <c r="EC37" s="102">
        <v>0</v>
      </c>
      <c r="ED37" s="102">
        <v>0</v>
      </c>
      <c r="EE37" s="102">
        <v>0</v>
      </c>
      <c r="EF37" s="102">
        <v>0</v>
      </c>
      <c r="EG37" s="102">
        <v>0</v>
      </c>
      <c r="EH37" s="102">
        <v>0</v>
      </c>
      <c r="EI37" s="102">
        <v>0</v>
      </c>
      <c r="EJ37" s="102">
        <v>0</v>
      </c>
      <c r="EK37" s="102">
        <v>0</v>
      </c>
      <c r="EL37" s="102">
        <v>0</v>
      </c>
      <c r="EM37" s="102">
        <v>0</v>
      </c>
      <c r="EN37" s="102">
        <v>0</v>
      </c>
      <c r="EO37" s="102">
        <v>0</v>
      </c>
      <c r="EP37" s="102">
        <v>0</v>
      </c>
      <c r="EQ37" s="102">
        <v>0</v>
      </c>
      <c r="ER37" s="102">
        <v>0</v>
      </c>
      <c r="ES37" s="102">
        <v>0</v>
      </c>
      <c r="ET37" s="102">
        <v>0</v>
      </c>
      <c r="EU37" s="102">
        <v>0</v>
      </c>
      <c r="EV37" s="102">
        <v>0</v>
      </c>
      <c r="EW37" s="102">
        <v>0</v>
      </c>
      <c r="EX37" s="102">
        <v>0</v>
      </c>
      <c r="EY37" s="102">
        <v>0</v>
      </c>
      <c r="EZ37" s="102">
        <v>0</v>
      </c>
      <c r="FA37" s="102">
        <v>0</v>
      </c>
      <c r="FB37" s="102">
        <v>0</v>
      </c>
      <c r="FC37" s="102">
        <v>0</v>
      </c>
      <c r="FD37" s="102">
        <v>0</v>
      </c>
      <c r="FE37" s="102">
        <v>0</v>
      </c>
      <c r="FF37" s="102">
        <v>0</v>
      </c>
      <c r="FG37" s="102">
        <v>0</v>
      </c>
      <c r="FH37" s="102">
        <v>0</v>
      </c>
      <c r="FI37" s="102">
        <v>0</v>
      </c>
      <c r="FJ37" s="71">
        <v>0</v>
      </c>
    </row>
    <row r="38" spans="1:166" x14ac:dyDescent="0.3">
      <c r="A38" s="401" t="s">
        <v>695</v>
      </c>
      <c r="B38" s="103" t="s">
        <v>424</v>
      </c>
      <c r="C38" s="419" t="s">
        <v>925</v>
      </c>
      <c r="D38" s="419" t="s">
        <v>14</v>
      </c>
      <c r="E38" s="419" t="s">
        <v>654</v>
      </c>
      <c r="F38" s="103" t="s">
        <v>655</v>
      </c>
      <c r="G38" s="103" t="s">
        <v>656</v>
      </c>
      <c r="H38" s="103" t="s">
        <v>305</v>
      </c>
      <c r="I38" s="103">
        <v>0</v>
      </c>
      <c r="J38" s="103" t="s">
        <v>661</v>
      </c>
      <c r="K38" s="103">
        <v>0</v>
      </c>
      <c r="L38" s="103" t="s">
        <v>307</v>
      </c>
      <c r="M38" s="103">
        <v>20</v>
      </c>
      <c r="N38" s="102">
        <v>0</v>
      </c>
      <c r="O38" s="393">
        <v>11250000</v>
      </c>
      <c r="P38" s="393">
        <f t="shared" si="0"/>
        <v>225000000</v>
      </c>
      <c r="Q38" s="103">
        <v>0</v>
      </c>
      <c r="R38" s="103">
        <v>0</v>
      </c>
      <c r="S38" s="103">
        <v>0</v>
      </c>
      <c r="T38" s="395">
        <v>1</v>
      </c>
      <c r="U38" s="103">
        <v>0</v>
      </c>
      <c r="V38" s="102">
        <v>0</v>
      </c>
      <c r="W38" s="102">
        <v>0</v>
      </c>
      <c r="X38" s="102">
        <v>0</v>
      </c>
      <c r="Y38" s="102">
        <v>0</v>
      </c>
      <c r="Z38" s="102">
        <v>0</v>
      </c>
      <c r="AA38" s="102">
        <v>0</v>
      </c>
      <c r="AB38" s="102">
        <v>0</v>
      </c>
      <c r="AC38" s="102">
        <v>0</v>
      </c>
      <c r="AD38" s="102">
        <v>0</v>
      </c>
      <c r="AE38" s="102">
        <v>0</v>
      </c>
      <c r="AF38" s="102">
        <v>0</v>
      </c>
      <c r="AG38" s="102">
        <v>0</v>
      </c>
      <c r="AH38" s="102">
        <v>0</v>
      </c>
      <c r="AI38" s="102">
        <v>0</v>
      </c>
      <c r="AJ38" s="102">
        <v>0</v>
      </c>
      <c r="AK38" s="102">
        <v>0</v>
      </c>
      <c r="AL38" s="102">
        <v>0</v>
      </c>
      <c r="AM38" s="102">
        <v>0</v>
      </c>
      <c r="AN38" s="102">
        <v>0</v>
      </c>
      <c r="AO38" s="102">
        <v>0</v>
      </c>
      <c r="AP38" s="102">
        <v>0</v>
      </c>
      <c r="AQ38" s="102">
        <v>0</v>
      </c>
      <c r="AR38" s="102">
        <v>0</v>
      </c>
      <c r="AS38" s="102">
        <v>0</v>
      </c>
      <c r="AT38" s="102">
        <v>0</v>
      </c>
      <c r="AU38" s="102">
        <v>0</v>
      </c>
      <c r="AV38" s="102">
        <v>0</v>
      </c>
      <c r="AW38" s="102">
        <v>0</v>
      </c>
      <c r="AX38" s="102">
        <v>0</v>
      </c>
      <c r="AY38" s="102">
        <v>0</v>
      </c>
      <c r="AZ38" s="102">
        <v>0</v>
      </c>
      <c r="BA38" s="102">
        <v>0</v>
      </c>
      <c r="BB38" s="102">
        <v>0</v>
      </c>
      <c r="BC38" s="102">
        <v>0</v>
      </c>
      <c r="BD38" s="102">
        <v>0</v>
      </c>
      <c r="BE38" s="102">
        <v>0</v>
      </c>
      <c r="BF38" s="102">
        <v>0</v>
      </c>
      <c r="BG38" s="102">
        <v>0</v>
      </c>
      <c r="BH38" s="102">
        <v>0</v>
      </c>
      <c r="BI38" s="102">
        <v>0</v>
      </c>
      <c r="BJ38" s="102">
        <v>0</v>
      </c>
      <c r="BK38" s="102">
        <v>0</v>
      </c>
      <c r="BL38" s="102">
        <v>0</v>
      </c>
      <c r="BM38" s="102">
        <v>0</v>
      </c>
      <c r="BN38" s="102">
        <v>0</v>
      </c>
      <c r="BO38" s="102">
        <v>0</v>
      </c>
      <c r="BP38" s="102">
        <v>0</v>
      </c>
      <c r="BQ38" s="102">
        <v>0</v>
      </c>
      <c r="BR38" s="102">
        <v>0</v>
      </c>
      <c r="BS38" s="102">
        <v>0</v>
      </c>
      <c r="BT38" s="102">
        <v>0</v>
      </c>
      <c r="BU38" s="102">
        <v>0</v>
      </c>
      <c r="BV38" s="102">
        <v>0</v>
      </c>
      <c r="BW38" s="102">
        <v>0</v>
      </c>
      <c r="BX38" s="102">
        <v>0</v>
      </c>
      <c r="BY38" s="102">
        <v>0</v>
      </c>
      <c r="BZ38" s="102">
        <v>0</v>
      </c>
      <c r="CA38" s="102">
        <v>0</v>
      </c>
      <c r="CB38" s="102">
        <v>0</v>
      </c>
      <c r="CC38" s="102">
        <v>0</v>
      </c>
      <c r="CD38" s="102">
        <v>0</v>
      </c>
      <c r="CE38" s="102">
        <v>0</v>
      </c>
      <c r="CF38" s="102">
        <v>0</v>
      </c>
      <c r="CG38" s="102">
        <v>0</v>
      </c>
      <c r="CH38" s="102">
        <v>0</v>
      </c>
      <c r="CI38" s="102">
        <v>0</v>
      </c>
      <c r="CJ38" s="102">
        <v>0</v>
      </c>
      <c r="CK38" s="102">
        <v>0</v>
      </c>
      <c r="CL38" s="102">
        <v>0</v>
      </c>
      <c r="CM38" s="102">
        <v>0</v>
      </c>
      <c r="CN38" s="102">
        <v>0</v>
      </c>
      <c r="CO38" s="102">
        <v>0</v>
      </c>
      <c r="CP38" s="102">
        <v>0</v>
      </c>
      <c r="CQ38" s="102">
        <v>0</v>
      </c>
      <c r="CR38" s="102">
        <v>0</v>
      </c>
      <c r="CS38" s="102">
        <v>0</v>
      </c>
      <c r="CT38" s="102">
        <v>0</v>
      </c>
      <c r="CU38" s="102">
        <v>0</v>
      </c>
      <c r="CV38" s="102">
        <v>0</v>
      </c>
      <c r="CW38" s="102">
        <v>0</v>
      </c>
      <c r="CX38" s="102">
        <v>0</v>
      </c>
      <c r="CY38" s="102">
        <v>0</v>
      </c>
      <c r="CZ38" s="102">
        <v>0</v>
      </c>
      <c r="DA38" s="102">
        <v>0</v>
      </c>
      <c r="DB38" s="102">
        <v>0</v>
      </c>
      <c r="DC38" s="102">
        <v>0</v>
      </c>
      <c r="DD38" s="102">
        <v>0</v>
      </c>
      <c r="DE38" s="102">
        <v>0</v>
      </c>
      <c r="DF38" s="102">
        <v>0</v>
      </c>
      <c r="DG38" s="102">
        <v>0</v>
      </c>
      <c r="DH38" s="102">
        <v>0</v>
      </c>
      <c r="DI38" s="102">
        <v>0</v>
      </c>
      <c r="DJ38" s="102">
        <v>0</v>
      </c>
      <c r="DK38" s="102">
        <v>0</v>
      </c>
      <c r="DL38" s="102">
        <v>0</v>
      </c>
      <c r="DM38" s="102">
        <v>0</v>
      </c>
      <c r="DN38" s="102">
        <v>0</v>
      </c>
      <c r="DO38" s="102">
        <v>0</v>
      </c>
      <c r="DP38" s="102">
        <v>0</v>
      </c>
      <c r="DQ38" s="102">
        <v>0</v>
      </c>
      <c r="DR38" s="102">
        <v>0</v>
      </c>
      <c r="DS38" s="102">
        <v>0</v>
      </c>
      <c r="DT38" s="102">
        <v>0</v>
      </c>
      <c r="DU38" s="102">
        <v>0</v>
      </c>
      <c r="DV38" s="102">
        <v>0</v>
      </c>
      <c r="DW38" s="102">
        <v>0</v>
      </c>
      <c r="DX38" s="102">
        <v>0</v>
      </c>
      <c r="DY38" s="102">
        <v>0</v>
      </c>
      <c r="DZ38" s="102">
        <v>0</v>
      </c>
      <c r="EA38" s="102">
        <v>0</v>
      </c>
      <c r="EB38" s="102">
        <v>0</v>
      </c>
      <c r="EC38" s="102">
        <v>0</v>
      </c>
      <c r="ED38" s="102">
        <v>0</v>
      </c>
      <c r="EE38" s="102">
        <v>0</v>
      </c>
      <c r="EF38" s="102">
        <v>0</v>
      </c>
      <c r="EG38" s="102">
        <v>0</v>
      </c>
      <c r="EH38" s="102">
        <v>0</v>
      </c>
      <c r="EI38" s="102">
        <v>0</v>
      </c>
      <c r="EJ38" s="102">
        <v>0</v>
      </c>
      <c r="EK38" s="102">
        <v>0</v>
      </c>
      <c r="EL38" s="102">
        <v>0</v>
      </c>
      <c r="EM38" s="102">
        <v>0</v>
      </c>
      <c r="EN38" s="102">
        <v>0</v>
      </c>
      <c r="EO38" s="102">
        <v>0</v>
      </c>
      <c r="EP38" s="102">
        <v>0</v>
      </c>
      <c r="EQ38" s="102">
        <v>0</v>
      </c>
      <c r="ER38" s="102">
        <v>0</v>
      </c>
      <c r="ES38" s="102">
        <v>0</v>
      </c>
      <c r="ET38" s="102">
        <v>0</v>
      </c>
      <c r="EU38" s="102">
        <v>0</v>
      </c>
      <c r="EV38" s="102">
        <v>0</v>
      </c>
      <c r="EW38" s="102">
        <v>0</v>
      </c>
      <c r="EX38" s="102">
        <v>0</v>
      </c>
      <c r="EY38" s="102">
        <v>0</v>
      </c>
      <c r="EZ38" s="102">
        <v>0</v>
      </c>
      <c r="FA38" s="102">
        <v>0</v>
      </c>
      <c r="FB38" s="102">
        <v>0</v>
      </c>
      <c r="FC38" s="102">
        <v>0</v>
      </c>
      <c r="FD38" s="102">
        <v>0</v>
      </c>
      <c r="FE38" s="102">
        <v>0</v>
      </c>
      <c r="FF38" s="102">
        <v>0</v>
      </c>
      <c r="FG38" s="102">
        <v>0</v>
      </c>
      <c r="FH38" s="102">
        <v>0</v>
      </c>
      <c r="FI38" s="102">
        <v>0</v>
      </c>
      <c r="FJ38" s="71">
        <v>0</v>
      </c>
    </row>
    <row r="39" spans="1:166" x14ac:dyDescent="0.3">
      <c r="A39" s="401" t="s">
        <v>696</v>
      </c>
      <c r="B39" s="103" t="s">
        <v>424</v>
      </c>
      <c r="C39" s="419" t="s">
        <v>657</v>
      </c>
      <c r="D39" s="419" t="s">
        <v>14</v>
      </c>
      <c r="E39" s="419" t="s">
        <v>654</v>
      </c>
      <c r="F39" s="419" t="s">
        <v>660</v>
      </c>
      <c r="G39" s="103">
        <v>0</v>
      </c>
      <c r="H39" s="103" t="s">
        <v>305</v>
      </c>
      <c r="I39" s="103">
        <v>0</v>
      </c>
      <c r="J39" s="103" t="s">
        <v>661</v>
      </c>
      <c r="K39" s="103">
        <v>0</v>
      </c>
      <c r="L39" s="103" t="s">
        <v>307</v>
      </c>
      <c r="M39" s="420">
        <v>10</v>
      </c>
      <c r="N39" s="103">
        <v>0</v>
      </c>
      <c r="O39" s="393">
        <v>3333333.3333333335</v>
      </c>
      <c r="P39" s="393">
        <f t="shared" si="0"/>
        <v>33333333.333333336</v>
      </c>
      <c r="Q39" s="103">
        <v>0</v>
      </c>
      <c r="R39" s="103">
        <v>0</v>
      </c>
      <c r="S39" s="103">
        <v>0</v>
      </c>
      <c r="T39" s="395">
        <v>1</v>
      </c>
      <c r="U39" s="103">
        <v>0</v>
      </c>
      <c r="V39" s="102">
        <v>0</v>
      </c>
      <c r="W39" s="102">
        <v>0</v>
      </c>
      <c r="X39" s="102">
        <v>0</v>
      </c>
      <c r="Y39" s="102">
        <v>0</v>
      </c>
      <c r="Z39" s="102">
        <v>0</v>
      </c>
      <c r="AA39" s="102">
        <v>0</v>
      </c>
      <c r="AB39" s="102">
        <v>0</v>
      </c>
      <c r="AC39" s="102">
        <v>0</v>
      </c>
      <c r="AD39" s="102">
        <v>0</v>
      </c>
      <c r="AE39" s="102">
        <v>0</v>
      </c>
      <c r="AF39" s="102">
        <v>0</v>
      </c>
      <c r="AG39" s="102">
        <v>0</v>
      </c>
      <c r="AH39" s="102">
        <v>0</v>
      </c>
      <c r="AI39" s="102">
        <v>0</v>
      </c>
      <c r="AJ39" s="102">
        <v>0</v>
      </c>
      <c r="AK39" s="102">
        <v>0</v>
      </c>
      <c r="AL39" s="102">
        <v>0</v>
      </c>
      <c r="AM39" s="102">
        <v>0</v>
      </c>
      <c r="AN39" s="102">
        <v>0</v>
      </c>
      <c r="AO39" s="102">
        <v>0</v>
      </c>
      <c r="AP39" s="102">
        <v>0</v>
      </c>
      <c r="AQ39" s="102">
        <v>0</v>
      </c>
      <c r="AR39" s="102">
        <v>0</v>
      </c>
      <c r="AS39" s="102">
        <v>0</v>
      </c>
      <c r="AT39" s="102">
        <v>0</v>
      </c>
      <c r="AU39" s="102">
        <v>0</v>
      </c>
      <c r="AV39" s="102">
        <v>0</v>
      </c>
      <c r="AW39" s="102">
        <v>0</v>
      </c>
      <c r="AX39" s="102">
        <v>0</v>
      </c>
      <c r="AY39" s="102">
        <v>0</v>
      </c>
      <c r="AZ39" s="102">
        <v>0</v>
      </c>
      <c r="BA39" s="102">
        <v>0</v>
      </c>
      <c r="BB39" s="102">
        <v>0</v>
      </c>
      <c r="BC39" s="102">
        <v>0</v>
      </c>
      <c r="BD39" s="102">
        <v>0</v>
      </c>
      <c r="BE39" s="102">
        <v>0</v>
      </c>
      <c r="BF39" s="102">
        <v>0</v>
      </c>
      <c r="BG39" s="102">
        <v>0</v>
      </c>
      <c r="BH39" s="102">
        <v>0</v>
      </c>
      <c r="BI39" s="102">
        <v>0</v>
      </c>
      <c r="BJ39" s="102">
        <v>0</v>
      </c>
      <c r="BK39" s="102">
        <v>0</v>
      </c>
      <c r="BL39" s="102">
        <v>0</v>
      </c>
      <c r="BM39" s="102">
        <v>0</v>
      </c>
      <c r="BN39" s="102">
        <v>0</v>
      </c>
      <c r="BO39" s="102">
        <v>0</v>
      </c>
      <c r="BP39" s="102">
        <v>0</v>
      </c>
      <c r="BQ39" s="102">
        <v>0</v>
      </c>
      <c r="BR39" s="102">
        <v>0</v>
      </c>
      <c r="BS39" s="102">
        <v>0</v>
      </c>
      <c r="BT39" s="102">
        <v>0</v>
      </c>
      <c r="BU39" s="102">
        <v>0</v>
      </c>
      <c r="BV39" s="102">
        <v>0</v>
      </c>
      <c r="BW39" s="102">
        <v>0</v>
      </c>
      <c r="BX39" s="102">
        <v>0</v>
      </c>
      <c r="BY39" s="102">
        <v>0</v>
      </c>
      <c r="BZ39" s="102">
        <v>0</v>
      </c>
      <c r="CA39" s="102">
        <v>0</v>
      </c>
      <c r="CB39" s="102">
        <v>0</v>
      </c>
      <c r="CC39" s="102">
        <v>0</v>
      </c>
      <c r="CD39" s="102">
        <v>0</v>
      </c>
      <c r="CE39" s="102">
        <v>0</v>
      </c>
      <c r="CF39" s="102">
        <v>0</v>
      </c>
      <c r="CG39" s="102">
        <v>0</v>
      </c>
      <c r="CH39" s="102">
        <v>0</v>
      </c>
      <c r="CI39" s="102">
        <v>0</v>
      </c>
      <c r="CJ39" s="102">
        <v>0</v>
      </c>
      <c r="CK39" s="102">
        <v>0</v>
      </c>
      <c r="CL39" s="102">
        <v>0</v>
      </c>
      <c r="CM39" s="102">
        <v>0</v>
      </c>
      <c r="CN39" s="102">
        <v>0</v>
      </c>
      <c r="CO39" s="102">
        <v>0</v>
      </c>
      <c r="CP39" s="102">
        <v>0</v>
      </c>
      <c r="CQ39" s="102">
        <v>0</v>
      </c>
      <c r="CR39" s="102">
        <v>0</v>
      </c>
      <c r="CS39" s="102">
        <v>0</v>
      </c>
      <c r="CT39" s="102">
        <v>0</v>
      </c>
      <c r="CU39" s="102">
        <v>0</v>
      </c>
      <c r="CV39" s="102">
        <v>0</v>
      </c>
      <c r="CW39" s="102">
        <v>0</v>
      </c>
      <c r="CX39" s="102">
        <v>0</v>
      </c>
      <c r="CY39" s="102">
        <v>0</v>
      </c>
      <c r="CZ39" s="102">
        <v>0</v>
      </c>
      <c r="DA39" s="102">
        <v>0</v>
      </c>
      <c r="DB39" s="102">
        <v>0</v>
      </c>
      <c r="DC39" s="102">
        <v>0</v>
      </c>
      <c r="DD39" s="102">
        <v>0</v>
      </c>
      <c r="DE39" s="102">
        <v>0</v>
      </c>
      <c r="DF39" s="102">
        <v>0</v>
      </c>
      <c r="DG39" s="102">
        <v>0</v>
      </c>
      <c r="DH39" s="102">
        <v>0</v>
      </c>
      <c r="DI39" s="102">
        <v>0</v>
      </c>
      <c r="DJ39" s="102">
        <v>0</v>
      </c>
      <c r="DK39" s="102">
        <v>0</v>
      </c>
      <c r="DL39" s="102">
        <v>0</v>
      </c>
      <c r="DM39" s="102">
        <v>0</v>
      </c>
      <c r="DN39" s="102">
        <v>0</v>
      </c>
      <c r="DO39" s="102">
        <v>0</v>
      </c>
      <c r="DP39" s="102">
        <v>0</v>
      </c>
      <c r="DQ39" s="102">
        <v>0</v>
      </c>
      <c r="DR39" s="102">
        <v>0</v>
      </c>
      <c r="DS39" s="102">
        <v>0</v>
      </c>
      <c r="DT39" s="102">
        <v>0</v>
      </c>
      <c r="DU39" s="102">
        <v>0</v>
      </c>
      <c r="DV39" s="102">
        <v>0</v>
      </c>
      <c r="DW39" s="102">
        <v>0</v>
      </c>
      <c r="DX39" s="102">
        <v>0</v>
      </c>
      <c r="DY39" s="102">
        <v>0</v>
      </c>
      <c r="DZ39" s="102">
        <v>0</v>
      </c>
      <c r="EA39" s="102">
        <v>0</v>
      </c>
      <c r="EB39" s="102">
        <v>0</v>
      </c>
      <c r="EC39" s="102">
        <v>0</v>
      </c>
      <c r="ED39" s="102">
        <v>0</v>
      </c>
      <c r="EE39" s="102">
        <v>0</v>
      </c>
      <c r="EF39" s="102">
        <v>0</v>
      </c>
      <c r="EG39" s="102">
        <v>0</v>
      </c>
      <c r="EH39" s="102">
        <v>0</v>
      </c>
      <c r="EI39" s="102">
        <v>0</v>
      </c>
      <c r="EJ39" s="102">
        <v>0</v>
      </c>
      <c r="EK39" s="102">
        <v>0</v>
      </c>
      <c r="EL39" s="102">
        <v>0</v>
      </c>
      <c r="EM39" s="102">
        <v>0</v>
      </c>
      <c r="EN39" s="102">
        <v>0</v>
      </c>
      <c r="EO39" s="102">
        <v>0</v>
      </c>
      <c r="EP39" s="102">
        <v>0</v>
      </c>
      <c r="EQ39" s="102">
        <v>0</v>
      </c>
      <c r="ER39" s="102">
        <v>0</v>
      </c>
      <c r="ES39" s="102">
        <v>0</v>
      </c>
      <c r="ET39" s="102">
        <v>0</v>
      </c>
      <c r="EU39" s="102">
        <v>0</v>
      </c>
      <c r="EV39" s="102">
        <v>0</v>
      </c>
      <c r="EW39" s="102">
        <v>0</v>
      </c>
      <c r="EX39" s="102">
        <v>0</v>
      </c>
      <c r="EY39" s="102">
        <v>0</v>
      </c>
      <c r="EZ39" s="102">
        <v>0</v>
      </c>
      <c r="FA39" s="102">
        <v>0</v>
      </c>
      <c r="FB39" s="102">
        <v>0</v>
      </c>
      <c r="FC39" s="102">
        <v>0</v>
      </c>
      <c r="FD39" s="102">
        <v>0</v>
      </c>
      <c r="FE39" s="102">
        <v>0</v>
      </c>
      <c r="FF39" s="102">
        <v>0</v>
      </c>
      <c r="FG39" s="102">
        <v>0</v>
      </c>
      <c r="FH39" s="102">
        <v>0</v>
      </c>
      <c r="FI39" s="102">
        <v>0</v>
      </c>
      <c r="FJ39" s="71">
        <v>0</v>
      </c>
    </row>
    <row r="40" spans="1:166" x14ac:dyDescent="0.3">
      <c r="A40" s="401" t="s">
        <v>697</v>
      </c>
      <c r="B40" s="103" t="s">
        <v>424</v>
      </c>
      <c r="C40" s="419" t="s">
        <v>623</v>
      </c>
      <c r="D40" s="419" t="s">
        <v>14</v>
      </c>
      <c r="E40" s="419" t="s">
        <v>654</v>
      </c>
      <c r="F40" s="419" t="s">
        <v>660</v>
      </c>
      <c r="G40" s="103">
        <v>0</v>
      </c>
      <c r="H40" s="103" t="s">
        <v>305</v>
      </c>
      <c r="I40" s="103">
        <v>0</v>
      </c>
      <c r="J40" s="103" t="s">
        <v>661</v>
      </c>
      <c r="K40" s="103">
        <v>0</v>
      </c>
      <c r="L40" s="103" t="s">
        <v>307</v>
      </c>
      <c r="M40" s="420">
        <v>10</v>
      </c>
      <c r="N40" s="103">
        <v>0</v>
      </c>
      <c r="O40" s="393">
        <v>3333333.3333333335</v>
      </c>
      <c r="P40" s="393">
        <f t="shared" si="0"/>
        <v>33333333.333333336</v>
      </c>
      <c r="Q40" s="103">
        <v>0</v>
      </c>
      <c r="R40" s="103">
        <v>0</v>
      </c>
      <c r="S40" s="103">
        <v>0</v>
      </c>
      <c r="T40" s="395">
        <v>1</v>
      </c>
      <c r="U40" s="103">
        <v>0</v>
      </c>
      <c r="V40" s="102">
        <v>0</v>
      </c>
      <c r="W40" s="102">
        <v>0</v>
      </c>
      <c r="X40" s="102">
        <v>0</v>
      </c>
      <c r="Y40" s="102">
        <v>0</v>
      </c>
      <c r="Z40" s="102">
        <v>0</v>
      </c>
      <c r="AA40" s="102">
        <v>0</v>
      </c>
      <c r="AB40" s="102">
        <v>0</v>
      </c>
      <c r="AC40" s="102">
        <v>0</v>
      </c>
      <c r="AD40" s="102">
        <v>0</v>
      </c>
      <c r="AE40" s="102">
        <v>0</v>
      </c>
      <c r="AF40" s="102">
        <v>0</v>
      </c>
      <c r="AG40" s="102">
        <v>0</v>
      </c>
      <c r="AH40" s="102">
        <v>0</v>
      </c>
      <c r="AI40" s="102">
        <v>0</v>
      </c>
      <c r="AJ40" s="102">
        <v>0</v>
      </c>
      <c r="AK40" s="102">
        <v>0</v>
      </c>
      <c r="AL40" s="102">
        <v>0</v>
      </c>
      <c r="AM40" s="102">
        <v>0</v>
      </c>
      <c r="AN40" s="102">
        <v>0</v>
      </c>
      <c r="AO40" s="102">
        <v>0</v>
      </c>
      <c r="AP40" s="102">
        <v>0</v>
      </c>
      <c r="AQ40" s="102">
        <v>0</v>
      </c>
      <c r="AR40" s="102">
        <v>0</v>
      </c>
      <c r="AS40" s="102">
        <v>0</v>
      </c>
      <c r="AT40" s="102">
        <v>0</v>
      </c>
      <c r="AU40" s="102">
        <v>0</v>
      </c>
      <c r="AV40" s="102">
        <v>0</v>
      </c>
      <c r="AW40" s="102">
        <v>0</v>
      </c>
      <c r="AX40" s="102">
        <v>0</v>
      </c>
      <c r="AY40" s="102">
        <v>0</v>
      </c>
      <c r="AZ40" s="102">
        <v>0</v>
      </c>
      <c r="BA40" s="102">
        <v>0</v>
      </c>
      <c r="BB40" s="102">
        <v>0</v>
      </c>
      <c r="BC40" s="102">
        <v>0</v>
      </c>
      <c r="BD40" s="102">
        <v>0</v>
      </c>
      <c r="BE40" s="102">
        <v>0</v>
      </c>
      <c r="BF40" s="102">
        <v>0</v>
      </c>
      <c r="BG40" s="102">
        <v>0</v>
      </c>
      <c r="BH40" s="102">
        <v>0</v>
      </c>
      <c r="BI40" s="102">
        <v>0</v>
      </c>
      <c r="BJ40" s="102">
        <v>0</v>
      </c>
      <c r="BK40" s="102">
        <v>0</v>
      </c>
      <c r="BL40" s="102">
        <v>0</v>
      </c>
      <c r="BM40" s="102">
        <v>0</v>
      </c>
      <c r="BN40" s="102">
        <v>0</v>
      </c>
      <c r="BO40" s="102">
        <v>0</v>
      </c>
      <c r="BP40" s="102">
        <v>0</v>
      </c>
      <c r="BQ40" s="102">
        <v>0</v>
      </c>
      <c r="BR40" s="102">
        <v>0</v>
      </c>
      <c r="BS40" s="102">
        <v>0</v>
      </c>
      <c r="BT40" s="102">
        <v>0</v>
      </c>
      <c r="BU40" s="102">
        <v>0</v>
      </c>
      <c r="BV40" s="102">
        <v>0</v>
      </c>
      <c r="BW40" s="102">
        <v>0</v>
      </c>
      <c r="BX40" s="102">
        <v>0</v>
      </c>
      <c r="BY40" s="102">
        <v>0</v>
      </c>
      <c r="BZ40" s="102">
        <v>0</v>
      </c>
      <c r="CA40" s="102">
        <v>0</v>
      </c>
      <c r="CB40" s="102">
        <v>0</v>
      </c>
      <c r="CC40" s="102">
        <v>0</v>
      </c>
      <c r="CD40" s="102">
        <v>0</v>
      </c>
      <c r="CE40" s="102">
        <v>0</v>
      </c>
      <c r="CF40" s="102">
        <v>0</v>
      </c>
      <c r="CG40" s="102">
        <v>0</v>
      </c>
      <c r="CH40" s="102">
        <v>0</v>
      </c>
      <c r="CI40" s="102">
        <v>0</v>
      </c>
      <c r="CJ40" s="102">
        <v>0</v>
      </c>
      <c r="CK40" s="102">
        <v>0</v>
      </c>
      <c r="CL40" s="102">
        <v>0</v>
      </c>
      <c r="CM40" s="102">
        <v>0</v>
      </c>
      <c r="CN40" s="102">
        <v>0</v>
      </c>
      <c r="CO40" s="102">
        <v>0</v>
      </c>
      <c r="CP40" s="102">
        <v>0</v>
      </c>
      <c r="CQ40" s="102">
        <v>0</v>
      </c>
      <c r="CR40" s="102">
        <v>0</v>
      </c>
      <c r="CS40" s="102">
        <v>0</v>
      </c>
      <c r="CT40" s="102">
        <v>0</v>
      </c>
      <c r="CU40" s="102">
        <v>0</v>
      </c>
      <c r="CV40" s="102">
        <v>0</v>
      </c>
      <c r="CW40" s="102">
        <v>0</v>
      </c>
      <c r="CX40" s="102">
        <v>0</v>
      </c>
      <c r="CY40" s="102">
        <v>0</v>
      </c>
      <c r="CZ40" s="102">
        <v>0</v>
      </c>
      <c r="DA40" s="102">
        <v>0</v>
      </c>
      <c r="DB40" s="102">
        <v>0</v>
      </c>
      <c r="DC40" s="102">
        <v>0</v>
      </c>
      <c r="DD40" s="102">
        <v>0</v>
      </c>
      <c r="DE40" s="102">
        <v>0</v>
      </c>
      <c r="DF40" s="102">
        <v>0</v>
      </c>
      <c r="DG40" s="102">
        <v>0</v>
      </c>
      <c r="DH40" s="102">
        <v>0</v>
      </c>
      <c r="DI40" s="102">
        <v>0</v>
      </c>
      <c r="DJ40" s="102">
        <v>0</v>
      </c>
      <c r="DK40" s="102">
        <v>0</v>
      </c>
      <c r="DL40" s="102">
        <v>0</v>
      </c>
      <c r="DM40" s="102">
        <v>0</v>
      </c>
      <c r="DN40" s="102">
        <v>0</v>
      </c>
      <c r="DO40" s="102">
        <v>0</v>
      </c>
      <c r="DP40" s="102">
        <v>0</v>
      </c>
      <c r="DQ40" s="102">
        <v>0</v>
      </c>
      <c r="DR40" s="102">
        <v>0</v>
      </c>
      <c r="DS40" s="102">
        <v>0</v>
      </c>
      <c r="DT40" s="102">
        <v>0</v>
      </c>
      <c r="DU40" s="102">
        <v>0</v>
      </c>
      <c r="DV40" s="102">
        <v>0</v>
      </c>
      <c r="DW40" s="102">
        <v>0</v>
      </c>
      <c r="DX40" s="102">
        <v>0</v>
      </c>
      <c r="DY40" s="102">
        <v>0</v>
      </c>
      <c r="DZ40" s="102">
        <v>0</v>
      </c>
      <c r="EA40" s="102">
        <v>0</v>
      </c>
      <c r="EB40" s="102">
        <v>0</v>
      </c>
      <c r="EC40" s="102">
        <v>0</v>
      </c>
      <c r="ED40" s="102">
        <v>0</v>
      </c>
      <c r="EE40" s="102">
        <v>0</v>
      </c>
      <c r="EF40" s="102">
        <v>0</v>
      </c>
      <c r="EG40" s="102">
        <v>0</v>
      </c>
      <c r="EH40" s="102">
        <v>0</v>
      </c>
      <c r="EI40" s="102">
        <v>0</v>
      </c>
      <c r="EJ40" s="102">
        <v>0</v>
      </c>
      <c r="EK40" s="102">
        <v>0</v>
      </c>
      <c r="EL40" s="102">
        <v>0</v>
      </c>
      <c r="EM40" s="102">
        <v>0</v>
      </c>
      <c r="EN40" s="102">
        <v>0</v>
      </c>
      <c r="EO40" s="102">
        <v>0</v>
      </c>
      <c r="EP40" s="102">
        <v>0</v>
      </c>
      <c r="EQ40" s="102">
        <v>0</v>
      </c>
      <c r="ER40" s="102">
        <v>0</v>
      </c>
      <c r="ES40" s="102">
        <v>0</v>
      </c>
      <c r="ET40" s="102">
        <v>0</v>
      </c>
      <c r="EU40" s="102">
        <v>0</v>
      </c>
      <c r="EV40" s="102">
        <v>0</v>
      </c>
      <c r="EW40" s="102">
        <v>0</v>
      </c>
      <c r="EX40" s="102">
        <v>0</v>
      </c>
      <c r="EY40" s="102">
        <v>0</v>
      </c>
      <c r="EZ40" s="102">
        <v>0</v>
      </c>
      <c r="FA40" s="102">
        <v>0</v>
      </c>
      <c r="FB40" s="102">
        <v>0</v>
      </c>
      <c r="FC40" s="102">
        <v>0</v>
      </c>
      <c r="FD40" s="102">
        <v>0</v>
      </c>
      <c r="FE40" s="102">
        <v>0</v>
      </c>
      <c r="FF40" s="102">
        <v>0</v>
      </c>
      <c r="FG40" s="102">
        <v>0</v>
      </c>
      <c r="FH40" s="102">
        <v>0</v>
      </c>
      <c r="FI40" s="102">
        <v>0</v>
      </c>
      <c r="FJ40" s="71">
        <v>0</v>
      </c>
    </row>
    <row r="41" spans="1:166" x14ac:dyDescent="0.3">
      <c r="A41" s="401" t="s">
        <v>698</v>
      </c>
      <c r="B41" s="103" t="s">
        <v>424</v>
      </c>
      <c r="C41" s="419" t="s">
        <v>639</v>
      </c>
      <c r="D41" s="419" t="s">
        <v>14</v>
      </c>
      <c r="E41" s="419" t="s">
        <v>654</v>
      </c>
      <c r="F41" s="419" t="s">
        <v>660</v>
      </c>
      <c r="G41" s="103">
        <v>0</v>
      </c>
      <c r="H41" s="103" t="s">
        <v>305</v>
      </c>
      <c r="I41" s="103">
        <v>0</v>
      </c>
      <c r="J41" s="103" t="s">
        <v>661</v>
      </c>
      <c r="K41" s="103">
        <v>0</v>
      </c>
      <c r="L41" s="103" t="s">
        <v>307</v>
      </c>
      <c r="M41" s="420">
        <v>10</v>
      </c>
      <c r="N41" s="103">
        <v>0</v>
      </c>
      <c r="O41" s="393">
        <v>3333333.3333333335</v>
      </c>
      <c r="P41" s="393">
        <f t="shared" si="0"/>
        <v>33333333.333333336</v>
      </c>
      <c r="Q41" s="103">
        <v>0</v>
      </c>
      <c r="R41" s="103">
        <v>0</v>
      </c>
      <c r="S41" s="103">
        <v>0</v>
      </c>
      <c r="T41" s="395">
        <v>1</v>
      </c>
      <c r="U41" s="103">
        <v>0</v>
      </c>
      <c r="V41" s="102">
        <v>0</v>
      </c>
      <c r="W41" s="102">
        <v>0</v>
      </c>
      <c r="X41" s="102">
        <v>0</v>
      </c>
      <c r="Y41" s="102">
        <v>0</v>
      </c>
      <c r="Z41" s="102">
        <v>0</v>
      </c>
      <c r="AA41" s="102">
        <v>0</v>
      </c>
      <c r="AB41" s="102">
        <v>0</v>
      </c>
      <c r="AC41" s="102">
        <v>0</v>
      </c>
      <c r="AD41" s="102">
        <v>0</v>
      </c>
      <c r="AE41" s="102">
        <v>0</v>
      </c>
      <c r="AF41" s="102">
        <v>0</v>
      </c>
      <c r="AG41" s="102">
        <v>0</v>
      </c>
      <c r="AH41" s="102">
        <v>0</v>
      </c>
      <c r="AI41" s="102">
        <v>0</v>
      </c>
      <c r="AJ41" s="102">
        <v>0</v>
      </c>
      <c r="AK41" s="102">
        <v>0</v>
      </c>
      <c r="AL41" s="102">
        <v>0</v>
      </c>
      <c r="AM41" s="102">
        <v>0</v>
      </c>
      <c r="AN41" s="102">
        <v>0</v>
      </c>
      <c r="AO41" s="102">
        <v>0</v>
      </c>
      <c r="AP41" s="102">
        <v>0</v>
      </c>
      <c r="AQ41" s="102">
        <v>0</v>
      </c>
      <c r="AR41" s="102">
        <v>0</v>
      </c>
      <c r="AS41" s="102">
        <v>0</v>
      </c>
      <c r="AT41" s="102">
        <v>0</v>
      </c>
      <c r="AU41" s="102">
        <v>0</v>
      </c>
      <c r="AV41" s="102">
        <v>0</v>
      </c>
      <c r="AW41" s="102">
        <v>0</v>
      </c>
      <c r="AX41" s="102">
        <v>0</v>
      </c>
      <c r="AY41" s="102">
        <v>0</v>
      </c>
      <c r="AZ41" s="102">
        <v>0</v>
      </c>
      <c r="BA41" s="102">
        <v>0</v>
      </c>
      <c r="BB41" s="102">
        <v>0</v>
      </c>
      <c r="BC41" s="102">
        <v>0</v>
      </c>
      <c r="BD41" s="102">
        <v>0</v>
      </c>
      <c r="BE41" s="102">
        <v>0</v>
      </c>
      <c r="BF41" s="102">
        <v>0</v>
      </c>
      <c r="BG41" s="102">
        <v>0</v>
      </c>
      <c r="BH41" s="102">
        <v>0</v>
      </c>
      <c r="BI41" s="102">
        <v>0</v>
      </c>
      <c r="BJ41" s="102">
        <v>0</v>
      </c>
      <c r="BK41" s="102">
        <v>0</v>
      </c>
      <c r="BL41" s="102">
        <v>0</v>
      </c>
      <c r="BM41" s="102">
        <v>0</v>
      </c>
      <c r="BN41" s="102">
        <v>0</v>
      </c>
      <c r="BO41" s="102">
        <v>0</v>
      </c>
      <c r="BP41" s="102">
        <v>0</v>
      </c>
      <c r="BQ41" s="102">
        <v>0</v>
      </c>
      <c r="BR41" s="102">
        <v>0</v>
      </c>
      <c r="BS41" s="102">
        <v>0</v>
      </c>
      <c r="BT41" s="102">
        <v>0</v>
      </c>
      <c r="BU41" s="102">
        <v>0</v>
      </c>
      <c r="BV41" s="102">
        <v>0</v>
      </c>
      <c r="BW41" s="102">
        <v>0</v>
      </c>
      <c r="BX41" s="102">
        <v>0</v>
      </c>
      <c r="BY41" s="102">
        <v>0</v>
      </c>
      <c r="BZ41" s="102">
        <v>0</v>
      </c>
      <c r="CA41" s="102">
        <v>0</v>
      </c>
      <c r="CB41" s="102">
        <v>0</v>
      </c>
      <c r="CC41" s="102">
        <v>0</v>
      </c>
      <c r="CD41" s="102">
        <v>0</v>
      </c>
      <c r="CE41" s="102">
        <v>0</v>
      </c>
      <c r="CF41" s="102">
        <v>0</v>
      </c>
      <c r="CG41" s="102">
        <v>0</v>
      </c>
      <c r="CH41" s="102">
        <v>0</v>
      </c>
      <c r="CI41" s="102">
        <v>0</v>
      </c>
      <c r="CJ41" s="102">
        <v>0</v>
      </c>
      <c r="CK41" s="102">
        <v>0</v>
      </c>
      <c r="CL41" s="102">
        <v>0</v>
      </c>
      <c r="CM41" s="102">
        <v>0</v>
      </c>
      <c r="CN41" s="102">
        <v>0</v>
      </c>
      <c r="CO41" s="102">
        <v>0</v>
      </c>
      <c r="CP41" s="102">
        <v>0</v>
      </c>
      <c r="CQ41" s="102">
        <v>0</v>
      </c>
      <c r="CR41" s="102">
        <v>0</v>
      </c>
      <c r="CS41" s="102">
        <v>0</v>
      </c>
      <c r="CT41" s="102">
        <v>0</v>
      </c>
      <c r="CU41" s="102">
        <v>0</v>
      </c>
      <c r="CV41" s="102">
        <v>0</v>
      </c>
      <c r="CW41" s="102">
        <v>0</v>
      </c>
      <c r="CX41" s="102">
        <v>0</v>
      </c>
      <c r="CY41" s="102">
        <v>0</v>
      </c>
      <c r="CZ41" s="102">
        <v>0</v>
      </c>
      <c r="DA41" s="102">
        <v>0</v>
      </c>
      <c r="DB41" s="102">
        <v>0</v>
      </c>
      <c r="DC41" s="102">
        <v>0</v>
      </c>
      <c r="DD41" s="102">
        <v>0</v>
      </c>
      <c r="DE41" s="102">
        <v>0</v>
      </c>
      <c r="DF41" s="102">
        <v>0</v>
      </c>
      <c r="DG41" s="102">
        <v>0</v>
      </c>
      <c r="DH41" s="102">
        <v>0</v>
      </c>
      <c r="DI41" s="102">
        <v>0</v>
      </c>
      <c r="DJ41" s="102">
        <v>0</v>
      </c>
      <c r="DK41" s="102">
        <v>0</v>
      </c>
      <c r="DL41" s="102">
        <v>0</v>
      </c>
      <c r="DM41" s="102">
        <v>0</v>
      </c>
      <c r="DN41" s="102">
        <v>0</v>
      </c>
      <c r="DO41" s="102">
        <v>0</v>
      </c>
      <c r="DP41" s="102">
        <v>0</v>
      </c>
      <c r="DQ41" s="102">
        <v>0</v>
      </c>
      <c r="DR41" s="102">
        <v>0</v>
      </c>
      <c r="DS41" s="102">
        <v>0</v>
      </c>
      <c r="DT41" s="102">
        <v>0</v>
      </c>
      <c r="DU41" s="102">
        <v>0</v>
      </c>
      <c r="DV41" s="102">
        <v>0</v>
      </c>
      <c r="DW41" s="102">
        <v>0</v>
      </c>
      <c r="DX41" s="102">
        <v>0</v>
      </c>
      <c r="DY41" s="102">
        <v>0</v>
      </c>
      <c r="DZ41" s="102">
        <v>0</v>
      </c>
      <c r="EA41" s="102">
        <v>0</v>
      </c>
      <c r="EB41" s="102">
        <v>0</v>
      </c>
      <c r="EC41" s="102">
        <v>0</v>
      </c>
      <c r="ED41" s="102">
        <v>0</v>
      </c>
      <c r="EE41" s="102">
        <v>0</v>
      </c>
      <c r="EF41" s="102">
        <v>0</v>
      </c>
      <c r="EG41" s="102">
        <v>0</v>
      </c>
      <c r="EH41" s="102">
        <v>0</v>
      </c>
      <c r="EI41" s="102">
        <v>0</v>
      </c>
      <c r="EJ41" s="102">
        <v>0</v>
      </c>
      <c r="EK41" s="102">
        <v>0</v>
      </c>
      <c r="EL41" s="102">
        <v>0</v>
      </c>
      <c r="EM41" s="102">
        <v>0</v>
      </c>
      <c r="EN41" s="102">
        <v>0</v>
      </c>
      <c r="EO41" s="102">
        <v>0</v>
      </c>
      <c r="EP41" s="102">
        <v>0</v>
      </c>
      <c r="EQ41" s="102">
        <v>0</v>
      </c>
      <c r="ER41" s="102">
        <v>0</v>
      </c>
      <c r="ES41" s="102">
        <v>0</v>
      </c>
      <c r="ET41" s="102">
        <v>0</v>
      </c>
      <c r="EU41" s="102">
        <v>0</v>
      </c>
      <c r="EV41" s="102">
        <v>0</v>
      </c>
      <c r="EW41" s="102">
        <v>0</v>
      </c>
      <c r="EX41" s="102">
        <v>0</v>
      </c>
      <c r="EY41" s="102">
        <v>0</v>
      </c>
      <c r="EZ41" s="102">
        <v>0</v>
      </c>
      <c r="FA41" s="102">
        <v>0</v>
      </c>
      <c r="FB41" s="102">
        <v>0</v>
      </c>
      <c r="FC41" s="102">
        <v>0</v>
      </c>
      <c r="FD41" s="102">
        <v>0</v>
      </c>
      <c r="FE41" s="102">
        <v>0</v>
      </c>
      <c r="FF41" s="102">
        <v>0</v>
      </c>
      <c r="FG41" s="102">
        <v>0</v>
      </c>
      <c r="FH41" s="102">
        <v>0</v>
      </c>
      <c r="FI41" s="102">
        <v>0</v>
      </c>
      <c r="FJ41" s="71">
        <v>0</v>
      </c>
    </row>
    <row r="42" spans="1:166" x14ac:dyDescent="0.3">
      <c r="A42" s="401" t="s">
        <v>716</v>
      </c>
      <c r="B42" s="103" t="s">
        <v>424</v>
      </c>
      <c r="C42" s="419" t="s">
        <v>658</v>
      </c>
      <c r="D42" s="419" t="s">
        <v>714</v>
      </c>
      <c r="E42" s="419" t="s">
        <v>715</v>
      </c>
      <c r="F42" s="103" t="s">
        <v>699</v>
      </c>
      <c r="G42" s="103" t="s">
        <v>706</v>
      </c>
      <c r="H42" s="103">
        <v>0</v>
      </c>
      <c r="I42" s="103">
        <v>0</v>
      </c>
      <c r="J42" s="103" t="s">
        <v>661</v>
      </c>
      <c r="K42" s="103">
        <v>0</v>
      </c>
      <c r="L42" s="103" t="s">
        <v>712</v>
      </c>
      <c r="M42" s="103">
        <v>2</v>
      </c>
      <c r="N42" s="103">
        <v>0</v>
      </c>
      <c r="O42" s="103">
        <v>15000000</v>
      </c>
      <c r="P42" s="393">
        <f t="shared" si="0"/>
        <v>30000000</v>
      </c>
      <c r="Q42" s="103">
        <v>0</v>
      </c>
      <c r="R42" s="103">
        <v>0</v>
      </c>
      <c r="S42" s="103">
        <v>0</v>
      </c>
      <c r="T42" s="395">
        <v>1</v>
      </c>
      <c r="U42" s="103">
        <v>0</v>
      </c>
      <c r="V42" s="102">
        <v>0</v>
      </c>
      <c r="W42" s="102">
        <v>0</v>
      </c>
      <c r="X42" s="102">
        <v>0</v>
      </c>
      <c r="Y42" s="102">
        <v>0</v>
      </c>
      <c r="Z42" s="102">
        <v>0</v>
      </c>
      <c r="AA42" s="102">
        <v>0</v>
      </c>
      <c r="AB42" s="102">
        <v>0</v>
      </c>
      <c r="AC42" s="102">
        <v>0</v>
      </c>
      <c r="AD42" s="102">
        <v>0</v>
      </c>
      <c r="AE42" s="102">
        <v>0</v>
      </c>
      <c r="AF42" s="102">
        <v>0</v>
      </c>
      <c r="AG42" s="102">
        <v>0</v>
      </c>
      <c r="AH42" s="102">
        <v>0</v>
      </c>
      <c r="AI42" s="102">
        <v>0</v>
      </c>
      <c r="AJ42" s="102">
        <v>0</v>
      </c>
      <c r="AK42" s="102">
        <v>0</v>
      </c>
      <c r="AL42" s="102">
        <v>0</v>
      </c>
      <c r="AM42" s="102">
        <v>0</v>
      </c>
      <c r="AN42" s="102">
        <v>0</v>
      </c>
      <c r="AO42" s="102">
        <v>0</v>
      </c>
      <c r="AP42" s="102">
        <v>0</v>
      </c>
      <c r="AQ42" s="102">
        <v>0</v>
      </c>
      <c r="AR42" s="102">
        <v>0</v>
      </c>
      <c r="AS42" s="102">
        <v>0</v>
      </c>
      <c r="AT42" s="102">
        <v>0</v>
      </c>
      <c r="AU42" s="102">
        <v>0</v>
      </c>
      <c r="AV42" s="102">
        <v>0</v>
      </c>
      <c r="AW42" s="102">
        <v>0</v>
      </c>
      <c r="AX42" s="102">
        <v>0</v>
      </c>
      <c r="AY42" s="102">
        <v>0</v>
      </c>
      <c r="AZ42" s="102">
        <v>0</v>
      </c>
      <c r="BA42" s="102">
        <v>0</v>
      </c>
      <c r="BB42" s="102">
        <v>0</v>
      </c>
      <c r="BC42" s="102">
        <v>0</v>
      </c>
      <c r="BD42" s="102">
        <v>0</v>
      </c>
      <c r="BE42" s="102">
        <v>0</v>
      </c>
      <c r="BF42" s="102">
        <v>0</v>
      </c>
      <c r="BG42" s="102">
        <v>0</v>
      </c>
      <c r="BH42" s="102">
        <v>0</v>
      </c>
      <c r="BI42" s="102">
        <v>0</v>
      </c>
      <c r="BJ42" s="102">
        <v>0</v>
      </c>
      <c r="BK42" s="102">
        <v>0</v>
      </c>
      <c r="BL42" s="102">
        <v>0</v>
      </c>
      <c r="BM42" s="102">
        <v>0</v>
      </c>
      <c r="BN42" s="102">
        <v>0</v>
      </c>
      <c r="BO42" s="102">
        <v>0</v>
      </c>
      <c r="BP42" s="102">
        <v>0</v>
      </c>
      <c r="BQ42" s="102">
        <v>0</v>
      </c>
      <c r="BR42" s="102">
        <v>0</v>
      </c>
      <c r="BS42" s="102">
        <v>0</v>
      </c>
      <c r="BT42" s="102">
        <v>0</v>
      </c>
      <c r="BU42" s="102">
        <v>0</v>
      </c>
      <c r="BV42" s="102">
        <v>0</v>
      </c>
      <c r="BW42" s="102">
        <v>0</v>
      </c>
      <c r="BX42" s="102">
        <v>0</v>
      </c>
      <c r="BY42" s="102">
        <v>0</v>
      </c>
      <c r="BZ42" s="102">
        <v>0</v>
      </c>
      <c r="CA42" s="102">
        <v>0</v>
      </c>
      <c r="CB42" s="102">
        <v>0</v>
      </c>
      <c r="CC42" s="102">
        <v>0</v>
      </c>
      <c r="CD42" s="102">
        <v>0</v>
      </c>
      <c r="CE42" s="102">
        <v>0</v>
      </c>
      <c r="CF42" s="102">
        <v>0</v>
      </c>
      <c r="CG42" s="102">
        <v>0</v>
      </c>
      <c r="CH42" s="102">
        <v>0</v>
      </c>
      <c r="CI42" s="102">
        <v>0</v>
      </c>
      <c r="CJ42" s="102">
        <v>0</v>
      </c>
      <c r="CK42" s="102">
        <v>0</v>
      </c>
      <c r="CL42" s="102">
        <v>0</v>
      </c>
      <c r="CM42" s="102">
        <v>0</v>
      </c>
      <c r="CN42" s="102">
        <v>0</v>
      </c>
      <c r="CO42" s="102">
        <v>0</v>
      </c>
      <c r="CP42" s="102">
        <v>0</v>
      </c>
      <c r="CQ42" s="102">
        <v>0</v>
      </c>
      <c r="CR42" s="102">
        <v>0</v>
      </c>
      <c r="CS42" s="102">
        <v>0</v>
      </c>
      <c r="CT42" s="102">
        <v>0</v>
      </c>
      <c r="CU42" s="102">
        <v>0</v>
      </c>
      <c r="CV42" s="102">
        <v>0</v>
      </c>
      <c r="CW42" s="102">
        <v>0</v>
      </c>
      <c r="CX42" s="102">
        <v>0</v>
      </c>
      <c r="CY42" s="102">
        <v>0</v>
      </c>
      <c r="CZ42" s="102">
        <v>0</v>
      </c>
      <c r="DA42" s="102">
        <v>0</v>
      </c>
      <c r="DB42" s="102">
        <v>0</v>
      </c>
      <c r="DC42" s="102">
        <v>0</v>
      </c>
      <c r="DD42" s="102">
        <v>0</v>
      </c>
      <c r="DE42" s="102">
        <v>0</v>
      </c>
      <c r="DF42" s="102">
        <v>0</v>
      </c>
      <c r="DG42" s="102">
        <v>0</v>
      </c>
      <c r="DH42" s="102">
        <v>0</v>
      </c>
      <c r="DI42" s="102">
        <v>0</v>
      </c>
      <c r="DJ42" s="102">
        <v>0</v>
      </c>
      <c r="DK42" s="102">
        <v>0</v>
      </c>
      <c r="DL42" s="102">
        <v>0</v>
      </c>
      <c r="DM42" s="102">
        <v>0</v>
      </c>
      <c r="DN42" s="102">
        <v>0</v>
      </c>
      <c r="DO42" s="102">
        <v>0</v>
      </c>
      <c r="DP42" s="102">
        <v>0</v>
      </c>
      <c r="DQ42" s="102">
        <v>0</v>
      </c>
      <c r="DR42" s="102">
        <v>0</v>
      </c>
      <c r="DS42" s="102">
        <v>0</v>
      </c>
      <c r="DT42" s="102">
        <v>0</v>
      </c>
      <c r="DU42" s="102">
        <v>0</v>
      </c>
      <c r="DV42" s="102">
        <v>0</v>
      </c>
      <c r="DW42" s="102">
        <v>0</v>
      </c>
      <c r="DX42" s="102">
        <v>0</v>
      </c>
      <c r="DY42" s="102">
        <v>0</v>
      </c>
      <c r="DZ42" s="102">
        <v>0</v>
      </c>
      <c r="EA42" s="102">
        <v>0</v>
      </c>
      <c r="EB42" s="102">
        <v>0</v>
      </c>
      <c r="EC42" s="102">
        <v>0</v>
      </c>
      <c r="ED42" s="102">
        <v>0</v>
      </c>
      <c r="EE42" s="102">
        <v>0</v>
      </c>
      <c r="EF42" s="102">
        <v>0</v>
      </c>
      <c r="EG42" s="102">
        <v>0</v>
      </c>
      <c r="EH42" s="102">
        <v>0</v>
      </c>
      <c r="EI42" s="102">
        <v>0</v>
      </c>
      <c r="EJ42" s="102">
        <v>0</v>
      </c>
      <c r="EK42" s="102">
        <v>0</v>
      </c>
      <c r="EL42" s="102">
        <v>0</v>
      </c>
      <c r="EM42" s="102">
        <v>0</v>
      </c>
      <c r="EN42" s="102">
        <v>0</v>
      </c>
      <c r="EO42" s="102">
        <v>0</v>
      </c>
      <c r="EP42" s="102">
        <v>0</v>
      </c>
      <c r="EQ42" s="102">
        <v>0</v>
      </c>
      <c r="ER42" s="102">
        <v>0</v>
      </c>
      <c r="ES42" s="102">
        <v>0</v>
      </c>
      <c r="ET42" s="102">
        <v>0</v>
      </c>
      <c r="EU42" s="102">
        <v>0</v>
      </c>
      <c r="EV42" s="102">
        <v>0</v>
      </c>
      <c r="EW42" s="102">
        <v>0</v>
      </c>
      <c r="EX42" s="102">
        <v>0</v>
      </c>
      <c r="EY42" s="102">
        <v>0</v>
      </c>
      <c r="EZ42" s="102">
        <v>0</v>
      </c>
      <c r="FA42" s="102">
        <v>0</v>
      </c>
      <c r="FB42" s="102">
        <v>0</v>
      </c>
      <c r="FC42" s="102">
        <v>0</v>
      </c>
      <c r="FD42" s="102">
        <v>0</v>
      </c>
      <c r="FE42" s="102">
        <v>0</v>
      </c>
      <c r="FF42" s="102">
        <v>0</v>
      </c>
      <c r="FG42" s="102">
        <v>0</v>
      </c>
      <c r="FH42" s="102">
        <v>0</v>
      </c>
      <c r="FI42" s="102">
        <v>0</v>
      </c>
      <c r="FJ42" s="71">
        <v>0</v>
      </c>
    </row>
    <row r="43" spans="1:166" x14ac:dyDescent="0.3">
      <c r="A43" s="401" t="s">
        <v>717</v>
      </c>
      <c r="B43" s="103" t="s">
        <v>424</v>
      </c>
      <c r="C43" s="419" t="s">
        <v>658</v>
      </c>
      <c r="D43" s="419" t="s">
        <v>714</v>
      </c>
      <c r="E43" s="419" t="s">
        <v>715</v>
      </c>
      <c r="F43" s="103" t="s">
        <v>700</v>
      </c>
      <c r="G43" s="103" t="s">
        <v>707</v>
      </c>
      <c r="H43" s="103">
        <v>0</v>
      </c>
      <c r="I43" s="103">
        <v>0</v>
      </c>
      <c r="J43" s="103" t="s">
        <v>661</v>
      </c>
      <c r="K43" s="103">
        <v>0</v>
      </c>
      <c r="L43" s="103" t="s">
        <v>712</v>
      </c>
      <c r="M43" s="103">
        <v>1</v>
      </c>
      <c r="N43" s="103">
        <v>0</v>
      </c>
      <c r="O43" s="103">
        <v>15000000</v>
      </c>
      <c r="P43" s="393">
        <f t="shared" si="0"/>
        <v>15000000</v>
      </c>
      <c r="Q43" s="103">
        <v>0</v>
      </c>
      <c r="R43" s="103">
        <v>0</v>
      </c>
      <c r="S43" s="103">
        <v>0</v>
      </c>
      <c r="T43" s="395">
        <v>1</v>
      </c>
      <c r="U43" s="103">
        <v>0</v>
      </c>
      <c r="V43" s="102">
        <v>0</v>
      </c>
      <c r="W43" s="102">
        <v>0</v>
      </c>
      <c r="X43" s="102">
        <v>0</v>
      </c>
      <c r="Y43" s="102">
        <v>0</v>
      </c>
      <c r="Z43" s="102">
        <v>0</v>
      </c>
      <c r="AA43" s="102">
        <v>0</v>
      </c>
      <c r="AB43" s="102">
        <v>0</v>
      </c>
      <c r="AC43" s="102">
        <v>0</v>
      </c>
      <c r="AD43" s="102">
        <v>0</v>
      </c>
      <c r="AE43" s="102">
        <v>0</v>
      </c>
      <c r="AF43" s="102">
        <v>0</v>
      </c>
      <c r="AG43" s="102">
        <v>0</v>
      </c>
      <c r="AH43" s="102">
        <v>0</v>
      </c>
      <c r="AI43" s="102">
        <v>0</v>
      </c>
      <c r="AJ43" s="102">
        <v>0</v>
      </c>
      <c r="AK43" s="102">
        <v>0</v>
      </c>
      <c r="AL43" s="102">
        <v>0</v>
      </c>
      <c r="AM43" s="102">
        <v>0</v>
      </c>
      <c r="AN43" s="102">
        <v>0</v>
      </c>
      <c r="AO43" s="102">
        <v>0</v>
      </c>
      <c r="AP43" s="102">
        <v>0</v>
      </c>
      <c r="AQ43" s="102">
        <v>0</v>
      </c>
      <c r="AR43" s="102">
        <v>0</v>
      </c>
      <c r="AS43" s="102">
        <v>0</v>
      </c>
      <c r="AT43" s="102">
        <v>0</v>
      </c>
      <c r="AU43" s="102">
        <v>0</v>
      </c>
      <c r="AV43" s="102">
        <v>0</v>
      </c>
      <c r="AW43" s="102">
        <v>0</v>
      </c>
      <c r="AX43" s="102">
        <v>0</v>
      </c>
      <c r="AY43" s="102">
        <v>0</v>
      </c>
      <c r="AZ43" s="102">
        <v>0</v>
      </c>
      <c r="BA43" s="102">
        <v>0</v>
      </c>
      <c r="BB43" s="102">
        <v>0</v>
      </c>
      <c r="BC43" s="102">
        <v>0</v>
      </c>
      <c r="BD43" s="102">
        <v>0</v>
      </c>
      <c r="BE43" s="102">
        <v>0</v>
      </c>
      <c r="BF43" s="102">
        <v>0</v>
      </c>
      <c r="BG43" s="102">
        <v>0</v>
      </c>
      <c r="BH43" s="102">
        <v>0</v>
      </c>
      <c r="BI43" s="102">
        <v>0</v>
      </c>
      <c r="BJ43" s="102">
        <v>0</v>
      </c>
      <c r="BK43" s="102">
        <v>0</v>
      </c>
      <c r="BL43" s="102">
        <v>0</v>
      </c>
      <c r="BM43" s="102">
        <v>0</v>
      </c>
      <c r="BN43" s="102">
        <v>0</v>
      </c>
      <c r="BO43" s="102">
        <v>0</v>
      </c>
      <c r="BP43" s="102">
        <v>0</v>
      </c>
      <c r="BQ43" s="102">
        <v>0</v>
      </c>
      <c r="BR43" s="102">
        <v>0</v>
      </c>
      <c r="BS43" s="102">
        <v>0</v>
      </c>
      <c r="BT43" s="102">
        <v>0</v>
      </c>
      <c r="BU43" s="102">
        <v>0</v>
      </c>
      <c r="BV43" s="102">
        <v>0</v>
      </c>
      <c r="BW43" s="102">
        <v>0</v>
      </c>
      <c r="BX43" s="102">
        <v>0</v>
      </c>
      <c r="BY43" s="102">
        <v>0</v>
      </c>
      <c r="BZ43" s="102">
        <v>0</v>
      </c>
      <c r="CA43" s="102">
        <v>0</v>
      </c>
      <c r="CB43" s="102">
        <v>0</v>
      </c>
      <c r="CC43" s="102">
        <v>0</v>
      </c>
      <c r="CD43" s="102">
        <v>0</v>
      </c>
      <c r="CE43" s="102">
        <v>0</v>
      </c>
      <c r="CF43" s="102">
        <v>0</v>
      </c>
      <c r="CG43" s="102">
        <v>0</v>
      </c>
      <c r="CH43" s="102">
        <v>0</v>
      </c>
      <c r="CI43" s="102">
        <v>0</v>
      </c>
      <c r="CJ43" s="102">
        <v>0</v>
      </c>
      <c r="CK43" s="102">
        <v>0</v>
      </c>
      <c r="CL43" s="102">
        <v>0</v>
      </c>
      <c r="CM43" s="102">
        <v>0</v>
      </c>
      <c r="CN43" s="102">
        <v>0</v>
      </c>
      <c r="CO43" s="102">
        <v>0</v>
      </c>
      <c r="CP43" s="102">
        <v>0</v>
      </c>
      <c r="CQ43" s="102">
        <v>0</v>
      </c>
      <c r="CR43" s="102">
        <v>0</v>
      </c>
      <c r="CS43" s="102">
        <v>0</v>
      </c>
      <c r="CT43" s="102">
        <v>0</v>
      </c>
      <c r="CU43" s="102">
        <v>0</v>
      </c>
      <c r="CV43" s="102">
        <v>0</v>
      </c>
      <c r="CW43" s="102">
        <v>0</v>
      </c>
      <c r="CX43" s="102">
        <v>0</v>
      </c>
      <c r="CY43" s="102">
        <v>0</v>
      </c>
      <c r="CZ43" s="102">
        <v>0</v>
      </c>
      <c r="DA43" s="102">
        <v>0</v>
      </c>
      <c r="DB43" s="102">
        <v>0</v>
      </c>
      <c r="DC43" s="102">
        <v>0</v>
      </c>
      <c r="DD43" s="102">
        <v>0</v>
      </c>
      <c r="DE43" s="102">
        <v>0</v>
      </c>
      <c r="DF43" s="102">
        <v>0</v>
      </c>
      <c r="DG43" s="102">
        <v>0</v>
      </c>
      <c r="DH43" s="102">
        <v>0</v>
      </c>
      <c r="DI43" s="102">
        <v>0</v>
      </c>
      <c r="DJ43" s="102">
        <v>0</v>
      </c>
      <c r="DK43" s="102">
        <v>0</v>
      </c>
      <c r="DL43" s="102">
        <v>0</v>
      </c>
      <c r="DM43" s="102">
        <v>0</v>
      </c>
      <c r="DN43" s="102">
        <v>0</v>
      </c>
      <c r="DO43" s="102">
        <v>0</v>
      </c>
      <c r="DP43" s="102">
        <v>0</v>
      </c>
      <c r="DQ43" s="102">
        <v>0</v>
      </c>
      <c r="DR43" s="102">
        <v>0</v>
      </c>
      <c r="DS43" s="102">
        <v>0</v>
      </c>
      <c r="DT43" s="102">
        <v>0</v>
      </c>
      <c r="DU43" s="102">
        <v>0</v>
      </c>
      <c r="DV43" s="102">
        <v>0</v>
      </c>
      <c r="DW43" s="102">
        <v>0</v>
      </c>
      <c r="DX43" s="102">
        <v>0</v>
      </c>
      <c r="DY43" s="102">
        <v>0</v>
      </c>
      <c r="DZ43" s="102">
        <v>0</v>
      </c>
      <c r="EA43" s="102">
        <v>0</v>
      </c>
      <c r="EB43" s="102">
        <v>0</v>
      </c>
      <c r="EC43" s="102">
        <v>0</v>
      </c>
      <c r="ED43" s="102">
        <v>0</v>
      </c>
      <c r="EE43" s="102">
        <v>0</v>
      </c>
      <c r="EF43" s="102">
        <v>0</v>
      </c>
      <c r="EG43" s="102">
        <v>0</v>
      </c>
      <c r="EH43" s="102">
        <v>0</v>
      </c>
      <c r="EI43" s="102">
        <v>0</v>
      </c>
      <c r="EJ43" s="102">
        <v>0</v>
      </c>
      <c r="EK43" s="102">
        <v>0</v>
      </c>
      <c r="EL43" s="102">
        <v>0</v>
      </c>
      <c r="EM43" s="102">
        <v>0</v>
      </c>
      <c r="EN43" s="102">
        <v>0</v>
      </c>
      <c r="EO43" s="102">
        <v>0</v>
      </c>
      <c r="EP43" s="102">
        <v>0</v>
      </c>
      <c r="EQ43" s="102">
        <v>0</v>
      </c>
      <c r="ER43" s="102">
        <v>0</v>
      </c>
      <c r="ES43" s="102">
        <v>0</v>
      </c>
      <c r="ET43" s="102">
        <v>0</v>
      </c>
      <c r="EU43" s="102">
        <v>0</v>
      </c>
      <c r="EV43" s="102">
        <v>0</v>
      </c>
      <c r="EW43" s="102">
        <v>0</v>
      </c>
      <c r="EX43" s="102">
        <v>0</v>
      </c>
      <c r="EY43" s="102">
        <v>0</v>
      </c>
      <c r="EZ43" s="102">
        <v>0</v>
      </c>
      <c r="FA43" s="102">
        <v>0</v>
      </c>
      <c r="FB43" s="102">
        <v>0</v>
      </c>
      <c r="FC43" s="102">
        <v>0</v>
      </c>
      <c r="FD43" s="102">
        <v>0</v>
      </c>
      <c r="FE43" s="102">
        <v>0</v>
      </c>
      <c r="FF43" s="102">
        <v>0</v>
      </c>
      <c r="FG43" s="102">
        <v>0</v>
      </c>
      <c r="FH43" s="102">
        <v>0</v>
      </c>
      <c r="FI43" s="102">
        <v>0</v>
      </c>
      <c r="FJ43" s="71">
        <v>0</v>
      </c>
    </row>
    <row r="44" spans="1:166" x14ac:dyDescent="0.3">
      <c r="A44" s="401" t="s">
        <v>718</v>
      </c>
      <c r="B44" s="103" t="s">
        <v>424</v>
      </c>
      <c r="C44" s="419" t="s">
        <v>658</v>
      </c>
      <c r="D44" s="419" t="s">
        <v>714</v>
      </c>
      <c r="E44" s="419" t="s">
        <v>715</v>
      </c>
      <c r="F44" s="103" t="s">
        <v>701</v>
      </c>
      <c r="G44" s="103" t="s">
        <v>708</v>
      </c>
      <c r="H44" s="103">
        <v>0</v>
      </c>
      <c r="I44" s="103">
        <v>0</v>
      </c>
      <c r="J44" s="103" t="s">
        <v>661</v>
      </c>
      <c r="K44" s="103">
        <v>0</v>
      </c>
      <c r="L44" s="103" t="s">
        <v>712</v>
      </c>
      <c r="M44" s="103">
        <v>1</v>
      </c>
      <c r="N44" s="103">
        <v>0</v>
      </c>
      <c r="O44" s="103">
        <v>3750000</v>
      </c>
      <c r="P44" s="393">
        <f t="shared" si="0"/>
        <v>3750000</v>
      </c>
      <c r="Q44" s="103">
        <v>0</v>
      </c>
      <c r="R44" s="103">
        <v>0</v>
      </c>
      <c r="S44" s="103">
        <v>0</v>
      </c>
      <c r="T44" s="395">
        <v>1</v>
      </c>
      <c r="U44" s="103">
        <v>0</v>
      </c>
      <c r="V44" s="102">
        <v>0</v>
      </c>
      <c r="W44" s="102">
        <v>0</v>
      </c>
      <c r="X44" s="102">
        <v>0</v>
      </c>
      <c r="Y44" s="102">
        <v>0</v>
      </c>
      <c r="Z44" s="102">
        <v>0</v>
      </c>
      <c r="AA44" s="102">
        <v>0</v>
      </c>
      <c r="AB44" s="102">
        <v>0</v>
      </c>
      <c r="AC44" s="102">
        <v>0</v>
      </c>
      <c r="AD44" s="102">
        <v>0</v>
      </c>
      <c r="AE44" s="102">
        <v>0</v>
      </c>
      <c r="AF44" s="102">
        <v>0</v>
      </c>
      <c r="AG44" s="102">
        <v>0</v>
      </c>
      <c r="AH44" s="102">
        <v>0</v>
      </c>
      <c r="AI44" s="102">
        <v>0</v>
      </c>
      <c r="AJ44" s="102">
        <v>0</v>
      </c>
      <c r="AK44" s="102">
        <v>0</v>
      </c>
      <c r="AL44" s="102">
        <v>0</v>
      </c>
      <c r="AM44" s="102">
        <v>0</v>
      </c>
      <c r="AN44" s="102">
        <v>0</v>
      </c>
      <c r="AO44" s="102">
        <v>0</v>
      </c>
      <c r="AP44" s="102">
        <v>0</v>
      </c>
      <c r="AQ44" s="102">
        <v>0</v>
      </c>
      <c r="AR44" s="102">
        <v>0</v>
      </c>
      <c r="AS44" s="102">
        <v>0</v>
      </c>
      <c r="AT44" s="102">
        <v>0</v>
      </c>
      <c r="AU44" s="102">
        <v>0</v>
      </c>
      <c r="AV44" s="102">
        <v>0</v>
      </c>
      <c r="AW44" s="102">
        <v>0</v>
      </c>
      <c r="AX44" s="102">
        <v>0</v>
      </c>
      <c r="AY44" s="102">
        <v>0</v>
      </c>
      <c r="AZ44" s="102">
        <v>0</v>
      </c>
      <c r="BA44" s="102">
        <v>0</v>
      </c>
      <c r="BB44" s="102">
        <v>0</v>
      </c>
      <c r="BC44" s="102">
        <v>0</v>
      </c>
      <c r="BD44" s="102">
        <v>0</v>
      </c>
      <c r="BE44" s="102">
        <v>0</v>
      </c>
      <c r="BF44" s="102">
        <v>0</v>
      </c>
      <c r="BG44" s="102">
        <v>0</v>
      </c>
      <c r="BH44" s="102">
        <v>0</v>
      </c>
      <c r="BI44" s="102">
        <v>0</v>
      </c>
      <c r="BJ44" s="102">
        <v>0</v>
      </c>
      <c r="BK44" s="102">
        <v>0</v>
      </c>
      <c r="BL44" s="102">
        <v>0</v>
      </c>
      <c r="BM44" s="102">
        <v>0</v>
      </c>
      <c r="BN44" s="102">
        <v>0</v>
      </c>
      <c r="BO44" s="102">
        <v>0</v>
      </c>
      <c r="BP44" s="102">
        <v>0</v>
      </c>
      <c r="BQ44" s="102">
        <v>0</v>
      </c>
      <c r="BR44" s="102">
        <v>0</v>
      </c>
      <c r="BS44" s="102">
        <v>0</v>
      </c>
      <c r="BT44" s="102">
        <v>0</v>
      </c>
      <c r="BU44" s="102">
        <v>0</v>
      </c>
      <c r="BV44" s="102">
        <v>0</v>
      </c>
      <c r="BW44" s="102">
        <v>0</v>
      </c>
      <c r="BX44" s="102">
        <v>0</v>
      </c>
      <c r="BY44" s="102">
        <v>0</v>
      </c>
      <c r="BZ44" s="102">
        <v>0</v>
      </c>
      <c r="CA44" s="102">
        <v>0</v>
      </c>
      <c r="CB44" s="102">
        <v>0</v>
      </c>
      <c r="CC44" s="102">
        <v>0</v>
      </c>
      <c r="CD44" s="102">
        <v>0</v>
      </c>
      <c r="CE44" s="102">
        <v>0</v>
      </c>
      <c r="CF44" s="102">
        <v>0</v>
      </c>
      <c r="CG44" s="102">
        <v>0</v>
      </c>
      <c r="CH44" s="102">
        <v>0</v>
      </c>
      <c r="CI44" s="102">
        <v>0</v>
      </c>
      <c r="CJ44" s="102">
        <v>0</v>
      </c>
      <c r="CK44" s="102">
        <v>0</v>
      </c>
      <c r="CL44" s="102">
        <v>0</v>
      </c>
      <c r="CM44" s="102">
        <v>0</v>
      </c>
      <c r="CN44" s="102">
        <v>0</v>
      </c>
      <c r="CO44" s="102">
        <v>0</v>
      </c>
      <c r="CP44" s="102">
        <v>0</v>
      </c>
      <c r="CQ44" s="102">
        <v>0</v>
      </c>
      <c r="CR44" s="102">
        <v>0</v>
      </c>
      <c r="CS44" s="102">
        <v>0</v>
      </c>
      <c r="CT44" s="102">
        <v>0</v>
      </c>
      <c r="CU44" s="102">
        <v>0</v>
      </c>
      <c r="CV44" s="102">
        <v>0</v>
      </c>
      <c r="CW44" s="102">
        <v>0</v>
      </c>
      <c r="CX44" s="102">
        <v>0</v>
      </c>
      <c r="CY44" s="102">
        <v>0</v>
      </c>
      <c r="CZ44" s="102">
        <v>0</v>
      </c>
      <c r="DA44" s="102">
        <v>0</v>
      </c>
      <c r="DB44" s="102">
        <v>0</v>
      </c>
      <c r="DC44" s="102">
        <v>0</v>
      </c>
      <c r="DD44" s="102">
        <v>0</v>
      </c>
      <c r="DE44" s="102">
        <v>0</v>
      </c>
      <c r="DF44" s="102">
        <v>0</v>
      </c>
      <c r="DG44" s="102">
        <v>0</v>
      </c>
      <c r="DH44" s="102">
        <v>0</v>
      </c>
      <c r="DI44" s="102">
        <v>0</v>
      </c>
      <c r="DJ44" s="102">
        <v>0</v>
      </c>
      <c r="DK44" s="102">
        <v>0</v>
      </c>
      <c r="DL44" s="102">
        <v>0</v>
      </c>
      <c r="DM44" s="102">
        <v>0</v>
      </c>
      <c r="DN44" s="102">
        <v>0</v>
      </c>
      <c r="DO44" s="102">
        <v>0</v>
      </c>
      <c r="DP44" s="102">
        <v>0</v>
      </c>
      <c r="DQ44" s="102">
        <v>0</v>
      </c>
      <c r="DR44" s="102">
        <v>0</v>
      </c>
      <c r="DS44" s="102">
        <v>0</v>
      </c>
      <c r="DT44" s="102">
        <v>0</v>
      </c>
      <c r="DU44" s="102">
        <v>0</v>
      </c>
      <c r="DV44" s="102">
        <v>0</v>
      </c>
      <c r="DW44" s="102">
        <v>0</v>
      </c>
      <c r="DX44" s="102">
        <v>0</v>
      </c>
      <c r="DY44" s="102">
        <v>0</v>
      </c>
      <c r="DZ44" s="102">
        <v>0</v>
      </c>
      <c r="EA44" s="102">
        <v>0</v>
      </c>
      <c r="EB44" s="102">
        <v>0</v>
      </c>
      <c r="EC44" s="102">
        <v>0</v>
      </c>
      <c r="ED44" s="102">
        <v>0</v>
      </c>
      <c r="EE44" s="102">
        <v>0</v>
      </c>
      <c r="EF44" s="102">
        <v>0</v>
      </c>
      <c r="EG44" s="102">
        <v>0</v>
      </c>
      <c r="EH44" s="102">
        <v>0</v>
      </c>
      <c r="EI44" s="102">
        <v>0</v>
      </c>
      <c r="EJ44" s="102">
        <v>0</v>
      </c>
      <c r="EK44" s="102">
        <v>0</v>
      </c>
      <c r="EL44" s="102">
        <v>0</v>
      </c>
      <c r="EM44" s="102">
        <v>0</v>
      </c>
      <c r="EN44" s="102">
        <v>0</v>
      </c>
      <c r="EO44" s="102">
        <v>0</v>
      </c>
      <c r="EP44" s="102">
        <v>0</v>
      </c>
      <c r="EQ44" s="102">
        <v>0</v>
      </c>
      <c r="ER44" s="102">
        <v>0</v>
      </c>
      <c r="ES44" s="102">
        <v>0</v>
      </c>
      <c r="ET44" s="102">
        <v>0</v>
      </c>
      <c r="EU44" s="102">
        <v>0</v>
      </c>
      <c r="EV44" s="102">
        <v>0</v>
      </c>
      <c r="EW44" s="102">
        <v>0</v>
      </c>
      <c r="EX44" s="102">
        <v>0</v>
      </c>
      <c r="EY44" s="102">
        <v>0</v>
      </c>
      <c r="EZ44" s="102">
        <v>0</v>
      </c>
      <c r="FA44" s="102">
        <v>0</v>
      </c>
      <c r="FB44" s="102">
        <v>0</v>
      </c>
      <c r="FC44" s="102">
        <v>0</v>
      </c>
      <c r="FD44" s="102">
        <v>0</v>
      </c>
      <c r="FE44" s="102">
        <v>0</v>
      </c>
      <c r="FF44" s="102">
        <v>0</v>
      </c>
      <c r="FG44" s="102">
        <v>0</v>
      </c>
      <c r="FH44" s="102">
        <v>0</v>
      </c>
      <c r="FI44" s="102">
        <v>0</v>
      </c>
      <c r="FJ44" s="71">
        <v>0</v>
      </c>
    </row>
    <row r="45" spans="1:166" x14ac:dyDescent="0.3">
      <c r="A45" s="401" t="s">
        <v>719</v>
      </c>
      <c r="B45" s="103" t="s">
        <v>424</v>
      </c>
      <c r="C45" s="419" t="s">
        <v>658</v>
      </c>
      <c r="D45" s="419" t="s">
        <v>714</v>
      </c>
      <c r="E45" s="419" t="s">
        <v>715</v>
      </c>
      <c r="F45" s="103" t="s">
        <v>702</v>
      </c>
      <c r="G45" s="103" t="s">
        <v>709</v>
      </c>
      <c r="H45" s="103">
        <v>0</v>
      </c>
      <c r="I45" s="103">
        <v>0</v>
      </c>
      <c r="J45" s="103" t="s">
        <v>661</v>
      </c>
      <c r="K45" s="103">
        <v>0</v>
      </c>
      <c r="L45" s="103" t="s">
        <v>712</v>
      </c>
      <c r="M45" s="103">
        <v>1</v>
      </c>
      <c r="N45" s="103">
        <v>0</v>
      </c>
      <c r="O45" s="103">
        <v>7525000</v>
      </c>
      <c r="P45" s="393">
        <f t="shared" si="0"/>
        <v>7525000</v>
      </c>
      <c r="Q45" s="103">
        <v>0</v>
      </c>
      <c r="R45" s="103">
        <v>0</v>
      </c>
      <c r="S45" s="103">
        <v>0</v>
      </c>
      <c r="T45" s="395">
        <v>1</v>
      </c>
      <c r="U45" s="103">
        <v>0</v>
      </c>
      <c r="V45" s="102">
        <v>0</v>
      </c>
      <c r="W45" s="102">
        <v>0</v>
      </c>
      <c r="X45" s="102">
        <v>0</v>
      </c>
      <c r="Y45" s="102">
        <v>0</v>
      </c>
      <c r="Z45" s="102">
        <v>0</v>
      </c>
      <c r="AA45" s="102">
        <v>0</v>
      </c>
      <c r="AB45" s="102">
        <v>0</v>
      </c>
      <c r="AC45" s="102">
        <v>0</v>
      </c>
      <c r="AD45" s="102">
        <v>0</v>
      </c>
      <c r="AE45" s="102">
        <v>0</v>
      </c>
      <c r="AF45" s="102">
        <v>0</v>
      </c>
      <c r="AG45" s="102">
        <v>0</v>
      </c>
      <c r="AH45" s="102">
        <v>0</v>
      </c>
      <c r="AI45" s="102">
        <v>0</v>
      </c>
      <c r="AJ45" s="102">
        <v>0</v>
      </c>
      <c r="AK45" s="102">
        <v>0</v>
      </c>
      <c r="AL45" s="102">
        <v>0</v>
      </c>
      <c r="AM45" s="102">
        <v>0</v>
      </c>
      <c r="AN45" s="102">
        <v>0</v>
      </c>
      <c r="AO45" s="102">
        <v>0</v>
      </c>
      <c r="AP45" s="102">
        <v>0</v>
      </c>
      <c r="AQ45" s="102">
        <v>0</v>
      </c>
      <c r="AR45" s="102">
        <v>0</v>
      </c>
      <c r="AS45" s="102">
        <v>0</v>
      </c>
      <c r="AT45" s="102">
        <v>0</v>
      </c>
      <c r="AU45" s="102">
        <v>0</v>
      </c>
      <c r="AV45" s="102">
        <v>0</v>
      </c>
      <c r="AW45" s="102">
        <v>0</v>
      </c>
      <c r="AX45" s="102">
        <v>0</v>
      </c>
      <c r="AY45" s="102">
        <v>0</v>
      </c>
      <c r="AZ45" s="102">
        <v>0</v>
      </c>
      <c r="BA45" s="102">
        <v>0</v>
      </c>
      <c r="BB45" s="102">
        <v>0</v>
      </c>
      <c r="BC45" s="102">
        <v>0</v>
      </c>
      <c r="BD45" s="102">
        <v>0</v>
      </c>
      <c r="BE45" s="102">
        <v>0</v>
      </c>
      <c r="BF45" s="102">
        <v>0</v>
      </c>
      <c r="BG45" s="102">
        <v>0</v>
      </c>
      <c r="BH45" s="102">
        <v>0</v>
      </c>
      <c r="BI45" s="102">
        <v>0</v>
      </c>
      <c r="BJ45" s="102">
        <v>0</v>
      </c>
      <c r="BK45" s="102">
        <v>0</v>
      </c>
      <c r="BL45" s="102">
        <v>0</v>
      </c>
      <c r="BM45" s="102">
        <v>0</v>
      </c>
      <c r="BN45" s="102">
        <v>0</v>
      </c>
      <c r="BO45" s="102">
        <v>0</v>
      </c>
      <c r="BP45" s="102">
        <v>0</v>
      </c>
      <c r="BQ45" s="102">
        <v>0</v>
      </c>
      <c r="BR45" s="102">
        <v>0</v>
      </c>
      <c r="BS45" s="102">
        <v>0</v>
      </c>
      <c r="BT45" s="102">
        <v>0</v>
      </c>
      <c r="BU45" s="102">
        <v>0</v>
      </c>
      <c r="BV45" s="102">
        <v>0</v>
      </c>
      <c r="BW45" s="102">
        <v>0</v>
      </c>
      <c r="BX45" s="102">
        <v>0</v>
      </c>
      <c r="BY45" s="102">
        <v>0</v>
      </c>
      <c r="BZ45" s="102">
        <v>0</v>
      </c>
      <c r="CA45" s="102">
        <v>0</v>
      </c>
      <c r="CB45" s="102">
        <v>0</v>
      </c>
      <c r="CC45" s="102">
        <v>0</v>
      </c>
      <c r="CD45" s="102">
        <v>0</v>
      </c>
      <c r="CE45" s="102">
        <v>0</v>
      </c>
      <c r="CF45" s="102">
        <v>0</v>
      </c>
      <c r="CG45" s="102">
        <v>0</v>
      </c>
      <c r="CH45" s="102">
        <v>0</v>
      </c>
      <c r="CI45" s="102">
        <v>0</v>
      </c>
      <c r="CJ45" s="102">
        <v>0</v>
      </c>
      <c r="CK45" s="102">
        <v>0</v>
      </c>
      <c r="CL45" s="102">
        <v>0</v>
      </c>
      <c r="CM45" s="102">
        <v>0</v>
      </c>
      <c r="CN45" s="102">
        <v>0</v>
      </c>
      <c r="CO45" s="102">
        <v>0</v>
      </c>
      <c r="CP45" s="102">
        <v>0</v>
      </c>
      <c r="CQ45" s="102">
        <v>0</v>
      </c>
      <c r="CR45" s="102">
        <v>0</v>
      </c>
      <c r="CS45" s="102">
        <v>0</v>
      </c>
      <c r="CT45" s="102">
        <v>0</v>
      </c>
      <c r="CU45" s="102">
        <v>0</v>
      </c>
      <c r="CV45" s="102">
        <v>0</v>
      </c>
      <c r="CW45" s="102">
        <v>0</v>
      </c>
      <c r="CX45" s="102">
        <v>0</v>
      </c>
      <c r="CY45" s="102">
        <v>0</v>
      </c>
      <c r="CZ45" s="102">
        <v>0</v>
      </c>
      <c r="DA45" s="102">
        <v>0</v>
      </c>
      <c r="DB45" s="102">
        <v>0</v>
      </c>
      <c r="DC45" s="102">
        <v>0</v>
      </c>
      <c r="DD45" s="102">
        <v>0</v>
      </c>
      <c r="DE45" s="102">
        <v>0</v>
      </c>
      <c r="DF45" s="102">
        <v>0</v>
      </c>
      <c r="DG45" s="102">
        <v>0</v>
      </c>
      <c r="DH45" s="102">
        <v>0</v>
      </c>
      <c r="DI45" s="102">
        <v>0</v>
      </c>
      <c r="DJ45" s="102">
        <v>0</v>
      </c>
      <c r="DK45" s="102">
        <v>0</v>
      </c>
      <c r="DL45" s="102">
        <v>0</v>
      </c>
      <c r="DM45" s="102">
        <v>0</v>
      </c>
      <c r="DN45" s="102">
        <v>0</v>
      </c>
      <c r="DO45" s="102">
        <v>0</v>
      </c>
      <c r="DP45" s="102">
        <v>0</v>
      </c>
      <c r="DQ45" s="102">
        <v>0</v>
      </c>
      <c r="DR45" s="102">
        <v>0</v>
      </c>
      <c r="DS45" s="102">
        <v>0</v>
      </c>
      <c r="DT45" s="102">
        <v>0</v>
      </c>
      <c r="DU45" s="102">
        <v>0</v>
      </c>
      <c r="DV45" s="102">
        <v>0</v>
      </c>
      <c r="DW45" s="102">
        <v>0</v>
      </c>
      <c r="DX45" s="102">
        <v>0</v>
      </c>
      <c r="DY45" s="102">
        <v>0</v>
      </c>
      <c r="DZ45" s="102">
        <v>0</v>
      </c>
      <c r="EA45" s="102">
        <v>0</v>
      </c>
      <c r="EB45" s="102">
        <v>0</v>
      </c>
      <c r="EC45" s="102">
        <v>0</v>
      </c>
      <c r="ED45" s="102">
        <v>0</v>
      </c>
      <c r="EE45" s="102">
        <v>0</v>
      </c>
      <c r="EF45" s="102">
        <v>0</v>
      </c>
      <c r="EG45" s="102">
        <v>0</v>
      </c>
      <c r="EH45" s="102">
        <v>0</v>
      </c>
      <c r="EI45" s="102">
        <v>0</v>
      </c>
      <c r="EJ45" s="102">
        <v>0</v>
      </c>
      <c r="EK45" s="102">
        <v>0</v>
      </c>
      <c r="EL45" s="102">
        <v>0</v>
      </c>
      <c r="EM45" s="102">
        <v>0</v>
      </c>
      <c r="EN45" s="102">
        <v>0</v>
      </c>
      <c r="EO45" s="102">
        <v>0</v>
      </c>
      <c r="EP45" s="102">
        <v>0</v>
      </c>
      <c r="EQ45" s="102">
        <v>0</v>
      </c>
      <c r="ER45" s="102">
        <v>0</v>
      </c>
      <c r="ES45" s="102">
        <v>0</v>
      </c>
      <c r="ET45" s="102">
        <v>0</v>
      </c>
      <c r="EU45" s="102">
        <v>0</v>
      </c>
      <c r="EV45" s="102">
        <v>0</v>
      </c>
      <c r="EW45" s="102">
        <v>0</v>
      </c>
      <c r="EX45" s="102">
        <v>0</v>
      </c>
      <c r="EY45" s="102">
        <v>0</v>
      </c>
      <c r="EZ45" s="102">
        <v>0</v>
      </c>
      <c r="FA45" s="102">
        <v>0</v>
      </c>
      <c r="FB45" s="102">
        <v>0</v>
      </c>
      <c r="FC45" s="102">
        <v>0</v>
      </c>
      <c r="FD45" s="102">
        <v>0</v>
      </c>
      <c r="FE45" s="102">
        <v>0</v>
      </c>
      <c r="FF45" s="102">
        <v>0</v>
      </c>
      <c r="FG45" s="102">
        <v>0</v>
      </c>
      <c r="FH45" s="102">
        <v>0</v>
      </c>
      <c r="FI45" s="102">
        <v>0</v>
      </c>
      <c r="FJ45" s="71">
        <v>0</v>
      </c>
    </row>
    <row r="46" spans="1:166" x14ac:dyDescent="0.3">
      <c r="A46" s="401" t="s">
        <v>720</v>
      </c>
      <c r="B46" s="103" t="s">
        <v>424</v>
      </c>
      <c r="C46" s="419" t="s">
        <v>658</v>
      </c>
      <c r="D46" s="419" t="s">
        <v>714</v>
      </c>
      <c r="E46" s="419" t="s">
        <v>715</v>
      </c>
      <c r="F46" s="103" t="s">
        <v>703</v>
      </c>
      <c r="G46" s="103" t="s">
        <v>710</v>
      </c>
      <c r="H46" s="103">
        <v>0</v>
      </c>
      <c r="I46" s="103">
        <v>0</v>
      </c>
      <c r="J46" s="103" t="s">
        <v>661</v>
      </c>
      <c r="K46" s="103">
        <v>0</v>
      </c>
      <c r="L46" s="103" t="s">
        <v>712</v>
      </c>
      <c r="M46" s="103">
        <v>1</v>
      </c>
      <c r="N46" s="103">
        <v>0</v>
      </c>
      <c r="O46" s="103">
        <v>1870000</v>
      </c>
      <c r="P46" s="393">
        <f t="shared" si="0"/>
        <v>1870000</v>
      </c>
      <c r="Q46" s="103">
        <v>0</v>
      </c>
      <c r="R46" s="103">
        <v>0</v>
      </c>
      <c r="S46" s="103">
        <v>0</v>
      </c>
      <c r="T46" s="395">
        <v>1</v>
      </c>
      <c r="U46" s="103">
        <v>0</v>
      </c>
      <c r="V46" s="102">
        <v>0</v>
      </c>
      <c r="W46" s="102">
        <v>0</v>
      </c>
      <c r="X46" s="102">
        <v>0</v>
      </c>
      <c r="Y46" s="102">
        <v>0</v>
      </c>
      <c r="Z46" s="102">
        <v>0</v>
      </c>
      <c r="AA46" s="102">
        <v>0</v>
      </c>
      <c r="AB46" s="102">
        <v>0</v>
      </c>
      <c r="AC46" s="102">
        <v>0</v>
      </c>
      <c r="AD46" s="102">
        <v>0</v>
      </c>
      <c r="AE46" s="102">
        <v>0</v>
      </c>
      <c r="AF46" s="102">
        <v>0</v>
      </c>
      <c r="AG46" s="102">
        <v>0</v>
      </c>
      <c r="AH46" s="102">
        <v>0</v>
      </c>
      <c r="AI46" s="102">
        <v>0</v>
      </c>
      <c r="AJ46" s="102">
        <v>0</v>
      </c>
      <c r="AK46" s="102">
        <v>0</v>
      </c>
      <c r="AL46" s="102">
        <v>0</v>
      </c>
      <c r="AM46" s="102">
        <v>0</v>
      </c>
      <c r="AN46" s="102">
        <v>0</v>
      </c>
      <c r="AO46" s="102">
        <v>0</v>
      </c>
      <c r="AP46" s="102">
        <v>0</v>
      </c>
      <c r="AQ46" s="102">
        <v>0</v>
      </c>
      <c r="AR46" s="102">
        <v>0</v>
      </c>
      <c r="AS46" s="102">
        <v>0</v>
      </c>
      <c r="AT46" s="102">
        <v>0</v>
      </c>
      <c r="AU46" s="102">
        <v>0</v>
      </c>
      <c r="AV46" s="102">
        <v>0</v>
      </c>
      <c r="AW46" s="102">
        <v>0</v>
      </c>
      <c r="AX46" s="102">
        <v>0</v>
      </c>
      <c r="AY46" s="102">
        <v>0</v>
      </c>
      <c r="AZ46" s="102">
        <v>0</v>
      </c>
      <c r="BA46" s="102">
        <v>0</v>
      </c>
      <c r="BB46" s="102">
        <v>0</v>
      </c>
      <c r="BC46" s="102">
        <v>0</v>
      </c>
      <c r="BD46" s="102">
        <v>0</v>
      </c>
      <c r="BE46" s="102">
        <v>0</v>
      </c>
      <c r="BF46" s="102">
        <v>0</v>
      </c>
      <c r="BG46" s="102">
        <v>0</v>
      </c>
      <c r="BH46" s="102">
        <v>0</v>
      </c>
      <c r="BI46" s="102">
        <v>0</v>
      </c>
      <c r="BJ46" s="102">
        <v>0</v>
      </c>
      <c r="BK46" s="102">
        <v>0</v>
      </c>
      <c r="BL46" s="102">
        <v>0</v>
      </c>
      <c r="BM46" s="102">
        <v>0</v>
      </c>
      <c r="BN46" s="102">
        <v>0</v>
      </c>
      <c r="BO46" s="102">
        <v>0</v>
      </c>
      <c r="BP46" s="102">
        <v>0</v>
      </c>
      <c r="BQ46" s="102">
        <v>0</v>
      </c>
      <c r="BR46" s="102">
        <v>0</v>
      </c>
      <c r="BS46" s="102">
        <v>0</v>
      </c>
      <c r="BT46" s="102">
        <v>0</v>
      </c>
      <c r="BU46" s="102">
        <v>0</v>
      </c>
      <c r="BV46" s="102">
        <v>0</v>
      </c>
      <c r="BW46" s="102">
        <v>0</v>
      </c>
      <c r="BX46" s="102">
        <v>0</v>
      </c>
      <c r="BY46" s="102">
        <v>0</v>
      </c>
      <c r="BZ46" s="102">
        <v>0</v>
      </c>
      <c r="CA46" s="102">
        <v>0</v>
      </c>
      <c r="CB46" s="102">
        <v>0</v>
      </c>
      <c r="CC46" s="102">
        <v>0</v>
      </c>
      <c r="CD46" s="102">
        <v>0</v>
      </c>
      <c r="CE46" s="102">
        <v>0</v>
      </c>
      <c r="CF46" s="102">
        <v>0</v>
      </c>
      <c r="CG46" s="102">
        <v>0</v>
      </c>
      <c r="CH46" s="102">
        <v>0</v>
      </c>
      <c r="CI46" s="102">
        <v>0</v>
      </c>
      <c r="CJ46" s="102">
        <v>0</v>
      </c>
      <c r="CK46" s="102">
        <v>0</v>
      </c>
      <c r="CL46" s="102">
        <v>0</v>
      </c>
      <c r="CM46" s="102">
        <v>0</v>
      </c>
      <c r="CN46" s="102">
        <v>0</v>
      </c>
      <c r="CO46" s="102">
        <v>0</v>
      </c>
      <c r="CP46" s="102">
        <v>0</v>
      </c>
      <c r="CQ46" s="102">
        <v>0</v>
      </c>
      <c r="CR46" s="102">
        <v>0</v>
      </c>
      <c r="CS46" s="102">
        <v>0</v>
      </c>
      <c r="CT46" s="102">
        <v>0</v>
      </c>
      <c r="CU46" s="102">
        <v>0</v>
      </c>
      <c r="CV46" s="102">
        <v>0</v>
      </c>
      <c r="CW46" s="102">
        <v>0</v>
      </c>
      <c r="CX46" s="102">
        <v>0</v>
      </c>
      <c r="CY46" s="102">
        <v>0</v>
      </c>
      <c r="CZ46" s="102">
        <v>0</v>
      </c>
      <c r="DA46" s="102">
        <v>0</v>
      </c>
      <c r="DB46" s="102">
        <v>0</v>
      </c>
      <c r="DC46" s="102">
        <v>0</v>
      </c>
      <c r="DD46" s="102">
        <v>0</v>
      </c>
      <c r="DE46" s="102">
        <v>0</v>
      </c>
      <c r="DF46" s="102">
        <v>0</v>
      </c>
      <c r="DG46" s="102">
        <v>0</v>
      </c>
      <c r="DH46" s="102">
        <v>0</v>
      </c>
      <c r="DI46" s="102">
        <v>0</v>
      </c>
      <c r="DJ46" s="102">
        <v>0</v>
      </c>
      <c r="DK46" s="102">
        <v>0</v>
      </c>
      <c r="DL46" s="102">
        <v>0</v>
      </c>
      <c r="DM46" s="102">
        <v>0</v>
      </c>
      <c r="DN46" s="102">
        <v>0</v>
      </c>
      <c r="DO46" s="102">
        <v>0</v>
      </c>
      <c r="DP46" s="102">
        <v>0</v>
      </c>
      <c r="DQ46" s="102">
        <v>0</v>
      </c>
      <c r="DR46" s="102">
        <v>0</v>
      </c>
      <c r="DS46" s="102">
        <v>0</v>
      </c>
      <c r="DT46" s="102">
        <v>0</v>
      </c>
      <c r="DU46" s="102">
        <v>0</v>
      </c>
      <c r="DV46" s="102">
        <v>0</v>
      </c>
      <c r="DW46" s="102">
        <v>0</v>
      </c>
      <c r="DX46" s="102">
        <v>0</v>
      </c>
      <c r="DY46" s="102">
        <v>0</v>
      </c>
      <c r="DZ46" s="102">
        <v>0</v>
      </c>
      <c r="EA46" s="102">
        <v>0</v>
      </c>
      <c r="EB46" s="102">
        <v>0</v>
      </c>
      <c r="EC46" s="102">
        <v>0</v>
      </c>
      <c r="ED46" s="102">
        <v>0</v>
      </c>
      <c r="EE46" s="102">
        <v>0</v>
      </c>
      <c r="EF46" s="102">
        <v>0</v>
      </c>
      <c r="EG46" s="102">
        <v>0</v>
      </c>
      <c r="EH46" s="102">
        <v>0</v>
      </c>
      <c r="EI46" s="102">
        <v>0</v>
      </c>
      <c r="EJ46" s="102">
        <v>0</v>
      </c>
      <c r="EK46" s="102">
        <v>0</v>
      </c>
      <c r="EL46" s="102">
        <v>0</v>
      </c>
      <c r="EM46" s="102">
        <v>0</v>
      </c>
      <c r="EN46" s="102">
        <v>0</v>
      </c>
      <c r="EO46" s="102">
        <v>0</v>
      </c>
      <c r="EP46" s="102">
        <v>0</v>
      </c>
      <c r="EQ46" s="102">
        <v>0</v>
      </c>
      <c r="ER46" s="102">
        <v>0</v>
      </c>
      <c r="ES46" s="102">
        <v>0</v>
      </c>
      <c r="ET46" s="102">
        <v>0</v>
      </c>
      <c r="EU46" s="102">
        <v>0</v>
      </c>
      <c r="EV46" s="102">
        <v>0</v>
      </c>
      <c r="EW46" s="102">
        <v>0</v>
      </c>
      <c r="EX46" s="102">
        <v>0</v>
      </c>
      <c r="EY46" s="102">
        <v>0</v>
      </c>
      <c r="EZ46" s="102">
        <v>0</v>
      </c>
      <c r="FA46" s="102">
        <v>0</v>
      </c>
      <c r="FB46" s="102">
        <v>0</v>
      </c>
      <c r="FC46" s="102">
        <v>0</v>
      </c>
      <c r="FD46" s="102">
        <v>0</v>
      </c>
      <c r="FE46" s="102">
        <v>0</v>
      </c>
      <c r="FF46" s="102">
        <v>0</v>
      </c>
      <c r="FG46" s="102">
        <v>0</v>
      </c>
      <c r="FH46" s="102">
        <v>0</v>
      </c>
      <c r="FI46" s="102">
        <v>0</v>
      </c>
      <c r="FJ46" s="71">
        <v>0</v>
      </c>
    </row>
    <row r="47" spans="1:166" x14ac:dyDescent="0.3">
      <c r="A47" s="401" t="s">
        <v>721</v>
      </c>
      <c r="B47" s="103" t="s">
        <v>424</v>
      </c>
      <c r="C47" s="419" t="s">
        <v>658</v>
      </c>
      <c r="D47" s="419" t="s">
        <v>714</v>
      </c>
      <c r="E47" s="419" t="s">
        <v>715</v>
      </c>
      <c r="F47" s="103" t="s">
        <v>704</v>
      </c>
      <c r="G47" s="103" t="s">
        <v>704</v>
      </c>
      <c r="H47" s="103">
        <v>0</v>
      </c>
      <c r="I47" s="103">
        <v>0</v>
      </c>
      <c r="J47" s="103" t="s">
        <v>661</v>
      </c>
      <c r="K47" s="103">
        <v>0</v>
      </c>
      <c r="L47" s="103" t="s">
        <v>713</v>
      </c>
      <c r="M47" s="103">
        <v>400</v>
      </c>
      <c r="N47" s="103">
        <v>0</v>
      </c>
      <c r="O47" s="103">
        <v>20000</v>
      </c>
      <c r="P47" s="393">
        <f t="shared" si="0"/>
        <v>8000000</v>
      </c>
      <c r="Q47" s="103">
        <v>0</v>
      </c>
      <c r="R47" s="103">
        <v>0</v>
      </c>
      <c r="S47" s="103">
        <v>0</v>
      </c>
      <c r="T47" s="395">
        <v>1</v>
      </c>
      <c r="U47" s="103">
        <v>0</v>
      </c>
      <c r="V47" s="102">
        <v>0</v>
      </c>
      <c r="W47" s="102">
        <v>0</v>
      </c>
      <c r="X47" s="102">
        <v>0</v>
      </c>
      <c r="Y47" s="102">
        <v>0</v>
      </c>
      <c r="Z47" s="102">
        <v>0</v>
      </c>
      <c r="AA47" s="102">
        <v>0</v>
      </c>
      <c r="AB47" s="102">
        <v>0</v>
      </c>
      <c r="AC47" s="102">
        <v>0</v>
      </c>
      <c r="AD47" s="102">
        <v>0</v>
      </c>
      <c r="AE47" s="102">
        <v>0</v>
      </c>
      <c r="AF47" s="102">
        <v>0</v>
      </c>
      <c r="AG47" s="102">
        <v>0</v>
      </c>
      <c r="AH47" s="102">
        <v>0</v>
      </c>
      <c r="AI47" s="102">
        <v>0</v>
      </c>
      <c r="AJ47" s="102">
        <v>0</v>
      </c>
      <c r="AK47" s="102">
        <v>0</v>
      </c>
      <c r="AL47" s="102">
        <v>0</v>
      </c>
      <c r="AM47" s="102">
        <v>0</v>
      </c>
      <c r="AN47" s="102">
        <v>0</v>
      </c>
      <c r="AO47" s="102">
        <v>0</v>
      </c>
      <c r="AP47" s="102">
        <v>0</v>
      </c>
      <c r="AQ47" s="102">
        <v>0</v>
      </c>
      <c r="AR47" s="102">
        <v>0</v>
      </c>
      <c r="AS47" s="102">
        <v>0</v>
      </c>
      <c r="AT47" s="102">
        <v>0</v>
      </c>
      <c r="AU47" s="102">
        <v>0</v>
      </c>
      <c r="AV47" s="102">
        <v>0</v>
      </c>
      <c r="AW47" s="102">
        <v>0</v>
      </c>
      <c r="AX47" s="102">
        <v>0</v>
      </c>
      <c r="AY47" s="102">
        <v>0</v>
      </c>
      <c r="AZ47" s="102">
        <v>0</v>
      </c>
      <c r="BA47" s="102">
        <v>0</v>
      </c>
      <c r="BB47" s="102">
        <v>0</v>
      </c>
      <c r="BC47" s="102">
        <v>0</v>
      </c>
      <c r="BD47" s="102">
        <v>0</v>
      </c>
      <c r="BE47" s="102">
        <v>0</v>
      </c>
      <c r="BF47" s="102">
        <v>0</v>
      </c>
      <c r="BG47" s="102">
        <v>0</v>
      </c>
      <c r="BH47" s="102">
        <v>0</v>
      </c>
      <c r="BI47" s="102">
        <v>0</v>
      </c>
      <c r="BJ47" s="102">
        <v>0</v>
      </c>
      <c r="BK47" s="102">
        <v>0</v>
      </c>
      <c r="BL47" s="102">
        <v>0</v>
      </c>
      <c r="BM47" s="102">
        <v>0</v>
      </c>
      <c r="BN47" s="102">
        <v>0</v>
      </c>
      <c r="BO47" s="102">
        <v>0</v>
      </c>
      <c r="BP47" s="102">
        <v>0</v>
      </c>
      <c r="BQ47" s="102">
        <v>0</v>
      </c>
      <c r="BR47" s="102">
        <v>0</v>
      </c>
      <c r="BS47" s="102">
        <v>0</v>
      </c>
      <c r="BT47" s="102">
        <v>0</v>
      </c>
      <c r="BU47" s="102">
        <v>0</v>
      </c>
      <c r="BV47" s="102">
        <v>0</v>
      </c>
      <c r="BW47" s="102">
        <v>0</v>
      </c>
      <c r="BX47" s="102">
        <v>0</v>
      </c>
      <c r="BY47" s="102">
        <v>0</v>
      </c>
      <c r="BZ47" s="102">
        <v>0</v>
      </c>
      <c r="CA47" s="102">
        <v>0</v>
      </c>
      <c r="CB47" s="102">
        <v>0</v>
      </c>
      <c r="CC47" s="102">
        <v>0</v>
      </c>
      <c r="CD47" s="102">
        <v>0</v>
      </c>
      <c r="CE47" s="102">
        <v>0</v>
      </c>
      <c r="CF47" s="102">
        <v>0</v>
      </c>
      <c r="CG47" s="102">
        <v>0</v>
      </c>
      <c r="CH47" s="102">
        <v>0</v>
      </c>
      <c r="CI47" s="102">
        <v>0</v>
      </c>
      <c r="CJ47" s="102">
        <v>0</v>
      </c>
      <c r="CK47" s="102">
        <v>0</v>
      </c>
      <c r="CL47" s="102">
        <v>0</v>
      </c>
      <c r="CM47" s="102">
        <v>0</v>
      </c>
      <c r="CN47" s="102">
        <v>0</v>
      </c>
      <c r="CO47" s="102">
        <v>0</v>
      </c>
      <c r="CP47" s="102">
        <v>0</v>
      </c>
      <c r="CQ47" s="102">
        <v>0</v>
      </c>
      <c r="CR47" s="102">
        <v>0</v>
      </c>
      <c r="CS47" s="102">
        <v>0</v>
      </c>
      <c r="CT47" s="102">
        <v>0</v>
      </c>
      <c r="CU47" s="102">
        <v>0</v>
      </c>
      <c r="CV47" s="102">
        <v>0</v>
      </c>
      <c r="CW47" s="102">
        <v>0</v>
      </c>
      <c r="CX47" s="102">
        <v>0</v>
      </c>
      <c r="CY47" s="102">
        <v>0</v>
      </c>
      <c r="CZ47" s="102">
        <v>0</v>
      </c>
      <c r="DA47" s="102">
        <v>0</v>
      </c>
      <c r="DB47" s="102">
        <v>0</v>
      </c>
      <c r="DC47" s="102">
        <v>0</v>
      </c>
      <c r="DD47" s="102">
        <v>0</v>
      </c>
      <c r="DE47" s="102">
        <v>0</v>
      </c>
      <c r="DF47" s="102">
        <v>0</v>
      </c>
      <c r="DG47" s="102">
        <v>0</v>
      </c>
      <c r="DH47" s="102">
        <v>0</v>
      </c>
      <c r="DI47" s="102">
        <v>0</v>
      </c>
      <c r="DJ47" s="102">
        <v>0</v>
      </c>
      <c r="DK47" s="102">
        <v>0</v>
      </c>
      <c r="DL47" s="102">
        <v>0</v>
      </c>
      <c r="DM47" s="102">
        <v>0</v>
      </c>
      <c r="DN47" s="102">
        <v>0</v>
      </c>
      <c r="DO47" s="102">
        <v>0</v>
      </c>
      <c r="DP47" s="102">
        <v>0</v>
      </c>
      <c r="DQ47" s="102">
        <v>0</v>
      </c>
      <c r="DR47" s="102">
        <v>0</v>
      </c>
      <c r="DS47" s="102">
        <v>0</v>
      </c>
      <c r="DT47" s="102">
        <v>0</v>
      </c>
      <c r="DU47" s="102">
        <v>0</v>
      </c>
      <c r="DV47" s="102">
        <v>0</v>
      </c>
      <c r="DW47" s="102">
        <v>0</v>
      </c>
      <c r="DX47" s="102">
        <v>0</v>
      </c>
      <c r="DY47" s="102">
        <v>0</v>
      </c>
      <c r="DZ47" s="102">
        <v>0</v>
      </c>
      <c r="EA47" s="102">
        <v>0</v>
      </c>
      <c r="EB47" s="102">
        <v>0</v>
      </c>
      <c r="EC47" s="102">
        <v>0</v>
      </c>
      <c r="ED47" s="102">
        <v>0</v>
      </c>
      <c r="EE47" s="102">
        <v>0</v>
      </c>
      <c r="EF47" s="102">
        <v>0</v>
      </c>
      <c r="EG47" s="102">
        <v>0</v>
      </c>
      <c r="EH47" s="102">
        <v>0</v>
      </c>
      <c r="EI47" s="102">
        <v>0</v>
      </c>
      <c r="EJ47" s="102">
        <v>0</v>
      </c>
      <c r="EK47" s="102">
        <v>0</v>
      </c>
      <c r="EL47" s="102">
        <v>0</v>
      </c>
      <c r="EM47" s="102">
        <v>0</v>
      </c>
      <c r="EN47" s="102">
        <v>0</v>
      </c>
      <c r="EO47" s="102">
        <v>0</v>
      </c>
      <c r="EP47" s="102">
        <v>0</v>
      </c>
      <c r="EQ47" s="102">
        <v>0</v>
      </c>
      <c r="ER47" s="102">
        <v>0</v>
      </c>
      <c r="ES47" s="102">
        <v>0</v>
      </c>
      <c r="ET47" s="102">
        <v>0</v>
      </c>
      <c r="EU47" s="102">
        <v>0</v>
      </c>
      <c r="EV47" s="102">
        <v>0</v>
      </c>
      <c r="EW47" s="102">
        <v>0</v>
      </c>
      <c r="EX47" s="102">
        <v>0</v>
      </c>
      <c r="EY47" s="102">
        <v>0</v>
      </c>
      <c r="EZ47" s="102">
        <v>0</v>
      </c>
      <c r="FA47" s="102">
        <v>0</v>
      </c>
      <c r="FB47" s="102">
        <v>0</v>
      </c>
      <c r="FC47" s="102">
        <v>0</v>
      </c>
      <c r="FD47" s="102">
        <v>0</v>
      </c>
      <c r="FE47" s="102">
        <v>0</v>
      </c>
      <c r="FF47" s="102">
        <v>0</v>
      </c>
      <c r="FG47" s="102">
        <v>0</v>
      </c>
      <c r="FH47" s="102">
        <v>0</v>
      </c>
      <c r="FI47" s="102">
        <v>0</v>
      </c>
      <c r="FJ47" s="71">
        <v>0</v>
      </c>
    </row>
    <row r="48" spans="1:166" x14ac:dyDescent="0.3">
      <c r="A48" s="401" t="s">
        <v>722</v>
      </c>
      <c r="B48" s="103" t="s">
        <v>424</v>
      </c>
      <c r="C48" s="419" t="s">
        <v>658</v>
      </c>
      <c r="D48" s="419" t="s">
        <v>714</v>
      </c>
      <c r="E48" s="419" t="s">
        <v>715</v>
      </c>
      <c r="F48" s="103" t="s">
        <v>705</v>
      </c>
      <c r="G48" s="103" t="s">
        <v>711</v>
      </c>
      <c r="H48" s="103">
        <v>0</v>
      </c>
      <c r="I48" s="103">
        <v>0</v>
      </c>
      <c r="J48" s="103" t="s">
        <v>661</v>
      </c>
      <c r="K48" s="103">
        <v>0</v>
      </c>
      <c r="L48" s="103" t="s">
        <v>712</v>
      </c>
      <c r="M48" s="103">
        <v>1</v>
      </c>
      <c r="N48" s="103">
        <v>0</v>
      </c>
      <c r="O48" s="103">
        <v>23000000</v>
      </c>
      <c r="P48" s="393">
        <f t="shared" si="0"/>
        <v>23000000</v>
      </c>
      <c r="Q48" s="103">
        <v>0</v>
      </c>
      <c r="R48" s="103">
        <v>0</v>
      </c>
      <c r="S48" s="103">
        <v>0</v>
      </c>
      <c r="T48" s="395">
        <v>1</v>
      </c>
      <c r="U48" s="103">
        <v>0</v>
      </c>
      <c r="V48" s="102">
        <v>0</v>
      </c>
      <c r="W48" s="102">
        <v>0</v>
      </c>
      <c r="X48" s="102">
        <v>0</v>
      </c>
      <c r="Y48" s="102">
        <v>0</v>
      </c>
      <c r="Z48" s="102">
        <v>0</v>
      </c>
      <c r="AA48" s="102">
        <v>0</v>
      </c>
      <c r="AB48" s="102">
        <v>0</v>
      </c>
      <c r="AC48" s="102">
        <v>0</v>
      </c>
      <c r="AD48" s="102">
        <v>0</v>
      </c>
      <c r="AE48" s="102">
        <v>0</v>
      </c>
      <c r="AF48" s="102">
        <v>0</v>
      </c>
      <c r="AG48" s="102">
        <v>0</v>
      </c>
      <c r="AH48" s="102">
        <v>0</v>
      </c>
      <c r="AI48" s="102">
        <v>0</v>
      </c>
      <c r="AJ48" s="102">
        <v>0</v>
      </c>
      <c r="AK48" s="102">
        <v>0</v>
      </c>
      <c r="AL48" s="102">
        <v>0</v>
      </c>
      <c r="AM48" s="102">
        <v>0</v>
      </c>
      <c r="AN48" s="102">
        <v>0</v>
      </c>
      <c r="AO48" s="102">
        <v>0</v>
      </c>
      <c r="AP48" s="102">
        <v>0</v>
      </c>
      <c r="AQ48" s="102">
        <v>0</v>
      </c>
      <c r="AR48" s="102">
        <v>0</v>
      </c>
      <c r="AS48" s="102">
        <v>0</v>
      </c>
      <c r="AT48" s="102">
        <v>0</v>
      </c>
      <c r="AU48" s="102">
        <v>0</v>
      </c>
      <c r="AV48" s="102">
        <v>0</v>
      </c>
      <c r="AW48" s="102">
        <v>0</v>
      </c>
      <c r="AX48" s="102">
        <v>0</v>
      </c>
      <c r="AY48" s="102">
        <v>0</v>
      </c>
      <c r="AZ48" s="102">
        <v>0</v>
      </c>
      <c r="BA48" s="102">
        <v>0</v>
      </c>
      <c r="BB48" s="102">
        <v>0</v>
      </c>
      <c r="BC48" s="102">
        <v>0</v>
      </c>
      <c r="BD48" s="102">
        <v>0</v>
      </c>
      <c r="BE48" s="102">
        <v>0</v>
      </c>
      <c r="BF48" s="102">
        <v>0</v>
      </c>
      <c r="BG48" s="102">
        <v>0</v>
      </c>
      <c r="BH48" s="102">
        <v>0</v>
      </c>
      <c r="BI48" s="102">
        <v>0</v>
      </c>
      <c r="BJ48" s="102">
        <v>0</v>
      </c>
      <c r="BK48" s="102">
        <v>0</v>
      </c>
      <c r="BL48" s="102">
        <v>0</v>
      </c>
      <c r="BM48" s="102">
        <v>0</v>
      </c>
      <c r="BN48" s="102">
        <v>0</v>
      </c>
      <c r="BO48" s="102">
        <v>0</v>
      </c>
      <c r="BP48" s="102">
        <v>0</v>
      </c>
      <c r="BQ48" s="102">
        <v>0</v>
      </c>
      <c r="BR48" s="102">
        <v>0</v>
      </c>
      <c r="BS48" s="102">
        <v>0</v>
      </c>
      <c r="BT48" s="102">
        <v>0</v>
      </c>
      <c r="BU48" s="102">
        <v>0</v>
      </c>
      <c r="BV48" s="102">
        <v>0</v>
      </c>
      <c r="BW48" s="102">
        <v>0</v>
      </c>
      <c r="BX48" s="102">
        <v>0</v>
      </c>
      <c r="BY48" s="102">
        <v>0</v>
      </c>
      <c r="BZ48" s="102">
        <v>0</v>
      </c>
      <c r="CA48" s="102">
        <v>0</v>
      </c>
      <c r="CB48" s="102">
        <v>0</v>
      </c>
      <c r="CC48" s="102">
        <v>0</v>
      </c>
      <c r="CD48" s="102">
        <v>0</v>
      </c>
      <c r="CE48" s="102">
        <v>0</v>
      </c>
      <c r="CF48" s="102">
        <v>0</v>
      </c>
      <c r="CG48" s="102">
        <v>0</v>
      </c>
      <c r="CH48" s="102">
        <v>0</v>
      </c>
      <c r="CI48" s="102">
        <v>0</v>
      </c>
      <c r="CJ48" s="102">
        <v>0</v>
      </c>
      <c r="CK48" s="102">
        <v>0</v>
      </c>
      <c r="CL48" s="102">
        <v>0</v>
      </c>
      <c r="CM48" s="102">
        <v>0</v>
      </c>
      <c r="CN48" s="102">
        <v>0</v>
      </c>
      <c r="CO48" s="102">
        <v>0</v>
      </c>
      <c r="CP48" s="102">
        <v>0</v>
      </c>
      <c r="CQ48" s="102">
        <v>0</v>
      </c>
      <c r="CR48" s="102">
        <v>0</v>
      </c>
      <c r="CS48" s="102">
        <v>0</v>
      </c>
      <c r="CT48" s="102">
        <v>0</v>
      </c>
      <c r="CU48" s="102">
        <v>0</v>
      </c>
      <c r="CV48" s="102">
        <v>0</v>
      </c>
      <c r="CW48" s="102">
        <v>0</v>
      </c>
      <c r="CX48" s="102">
        <v>0</v>
      </c>
      <c r="CY48" s="102">
        <v>0</v>
      </c>
      <c r="CZ48" s="102">
        <v>0</v>
      </c>
      <c r="DA48" s="102">
        <v>0</v>
      </c>
      <c r="DB48" s="102">
        <v>0</v>
      </c>
      <c r="DC48" s="102">
        <v>0</v>
      </c>
      <c r="DD48" s="102">
        <v>0</v>
      </c>
      <c r="DE48" s="102">
        <v>0</v>
      </c>
      <c r="DF48" s="102">
        <v>0</v>
      </c>
      <c r="DG48" s="102">
        <v>0</v>
      </c>
      <c r="DH48" s="102">
        <v>0</v>
      </c>
      <c r="DI48" s="102">
        <v>0</v>
      </c>
      <c r="DJ48" s="102">
        <v>0</v>
      </c>
      <c r="DK48" s="102">
        <v>0</v>
      </c>
      <c r="DL48" s="102">
        <v>0</v>
      </c>
      <c r="DM48" s="102">
        <v>0</v>
      </c>
      <c r="DN48" s="102">
        <v>0</v>
      </c>
      <c r="DO48" s="102">
        <v>0</v>
      </c>
      <c r="DP48" s="102">
        <v>0</v>
      </c>
      <c r="DQ48" s="102">
        <v>0</v>
      </c>
      <c r="DR48" s="102">
        <v>0</v>
      </c>
      <c r="DS48" s="102">
        <v>0</v>
      </c>
      <c r="DT48" s="102">
        <v>0</v>
      </c>
      <c r="DU48" s="102">
        <v>0</v>
      </c>
      <c r="DV48" s="102">
        <v>0</v>
      </c>
      <c r="DW48" s="102">
        <v>0</v>
      </c>
      <c r="DX48" s="102">
        <v>0</v>
      </c>
      <c r="DY48" s="102">
        <v>0</v>
      </c>
      <c r="DZ48" s="102">
        <v>0</v>
      </c>
      <c r="EA48" s="102">
        <v>0</v>
      </c>
      <c r="EB48" s="102">
        <v>0</v>
      </c>
      <c r="EC48" s="102">
        <v>0</v>
      </c>
      <c r="ED48" s="102">
        <v>0</v>
      </c>
      <c r="EE48" s="102">
        <v>0</v>
      </c>
      <c r="EF48" s="102">
        <v>0</v>
      </c>
      <c r="EG48" s="102">
        <v>0</v>
      </c>
      <c r="EH48" s="102">
        <v>0</v>
      </c>
      <c r="EI48" s="102">
        <v>0</v>
      </c>
      <c r="EJ48" s="102">
        <v>0</v>
      </c>
      <c r="EK48" s="102">
        <v>0</v>
      </c>
      <c r="EL48" s="102">
        <v>0</v>
      </c>
      <c r="EM48" s="102">
        <v>0</v>
      </c>
      <c r="EN48" s="102">
        <v>0</v>
      </c>
      <c r="EO48" s="102">
        <v>0</v>
      </c>
      <c r="EP48" s="102">
        <v>0</v>
      </c>
      <c r="EQ48" s="102">
        <v>0</v>
      </c>
      <c r="ER48" s="102">
        <v>0</v>
      </c>
      <c r="ES48" s="102">
        <v>0</v>
      </c>
      <c r="ET48" s="102">
        <v>0</v>
      </c>
      <c r="EU48" s="102">
        <v>0</v>
      </c>
      <c r="EV48" s="102">
        <v>0</v>
      </c>
      <c r="EW48" s="102">
        <v>0</v>
      </c>
      <c r="EX48" s="102">
        <v>0</v>
      </c>
      <c r="EY48" s="102">
        <v>0</v>
      </c>
      <c r="EZ48" s="102">
        <v>0</v>
      </c>
      <c r="FA48" s="102">
        <v>0</v>
      </c>
      <c r="FB48" s="102">
        <v>0</v>
      </c>
      <c r="FC48" s="102">
        <v>0</v>
      </c>
      <c r="FD48" s="102">
        <v>0</v>
      </c>
      <c r="FE48" s="102">
        <v>0</v>
      </c>
      <c r="FF48" s="102">
        <v>0</v>
      </c>
      <c r="FG48" s="102">
        <v>0</v>
      </c>
      <c r="FH48" s="102">
        <v>0</v>
      </c>
      <c r="FI48" s="102">
        <v>0</v>
      </c>
      <c r="FJ48" s="71">
        <v>0</v>
      </c>
    </row>
    <row r="49" spans="1:166" x14ac:dyDescent="0.3">
      <c r="A49" s="401" t="s">
        <v>725</v>
      </c>
      <c r="B49" s="103" t="s">
        <v>424</v>
      </c>
      <c r="C49" s="419" t="s">
        <v>658</v>
      </c>
      <c r="D49" s="419" t="s">
        <v>723</v>
      </c>
      <c r="E49" s="419" t="s">
        <v>715</v>
      </c>
      <c r="F49" s="103" t="s">
        <v>741</v>
      </c>
      <c r="G49" s="103">
        <v>0</v>
      </c>
      <c r="H49" s="103">
        <v>0</v>
      </c>
      <c r="I49" s="103">
        <v>0</v>
      </c>
      <c r="J49" s="103" t="s">
        <v>661</v>
      </c>
      <c r="K49" s="103">
        <v>0</v>
      </c>
      <c r="L49" s="103" t="s">
        <v>724</v>
      </c>
      <c r="M49" s="103">
        <v>60</v>
      </c>
      <c r="N49" s="103">
        <v>0</v>
      </c>
      <c r="O49" s="103">
        <v>0</v>
      </c>
      <c r="P49" s="393">
        <v>0</v>
      </c>
      <c r="Q49" s="103">
        <v>24</v>
      </c>
      <c r="R49" s="103">
        <v>60</v>
      </c>
      <c r="S49" s="103">
        <v>0.2</v>
      </c>
      <c r="T49" s="395">
        <v>1</v>
      </c>
      <c r="U49" s="103">
        <v>0</v>
      </c>
      <c r="V49" s="102">
        <v>484541.66666666669</v>
      </c>
      <c r="W49" s="102">
        <v>29072500.000000004</v>
      </c>
      <c r="X49" s="102">
        <v>0</v>
      </c>
      <c r="Y49" s="102">
        <v>0</v>
      </c>
      <c r="Z49" s="102">
        <v>5814500.0000000009</v>
      </c>
      <c r="AA49" s="102">
        <v>5814500.0000000009</v>
      </c>
      <c r="AB49" s="102">
        <v>5814500.0000000009</v>
      </c>
      <c r="AC49" s="102">
        <v>5814500.0000000009</v>
      </c>
      <c r="AD49" s="102">
        <v>5814500.0000000009</v>
      </c>
      <c r="AE49" s="102">
        <v>0</v>
      </c>
      <c r="AF49" s="102">
        <v>0</v>
      </c>
      <c r="AG49" s="102">
        <v>0</v>
      </c>
      <c r="AH49" s="102">
        <v>0</v>
      </c>
      <c r="AI49" s="399">
        <v>0</v>
      </c>
      <c r="AJ49" s="399">
        <v>0</v>
      </c>
      <c r="AK49" s="399">
        <v>0</v>
      </c>
      <c r="AL49" s="399">
        <v>0</v>
      </c>
      <c r="AM49" s="399">
        <v>0</v>
      </c>
      <c r="AN49" s="399">
        <v>0</v>
      </c>
      <c r="AO49" s="399">
        <v>0</v>
      </c>
      <c r="AP49" s="399">
        <v>0</v>
      </c>
      <c r="AQ49" s="399">
        <v>0</v>
      </c>
      <c r="AR49" s="399">
        <v>0</v>
      </c>
      <c r="AS49" s="399">
        <v>0</v>
      </c>
      <c r="AT49" s="399">
        <v>0</v>
      </c>
      <c r="AU49" s="399">
        <v>0</v>
      </c>
      <c r="AV49" s="399">
        <v>0</v>
      </c>
      <c r="AW49" s="399">
        <v>0</v>
      </c>
      <c r="AX49" s="399">
        <v>0</v>
      </c>
      <c r="AY49" s="399">
        <v>0</v>
      </c>
      <c r="AZ49" s="399">
        <v>0</v>
      </c>
      <c r="BA49" s="399">
        <v>0</v>
      </c>
      <c r="BB49" s="399">
        <v>0</v>
      </c>
      <c r="BC49" s="399">
        <v>0</v>
      </c>
      <c r="BD49" s="399">
        <v>0</v>
      </c>
      <c r="BE49" s="399">
        <v>0</v>
      </c>
      <c r="BF49" s="399">
        <v>0</v>
      </c>
      <c r="BG49" s="102">
        <v>484541.66666666669</v>
      </c>
      <c r="BH49" s="102">
        <v>484541.66666666669</v>
      </c>
      <c r="BI49" s="102">
        <v>484541.66666666669</v>
      </c>
      <c r="BJ49" s="102">
        <v>484541.66666666669</v>
      </c>
      <c r="BK49" s="102">
        <v>484541.66666666669</v>
      </c>
      <c r="BL49" s="102">
        <v>484541.66666666669</v>
      </c>
      <c r="BM49" s="102">
        <v>484541.66666666669</v>
      </c>
      <c r="BN49" s="102">
        <v>484541.66666666669</v>
      </c>
      <c r="BO49" s="102">
        <v>484541.66666666669</v>
      </c>
      <c r="BP49" s="102">
        <v>484541.66666666669</v>
      </c>
      <c r="BQ49" s="102">
        <v>484541.66666666669</v>
      </c>
      <c r="BR49" s="102">
        <v>484541.66666666669</v>
      </c>
      <c r="BS49" s="102">
        <v>484541.66666666669</v>
      </c>
      <c r="BT49" s="102">
        <v>484541.66666666669</v>
      </c>
      <c r="BU49" s="102">
        <v>484541.66666666669</v>
      </c>
      <c r="BV49" s="102">
        <v>484541.66666666669</v>
      </c>
      <c r="BW49" s="102">
        <v>484541.66666666669</v>
      </c>
      <c r="BX49" s="102">
        <v>484541.66666666669</v>
      </c>
      <c r="BY49" s="102">
        <v>484541.66666666669</v>
      </c>
      <c r="BZ49" s="102">
        <v>484541.66666666669</v>
      </c>
      <c r="CA49" s="102">
        <v>484541.66666666669</v>
      </c>
      <c r="CB49" s="102">
        <v>484541.66666666669</v>
      </c>
      <c r="CC49" s="102">
        <v>484541.66666666669</v>
      </c>
      <c r="CD49" s="102">
        <v>484541.66666666669</v>
      </c>
      <c r="CE49" s="102">
        <v>484541.66666666669</v>
      </c>
      <c r="CF49" s="102">
        <v>484541.66666666669</v>
      </c>
      <c r="CG49" s="102">
        <v>484541.66666666669</v>
      </c>
      <c r="CH49" s="102">
        <v>484541.66666666669</v>
      </c>
      <c r="CI49" s="102">
        <v>484541.66666666669</v>
      </c>
      <c r="CJ49" s="102">
        <v>484541.66666666669</v>
      </c>
      <c r="CK49" s="102">
        <v>484541.66666666669</v>
      </c>
      <c r="CL49" s="102">
        <v>484541.66666666669</v>
      </c>
      <c r="CM49" s="102">
        <v>484541.66666666669</v>
      </c>
      <c r="CN49" s="102">
        <v>484541.66666666669</v>
      </c>
      <c r="CO49" s="102">
        <v>484541.66666666669</v>
      </c>
      <c r="CP49" s="102">
        <v>484541.66666666669</v>
      </c>
      <c r="CQ49" s="102">
        <v>484541.66666666669</v>
      </c>
      <c r="CR49" s="102">
        <v>484541.66666666669</v>
      </c>
      <c r="CS49" s="102">
        <v>484541.66666666669</v>
      </c>
      <c r="CT49" s="102">
        <v>484541.66666666669</v>
      </c>
      <c r="CU49" s="102">
        <v>484541.66666666669</v>
      </c>
      <c r="CV49" s="102">
        <v>484541.66666666669</v>
      </c>
      <c r="CW49" s="102">
        <v>484541.66666666669</v>
      </c>
      <c r="CX49" s="102">
        <v>484541.66666666669</v>
      </c>
      <c r="CY49" s="102">
        <v>484541.66666666669</v>
      </c>
      <c r="CZ49" s="102">
        <v>484541.66666666669</v>
      </c>
      <c r="DA49" s="102">
        <v>484541.66666666669</v>
      </c>
      <c r="DB49" s="102">
        <v>484541.66666666669</v>
      </c>
      <c r="DC49" s="102">
        <v>484541.66666666669</v>
      </c>
      <c r="DD49" s="102">
        <v>484541.66666666669</v>
      </c>
      <c r="DE49" s="102">
        <v>484541.66666666669</v>
      </c>
      <c r="DF49" s="102">
        <v>484541.66666666669</v>
      </c>
      <c r="DG49" s="102">
        <v>484541.66666666669</v>
      </c>
      <c r="DH49" s="102">
        <v>484541.66666666669</v>
      </c>
      <c r="DI49" s="102">
        <v>484541.66666666669</v>
      </c>
      <c r="DJ49" s="102">
        <v>484541.66666666669</v>
      </c>
      <c r="DK49" s="102">
        <v>484541.66666666669</v>
      </c>
      <c r="DL49" s="102">
        <v>484541.66666666669</v>
      </c>
      <c r="DM49" s="102">
        <v>484541.66666666669</v>
      </c>
      <c r="DN49" s="102">
        <v>484541.66666666669</v>
      </c>
      <c r="DO49" s="102">
        <v>0</v>
      </c>
      <c r="DP49" s="102">
        <v>0</v>
      </c>
      <c r="DQ49" s="102">
        <v>0</v>
      </c>
      <c r="DR49" s="102">
        <v>0</v>
      </c>
      <c r="DS49" s="102">
        <v>0</v>
      </c>
      <c r="DT49" s="102">
        <v>0</v>
      </c>
      <c r="DU49" s="102">
        <v>0</v>
      </c>
      <c r="DV49" s="102">
        <v>0</v>
      </c>
      <c r="DW49" s="102">
        <v>0</v>
      </c>
      <c r="DX49" s="102">
        <v>0</v>
      </c>
      <c r="DY49" s="102">
        <v>0</v>
      </c>
      <c r="DZ49" s="102">
        <v>0</v>
      </c>
      <c r="EA49" s="102">
        <v>0</v>
      </c>
      <c r="EB49" s="102">
        <v>0</v>
      </c>
      <c r="EC49" s="102">
        <v>0</v>
      </c>
      <c r="ED49" s="102">
        <v>0</v>
      </c>
      <c r="EE49" s="102">
        <v>0</v>
      </c>
      <c r="EF49" s="102">
        <v>0</v>
      </c>
      <c r="EG49" s="102">
        <v>0</v>
      </c>
      <c r="EH49" s="102">
        <v>0</v>
      </c>
      <c r="EI49" s="102">
        <v>0</v>
      </c>
      <c r="EJ49" s="102">
        <v>0</v>
      </c>
      <c r="EK49" s="102">
        <v>0</v>
      </c>
      <c r="EL49" s="102">
        <v>0</v>
      </c>
      <c r="EM49" s="102">
        <v>0</v>
      </c>
      <c r="EN49" s="102">
        <v>0</v>
      </c>
      <c r="EO49" s="102">
        <v>0</v>
      </c>
      <c r="EP49" s="102">
        <v>0</v>
      </c>
      <c r="EQ49" s="102">
        <v>0</v>
      </c>
      <c r="ER49" s="102">
        <v>0</v>
      </c>
      <c r="ES49" s="102">
        <v>0</v>
      </c>
      <c r="ET49" s="102">
        <v>0</v>
      </c>
      <c r="EU49" s="102">
        <v>0</v>
      </c>
      <c r="EV49" s="102">
        <v>0</v>
      </c>
      <c r="EW49" s="102">
        <v>0</v>
      </c>
      <c r="EX49" s="102">
        <v>0</v>
      </c>
      <c r="EY49" s="102">
        <v>0</v>
      </c>
      <c r="EZ49" s="102">
        <v>0</v>
      </c>
      <c r="FA49" s="102">
        <v>0</v>
      </c>
      <c r="FB49" s="102">
        <v>0</v>
      </c>
      <c r="FC49" s="102">
        <v>0</v>
      </c>
      <c r="FD49" s="102">
        <v>0</v>
      </c>
      <c r="FE49" s="102">
        <v>0</v>
      </c>
      <c r="FF49" s="102">
        <v>0</v>
      </c>
      <c r="FG49" s="102">
        <v>0</v>
      </c>
      <c r="FH49" s="102">
        <v>0</v>
      </c>
      <c r="FI49" s="102">
        <v>0</v>
      </c>
      <c r="FJ49" s="71">
        <v>0</v>
      </c>
    </row>
    <row r="50" spans="1:166" x14ac:dyDescent="0.3">
      <c r="A50" s="401" t="s">
        <v>726</v>
      </c>
      <c r="B50" s="103" t="s">
        <v>424</v>
      </c>
      <c r="C50" s="419" t="s">
        <v>658</v>
      </c>
      <c r="D50" s="419" t="s">
        <v>723</v>
      </c>
      <c r="E50" s="419" t="s">
        <v>715</v>
      </c>
      <c r="F50" s="103" t="s">
        <v>742</v>
      </c>
      <c r="G50" s="103">
        <v>0</v>
      </c>
      <c r="H50" s="103">
        <v>0</v>
      </c>
      <c r="I50" s="103">
        <v>0</v>
      </c>
      <c r="J50" s="103" t="s">
        <v>661</v>
      </c>
      <c r="K50" s="103">
        <v>0</v>
      </c>
      <c r="L50" s="103" t="s">
        <v>724</v>
      </c>
      <c r="M50" s="103">
        <v>60</v>
      </c>
      <c r="N50" s="103">
        <v>0</v>
      </c>
      <c r="O50" s="103">
        <v>0</v>
      </c>
      <c r="P50" s="393">
        <v>0</v>
      </c>
      <c r="Q50" s="103">
        <v>24</v>
      </c>
      <c r="R50" s="103">
        <v>60</v>
      </c>
      <c r="S50" s="103">
        <v>0.19999999999999998</v>
      </c>
      <c r="T50" s="395">
        <v>1</v>
      </c>
      <c r="U50" s="103">
        <v>0</v>
      </c>
      <c r="V50" s="102">
        <v>66666.666666666672</v>
      </c>
      <c r="W50" s="102">
        <v>3999999.9999999995</v>
      </c>
      <c r="X50" s="102">
        <v>0</v>
      </c>
      <c r="Y50" s="102">
        <v>0</v>
      </c>
      <c r="Z50" s="102">
        <v>799999.99999999988</v>
      </c>
      <c r="AA50" s="102">
        <v>799999.99999999988</v>
      </c>
      <c r="AB50" s="102">
        <v>799999.99999999988</v>
      </c>
      <c r="AC50" s="102">
        <v>799999.99999999988</v>
      </c>
      <c r="AD50" s="102">
        <v>799999.99999999988</v>
      </c>
      <c r="AE50" s="102">
        <v>0</v>
      </c>
      <c r="AF50" s="102">
        <v>0</v>
      </c>
      <c r="AG50" s="102">
        <v>0</v>
      </c>
      <c r="AH50" s="102">
        <v>0</v>
      </c>
      <c r="AI50" s="399">
        <v>0</v>
      </c>
      <c r="AJ50" s="399">
        <v>0</v>
      </c>
      <c r="AK50" s="399">
        <v>0</v>
      </c>
      <c r="AL50" s="399">
        <v>0</v>
      </c>
      <c r="AM50" s="399">
        <v>0</v>
      </c>
      <c r="AN50" s="399">
        <v>0</v>
      </c>
      <c r="AO50" s="399">
        <v>0</v>
      </c>
      <c r="AP50" s="399">
        <v>0</v>
      </c>
      <c r="AQ50" s="399">
        <v>0</v>
      </c>
      <c r="AR50" s="399">
        <v>0</v>
      </c>
      <c r="AS50" s="399">
        <v>0</v>
      </c>
      <c r="AT50" s="399">
        <v>0</v>
      </c>
      <c r="AU50" s="399">
        <v>0</v>
      </c>
      <c r="AV50" s="399">
        <v>0</v>
      </c>
      <c r="AW50" s="399">
        <v>0</v>
      </c>
      <c r="AX50" s="399">
        <v>0</v>
      </c>
      <c r="AY50" s="399">
        <v>0</v>
      </c>
      <c r="AZ50" s="399">
        <v>0</v>
      </c>
      <c r="BA50" s="399">
        <v>0</v>
      </c>
      <c r="BB50" s="399">
        <v>0</v>
      </c>
      <c r="BC50" s="399">
        <v>0</v>
      </c>
      <c r="BD50" s="399">
        <v>0</v>
      </c>
      <c r="BE50" s="399">
        <v>0</v>
      </c>
      <c r="BF50" s="399">
        <v>0</v>
      </c>
      <c r="BG50" s="102">
        <v>66666.666666666672</v>
      </c>
      <c r="BH50" s="102">
        <v>66666.666666666672</v>
      </c>
      <c r="BI50" s="102">
        <v>66666.666666666672</v>
      </c>
      <c r="BJ50" s="102">
        <v>66666.666666666672</v>
      </c>
      <c r="BK50" s="102">
        <v>66666.666666666672</v>
      </c>
      <c r="BL50" s="102">
        <v>66666.666666666672</v>
      </c>
      <c r="BM50" s="102">
        <v>66666.666666666672</v>
      </c>
      <c r="BN50" s="102">
        <v>66666.666666666672</v>
      </c>
      <c r="BO50" s="102">
        <v>66666.666666666672</v>
      </c>
      <c r="BP50" s="102">
        <v>66666.666666666672</v>
      </c>
      <c r="BQ50" s="102">
        <v>66666.666666666672</v>
      </c>
      <c r="BR50" s="102">
        <v>66666.666666666672</v>
      </c>
      <c r="BS50" s="102">
        <v>66666.666666666672</v>
      </c>
      <c r="BT50" s="102">
        <v>66666.666666666672</v>
      </c>
      <c r="BU50" s="102">
        <v>66666.666666666672</v>
      </c>
      <c r="BV50" s="102">
        <v>66666.666666666672</v>
      </c>
      <c r="BW50" s="102">
        <v>66666.666666666672</v>
      </c>
      <c r="BX50" s="102">
        <v>66666.666666666672</v>
      </c>
      <c r="BY50" s="102">
        <v>66666.666666666672</v>
      </c>
      <c r="BZ50" s="102">
        <v>66666.666666666672</v>
      </c>
      <c r="CA50" s="102">
        <v>66666.666666666672</v>
      </c>
      <c r="CB50" s="102">
        <v>66666.666666666672</v>
      </c>
      <c r="CC50" s="102">
        <v>66666.666666666672</v>
      </c>
      <c r="CD50" s="102">
        <v>66666.666666666672</v>
      </c>
      <c r="CE50" s="102">
        <v>66666.666666666672</v>
      </c>
      <c r="CF50" s="102">
        <v>66666.666666666672</v>
      </c>
      <c r="CG50" s="102">
        <v>66666.666666666672</v>
      </c>
      <c r="CH50" s="102">
        <v>66666.666666666672</v>
      </c>
      <c r="CI50" s="102">
        <v>66666.666666666672</v>
      </c>
      <c r="CJ50" s="102">
        <v>66666.666666666672</v>
      </c>
      <c r="CK50" s="102">
        <v>66666.666666666672</v>
      </c>
      <c r="CL50" s="102">
        <v>66666.666666666672</v>
      </c>
      <c r="CM50" s="102">
        <v>66666.666666666672</v>
      </c>
      <c r="CN50" s="102">
        <v>66666.666666666672</v>
      </c>
      <c r="CO50" s="102">
        <v>66666.666666666672</v>
      </c>
      <c r="CP50" s="102">
        <v>66666.666666666672</v>
      </c>
      <c r="CQ50" s="102">
        <v>66666.666666666672</v>
      </c>
      <c r="CR50" s="102">
        <v>66666.666666666672</v>
      </c>
      <c r="CS50" s="102">
        <v>66666.666666666672</v>
      </c>
      <c r="CT50" s="102">
        <v>66666.666666666672</v>
      </c>
      <c r="CU50" s="102">
        <v>66666.666666666672</v>
      </c>
      <c r="CV50" s="102">
        <v>66666.666666666672</v>
      </c>
      <c r="CW50" s="102">
        <v>66666.666666666672</v>
      </c>
      <c r="CX50" s="102">
        <v>66666.666666666672</v>
      </c>
      <c r="CY50" s="102">
        <v>66666.666666666672</v>
      </c>
      <c r="CZ50" s="102">
        <v>66666.666666666672</v>
      </c>
      <c r="DA50" s="102">
        <v>66666.666666666672</v>
      </c>
      <c r="DB50" s="102">
        <v>66666.666666666672</v>
      </c>
      <c r="DC50" s="102">
        <v>66666.666666666672</v>
      </c>
      <c r="DD50" s="102">
        <v>66666.666666666672</v>
      </c>
      <c r="DE50" s="102">
        <v>66666.666666666672</v>
      </c>
      <c r="DF50" s="102">
        <v>66666.666666666672</v>
      </c>
      <c r="DG50" s="102">
        <v>66666.666666666672</v>
      </c>
      <c r="DH50" s="102">
        <v>66666.666666666672</v>
      </c>
      <c r="DI50" s="102">
        <v>66666.666666666672</v>
      </c>
      <c r="DJ50" s="102">
        <v>66666.666666666672</v>
      </c>
      <c r="DK50" s="102">
        <v>66666.666666666672</v>
      </c>
      <c r="DL50" s="102">
        <v>66666.666666666672</v>
      </c>
      <c r="DM50" s="102">
        <v>66666.666666666672</v>
      </c>
      <c r="DN50" s="102">
        <v>66666.666666666672</v>
      </c>
      <c r="DO50" s="102">
        <v>0</v>
      </c>
      <c r="DP50" s="102">
        <v>0</v>
      </c>
      <c r="DQ50" s="102">
        <v>0</v>
      </c>
      <c r="DR50" s="102">
        <v>0</v>
      </c>
      <c r="DS50" s="102">
        <v>0</v>
      </c>
      <c r="DT50" s="102">
        <v>0</v>
      </c>
      <c r="DU50" s="102">
        <v>0</v>
      </c>
      <c r="DV50" s="102">
        <v>0</v>
      </c>
      <c r="DW50" s="102">
        <v>0</v>
      </c>
      <c r="DX50" s="102">
        <v>0</v>
      </c>
      <c r="DY50" s="102">
        <v>0</v>
      </c>
      <c r="DZ50" s="102">
        <v>0</v>
      </c>
      <c r="EA50" s="102">
        <v>0</v>
      </c>
      <c r="EB50" s="102">
        <v>0</v>
      </c>
      <c r="EC50" s="102">
        <v>0</v>
      </c>
      <c r="ED50" s="102">
        <v>0</v>
      </c>
      <c r="EE50" s="102">
        <v>0</v>
      </c>
      <c r="EF50" s="102">
        <v>0</v>
      </c>
      <c r="EG50" s="102">
        <v>0</v>
      </c>
      <c r="EH50" s="102">
        <v>0</v>
      </c>
      <c r="EI50" s="102">
        <v>0</v>
      </c>
      <c r="EJ50" s="102">
        <v>0</v>
      </c>
      <c r="EK50" s="102">
        <v>0</v>
      </c>
      <c r="EL50" s="102">
        <v>0</v>
      </c>
      <c r="EM50" s="102">
        <v>0</v>
      </c>
      <c r="EN50" s="102">
        <v>0</v>
      </c>
      <c r="EO50" s="102">
        <v>0</v>
      </c>
      <c r="EP50" s="102">
        <v>0</v>
      </c>
      <c r="EQ50" s="102">
        <v>0</v>
      </c>
      <c r="ER50" s="102">
        <v>0</v>
      </c>
      <c r="ES50" s="102">
        <v>0</v>
      </c>
      <c r="ET50" s="102">
        <v>0</v>
      </c>
      <c r="EU50" s="102">
        <v>0</v>
      </c>
      <c r="EV50" s="102">
        <v>0</v>
      </c>
      <c r="EW50" s="102">
        <v>0</v>
      </c>
      <c r="EX50" s="102">
        <v>0</v>
      </c>
      <c r="EY50" s="102">
        <v>0</v>
      </c>
      <c r="EZ50" s="102">
        <v>0</v>
      </c>
      <c r="FA50" s="102">
        <v>0</v>
      </c>
      <c r="FB50" s="102">
        <v>0</v>
      </c>
      <c r="FC50" s="102">
        <v>0</v>
      </c>
      <c r="FD50" s="102">
        <v>0</v>
      </c>
      <c r="FE50" s="102">
        <v>0</v>
      </c>
      <c r="FF50" s="102">
        <v>0</v>
      </c>
      <c r="FG50" s="102">
        <v>0</v>
      </c>
      <c r="FH50" s="102">
        <v>0</v>
      </c>
      <c r="FI50" s="102">
        <v>0</v>
      </c>
      <c r="FJ50" s="71">
        <v>0</v>
      </c>
    </row>
    <row r="51" spans="1:166" x14ac:dyDescent="0.3">
      <c r="A51" s="401" t="s">
        <v>735</v>
      </c>
      <c r="B51" s="103" t="s">
        <v>424</v>
      </c>
      <c r="C51" s="419" t="s">
        <v>658</v>
      </c>
      <c r="D51" s="419" t="s">
        <v>714</v>
      </c>
      <c r="E51" s="419" t="s">
        <v>715</v>
      </c>
      <c r="F51" s="103" t="s">
        <v>737</v>
      </c>
      <c r="G51" s="103" t="s">
        <v>727</v>
      </c>
      <c r="H51" s="103" t="s">
        <v>728</v>
      </c>
      <c r="I51" s="103">
        <v>0</v>
      </c>
      <c r="J51" s="103" t="s">
        <v>661</v>
      </c>
      <c r="K51" s="103">
        <v>0</v>
      </c>
      <c r="L51" s="103" t="s">
        <v>712</v>
      </c>
      <c r="M51" s="419">
        <v>1</v>
      </c>
      <c r="N51" s="103">
        <v>0</v>
      </c>
      <c r="O51" s="103">
        <v>70000000</v>
      </c>
      <c r="P51" s="393">
        <f t="shared" si="0"/>
        <v>70000000</v>
      </c>
      <c r="Q51" s="103">
        <v>0</v>
      </c>
      <c r="R51" s="103">
        <v>0</v>
      </c>
      <c r="S51" s="103">
        <v>0</v>
      </c>
      <c r="T51" s="395">
        <v>1</v>
      </c>
      <c r="U51" s="103">
        <v>0</v>
      </c>
      <c r="V51" s="102">
        <v>0</v>
      </c>
      <c r="W51" s="102">
        <v>0</v>
      </c>
      <c r="X51" s="102">
        <v>0</v>
      </c>
      <c r="Y51" s="102">
        <v>0</v>
      </c>
      <c r="Z51" s="102">
        <v>0</v>
      </c>
      <c r="AA51" s="102">
        <v>0</v>
      </c>
      <c r="AB51" s="102">
        <v>0</v>
      </c>
      <c r="AC51" s="102">
        <v>0</v>
      </c>
      <c r="AD51" s="102">
        <v>0</v>
      </c>
      <c r="AE51" s="102">
        <v>0</v>
      </c>
      <c r="AF51" s="102">
        <v>0</v>
      </c>
      <c r="AG51" s="102">
        <v>0</v>
      </c>
      <c r="AH51" s="102">
        <v>0</v>
      </c>
      <c r="AI51" s="102">
        <v>0</v>
      </c>
      <c r="AJ51" s="102">
        <v>0</v>
      </c>
      <c r="AK51" s="102">
        <v>0</v>
      </c>
      <c r="AL51" s="102">
        <v>0</v>
      </c>
      <c r="AM51" s="102">
        <v>0</v>
      </c>
      <c r="AN51" s="102">
        <v>0</v>
      </c>
      <c r="AO51" s="102">
        <v>0</v>
      </c>
      <c r="AP51" s="102">
        <v>0</v>
      </c>
      <c r="AQ51" s="102">
        <v>0</v>
      </c>
      <c r="AR51" s="102">
        <v>0</v>
      </c>
      <c r="AS51" s="102">
        <v>0</v>
      </c>
      <c r="AT51" s="102">
        <v>0</v>
      </c>
      <c r="AU51" s="102">
        <v>0</v>
      </c>
      <c r="AV51" s="102">
        <v>0</v>
      </c>
      <c r="AW51" s="102">
        <v>0</v>
      </c>
      <c r="AX51" s="102">
        <v>0</v>
      </c>
      <c r="AY51" s="102">
        <v>0</v>
      </c>
      <c r="AZ51" s="102">
        <v>0</v>
      </c>
      <c r="BA51" s="102">
        <v>0</v>
      </c>
      <c r="BB51" s="102">
        <v>0</v>
      </c>
      <c r="BC51" s="102">
        <v>0</v>
      </c>
      <c r="BD51" s="102">
        <v>0</v>
      </c>
      <c r="BE51" s="102">
        <v>0</v>
      </c>
      <c r="BF51" s="102">
        <v>0</v>
      </c>
      <c r="BG51" s="102">
        <v>0</v>
      </c>
      <c r="BH51" s="102">
        <v>0</v>
      </c>
      <c r="BI51" s="102">
        <v>0</v>
      </c>
      <c r="BJ51" s="102">
        <v>0</v>
      </c>
      <c r="BK51" s="102">
        <v>0</v>
      </c>
      <c r="BL51" s="102">
        <v>0</v>
      </c>
      <c r="BM51" s="102">
        <v>0</v>
      </c>
      <c r="BN51" s="102">
        <v>0</v>
      </c>
      <c r="BO51" s="102">
        <v>0</v>
      </c>
      <c r="BP51" s="102">
        <v>0</v>
      </c>
      <c r="BQ51" s="102">
        <v>0</v>
      </c>
      <c r="BR51" s="102">
        <v>0</v>
      </c>
      <c r="BS51" s="102">
        <v>0</v>
      </c>
      <c r="BT51" s="102">
        <v>0</v>
      </c>
      <c r="BU51" s="102">
        <v>0</v>
      </c>
      <c r="BV51" s="102">
        <v>0</v>
      </c>
      <c r="BW51" s="102">
        <v>0</v>
      </c>
      <c r="BX51" s="102">
        <v>0</v>
      </c>
      <c r="BY51" s="102">
        <v>0</v>
      </c>
      <c r="BZ51" s="102">
        <v>0</v>
      </c>
      <c r="CA51" s="102">
        <v>0</v>
      </c>
      <c r="CB51" s="102">
        <v>0</v>
      </c>
      <c r="CC51" s="102">
        <v>0</v>
      </c>
      <c r="CD51" s="102">
        <v>0</v>
      </c>
      <c r="CE51" s="102">
        <v>0</v>
      </c>
      <c r="CF51" s="102">
        <v>0</v>
      </c>
      <c r="CG51" s="102">
        <v>0</v>
      </c>
      <c r="CH51" s="102">
        <v>0</v>
      </c>
      <c r="CI51" s="102">
        <v>0</v>
      </c>
      <c r="CJ51" s="102">
        <v>0</v>
      </c>
      <c r="CK51" s="102">
        <v>0</v>
      </c>
      <c r="CL51" s="102">
        <v>0</v>
      </c>
      <c r="CM51" s="102">
        <v>0</v>
      </c>
      <c r="CN51" s="102">
        <v>0</v>
      </c>
      <c r="CO51" s="102">
        <v>0</v>
      </c>
      <c r="CP51" s="102">
        <v>0</v>
      </c>
      <c r="CQ51" s="102">
        <v>0</v>
      </c>
      <c r="CR51" s="102">
        <v>0</v>
      </c>
      <c r="CS51" s="102">
        <v>0</v>
      </c>
      <c r="CT51" s="102">
        <v>0</v>
      </c>
      <c r="CU51" s="102">
        <v>0</v>
      </c>
      <c r="CV51" s="102">
        <v>0</v>
      </c>
      <c r="CW51" s="102">
        <v>0</v>
      </c>
      <c r="CX51" s="102">
        <v>0</v>
      </c>
      <c r="CY51" s="102">
        <v>0</v>
      </c>
      <c r="CZ51" s="102">
        <v>0</v>
      </c>
      <c r="DA51" s="102">
        <v>0</v>
      </c>
      <c r="DB51" s="102">
        <v>0</v>
      </c>
      <c r="DC51" s="102">
        <v>0</v>
      </c>
      <c r="DD51" s="102">
        <v>0</v>
      </c>
      <c r="DE51" s="102">
        <v>0</v>
      </c>
      <c r="DF51" s="102">
        <v>0</v>
      </c>
      <c r="DG51" s="102">
        <v>0</v>
      </c>
      <c r="DH51" s="102">
        <v>0</v>
      </c>
      <c r="DI51" s="102">
        <v>0</v>
      </c>
      <c r="DJ51" s="102">
        <v>0</v>
      </c>
      <c r="DK51" s="102">
        <v>0</v>
      </c>
      <c r="DL51" s="102">
        <v>0</v>
      </c>
      <c r="DM51" s="102">
        <v>0</v>
      </c>
      <c r="DN51" s="102">
        <v>0</v>
      </c>
      <c r="DO51" s="102">
        <v>0</v>
      </c>
      <c r="DP51" s="102">
        <v>0</v>
      </c>
      <c r="DQ51" s="102">
        <v>0</v>
      </c>
      <c r="DR51" s="102">
        <v>0</v>
      </c>
      <c r="DS51" s="102">
        <v>0</v>
      </c>
      <c r="DT51" s="102">
        <v>0</v>
      </c>
      <c r="DU51" s="102">
        <v>0</v>
      </c>
      <c r="DV51" s="102">
        <v>0</v>
      </c>
      <c r="DW51" s="102">
        <v>0</v>
      </c>
      <c r="DX51" s="102">
        <v>0</v>
      </c>
      <c r="DY51" s="102">
        <v>0</v>
      </c>
      <c r="DZ51" s="102">
        <v>0</v>
      </c>
      <c r="EA51" s="102">
        <v>0</v>
      </c>
      <c r="EB51" s="102">
        <v>0</v>
      </c>
      <c r="EC51" s="102">
        <v>0</v>
      </c>
      <c r="ED51" s="102">
        <v>0</v>
      </c>
      <c r="EE51" s="102">
        <v>0</v>
      </c>
      <c r="EF51" s="102">
        <v>0</v>
      </c>
      <c r="EG51" s="102">
        <v>0</v>
      </c>
      <c r="EH51" s="102">
        <v>0</v>
      </c>
      <c r="EI51" s="102">
        <v>0</v>
      </c>
      <c r="EJ51" s="102">
        <v>0</v>
      </c>
      <c r="EK51" s="102">
        <v>0</v>
      </c>
      <c r="EL51" s="102">
        <v>0</v>
      </c>
      <c r="EM51" s="102">
        <v>0</v>
      </c>
      <c r="EN51" s="102">
        <v>0</v>
      </c>
      <c r="EO51" s="102">
        <v>0</v>
      </c>
      <c r="EP51" s="102">
        <v>0</v>
      </c>
      <c r="EQ51" s="102">
        <v>0</v>
      </c>
      <c r="ER51" s="102">
        <v>0</v>
      </c>
      <c r="ES51" s="102">
        <v>0</v>
      </c>
      <c r="ET51" s="102">
        <v>0</v>
      </c>
      <c r="EU51" s="102">
        <v>0</v>
      </c>
      <c r="EV51" s="102">
        <v>0</v>
      </c>
      <c r="EW51" s="102">
        <v>0</v>
      </c>
      <c r="EX51" s="102">
        <v>0</v>
      </c>
      <c r="EY51" s="102">
        <v>0</v>
      </c>
      <c r="EZ51" s="102">
        <v>0</v>
      </c>
      <c r="FA51" s="102">
        <v>0</v>
      </c>
      <c r="FB51" s="102">
        <v>0</v>
      </c>
      <c r="FC51" s="102">
        <v>0</v>
      </c>
      <c r="FD51" s="102">
        <v>0</v>
      </c>
      <c r="FE51" s="102">
        <v>0</v>
      </c>
      <c r="FF51" s="102">
        <v>0</v>
      </c>
      <c r="FG51" s="102">
        <v>0</v>
      </c>
      <c r="FH51" s="102">
        <v>0</v>
      </c>
      <c r="FI51" s="102">
        <v>0</v>
      </c>
      <c r="FJ51" s="71">
        <v>0</v>
      </c>
    </row>
    <row r="52" spans="1:166" x14ac:dyDescent="0.3">
      <c r="A52" s="401" t="s">
        <v>761</v>
      </c>
      <c r="B52" s="103" t="s">
        <v>424</v>
      </c>
      <c r="C52" s="419" t="s">
        <v>658</v>
      </c>
      <c r="D52" s="419" t="s">
        <v>714</v>
      </c>
      <c r="E52" s="419" t="s">
        <v>715</v>
      </c>
      <c r="F52" s="103" t="s">
        <v>738</v>
      </c>
      <c r="G52" s="103" t="s">
        <v>729</v>
      </c>
      <c r="H52" s="103" t="s">
        <v>730</v>
      </c>
      <c r="I52" s="103">
        <v>0</v>
      </c>
      <c r="J52" s="103" t="s">
        <v>661</v>
      </c>
      <c r="K52" s="103">
        <v>0</v>
      </c>
      <c r="L52" s="103" t="s">
        <v>712</v>
      </c>
      <c r="M52" s="419">
        <v>1</v>
      </c>
      <c r="N52" s="103">
        <v>0</v>
      </c>
      <c r="O52" s="103">
        <v>50000000</v>
      </c>
      <c r="P52" s="393">
        <f t="shared" si="0"/>
        <v>50000000</v>
      </c>
      <c r="Q52" s="103">
        <v>0</v>
      </c>
      <c r="R52" s="103">
        <v>0</v>
      </c>
      <c r="S52" s="103">
        <v>0</v>
      </c>
      <c r="T52" s="395">
        <v>1</v>
      </c>
      <c r="U52" s="103">
        <v>0</v>
      </c>
      <c r="V52" s="102">
        <v>0</v>
      </c>
      <c r="W52" s="102">
        <v>0</v>
      </c>
      <c r="X52" s="102">
        <v>0</v>
      </c>
      <c r="Y52" s="102">
        <v>0</v>
      </c>
      <c r="Z52" s="102">
        <v>0</v>
      </c>
      <c r="AA52" s="102">
        <v>0</v>
      </c>
      <c r="AB52" s="102">
        <v>0</v>
      </c>
      <c r="AC52" s="102">
        <v>0</v>
      </c>
      <c r="AD52" s="102">
        <v>0</v>
      </c>
      <c r="AE52" s="102">
        <v>0</v>
      </c>
      <c r="AF52" s="102">
        <v>0</v>
      </c>
      <c r="AG52" s="102">
        <v>0</v>
      </c>
      <c r="AH52" s="102">
        <v>0</v>
      </c>
      <c r="AI52" s="102">
        <v>0</v>
      </c>
      <c r="AJ52" s="102">
        <v>0</v>
      </c>
      <c r="AK52" s="102">
        <v>0</v>
      </c>
      <c r="AL52" s="102">
        <v>0</v>
      </c>
      <c r="AM52" s="102">
        <v>0</v>
      </c>
      <c r="AN52" s="102">
        <v>0</v>
      </c>
      <c r="AO52" s="102">
        <v>0</v>
      </c>
      <c r="AP52" s="102">
        <v>0</v>
      </c>
      <c r="AQ52" s="102">
        <v>0</v>
      </c>
      <c r="AR52" s="102">
        <v>0</v>
      </c>
      <c r="AS52" s="102">
        <v>0</v>
      </c>
      <c r="AT52" s="102">
        <v>0</v>
      </c>
      <c r="AU52" s="102">
        <v>0</v>
      </c>
      <c r="AV52" s="102">
        <v>0</v>
      </c>
      <c r="AW52" s="102">
        <v>0</v>
      </c>
      <c r="AX52" s="102">
        <v>0</v>
      </c>
      <c r="AY52" s="102">
        <v>0</v>
      </c>
      <c r="AZ52" s="102">
        <v>0</v>
      </c>
      <c r="BA52" s="102">
        <v>0</v>
      </c>
      <c r="BB52" s="102">
        <v>0</v>
      </c>
      <c r="BC52" s="102">
        <v>0</v>
      </c>
      <c r="BD52" s="102">
        <v>0</v>
      </c>
      <c r="BE52" s="102">
        <v>0</v>
      </c>
      <c r="BF52" s="102">
        <v>0</v>
      </c>
      <c r="BG52" s="102">
        <v>0</v>
      </c>
      <c r="BH52" s="102">
        <v>0</v>
      </c>
      <c r="BI52" s="102">
        <v>0</v>
      </c>
      <c r="BJ52" s="102">
        <v>0</v>
      </c>
      <c r="BK52" s="102">
        <v>0</v>
      </c>
      <c r="BL52" s="102">
        <v>0</v>
      </c>
      <c r="BM52" s="102">
        <v>0</v>
      </c>
      <c r="BN52" s="102">
        <v>0</v>
      </c>
      <c r="BO52" s="102">
        <v>0</v>
      </c>
      <c r="BP52" s="102">
        <v>0</v>
      </c>
      <c r="BQ52" s="102">
        <v>0</v>
      </c>
      <c r="BR52" s="102">
        <v>0</v>
      </c>
      <c r="BS52" s="102">
        <v>0</v>
      </c>
      <c r="BT52" s="102">
        <v>0</v>
      </c>
      <c r="BU52" s="102">
        <v>0</v>
      </c>
      <c r="BV52" s="102">
        <v>0</v>
      </c>
      <c r="BW52" s="102">
        <v>0</v>
      </c>
      <c r="BX52" s="102">
        <v>0</v>
      </c>
      <c r="BY52" s="102">
        <v>0</v>
      </c>
      <c r="BZ52" s="102">
        <v>0</v>
      </c>
      <c r="CA52" s="102">
        <v>0</v>
      </c>
      <c r="CB52" s="102">
        <v>0</v>
      </c>
      <c r="CC52" s="102">
        <v>0</v>
      </c>
      <c r="CD52" s="102">
        <v>0</v>
      </c>
      <c r="CE52" s="102">
        <v>0</v>
      </c>
      <c r="CF52" s="102">
        <v>0</v>
      </c>
      <c r="CG52" s="102">
        <v>0</v>
      </c>
      <c r="CH52" s="102">
        <v>0</v>
      </c>
      <c r="CI52" s="102">
        <v>0</v>
      </c>
      <c r="CJ52" s="102">
        <v>0</v>
      </c>
      <c r="CK52" s="102">
        <v>0</v>
      </c>
      <c r="CL52" s="102">
        <v>0</v>
      </c>
      <c r="CM52" s="102">
        <v>0</v>
      </c>
      <c r="CN52" s="102">
        <v>0</v>
      </c>
      <c r="CO52" s="102">
        <v>0</v>
      </c>
      <c r="CP52" s="102">
        <v>0</v>
      </c>
      <c r="CQ52" s="102">
        <v>0</v>
      </c>
      <c r="CR52" s="102">
        <v>0</v>
      </c>
      <c r="CS52" s="102">
        <v>0</v>
      </c>
      <c r="CT52" s="102">
        <v>0</v>
      </c>
      <c r="CU52" s="102">
        <v>0</v>
      </c>
      <c r="CV52" s="102">
        <v>0</v>
      </c>
      <c r="CW52" s="102">
        <v>0</v>
      </c>
      <c r="CX52" s="102">
        <v>0</v>
      </c>
      <c r="CY52" s="102">
        <v>0</v>
      </c>
      <c r="CZ52" s="102">
        <v>0</v>
      </c>
      <c r="DA52" s="102">
        <v>0</v>
      </c>
      <c r="DB52" s="102">
        <v>0</v>
      </c>
      <c r="DC52" s="102">
        <v>0</v>
      </c>
      <c r="DD52" s="102">
        <v>0</v>
      </c>
      <c r="DE52" s="102">
        <v>0</v>
      </c>
      <c r="DF52" s="102">
        <v>0</v>
      </c>
      <c r="DG52" s="102">
        <v>0</v>
      </c>
      <c r="DH52" s="102">
        <v>0</v>
      </c>
      <c r="DI52" s="102">
        <v>0</v>
      </c>
      <c r="DJ52" s="102">
        <v>0</v>
      </c>
      <c r="DK52" s="102">
        <v>0</v>
      </c>
      <c r="DL52" s="102">
        <v>0</v>
      </c>
      <c r="DM52" s="102">
        <v>0</v>
      </c>
      <c r="DN52" s="102">
        <v>0</v>
      </c>
      <c r="DO52" s="102">
        <v>0</v>
      </c>
      <c r="DP52" s="102">
        <v>0</v>
      </c>
      <c r="DQ52" s="102">
        <v>0</v>
      </c>
      <c r="DR52" s="102">
        <v>0</v>
      </c>
      <c r="DS52" s="102">
        <v>0</v>
      </c>
      <c r="DT52" s="102">
        <v>0</v>
      </c>
      <c r="DU52" s="102">
        <v>0</v>
      </c>
      <c r="DV52" s="102">
        <v>0</v>
      </c>
      <c r="DW52" s="102">
        <v>0</v>
      </c>
      <c r="DX52" s="102">
        <v>0</v>
      </c>
      <c r="DY52" s="102">
        <v>0</v>
      </c>
      <c r="DZ52" s="102">
        <v>0</v>
      </c>
      <c r="EA52" s="102">
        <v>0</v>
      </c>
      <c r="EB52" s="102">
        <v>0</v>
      </c>
      <c r="EC52" s="102">
        <v>0</v>
      </c>
      <c r="ED52" s="102">
        <v>0</v>
      </c>
      <c r="EE52" s="102">
        <v>0</v>
      </c>
      <c r="EF52" s="102">
        <v>0</v>
      </c>
      <c r="EG52" s="102">
        <v>0</v>
      </c>
      <c r="EH52" s="102">
        <v>0</v>
      </c>
      <c r="EI52" s="102">
        <v>0</v>
      </c>
      <c r="EJ52" s="102">
        <v>0</v>
      </c>
      <c r="EK52" s="102">
        <v>0</v>
      </c>
      <c r="EL52" s="102">
        <v>0</v>
      </c>
      <c r="EM52" s="102">
        <v>0</v>
      </c>
      <c r="EN52" s="102">
        <v>0</v>
      </c>
      <c r="EO52" s="102">
        <v>0</v>
      </c>
      <c r="EP52" s="102">
        <v>0</v>
      </c>
      <c r="EQ52" s="102">
        <v>0</v>
      </c>
      <c r="ER52" s="102">
        <v>0</v>
      </c>
      <c r="ES52" s="102">
        <v>0</v>
      </c>
      <c r="ET52" s="102">
        <v>0</v>
      </c>
      <c r="EU52" s="102">
        <v>0</v>
      </c>
      <c r="EV52" s="102">
        <v>0</v>
      </c>
      <c r="EW52" s="102">
        <v>0</v>
      </c>
      <c r="EX52" s="102">
        <v>0</v>
      </c>
      <c r="EY52" s="102">
        <v>0</v>
      </c>
      <c r="EZ52" s="102">
        <v>0</v>
      </c>
      <c r="FA52" s="102">
        <v>0</v>
      </c>
      <c r="FB52" s="102">
        <v>0</v>
      </c>
      <c r="FC52" s="102">
        <v>0</v>
      </c>
      <c r="FD52" s="102">
        <v>0</v>
      </c>
      <c r="FE52" s="102">
        <v>0</v>
      </c>
      <c r="FF52" s="102">
        <v>0</v>
      </c>
      <c r="FG52" s="102">
        <v>0</v>
      </c>
      <c r="FH52" s="102">
        <v>0</v>
      </c>
      <c r="FI52" s="102">
        <v>0</v>
      </c>
      <c r="FJ52" s="71">
        <v>0</v>
      </c>
    </row>
    <row r="53" spans="1:166" x14ac:dyDescent="0.3">
      <c r="A53" s="401" t="s">
        <v>762</v>
      </c>
      <c r="B53" s="103" t="s">
        <v>424</v>
      </c>
      <c r="C53" s="419" t="s">
        <v>658</v>
      </c>
      <c r="D53" s="419" t="s">
        <v>714</v>
      </c>
      <c r="E53" s="419" t="s">
        <v>715</v>
      </c>
      <c r="F53" s="103" t="s">
        <v>739</v>
      </c>
      <c r="G53" s="103" t="s">
        <v>729</v>
      </c>
      <c r="H53" s="103" t="s">
        <v>731</v>
      </c>
      <c r="I53" s="103">
        <v>0</v>
      </c>
      <c r="J53" s="103" t="s">
        <v>661</v>
      </c>
      <c r="K53" s="103">
        <v>0</v>
      </c>
      <c r="L53" s="103" t="s">
        <v>712</v>
      </c>
      <c r="M53" s="419">
        <v>1</v>
      </c>
      <c r="N53" s="103">
        <v>0</v>
      </c>
      <c r="O53" s="103">
        <v>40000000</v>
      </c>
      <c r="P53" s="393">
        <f t="shared" si="0"/>
        <v>40000000</v>
      </c>
      <c r="Q53" s="103">
        <v>0</v>
      </c>
      <c r="R53" s="103">
        <v>0</v>
      </c>
      <c r="S53" s="103">
        <v>0</v>
      </c>
      <c r="T53" s="395">
        <v>1</v>
      </c>
      <c r="U53" s="103">
        <v>0</v>
      </c>
      <c r="V53" s="102">
        <v>0</v>
      </c>
      <c r="W53" s="102">
        <v>0</v>
      </c>
      <c r="X53" s="102">
        <v>0</v>
      </c>
      <c r="Y53" s="102">
        <v>0</v>
      </c>
      <c r="Z53" s="102">
        <v>0</v>
      </c>
      <c r="AA53" s="102">
        <v>0</v>
      </c>
      <c r="AB53" s="102">
        <v>0</v>
      </c>
      <c r="AC53" s="102">
        <v>0</v>
      </c>
      <c r="AD53" s="102">
        <v>0</v>
      </c>
      <c r="AE53" s="102">
        <v>0</v>
      </c>
      <c r="AF53" s="102">
        <v>0</v>
      </c>
      <c r="AG53" s="102">
        <v>0</v>
      </c>
      <c r="AH53" s="102">
        <v>0</v>
      </c>
      <c r="AI53" s="102">
        <v>0</v>
      </c>
      <c r="AJ53" s="102">
        <v>0</v>
      </c>
      <c r="AK53" s="102">
        <v>0</v>
      </c>
      <c r="AL53" s="102">
        <v>0</v>
      </c>
      <c r="AM53" s="102">
        <v>0</v>
      </c>
      <c r="AN53" s="102">
        <v>0</v>
      </c>
      <c r="AO53" s="102">
        <v>0</v>
      </c>
      <c r="AP53" s="102">
        <v>0</v>
      </c>
      <c r="AQ53" s="102">
        <v>0</v>
      </c>
      <c r="AR53" s="102">
        <v>0</v>
      </c>
      <c r="AS53" s="102">
        <v>0</v>
      </c>
      <c r="AT53" s="102">
        <v>0</v>
      </c>
      <c r="AU53" s="102">
        <v>0</v>
      </c>
      <c r="AV53" s="102">
        <v>0</v>
      </c>
      <c r="AW53" s="102">
        <v>0</v>
      </c>
      <c r="AX53" s="102">
        <v>0</v>
      </c>
      <c r="AY53" s="102">
        <v>0</v>
      </c>
      <c r="AZ53" s="102">
        <v>0</v>
      </c>
      <c r="BA53" s="102">
        <v>0</v>
      </c>
      <c r="BB53" s="102">
        <v>0</v>
      </c>
      <c r="BC53" s="102">
        <v>0</v>
      </c>
      <c r="BD53" s="102">
        <v>0</v>
      </c>
      <c r="BE53" s="102">
        <v>0</v>
      </c>
      <c r="BF53" s="102">
        <v>0</v>
      </c>
      <c r="BG53" s="102">
        <v>0</v>
      </c>
      <c r="BH53" s="102">
        <v>0</v>
      </c>
      <c r="BI53" s="102">
        <v>0</v>
      </c>
      <c r="BJ53" s="102">
        <v>0</v>
      </c>
      <c r="BK53" s="102">
        <v>0</v>
      </c>
      <c r="BL53" s="102">
        <v>0</v>
      </c>
      <c r="BM53" s="102">
        <v>0</v>
      </c>
      <c r="BN53" s="102">
        <v>0</v>
      </c>
      <c r="BO53" s="102">
        <v>0</v>
      </c>
      <c r="BP53" s="102">
        <v>0</v>
      </c>
      <c r="BQ53" s="102">
        <v>0</v>
      </c>
      <c r="BR53" s="102">
        <v>0</v>
      </c>
      <c r="BS53" s="102">
        <v>0</v>
      </c>
      <c r="BT53" s="102">
        <v>0</v>
      </c>
      <c r="BU53" s="102">
        <v>0</v>
      </c>
      <c r="BV53" s="102">
        <v>0</v>
      </c>
      <c r="BW53" s="102">
        <v>0</v>
      </c>
      <c r="BX53" s="102">
        <v>0</v>
      </c>
      <c r="BY53" s="102">
        <v>0</v>
      </c>
      <c r="BZ53" s="102">
        <v>0</v>
      </c>
      <c r="CA53" s="102">
        <v>0</v>
      </c>
      <c r="CB53" s="102">
        <v>0</v>
      </c>
      <c r="CC53" s="102">
        <v>0</v>
      </c>
      <c r="CD53" s="102">
        <v>0</v>
      </c>
      <c r="CE53" s="102">
        <v>0</v>
      </c>
      <c r="CF53" s="102">
        <v>0</v>
      </c>
      <c r="CG53" s="102">
        <v>0</v>
      </c>
      <c r="CH53" s="102">
        <v>0</v>
      </c>
      <c r="CI53" s="102">
        <v>0</v>
      </c>
      <c r="CJ53" s="102">
        <v>0</v>
      </c>
      <c r="CK53" s="102">
        <v>0</v>
      </c>
      <c r="CL53" s="102">
        <v>0</v>
      </c>
      <c r="CM53" s="102">
        <v>0</v>
      </c>
      <c r="CN53" s="102">
        <v>0</v>
      </c>
      <c r="CO53" s="102">
        <v>0</v>
      </c>
      <c r="CP53" s="102">
        <v>0</v>
      </c>
      <c r="CQ53" s="102">
        <v>0</v>
      </c>
      <c r="CR53" s="102">
        <v>0</v>
      </c>
      <c r="CS53" s="102">
        <v>0</v>
      </c>
      <c r="CT53" s="102">
        <v>0</v>
      </c>
      <c r="CU53" s="102">
        <v>0</v>
      </c>
      <c r="CV53" s="102">
        <v>0</v>
      </c>
      <c r="CW53" s="102">
        <v>0</v>
      </c>
      <c r="CX53" s="102">
        <v>0</v>
      </c>
      <c r="CY53" s="102">
        <v>0</v>
      </c>
      <c r="CZ53" s="102">
        <v>0</v>
      </c>
      <c r="DA53" s="102">
        <v>0</v>
      </c>
      <c r="DB53" s="102">
        <v>0</v>
      </c>
      <c r="DC53" s="102">
        <v>0</v>
      </c>
      <c r="DD53" s="102">
        <v>0</v>
      </c>
      <c r="DE53" s="102">
        <v>0</v>
      </c>
      <c r="DF53" s="102">
        <v>0</v>
      </c>
      <c r="DG53" s="102">
        <v>0</v>
      </c>
      <c r="DH53" s="102">
        <v>0</v>
      </c>
      <c r="DI53" s="102">
        <v>0</v>
      </c>
      <c r="DJ53" s="102">
        <v>0</v>
      </c>
      <c r="DK53" s="102">
        <v>0</v>
      </c>
      <c r="DL53" s="102">
        <v>0</v>
      </c>
      <c r="DM53" s="102">
        <v>0</v>
      </c>
      <c r="DN53" s="102">
        <v>0</v>
      </c>
      <c r="DO53" s="102">
        <v>0</v>
      </c>
      <c r="DP53" s="102">
        <v>0</v>
      </c>
      <c r="DQ53" s="102">
        <v>0</v>
      </c>
      <c r="DR53" s="102">
        <v>0</v>
      </c>
      <c r="DS53" s="102">
        <v>0</v>
      </c>
      <c r="DT53" s="102">
        <v>0</v>
      </c>
      <c r="DU53" s="102">
        <v>0</v>
      </c>
      <c r="DV53" s="102">
        <v>0</v>
      </c>
      <c r="DW53" s="102">
        <v>0</v>
      </c>
      <c r="DX53" s="102">
        <v>0</v>
      </c>
      <c r="DY53" s="102">
        <v>0</v>
      </c>
      <c r="DZ53" s="102">
        <v>0</v>
      </c>
      <c r="EA53" s="102">
        <v>0</v>
      </c>
      <c r="EB53" s="102">
        <v>0</v>
      </c>
      <c r="EC53" s="102">
        <v>0</v>
      </c>
      <c r="ED53" s="102">
        <v>0</v>
      </c>
      <c r="EE53" s="102">
        <v>0</v>
      </c>
      <c r="EF53" s="102">
        <v>0</v>
      </c>
      <c r="EG53" s="102">
        <v>0</v>
      </c>
      <c r="EH53" s="102">
        <v>0</v>
      </c>
      <c r="EI53" s="102">
        <v>0</v>
      </c>
      <c r="EJ53" s="102">
        <v>0</v>
      </c>
      <c r="EK53" s="102">
        <v>0</v>
      </c>
      <c r="EL53" s="102">
        <v>0</v>
      </c>
      <c r="EM53" s="102">
        <v>0</v>
      </c>
      <c r="EN53" s="102">
        <v>0</v>
      </c>
      <c r="EO53" s="102">
        <v>0</v>
      </c>
      <c r="EP53" s="102">
        <v>0</v>
      </c>
      <c r="EQ53" s="102">
        <v>0</v>
      </c>
      <c r="ER53" s="102">
        <v>0</v>
      </c>
      <c r="ES53" s="102">
        <v>0</v>
      </c>
      <c r="ET53" s="102">
        <v>0</v>
      </c>
      <c r="EU53" s="102">
        <v>0</v>
      </c>
      <c r="EV53" s="102">
        <v>0</v>
      </c>
      <c r="EW53" s="102">
        <v>0</v>
      </c>
      <c r="EX53" s="102">
        <v>0</v>
      </c>
      <c r="EY53" s="102">
        <v>0</v>
      </c>
      <c r="EZ53" s="102">
        <v>0</v>
      </c>
      <c r="FA53" s="102">
        <v>0</v>
      </c>
      <c r="FB53" s="102">
        <v>0</v>
      </c>
      <c r="FC53" s="102">
        <v>0</v>
      </c>
      <c r="FD53" s="102">
        <v>0</v>
      </c>
      <c r="FE53" s="102">
        <v>0</v>
      </c>
      <c r="FF53" s="102">
        <v>0</v>
      </c>
      <c r="FG53" s="102">
        <v>0</v>
      </c>
      <c r="FH53" s="102">
        <v>0</v>
      </c>
      <c r="FI53" s="102">
        <v>0</v>
      </c>
      <c r="FJ53" s="71">
        <v>0</v>
      </c>
    </row>
    <row r="54" spans="1:166" x14ac:dyDescent="0.3">
      <c r="A54" s="401" t="s">
        <v>763</v>
      </c>
      <c r="B54" s="103" t="s">
        <v>424</v>
      </c>
      <c r="C54" s="419" t="s">
        <v>658</v>
      </c>
      <c r="D54" s="419" t="s">
        <v>714</v>
      </c>
      <c r="E54" s="419" t="s">
        <v>715</v>
      </c>
      <c r="F54" s="103" t="s">
        <v>737</v>
      </c>
      <c r="G54" s="103" t="s">
        <v>732</v>
      </c>
      <c r="H54" s="103" t="s">
        <v>733</v>
      </c>
      <c r="I54" s="103">
        <v>0</v>
      </c>
      <c r="J54" s="103" t="s">
        <v>661</v>
      </c>
      <c r="K54" s="103">
        <v>0</v>
      </c>
      <c r="L54" s="103" t="s">
        <v>712</v>
      </c>
      <c r="M54" s="419">
        <v>1</v>
      </c>
      <c r="N54" s="103">
        <v>0</v>
      </c>
      <c r="O54" s="103">
        <v>15000000</v>
      </c>
      <c r="P54" s="393">
        <f t="shared" si="0"/>
        <v>15000000</v>
      </c>
      <c r="Q54" s="103">
        <v>0</v>
      </c>
      <c r="R54" s="103">
        <v>0</v>
      </c>
      <c r="S54" s="103">
        <v>0</v>
      </c>
      <c r="T54" s="395">
        <v>1</v>
      </c>
      <c r="U54" s="103">
        <v>0</v>
      </c>
      <c r="V54" s="102">
        <v>0</v>
      </c>
      <c r="W54" s="102">
        <v>0</v>
      </c>
      <c r="X54" s="102">
        <v>0</v>
      </c>
      <c r="Y54" s="102">
        <v>0</v>
      </c>
      <c r="Z54" s="102">
        <v>0</v>
      </c>
      <c r="AA54" s="102">
        <v>0</v>
      </c>
      <c r="AB54" s="102">
        <v>0</v>
      </c>
      <c r="AC54" s="102">
        <v>0</v>
      </c>
      <c r="AD54" s="102">
        <v>0</v>
      </c>
      <c r="AE54" s="102">
        <v>0</v>
      </c>
      <c r="AF54" s="102">
        <v>0</v>
      </c>
      <c r="AG54" s="102">
        <v>0</v>
      </c>
      <c r="AH54" s="102">
        <v>0</v>
      </c>
      <c r="AI54" s="102">
        <v>0</v>
      </c>
      <c r="AJ54" s="102">
        <v>0</v>
      </c>
      <c r="AK54" s="102">
        <v>0</v>
      </c>
      <c r="AL54" s="102">
        <v>0</v>
      </c>
      <c r="AM54" s="102">
        <v>0</v>
      </c>
      <c r="AN54" s="102">
        <v>0</v>
      </c>
      <c r="AO54" s="102">
        <v>0</v>
      </c>
      <c r="AP54" s="102">
        <v>0</v>
      </c>
      <c r="AQ54" s="102">
        <v>0</v>
      </c>
      <c r="AR54" s="102">
        <v>0</v>
      </c>
      <c r="AS54" s="102">
        <v>0</v>
      </c>
      <c r="AT54" s="102">
        <v>0</v>
      </c>
      <c r="AU54" s="102">
        <v>0</v>
      </c>
      <c r="AV54" s="102">
        <v>0</v>
      </c>
      <c r="AW54" s="102">
        <v>0</v>
      </c>
      <c r="AX54" s="102">
        <v>0</v>
      </c>
      <c r="AY54" s="102">
        <v>0</v>
      </c>
      <c r="AZ54" s="102">
        <v>0</v>
      </c>
      <c r="BA54" s="102">
        <v>0</v>
      </c>
      <c r="BB54" s="102">
        <v>0</v>
      </c>
      <c r="BC54" s="102">
        <v>0</v>
      </c>
      <c r="BD54" s="102">
        <v>0</v>
      </c>
      <c r="BE54" s="102">
        <v>0</v>
      </c>
      <c r="BF54" s="102">
        <v>0</v>
      </c>
      <c r="BG54" s="102">
        <v>0</v>
      </c>
      <c r="BH54" s="102">
        <v>0</v>
      </c>
      <c r="BI54" s="102">
        <v>0</v>
      </c>
      <c r="BJ54" s="102">
        <v>0</v>
      </c>
      <c r="BK54" s="102">
        <v>0</v>
      </c>
      <c r="BL54" s="102">
        <v>0</v>
      </c>
      <c r="BM54" s="102">
        <v>0</v>
      </c>
      <c r="BN54" s="102">
        <v>0</v>
      </c>
      <c r="BO54" s="102">
        <v>0</v>
      </c>
      <c r="BP54" s="102">
        <v>0</v>
      </c>
      <c r="BQ54" s="102">
        <v>0</v>
      </c>
      <c r="BR54" s="102">
        <v>0</v>
      </c>
      <c r="BS54" s="102">
        <v>0</v>
      </c>
      <c r="BT54" s="102">
        <v>0</v>
      </c>
      <c r="BU54" s="102">
        <v>0</v>
      </c>
      <c r="BV54" s="102">
        <v>0</v>
      </c>
      <c r="BW54" s="102">
        <v>0</v>
      </c>
      <c r="BX54" s="102">
        <v>0</v>
      </c>
      <c r="BY54" s="102">
        <v>0</v>
      </c>
      <c r="BZ54" s="102">
        <v>0</v>
      </c>
      <c r="CA54" s="102">
        <v>0</v>
      </c>
      <c r="CB54" s="102">
        <v>0</v>
      </c>
      <c r="CC54" s="102">
        <v>0</v>
      </c>
      <c r="CD54" s="102">
        <v>0</v>
      </c>
      <c r="CE54" s="102">
        <v>0</v>
      </c>
      <c r="CF54" s="102">
        <v>0</v>
      </c>
      <c r="CG54" s="102">
        <v>0</v>
      </c>
      <c r="CH54" s="102">
        <v>0</v>
      </c>
      <c r="CI54" s="102">
        <v>0</v>
      </c>
      <c r="CJ54" s="102">
        <v>0</v>
      </c>
      <c r="CK54" s="102">
        <v>0</v>
      </c>
      <c r="CL54" s="102">
        <v>0</v>
      </c>
      <c r="CM54" s="102">
        <v>0</v>
      </c>
      <c r="CN54" s="102">
        <v>0</v>
      </c>
      <c r="CO54" s="102">
        <v>0</v>
      </c>
      <c r="CP54" s="102">
        <v>0</v>
      </c>
      <c r="CQ54" s="102">
        <v>0</v>
      </c>
      <c r="CR54" s="102">
        <v>0</v>
      </c>
      <c r="CS54" s="102">
        <v>0</v>
      </c>
      <c r="CT54" s="102">
        <v>0</v>
      </c>
      <c r="CU54" s="102">
        <v>0</v>
      </c>
      <c r="CV54" s="102">
        <v>0</v>
      </c>
      <c r="CW54" s="102">
        <v>0</v>
      </c>
      <c r="CX54" s="102">
        <v>0</v>
      </c>
      <c r="CY54" s="102">
        <v>0</v>
      </c>
      <c r="CZ54" s="102">
        <v>0</v>
      </c>
      <c r="DA54" s="102">
        <v>0</v>
      </c>
      <c r="DB54" s="102">
        <v>0</v>
      </c>
      <c r="DC54" s="102">
        <v>0</v>
      </c>
      <c r="DD54" s="102">
        <v>0</v>
      </c>
      <c r="DE54" s="102">
        <v>0</v>
      </c>
      <c r="DF54" s="102">
        <v>0</v>
      </c>
      <c r="DG54" s="102">
        <v>0</v>
      </c>
      <c r="DH54" s="102">
        <v>0</v>
      </c>
      <c r="DI54" s="102">
        <v>0</v>
      </c>
      <c r="DJ54" s="102">
        <v>0</v>
      </c>
      <c r="DK54" s="102">
        <v>0</v>
      </c>
      <c r="DL54" s="102">
        <v>0</v>
      </c>
      <c r="DM54" s="102">
        <v>0</v>
      </c>
      <c r="DN54" s="102">
        <v>0</v>
      </c>
      <c r="DO54" s="102">
        <v>0</v>
      </c>
      <c r="DP54" s="102">
        <v>0</v>
      </c>
      <c r="DQ54" s="102">
        <v>0</v>
      </c>
      <c r="DR54" s="102">
        <v>0</v>
      </c>
      <c r="DS54" s="102">
        <v>0</v>
      </c>
      <c r="DT54" s="102">
        <v>0</v>
      </c>
      <c r="DU54" s="102">
        <v>0</v>
      </c>
      <c r="DV54" s="102">
        <v>0</v>
      </c>
      <c r="DW54" s="102">
        <v>0</v>
      </c>
      <c r="DX54" s="102">
        <v>0</v>
      </c>
      <c r="DY54" s="102">
        <v>0</v>
      </c>
      <c r="DZ54" s="102">
        <v>0</v>
      </c>
      <c r="EA54" s="102">
        <v>0</v>
      </c>
      <c r="EB54" s="102">
        <v>0</v>
      </c>
      <c r="EC54" s="102">
        <v>0</v>
      </c>
      <c r="ED54" s="102">
        <v>0</v>
      </c>
      <c r="EE54" s="102">
        <v>0</v>
      </c>
      <c r="EF54" s="102">
        <v>0</v>
      </c>
      <c r="EG54" s="102">
        <v>0</v>
      </c>
      <c r="EH54" s="102">
        <v>0</v>
      </c>
      <c r="EI54" s="102">
        <v>0</v>
      </c>
      <c r="EJ54" s="102">
        <v>0</v>
      </c>
      <c r="EK54" s="102">
        <v>0</v>
      </c>
      <c r="EL54" s="102">
        <v>0</v>
      </c>
      <c r="EM54" s="102">
        <v>0</v>
      </c>
      <c r="EN54" s="102">
        <v>0</v>
      </c>
      <c r="EO54" s="102">
        <v>0</v>
      </c>
      <c r="EP54" s="102">
        <v>0</v>
      </c>
      <c r="EQ54" s="102">
        <v>0</v>
      </c>
      <c r="ER54" s="102">
        <v>0</v>
      </c>
      <c r="ES54" s="102">
        <v>0</v>
      </c>
      <c r="ET54" s="102">
        <v>0</v>
      </c>
      <c r="EU54" s="102">
        <v>0</v>
      </c>
      <c r="EV54" s="102">
        <v>0</v>
      </c>
      <c r="EW54" s="102">
        <v>0</v>
      </c>
      <c r="EX54" s="102">
        <v>0</v>
      </c>
      <c r="EY54" s="102">
        <v>0</v>
      </c>
      <c r="EZ54" s="102">
        <v>0</v>
      </c>
      <c r="FA54" s="102">
        <v>0</v>
      </c>
      <c r="FB54" s="102">
        <v>0</v>
      </c>
      <c r="FC54" s="102">
        <v>0</v>
      </c>
      <c r="FD54" s="102">
        <v>0</v>
      </c>
      <c r="FE54" s="102">
        <v>0</v>
      </c>
      <c r="FF54" s="102">
        <v>0</v>
      </c>
      <c r="FG54" s="102">
        <v>0</v>
      </c>
      <c r="FH54" s="102">
        <v>0</v>
      </c>
      <c r="FI54" s="102">
        <v>0</v>
      </c>
      <c r="FJ54" s="71">
        <v>0</v>
      </c>
    </row>
    <row r="55" spans="1:166" x14ac:dyDescent="0.3">
      <c r="A55" s="401" t="s">
        <v>764</v>
      </c>
      <c r="B55" s="103" t="s">
        <v>424</v>
      </c>
      <c r="C55" s="419" t="s">
        <v>658</v>
      </c>
      <c r="D55" s="419" t="s">
        <v>714</v>
      </c>
      <c r="E55" s="419" t="s">
        <v>715</v>
      </c>
      <c r="F55" s="103" t="s">
        <v>737</v>
      </c>
      <c r="G55" s="103" t="s">
        <v>732</v>
      </c>
      <c r="H55" s="103" t="s">
        <v>734</v>
      </c>
      <c r="I55" s="103">
        <v>0</v>
      </c>
      <c r="J55" s="103" t="s">
        <v>661</v>
      </c>
      <c r="K55" s="103">
        <v>0</v>
      </c>
      <c r="L55" s="103" t="s">
        <v>712</v>
      </c>
      <c r="M55" s="419">
        <v>1</v>
      </c>
      <c r="N55" s="103">
        <v>0</v>
      </c>
      <c r="O55" s="103">
        <v>25000000</v>
      </c>
      <c r="P55" s="393">
        <f t="shared" si="0"/>
        <v>25000000</v>
      </c>
      <c r="Q55" s="103">
        <v>0</v>
      </c>
      <c r="R55" s="103">
        <v>0</v>
      </c>
      <c r="S55" s="103">
        <v>0</v>
      </c>
      <c r="T55" s="395">
        <v>1</v>
      </c>
      <c r="U55" s="103">
        <v>0</v>
      </c>
      <c r="V55" s="102">
        <v>0</v>
      </c>
      <c r="W55" s="102">
        <v>0</v>
      </c>
      <c r="X55" s="102">
        <v>0</v>
      </c>
      <c r="Y55" s="102">
        <v>0</v>
      </c>
      <c r="Z55" s="102">
        <v>0</v>
      </c>
      <c r="AA55" s="102">
        <v>0</v>
      </c>
      <c r="AB55" s="102">
        <v>0</v>
      </c>
      <c r="AC55" s="102">
        <v>0</v>
      </c>
      <c r="AD55" s="102">
        <v>0</v>
      </c>
      <c r="AE55" s="102">
        <v>0</v>
      </c>
      <c r="AF55" s="102">
        <v>0</v>
      </c>
      <c r="AG55" s="102">
        <v>0</v>
      </c>
      <c r="AH55" s="102">
        <v>0</v>
      </c>
      <c r="AI55" s="102">
        <v>0</v>
      </c>
      <c r="AJ55" s="102">
        <v>0</v>
      </c>
      <c r="AK55" s="102">
        <v>0</v>
      </c>
      <c r="AL55" s="102">
        <v>0</v>
      </c>
      <c r="AM55" s="102">
        <v>0</v>
      </c>
      <c r="AN55" s="102">
        <v>0</v>
      </c>
      <c r="AO55" s="102">
        <v>0</v>
      </c>
      <c r="AP55" s="102">
        <v>0</v>
      </c>
      <c r="AQ55" s="102">
        <v>0</v>
      </c>
      <c r="AR55" s="102">
        <v>0</v>
      </c>
      <c r="AS55" s="102">
        <v>0</v>
      </c>
      <c r="AT55" s="102">
        <v>0</v>
      </c>
      <c r="AU55" s="102">
        <v>0</v>
      </c>
      <c r="AV55" s="102">
        <v>0</v>
      </c>
      <c r="AW55" s="102">
        <v>0</v>
      </c>
      <c r="AX55" s="102">
        <v>0</v>
      </c>
      <c r="AY55" s="102">
        <v>0</v>
      </c>
      <c r="AZ55" s="102">
        <v>0</v>
      </c>
      <c r="BA55" s="102">
        <v>0</v>
      </c>
      <c r="BB55" s="102">
        <v>0</v>
      </c>
      <c r="BC55" s="102">
        <v>0</v>
      </c>
      <c r="BD55" s="102">
        <v>0</v>
      </c>
      <c r="BE55" s="102">
        <v>0</v>
      </c>
      <c r="BF55" s="102">
        <v>0</v>
      </c>
      <c r="BG55" s="102">
        <v>0</v>
      </c>
      <c r="BH55" s="102">
        <v>0</v>
      </c>
      <c r="BI55" s="102">
        <v>0</v>
      </c>
      <c r="BJ55" s="102">
        <v>0</v>
      </c>
      <c r="BK55" s="102">
        <v>0</v>
      </c>
      <c r="BL55" s="102">
        <v>0</v>
      </c>
      <c r="BM55" s="102">
        <v>0</v>
      </c>
      <c r="BN55" s="102">
        <v>0</v>
      </c>
      <c r="BO55" s="102">
        <v>0</v>
      </c>
      <c r="BP55" s="102">
        <v>0</v>
      </c>
      <c r="BQ55" s="102">
        <v>0</v>
      </c>
      <c r="BR55" s="102">
        <v>0</v>
      </c>
      <c r="BS55" s="102">
        <v>0</v>
      </c>
      <c r="BT55" s="102">
        <v>0</v>
      </c>
      <c r="BU55" s="102">
        <v>0</v>
      </c>
      <c r="BV55" s="102">
        <v>0</v>
      </c>
      <c r="BW55" s="102">
        <v>0</v>
      </c>
      <c r="BX55" s="102">
        <v>0</v>
      </c>
      <c r="BY55" s="102">
        <v>0</v>
      </c>
      <c r="BZ55" s="102">
        <v>0</v>
      </c>
      <c r="CA55" s="102">
        <v>0</v>
      </c>
      <c r="CB55" s="102">
        <v>0</v>
      </c>
      <c r="CC55" s="102">
        <v>0</v>
      </c>
      <c r="CD55" s="102">
        <v>0</v>
      </c>
      <c r="CE55" s="102">
        <v>0</v>
      </c>
      <c r="CF55" s="102">
        <v>0</v>
      </c>
      <c r="CG55" s="102">
        <v>0</v>
      </c>
      <c r="CH55" s="102">
        <v>0</v>
      </c>
      <c r="CI55" s="102">
        <v>0</v>
      </c>
      <c r="CJ55" s="102">
        <v>0</v>
      </c>
      <c r="CK55" s="102">
        <v>0</v>
      </c>
      <c r="CL55" s="102">
        <v>0</v>
      </c>
      <c r="CM55" s="102">
        <v>0</v>
      </c>
      <c r="CN55" s="102">
        <v>0</v>
      </c>
      <c r="CO55" s="102">
        <v>0</v>
      </c>
      <c r="CP55" s="102">
        <v>0</v>
      </c>
      <c r="CQ55" s="102">
        <v>0</v>
      </c>
      <c r="CR55" s="102">
        <v>0</v>
      </c>
      <c r="CS55" s="102">
        <v>0</v>
      </c>
      <c r="CT55" s="102">
        <v>0</v>
      </c>
      <c r="CU55" s="102">
        <v>0</v>
      </c>
      <c r="CV55" s="102">
        <v>0</v>
      </c>
      <c r="CW55" s="102">
        <v>0</v>
      </c>
      <c r="CX55" s="102">
        <v>0</v>
      </c>
      <c r="CY55" s="102">
        <v>0</v>
      </c>
      <c r="CZ55" s="102">
        <v>0</v>
      </c>
      <c r="DA55" s="102">
        <v>0</v>
      </c>
      <c r="DB55" s="102">
        <v>0</v>
      </c>
      <c r="DC55" s="102">
        <v>0</v>
      </c>
      <c r="DD55" s="102">
        <v>0</v>
      </c>
      <c r="DE55" s="102">
        <v>0</v>
      </c>
      <c r="DF55" s="102">
        <v>0</v>
      </c>
      <c r="DG55" s="102">
        <v>0</v>
      </c>
      <c r="DH55" s="102">
        <v>0</v>
      </c>
      <c r="DI55" s="102">
        <v>0</v>
      </c>
      <c r="DJ55" s="102">
        <v>0</v>
      </c>
      <c r="DK55" s="102">
        <v>0</v>
      </c>
      <c r="DL55" s="102">
        <v>0</v>
      </c>
      <c r="DM55" s="102">
        <v>0</v>
      </c>
      <c r="DN55" s="102">
        <v>0</v>
      </c>
      <c r="DO55" s="102">
        <v>0</v>
      </c>
      <c r="DP55" s="102">
        <v>0</v>
      </c>
      <c r="DQ55" s="102">
        <v>0</v>
      </c>
      <c r="DR55" s="102">
        <v>0</v>
      </c>
      <c r="DS55" s="102">
        <v>0</v>
      </c>
      <c r="DT55" s="102">
        <v>0</v>
      </c>
      <c r="DU55" s="102">
        <v>0</v>
      </c>
      <c r="DV55" s="102">
        <v>0</v>
      </c>
      <c r="DW55" s="102">
        <v>0</v>
      </c>
      <c r="DX55" s="102">
        <v>0</v>
      </c>
      <c r="DY55" s="102">
        <v>0</v>
      </c>
      <c r="DZ55" s="102">
        <v>0</v>
      </c>
      <c r="EA55" s="102">
        <v>0</v>
      </c>
      <c r="EB55" s="102">
        <v>0</v>
      </c>
      <c r="EC55" s="102">
        <v>0</v>
      </c>
      <c r="ED55" s="102">
        <v>0</v>
      </c>
      <c r="EE55" s="102">
        <v>0</v>
      </c>
      <c r="EF55" s="102">
        <v>0</v>
      </c>
      <c r="EG55" s="102">
        <v>0</v>
      </c>
      <c r="EH55" s="102">
        <v>0</v>
      </c>
      <c r="EI55" s="102">
        <v>0</v>
      </c>
      <c r="EJ55" s="102">
        <v>0</v>
      </c>
      <c r="EK55" s="102">
        <v>0</v>
      </c>
      <c r="EL55" s="102">
        <v>0</v>
      </c>
      <c r="EM55" s="102">
        <v>0</v>
      </c>
      <c r="EN55" s="102">
        <v>0</v>
      </c>
      <c r="EO55" s="102">
        <v>0</v>
      </c>
      <c r="EP55" s="102">
        <v>0</v>
      </c>
      <c r="EQ55" s="102">
        <v>0</v>
      </c>
      <c r="ER55" s="102">
        <v>0</v>
      </c>
      <c r="ES55" s="102">
        <v>0</v>
      </c>
      <c r="ET55" s="102">
        <v>0</v>
      </c>
      <c r="EU55" s="102">
        <v>0</v>
      </c>
      <c r="EV55" s="102">
        <v>0</v>
      </c>
      <c r="EW55" s="102">
        <v>0</v>
      </c>
      <c r="EX55" s="102">
        <v>0</v>
      </c>
      <c r="EY55" s="102">
        <v>0</v>
      </c>
      <c r="EZ55" s="102">
        <v>0</v>
      </c>
      <c r="FA55" s="102">
        <v>0</v>
      </c>
      <c r="FB55" s="102">
        <v>0</v>
      </c>
      <c r="FC55" s="102">
        <v>0</v>
      </c>
      <c r="FD55" s="102">
        <v>0</v>
      </c>
      <c r="FE55" s="102">
        <v>0</v>
      </c>
      <c r="FF55" s="102">
        <v>0</v>
      </c>
      <c r="FG55" s="102">
        <v>0</v>
      </c>
      <c r="FH55" s="102">
        <v>0</v>
      </c>
      <c r="FI55" s="102">
        <v>0</v>
      </c>
      <c r="FJ55" s="71">
        <v>0</v>
      </c>
    </row>
    <row r="56" spans="1:166" x14ac:dyDescent="0.3">
      <c r="A56" s="401" t="s">
        <v>765</v>
      </c>
      <c r="B56" s="103" t="s">
        <v>424</v>
      </c>
      <c r="C56" s="419" t="s">
        <v>658</v>
      </c>
      <c r="D56" s="419" t="s">
        <v>723</v>
      </c>
      <c r="E56" s="419" t="s">
        <v>715</v>
      </c>
      <c r="F56" s="103" t="s">
        <v>737</v>
      </c>
      <c r="G56" s="103" t="s">
        <v>736</v>
      </c>
      <c r="H56" s="103" t="s">
        <v>736</v>
      </c>
      <c r="I56" s="103">
        <v>0</v>
      </c>
      <c r="J56" s="103" t="s">
        <v>661</v>
      </c>
      <c r="K56" s="103">
        <v>0</v>
      </c>
      <c r="L56" s="103" t="s">
        <v>724</v>
      </c>
      <c r="M56" s="103">
        <v>60</v>
      </c>
      <c r="N56" s="103">
        <v>0</v>
      </c>
      <c r="O56" s="103">
        <v>0</v>
      </c>
      <c r="P56" s="393">
        <v>0</v>
      </c>
      <c r="Q56" s="103">
        <v>24</v>
      </c>
      <c r="R56" s="103">
        <v>60</v>
      </c>
      <c r="S56" s="103">
        <v>0.2</v>
      </c>
      <c r="T56" s="395">
        <v>1</v>
      </c>
      <c r="U56" s="103">
        <v>0</v>
      </c>
      <c r="V56" s="102">
        <v>2000000</v>
      </c>
      <c r="W56" s="102">
        <v>120000000</v>
      </c>
      <c r="X56" s="102">
        <v>0</v>
      </c>
      <c r="Y56" s="102">
        <v>0</v>
      </c>
      <c r="Z56" s="102">
        <v>24000000</v>
      </c>
      <c r="AA56" s="102">
        <v>24000000</v>
      </c>
      <c r="AB56" s="102">
        <v>24000000</v>
      </c>
      <c r="AC56" s="102">
        <v>24000000</v>
      </c>
      <c r="AD56" s="102">
        <v>24000000</v>
      </c>
      <c r="AE56" s="102">
        <v>0</v>
      </c>
      <c r="AF56" s="102">
        <v>0</v>
      </c>
      <c r="AG56" s="102">
        <v>0</v>
      </c>
      <c r="AH56" s="102">
        <v>0</v>
      </c>
      <c r="AI56" s="399">
        <v>0</v>
      </c>
      <c r="AJ56" s="399">
        <v>0</v>
      </c>
      <c r="AK56" s="399">
        <v>0</v>
      </c>
      <c r="AL56" s="399">
        <v>0</v>
      </c>
      <c r="AM56" s="399">
        <v>0</v>
      </c>
      <c r="AN56" s="399">
        <v>0</v>
      </c>
      <c r="AO56" s="399">
        <v>0</v>
      </c>
      <c r="AP56" s="399">
        <v>0</v>
      </c>
      <c r="AQ56" s="399">
        <v>0</v>
      </c>
      <c r="AR56" s="399">
        <v>0</v>
      </c>
      <c r="AS56" s="399">
        <v>0</v>
      </c>
      <c r="AT56" s="399">
        <v>0</v>
      </c>
      <c r="AU56" s="399">
        <v>0</v>
      </c>
      <c r="AV56" s="399">
        <v>0</v>
      </c>
      <c r="AW56" s="399">
        <v>0</v>
      </c>
      <c r="AX56" s="399">
        <v>0</v>
      </c>
      <c r="AY56" s="399">
        <v>0</v>
      </c>
      <c r="AZ56" s="399">
        <v>0</v>
      </c>
      <c r="BA56" s="399">
        <v>0</v>
      </c>
      <c r="BB56" s="399">
        <v>0</v>
      </c>
      <c r="BC56" s="399">
        <v>0</v>
      </c>
      <c r="BD56" s="399">
        <v>0</v>
      </c>
      <c r="BE56" s="399">
        <v>0</v>
      </c>
      <c r="BF56" s="399">
        <v>0</v>
      </c>
      <c r="BG56" s="102">
        <v>2000000</v>
      </c>
      <c r="BH56" s="102">
        <v>2000000</v>
      </c>
      <c r="BI56" s="102">
        <v>2000000</v>
      </c>
      <c r="BJ56" s="102">
        <v>2000000</v>
      </c>
      <c r="BK56" s="102">
        <v>2000000</v>
      </c>
      <c r="BL56" s="102">
        <v>2000000</v>
      </c>
      <c r="BM56" s="102">
        <v>2000000</v>
      </c>
      <c r="BN56" s="102">
        <v>2000000</v>
      </c>
      <c r="BO56" s="102">
        <v>2000000</v>
      </c>
      <c r="BP56" s="102">
        <v>2000000</v>
      </c>
      <c r="BQ56" s="102">
        <v>2000000</v>
      </c>
      <c r="BR56" s="102">
        <v>2000000</v>
      </c>
      <c r="BS56" s="102">
        <v>2000000</v>
      </c>
      <c r="BT56" s="102">
        <v>2000000</v>
      </c>
      <c r="BU56" s="102">
        <v>2000000</v>
      </c>
      <c r="BV56" s="102">
        <v>2000000</v>
      </c>
      <c r="BW56" s="102">
        <v>2000000</v>
      </c>
      <c r="BX56" s="102">
        <v>2000000</v>
      </c>
      <c r="BY56" s="102">
        <v>2000000</v>
      </c>
      <c r="BZ56" s="102">
        <v>2000000</v>
      </c>
      <c r="CA56" s="102">
        <v>2000000</v>
      </c>
      <c r="CB56" s="102">
        <v>2000000</v>
      </c>
      <c r="CC56" s="102">
        <v>2000000</v>
      </c>
      <c r="CD56" s="102">
        <v>2000000</v>
      </c>
      <c r="CE56" s="102">
        <v>2000000</v>
      </c>
      <c r="CF56" s="102">
        <v>2000000</v>
      </c>
      <c r="CG56" s="102">
        <v>2000000</v>
      </c>
      <c r="CH56" s="102">
        <v>2000000</v>
      </c>
      <c r="CI56" s="102">
        <v>2000000</v>
      </c>
      <c r="CJ56" s="102">
        <v>2000000</v>
      </c>
      <c r="CK56" s="102">
        <v>2000000</v>
      </c>
      <c r="CL56" s="102">
        <v>2000000</v>
      </c>
      <c r="CM56" s="102">
        <v>2000000</v>
      </c>
      <c r="CN56" s="102">
        <v>2000000</v>
      </c>
      <c r="CO56" s="102">
        <v>2000000</v>
      </c>
      <c r="CP56" s="102">
        <v>2000000</v>
      </c>
      <c r="CQ56" s="102">
        <v>2000000</v>
      </c>
      <c r="CR56" s="102">
        <v>2000000</v>
      </c>
      <c r="CS56" s="102">
        <v>2000000</v>
      </c>
      <c r="CT56" s="102">
        <v>2000000</v>
      </c>
      <c r="CU56" s="102">
        <v>2000000</v>
      </c>
      <c r="CV56" s="102">
        <v>2000000</v>
      </c>
      <c r="CW56" s="102">
        <v>2000000</v>
      </c>
      <c r="CX56" s="102">
        <v>2000000</v>
      </c>
      <c r="CY56" s="102">
        <v>2000000</v>
      </c>
      <c r="CZ56" s="102">
        <v>2000000</v>
      </c>
      <c r="DA56" s="102">
        <v>2000000</v>
      </c>
      <c r="DB56" s="102">
        <v>2000000</v>
      </c>
      <c r="DC56" s="102">
        <v>2000000</v>
      </c>
      <c r="DD56" s="102">
        <v>2000000</v>
      </c>
      <c r="DE56" s="102">
        <v>2000000</v>
      </c>
      <c r="DF56" s="102">
        <v>2000000</v>
      </c>
      <c r="DG56" s="102">
        <v>2000000</v>
      </c>
      <c r="DH56" s="102">
        <v>2000000</v>
      </c>
      <c r="DI56" s="102">
        <v>2000000</v>
      </c>
      <c r="DJ56" s="102">
        <v>2000000</v>
      </c>
      <c r="DK56" s="102">
        <v>2000000</v>
      </c>
      <c r="DL56" s="102">
        <v>2000000</v>
      </c>
      <c r="DM56" s="102">
        <v>2000000</v>
      </c>
      <c r="DN56" s="102">
        <v>2000000</v>
      </c>
      <c r="DO56" s="102">
        <v>0</v>
      </c>
      <c r="DP56" s="102">
        <v>0</v>
      </c>
      <c r="DQ56" s="102">
        <v>0</v>
      </c>
      <c r="DR56" s="102">
        <v>0</v>
      </c>
      <c r="DS56" s="102">
        <v>0</v>
      </c>
      <c r="DT56" s="102">
        <v>0</v>
      </c>
      <c r="DU56" s="102">
        <v>0</v>
      </c>
      <c r="DV56" s="102">
        <v>0</v>
      </c>
      <c r="DW56" s="102">
        <v>0</v>
      </c>
      <c r="DX56" s="102">
        <v>0</v>
      </c>
      <c r="DY56" s="102">
        <v>0</v>
      </c>
      <c r="DZ56" s="102">
        <v>0</v>
      </c>
      <c r="EA56" s="102">
        <v>0</v>
      </c>
      <c r="EB56" s="102">
        <v>0</v>
      </c>
      <c r="EC56" s="102">
        <v>0</v>
      </c>
      <c r="ED56" s="102">
        <v>0</v>
      </c>
      <c r="EE56" s="102">
        <v>0</v>
      </c>
      <c r="EF56" s="102">
        <v>0</v>
      </c>
      <c r="EG56" s="102">
        <v>0</v>
      </c>
      <c r="EH56" s="102">
        <v>0</v>
      </c>
      <c r="EI56" s="102">
        <v>0</v>
      </c>
      <c r="EJ56" s="102">
        <v>0</v>
      </c>
      <c r="EK56" s="102">
        <v>0</v>
      </c>
      <c r="EL56" s="102">
        <v>0</v>
      </c>
      <c r="EM56" s="102">
        <v>0</v>
      </c>
      <c r="EN56" s="102">
        <v>0</v>
      </c>
      <c r="EO56" s="102">
        <v>0</v>
      </c>
      <c r="EP56" s="102">
        <v>0</v>
      </c>
      <c r="EQ56" s="102">
        <v>0</v>
      </c>
      <c r="ER56" s="102">
        <v>0</v>
      </c>
      <c r="ES56" s="102">
        <v>0</v>
      </c>
      <c r="ET56" s="102">
        <v>0</v>
      </c>
      <c r="EU56" s="102">
        <v>0</v>
      </c>
      <c r="EV56" s="102">
        <v>0</v>
      </c>
      <c r="EW56" s="102">
        <v>0</v>
      </c>
      <c r="EX56" s="102">
        <v>0</v>
      </c>
      <c r="EY56" s="102">
        <v>0</v>
      </c>
      <c r="EZ56" s="102">
        <v>0</v>
      </c>
      <c r="FA56" s="102">
        <v>0</v>
      </c>
      <c r="FB56" s="102">
        <v>0</v>
      </c>
      <c r="FC56" s="102">
        <v>0</v>
      </c>
      <c r="FD56" s="102">
        <v>0</v>
      </c>
      <c r="FE56" s="102">
        <v>0</v>
      </c>
      <c r="FF56" s="102">
        <v>0</v>
      </c>
      <c r="FG56" s="102">
        <v>0</v>
      </c>
      <c r="FH56" s="102">
        <v>0</v>
      </c>
      <c r="FI56" s="102">
        <v>0</v>
      </c>
      <c r="FJ56" s="71">
        <v>0</v>
      </c>
    </row>
    <row r="57" spans="1:166" x14ac:dyDescent="0.3">
      <c r="A57" s="401" t="s">
        <v>766</v>
      </c>
      <c r="B57" s="103" t="s">
        <v>424</v>
      </c>
      <c r="C57" s="419" t="s">
        <v>658</v>
      </c>
      <c r="D57" s="419" t="s">
        <v>714</v>
      </c>
      <c r="E57" s="419" t="s">
        <v>750</v>
      </c>
      <c r="F57" s="103" t="s">
        <v>740</v>
      </c>
      <c r="G57" s="103" t="s">
        <v>743</v>
      </c>
      <c r="H57" s="103" t="s">
        <v>744</v>
      </c>
      <c r="I57" s="103">
        <v>0</v>
      </c>
      <c r="J57" s="103" t="s">
        <v>661</v>
      </c>
      <c r="K57" s="103">
        <v>0</v>
      </c>
      <c r="L57" s="103" t="s">
        <v>712</v>
      </c>
      <c r="M57" s="103">
        <v>3</v>
      </c>
      <c r="N57" s="103">
        <v>0</v>
      </c>
      <c r="O57" s="103">
        <v>8000000</v>
      </c>
      <c r="P57" s="393">
        <f t="shared" si="0"/>
        <v>24000000</v>
      </c>
      <c r="Q57" s="103">
        <v>0</v>
      </c>
      <c r="R57" s="103">
        <v>0</v>
      </c>
      <c r="S57" s="103">
        <v>0</v>
      </c>
      <c r="T57" s="395">
        <v>1</v>
      </c>
      <c r="U57" s="103">
        <v>0</v>
      </c>
      <c r="V57" s="102">
        <v>0</v>
      </c>
      <c r="W57" s="102">
        <v>0</v>
      </c>
      <c r="X57" s="102">
        <v>0</v>
      </c>
      <c r="Y57" s="102">
        <v>0</v>
      </c>
      <c r="Z57" s="102">
        <v>0</v>
      </c>
      <c r="AA57" s="102">
        <v>0</v>
      </c>
      <c r="AB57" s="102">
        <v>0</v>
      </c>
      <c r="AC57" s="102">
        <v>0</v>
      </c>
      <c r="AD57" s="102">
        <v>0</v>
      </c>
      <c r="AE57" s="102">
        <v>0</v>
      </c>
      <c r="AF57" s="102">
        <v>0</v>
      </c>
      <c r="AG57" s="102">
        <v>0</v>
      </c>
      <c r="AH57" s="102">
        <v>0</v>
      </c>
      <c r="AI57" s="102">
        <v>0</v>
      </c>
      <c r="AJ57" s="102">
        <v>0</v>
      </c>
      <c r="AK57" s="102">
        <v>0</v>
      </c>
      <c r="AL57" s="102">
        <v>0</v>
      </c>
      <c r="AM57" s="102">
        <v>0</v>
      </c>
      <c r="AN57" s="102">
        <v>0</v>
      </c>
      <c r="AO57" s="102">
        <v>0</v>
      </c>
      <c r="AP57" s="102">
        <v>0</v>
      </c>
      <c r="AQ57" s="102">
        <v>0</v>
      </c>
      <c r="AR57" s="102">
        <v>0</v>
      </c>
      <c r="AS57" s="102">
        <v>0</v>
      </c>
      <c r="AT57" s="102">
        <v>0</v>
      </c>
      <c r="AU57" s="102">
        <v>0</v>
      </c>
      <c r="AV57" s="102">
        <v>0</v>
      </c>
      <c r="AW57" s="102">
        <v>0</v>
      </c>
      <c r="AX57" s="102">
        <v>0</v>
      </c>
      <c r="AY57" s="102">
        <v>0</v>
      </c>
      <c r="AZ57" s="102">
        <v>0</v>
      </c>
      <c r="BA57" s="102">
        <v>0</v>
      </c>
      <c r="BB57" s="102">
        <v>0</v>
      </c>
      <c r="BC57" s="102">
        <v>0</v>
      </c>
      <c r="BD57" s="102">
        <v>0</v>
      </c>
      <c r="BE57" s="102">
        <v>0</v>
      </c>
      <c r="BF57" s="102">
        <v>0</v>
      </c>
      <c r="BG57" s="102">
        <v>0</v>
      </c>
      <c r="BH57" s="102">
        <v>0</v>
      </c>
      <c r="BI57" s="102">
        <v>0</v>
      </c>
      <c r="BJ57" s="102">
        <v>0</v>
      </c>
      <c r="BK57" s="102">
        <v>0</v>
      </c>
      <c r="BL57" s="102">
        <v>0</v>
      </c>
      <c r="BM57" s="102">
        <v>0</v>
      </c>
      <c r="BN57" s="102">
        <v>0</v>
      </c>
      <c r="BO57" s="102">
        <v>0</v>
      </c>
      <c r="BP57" s="102">
        <v>0</v>
      </c>
      <c r="BQ57" s="102">
        <v>0</v>
      </c>
      <c r="BR57" s="102">
        <v>0</v>
      </c>
      <c r="BS57" s="102">
        <v>0</v>
      </c>
      <c r="BT57" s="102">
        <v>0</v>
      </c>
      <c r="BU57" s="102">
        <v>0</v>
      </c>
      <c r="BV57" s="102">
        <v>0</v>
      </c>
      <c r="BW57" s="102">
        <v>0</v>
      </c>
      <c r="BX57" s="102">
        <v>0</v>
      </c>
      <c r="BY57" s="102">
        <v>0</v>
      </c>
      <c r="BZ57" s="102">
        <v>0</v>
      </c>
      <c r="CA57" s="102">
        <v>0</v>
      </c>
      <c r="CB57" s="102">
        <v>0</v>
      </c>
      <c r="CC57" s="102">
        <v>0</v>
      </c>
      <c r="CD57" s="102">
        <v>0</v>
      </c>
      <c r="CE57" s="102">
        <v>0</v>
      </c>
      <c r="CF57" s="102">
        <v>0</v>
      </c>
      <c r="CG57" s="102">
        <v>0</v>
      </c>
      <c r="CH57" s="102">
        <v>0</v>
      </c>
      <c r="CI57" s="102">
        <v>0</v>
      </c>
      <c r="CJ57" s="102">
        <v>0</v>
      </c>
      <c r="CK57" s="102">
        <v>0</v>
      </c>
      <c r="CL57" s="102">
        <v>0</v>
      </c>
      <c r="CM57" s="102">
        <v>0</v>
      </c>
      <c r="CN57" s="102">
        <v>0</v>
      </c>
      <c r="CO57" s="102">
        <v>0</v>
      </c>
      <c r="CP57" s="102">
        <v>0</v>
      </c>
      <c r="CQ57" s="102">
        <v>0</v>
      </c>
      <c r="CR57" s="102">
        <v>0</v>
      </c>
      <c r="CS57" s="102">
        <v>0</v>
      </c>
      <c r="CT57" s="102">
        <v>0</v>
      </c>
      <c r="CU57" s="102">
        <v>0</v>
      </c>
      <c r="CV57" s="102">
        <v>0</v>
      </c>
      <c r="CW57" s="102">
        <v>0</v>
      </c>
      <c r="CX57" s="102">
        <v>0</v>
      </c>
      <c r="CY57" s="102">
        <v>0</v>
      </c>
      <c r="CZ57" s="102">
        <v>0</v>
      </c>
      <c r="DA57" s="102">
        <v>0</v>
      </c>
      <c r="DB57" s="102">
        <v>0</v>
      </c>
      <c r="DC57" s="102">
        <v>0</v>
      </c>
      <c r="DD57" s="102">
        <v>0</v>
      </c>
      <c r="DE57" s="102">
        <v>0</v>
      </c>
      <c r="DF57" s="102">
        <v>0</v>
      </c>
      <c r="DG57" s="102">
        <v>0</v>
      </c>
      <c r="DH57" s="102">
        <v>0</v>
      </c>
      <c r="DI57" s="102">
        <v>0</v>
      </c>
      <c r="DJ57" s="102">
        <v>0</v>
      </c>
      <c r="DK57" s="102">
        <v>0</v>
      </c>
      <c r="DL57" s="102">
        <v>0</v>
      </c>
      <c r="DM57" s="102">
        <v>0</v>
      </c>
      <c r="DN57" s="102">
        <v>0</v>
      </c>
      <c r="DO57" s="102">
        <v>0</v>
      </c>
      <c r="DP57" s="102">
        <v>0</v>
      </c>
      <c r="DQ57" s="102">
        <v>0</v>
      </c>
      <c r="DR57" s="102">
        <v>0</v>
      </c>
      <c r="DS57" s="102">
        <v>0</v>
      </c>
      <c r="DT57" s="102">
        <v>0</v>
      </c>
      <c r="DU57" s="102">
        <v>0</v>
      </c>
      <c r="DV57" s="102">
        <v>0</v>
      </c>
      <c r="DW57" s="102">
        <v>0</v>
      </c>
      <c r="DX57" s="102">
        <v>0</v>
      </c>
      <c r="DY57" s="102">
        <v>0</v>
      </c>
      <c r="DZ57" s="102">
        <v>0</v>
      </c>
      <c r="EA57" s="102">
        <v>0</v>
      </c>
      <c r="EB57" s="102">
        <v>0</v>
      </c>
      <c r="EC57" s="102">
        <v>0</v>
      </c>
      <c r="ED57" s="102">
        <v>0</v>
      </c>
      <c r="EE57" s="102">
        <v>0</v>
      </c>
      <c r="EF57" s="102">
        <v>0</v>
      </c>
      <c r="EG57" s="102">
        <v>0</v>
      </c>
      <c r="EH57" s="102">
        <v>0</v>
      </c>
      <c r="EI57" s="102">
        <v>0</v>
      </c>
      <c r="EJ57" s="102">
        <v>0</v>
      </c>
      <c r="EK57" s="102">
        <v>0</v>
      </c>
      <c r="EL57" s="102">
        <v>0</v>
      </c>
      <c r="EM57" s="102">
        <v>0</v>
      </c>
      <c r="EN57" s="102">
        <v>0</v>
      </c>
      <c r="EO57" s="102">
        <v>0</v>
      </c>
      <c r="EP57" s="102">
        <v>0</v>
      </c>
      <c r="EQ57" s="102">
        <v>0</v>
      </c>
      <c r="ER57" s="102">
        <v>0</v>
      </c>
      <c r="ES57" s="102">
        <v>0</v>
      </c>
      <c r="ET57" s="102">
        <v>0</v>
      </c>
      <c r="EU57" s="102">
        <v>0</v>
      </c>
      <c r="EV57" s="102">
        <v>0</v>
      </c>
      <c r="EW57" s="102">
        <v>0</v>
      </c>
      <c r="EX57" s="102">
        <v>0</v>
      </c>
      <c r="EY57" s="102">
        <v>0</v>
      </c>
      <c r="EZ57" s="102">
        <v>0</v>
      </c>
      <c r="FA57" s="102">
        <v>0</v>
      </c>
      <c r="FB57" s="102">
        <v>0</v>
      </c>
      <c r="FC57" s="102">
        <v>0</v>
      </c>
      <c r="FD57" s="102">
        <v>0</v>
      </c>
      <c r="FE57" s="102">
        <v>0</v>
      </c>
      <c r="FF57" s="102">
        <v>0</v>
      </c>
      <c r="FG57" s="102">
        <v>0</v>
      </c>
      <c r="FH57" s="102">
        <v>0</v>
      </c>
      <c r="FI57" s="102">
        <v>0</v>
      </c>
      <c r="FJ57" s="71">
        <v>0</v>
      </c>
    </row>
    <row r="58" spans="1:166" x14ac:dyDescent="0.3">
      <c r="A58" s="401" t="s">
        <v>767</v>
      </c>
      <c r="B58" s="103" t="s">
        <v>424</v>
      </c>
      <c r="C58" s="419" t="s">
        <v>658</v>
      </c>
      <c r="D58" s="419" t="s">
        <v>714</v>
      </c>
      <c r="E58" s="419" t="s">
        <v>750</v>
      </c>
      <c r="F58" s="103" t="s">
        <v>740</v>
      </c>
      <c r="G58" s="103" t="s">
        <v>743</v>
      </c>
      <c r="H58" s="103" t="s">
        <v>745</v>
      </c>
      <c r="I58" s="103">
        <v>0</v>
      </c>
      <c r="J58" s="103" t="s">
        <v>661</v>
      </c>
      <c r="K58" s="103">
        <v>0</v>
      </c>
      <c r="L58" s="103" t="s">
        <v>712</v>
      </c>
      <c r="M58" s="103">
        <v>3</v>
      </c>
      <c r="N58" s="103">
        <v>0</v>
      </c>
      <c r="O58" s="103">
        <v>4000000</v>
      </c>
      <c r="P58" s="393">
        <f t="shared" si="0"/>
        <v>12000000</v>
      </c>
      <c r="Q58" s="103">
        <v>0</v>
      </c>
      <c r="R58" s="103">
        <v>0</v>
      </c>
      <c r="S58" s="103">
        <v>0</v>
      </c>
      <c r="T58" s="395">
        <v>1</v>
      </c>
      <c r="U58" s="103">
        <v>0</v>
      </c>
      <c r="V58" s="102">
        <v>0</v>
      </c>
      <c r="W58" s="102">
        <v>0</v>
      </c>
      <c r="X58" s="102">
        <v>0</v>
      </c>
      <c r="Y58" s="102">
        <v>0</v>
      </c>
      <c r="Z58" s="102">
        <v>0</v>
      </c>
      <c r="AA58" s="102">
        <v>0</v>
      </c>
      <c r="AB58" s="102">
        <v>0</v>
      </c>
      <c r="AC58" s="102">
        <v>0</v>
      </c>
      <c r="AD58" s="102">
        <v>0</v>
      </c>
      <c r="AE58" s="102">
        <v>0</v>
      </c>
      <c r="AF58" s="102">
        <v>0</v>
      </c>
      <c r="AG58" s="102">
        <v>0</v>
      </c>
      <c r="AH58" s="102">
        <v>0</v>
      </c>
      <c r="AI58" s="102">
        <v>0</v>
      </c>
      <c r="AJ58" s="102">
        <v>0</v>
      </c>
      <c r="AK58" s="102">
        <v>0</v>
      </c>
      <c r="AL58" s="102">
        <v>0</v>
      </c>
      <c r="AM58" s="102">
        <v>0</v>
      </c>
      <c r="AN58" s="102">
        <v>0</v>
      </c>
      <c r="AO58" s="102">
        <v>0</v>
      </c>
      <c r="AP58" s="102">
        <v>0</v>
      </c>
      <c r="AQ58" s="102">
        <v>0</v>
      </c>
      <c r="AR58" s="102">
        <v>0</v>
      </c>
      <c r="AS58" s="102">
        <v>0</v>
      </c>
      <c r="AT58" s="102">
        <v>0</v>
      </c>
      <c r="AU58" s="102">
        <v>0</v>
      </c>
      <c r="AV58" s="102">
        <v>0</v>
      </c>
      <c r="AW58" s="102">
        <v>0</v>
      </c>
      <c r="AX58" s="102">
        <v>0</v>
      </c>
      <c r="AY58" s="102">
        <v>0</v>
      </c>
      <c r="AZ58" s="102">
        <v>0</v>
      </c>
      <c r="BA58" s="102">
        <v>0</v>
      </c>
      <c r="BB58" s="102">
        <v>0</v>
      </c>
      <c r="BC58" s="102">
        <v>0</v>
      </c>
      <c r="BD58" s="102">
        <v>0</v>
      </c>
      <c r="BE58" s="102">
        <v>0</v>
      </c>
      <c r="BF58" s="102">
        <v>0</v>
      </c>
      <c r="BG58" s="102">
        <v>0</v>
      </c>
      <c r="BH58" s="102">
        <v>0</v>
      </c>
      <c r="BI58" s="102">
        <v>0</v>
      </c>
      <c r="BJ58" s="102">
        <v>0</v>
      </c>
      <c r="BK58" s="102">
        <v>0</v>
      </c>
      <c r="BL58" s="102">
        <v>0</v>
      </c>
      <c r="BM58" s="102">
        <v>0</v>
      </c>
      <c r="BN58" s="102">
        <v>0</v>
      </c>
      <c r="BO58" s="102">
        <v>0</v>
      </c>
      <c r="BP58" s="102">
        <v>0</v>
      </c>
      <c r="BQ58" s="102">
        <v>0</v>
      </c>
      <c r="BR58" s="102">
        <v>0</v>
      </c>
      <c r="BS58" s="102">
        <v>0</v>
      </c>
      <c r="BT58" s="102">
        <v>0</v>
      </c>
      <c r="BU58" s="102">
        <v>0</v>
      </c>
      <c r="BV58" s="102">
        <v>0</v>
      </c>
      <c r="BW58" s="102">
        <v>0</v>
      </c>
      <c r="BX58" s="102">
        <v>0</v>
      </c>
      <c r="BY58" s="102">
        <v>0</v>
      </c>
      <c r="BZ58" s="102">
        <v>0</v>
      </c>
      <c r="CA58" s="102">
        <v>0</v>
      </c>
      <c r="CB58" s="102">
        <v>0</v>
      </c>
      <c r="CC58" s="102">
        <v>0</v>
      </c>
      <c r="CD58" s="102">
        <v>0</v>
      </c>
      <c r="CE58" s="102">
        <v>0</v>
      </c>
      <c r="CF58" s="102">
        <v>0</v>
      </c>
      <c r="CG58" s="102">
        <v>0</v>
      </c>
      <c r="CH58" s="102">
        <v>0</v>
      </c>
      <c r="CI58" s="102">
        <v>0</v>
      </c>
      <c r="CJ58" s="102">
        <v>0</v>
      </c>
      <c r="CK58" s="102">
        <v>0</v>
      </c>
      <c r="CL58" s="102">
        <v>0</v>
      </c>
      <c r="CM58" s="102">
        <v>0</v>
      </c>
      <c r="CN58" s="102">
        <v>0</v>
      </c>
      <c r="CO58" s="102">
        <v>0</v>
      </c>
      <c r="CP58" s="102">
        <v>0</v>
      </c>
      <c r="CQ58" s="102">
        <v>0</v>
      </c>
      <c r="CR58" s="102">
        <v>0</v>
      </c>
      <c r="CS58" s="102">
        <v>0</v>
      </c>
      <c r="CT58" s="102">
        <v>0</v>
      </c>
      <c r="CU58" s="102">
        <v>0</v>
      </c>
      <c r="CV58" s="102">
        <v>0</v>
      </c>
      <c r="CW58" s="102">
        <v>0</v>
      </c>
      <c r="CX58" s="102">
        <v>0</v>
      </c>
      <c r="CY58" s="102">
        <v>0</v>
      </c>
      <c r="CZ58" s="102">
        <v>0</v>
      </c>
      <c r="DA58" s="102">
        <v>0</v>
      </c>
      <c r="DB58" s="102">
        <v>0</v>
      </c>
      <c r="DC58" s="102">
        <v>0</v>
      </c>
      <c r="DD58" s="102">
        <v>0</v>
      </c>
      <c r="DE58" s="102">
        <v>0</v>
      </c>
      <c r="DF58" s="102">
        <v>0</v>
      </c>
      <c r="DG58" s="102">
        <v>0</v>
      </c>
      <c r="DH58" s="102">
        <v>0</v>
      </c>
      <c r="DI58" s="102">
        <v>0</v>
      </c>
      <c r="DJ58" s="102">
        <v>0</v>
      </c>
      <c r="DK58" s="102">
        <v>0</v>
      </c>
      <c r="DL58" s="102">
        <v>0</v>
      </c>
      <c r="DM58" s="102">
        <v>0</v>
      </c>
      <c r="DN58" s="102">
        <v>0</v>
      </c>
      <c r="DO58" s="102">
        <v>0</v>
      </c>
      <c r="DP58" s="102">
        <v>0</v>
      </c>
      <c r="DQ58" s="102">
        <v>0</v>
      </c>
      <c r="DR58" s="102">
        <v>0</v>
      </c>
      <c r="DS58" s="102">
        <v>0</v>
      </c>
      <c r="DT58" s="102">
        <v>0</v>
      </c>
      <c r="DU58" s="102">
        <v>0</v>
      </c>
      <c r="DV58" s="102">
        <v>0</v>
      </c>
      <c r="DW58" s="102">
        <v>0</v>
      </c>
      <c r="DX58" s="102">
        <v>0</v>
      </c>
      <c r="DY58" s="102">
        <v>0</v>
      </c>
      <c r="DZ58" s="102">
        <v>0</v>
      </c>
      <c r="EA58" s="102">
        <v>0</v>
      </c>
      <c r="EB58" s="102">
        <v>0</v>
      </c>
      <c r="EC58" s="102">
        <v>0</v>
      </c>
      <c r="ED58" s="102">
        <v>0</v>
      </c>
      <c r="EE58" s="102">
        <v>0</v>
      </c>
      <c r="EF58" s="102">
        <v>0</v>
      </c>
      <c r="EG58" s="102">
        <v>0</v>
      </c>
      <c r="EH58" s="102">
        <v>0</v>
      </c>
      <c r="EI58" s="102">
        <v>0</v>
      </c>
      <c r="EJ58" s="102">
        <v>0</v>
      </c>
      <c r="EK58" s="102">
        <v>0</v>
      </c>
      <c r="EL58" s="102">
        <v>0</v>
      </c>
      <c r="EM58" s="102">
        <v>0</v>
      </c>
      <c r="EN58" s="102">
        <v>0</v>
      </c>
      <c r="EO58" s="102">
        <v>0</v>
      </c>
      <c r="EP58" s="102">
        <v>0</v>
      </c>
      <c r="EQ58" s="102">
        <v>0</v>
      </c>
      <c r="ER58" s="102">
        <v>0</v>
      </c>
      <c r="ES58" s="102">
        <v>0</v>
      </c>
      <c r="ET58" s="102">
        <v>0</v>
      </c>
      <c r="EU58" s="102">
        <v>0</v>
      </c>
      <c r="EV58" s="102">
        <v>0</v>
      </c>
      <c r="EW58" s="102">
        <v>0</v>
      </c>
      <c r="EX58" s="102">
        <v>0</v>
      </c>
      <c r="EY58" s="102">
        <v>0</v>
      </c>
      <c r="EZ58" s="102">
        <v>0</v>
      </c>
      <c r="FA58" s="102">
        <v>0</v>
      </c>
      <c r="FB58" s="102">
        <v>0</v>
      </c>
      <c r="FC58" s="102">
        <v>0</v>
      </c>
      <c r="FD58" s="102">
        <v>0</v>
      </c>
      <c r="FE58" s="102">
        <v>0</v>
      </c>
      <c r="FF58" s="102">
        <v>0</v>
      </c>
      <c r="FG58" s="102">
        <v>0</v>
      </c>
      <c r="FH58" s="102">
        <v>0</v>
      </c>
      <c r="FI58" s="102">
        <v>0</v>
      </c>
      <c r="FJ58" s="71">
        <v>0</v>
      </c>
    </row>
    <row r="59" spans="1:166" x14ac:dyDescent="0.3">
      <c r="A59" s="401" t="s">
        <v>768</v>
      </c>
      <c r="B59" s="103" t="s">
        <v>424</v>
      </c>
      <c r="C59" s="419" t="s">
        <v>658</v>
      </c>
      <c r="D59" s="419" t="s">
        <v>714</v>
      </c>
      <c r="E59" s="419" t="s">
        <v>750</v>
      </c>
      <c r="F59" s="103" t="s">
        <v>740</v>
      </c>
      <c r="G59" s="103" t="s">
        <v>746</v>
      </c>
      <c r="H59" s="103" t="s">
        <v>747</v>
      </c>
      <c r="I59" s="103">
        <v>0</v>
      </c>
      <c r="J59" s="103" t="s">
        <v>661</v>
      </c>
      <c r="K59" s="103">
        <v>0</v>
      </c>
      <c r="L59" s="103" t="s">
        <v>712</v>
      </c>
      <c r="M59" s="103">
        <v>2</v>
      </c>
      <c r="N59" s="103">
        <v>0</v>
      </c>
      <c r="O59" s="103">
        <v>6000000</v>
      </c>
      <c r="P59" s="393">
        <f t="shared" si="0"/>
        <v>12000000</v>
      </c>
      <c r="Q59" s="103">
        <v>0</v>
      </c>
      <c r="R59" s="103">
        <v>0</v>
      </c>
      <c r="S59" s="103">
        <v>0</v>
      </c>
      <c r="T59" s="395">
        <v>1</v>
      </c>
      <c r="U59" s="103">
        <v>0</v>
      </c>
      <c r="V59" s="102">
        <v>0</v>
      </c>
      <c r="W59" s="102">
        <v>0</v>
      </c>
      <c r="X59" s="102">
        <v>0</v>
      </c>
      <c r="Y59" s="102">
        <v>0</v>
      </c>
      <c r="Z59" s="102">
        <v>0</v>
      </c>
      <c r="AA59" s="102">
        <v>0</v>
      </c>
      <c r="AB59" s="102">
        <v>0</v>
      </c>
      <c r="AC59" s="102">
        <v>0</v>
      </c>
      <c r="AD59" s="102">
        <v>0</v>
      </c>
      <c r="AE59" s="102">
        <v>0</v>
      </c>
      <c r="AF59" s="102">
        <v>0</v>
      </c>
      <c r="AG59" s="102">
        <v>0</v>
      </c>
      <c r="AH59" s="102">
        <v>0</v>
      </c>
      <c r="AI59" s="102">
        <v>0</v>
      </c>
      <c r="AJ59" s="102">
        <v>0</v>
      </c>
      <c r="AK59" s="102">
        <v>0</v>
      </c>
      <c r="AL59" s="102">
        <v>0</v>
      </c>
      <c r="AM59" s="102">
        <v>0</v>
      </c>
      <c r="AN59" s="102">
        <v>0</v>
      </c>
      <c r="AO59" s="102">
        <v>0</v>
      </c>
      <c r="AP59" s="102">
        <v>0</v>
      </c>
      <c r="AQ59" s="102">
        <v>0</v>
      </c>
      <c r="AR59" s="102">
        <v>0</v>
      </c>
      <c r="AS59" s="102">
        <v>0</v>
      </c>
      <c r="AT59" s="102">
        <v>0</v>
      </c>
      <c r="AU59" s="102">
        <v>0</v>
      </c>
      <c r="AV59" s="102">
        <v>0</v>
      </c>
      <c r="AW59" s="102">
        <v>0</v>
      </c>
      <c r="AX59" s="102">
        <v>0</v>
      </c>
      <c r="AY59" s="102">
        <v>0</v>
      </c>
      <c r="AZ59" s="102">
        <v>0</v>
      </c>
      <c r="BA59" s="102">
        <v>0</v>
      </c>
      <c r="BB59" s="102">
        <v>0</v>
      </c>
      <c r="BC59" s="102">
        <v>0</v>
      </c>
      <c r="BD59" s="102">
        <v>0</v>
      </c>
      <c r="BE59" s="102">
        <v>0</v>
      </c>
      <c r="BF59" s="102">
        <v>0</v>
      </c>
      <c r="BG59" s="102">
        <v>0</v>
      </c>
      <c r="BH59" s="102">
        <v>0</v>
      </c>
      <c r="BI59" s="102">
        <v>0</v>
      </c>
      <c r="BJ59" s="102">
        <v>0</v>
      </c>
      <c r="BK59" s="102">
        <v>0</v>
      </c>
      <c r="BL59" s="102">
        <v>0</v>
      </c>
      <c r="BM59" s="102">
        <v>0</v>
      </c>
      <c r="BN59" s="102">
        <v>0</v>
      </c>
      <c r="BO59" s="102">
        <v>0</v>
      </c>
      <c r="BP59" s="102">
        <v>0</v>
      </c>
      <c r="BQ59" s="102">
        <v>0</v>
      </c>
      <c r="BR59" s="102">
        <v>0</v>
      </c>
      <c r="BS59" s="102">
        <v>0</v>
      </c>
      <c r="BT59" s="102">
        <v>0</v>
      </c>
      <c r="BU59" s="102">
        <v>0</v>
      </c>
      <c r="BV59" s="102">
        <v>0</v>
      </c>
      <c r="BW59" s="102">
        <v>0</v>
      </c>
      <c r="BX59" s="102">
        <v>0</v>
      </c>
      <c r="BY59" s="102">
        <v>0</v>
      </c>
      <c r="BZ59" s="102">
        <v>0</v>
      </c>
      <c r="CA59" s="102">
        <v>0</v>
      </c>
      <c r="CB59" s="102">
        <v>0</v>
      </c>
      <c r="CC59" s="102">
        <v>0</v>
      </c>
      <c r="CD59" s="102">
        <v>0</v>
      </c>
      <c r="CE59" s="102">
        <v>0</v>
      </c>
      <c r="CF59" s="102">
        <v>0</v>
      </c>
      <c r="CG59" s="102">
        <v>0</v>
      </c>
      <c r="CH59" s="102">
        <v>0</v>
      </c>
      <c r="CI59" s="102">
        <v>0</v>
      </c>
      <c r="CJ59" s="102">
        <v>0</v>
      </c>
      <c r="CK59" s="102">
        <v>0</v>
      </c>
      <c r="CL59" s="102">
        <v>0</v>
      </c>
      <c r="CM59" s="102">
        <v>0</v>
      </c>
      <c r="CN59" s="102">
        <v>0</v>
      </c>
      <c r="CO59" s="102">
        <v>0</v>
      </c>
      <c r="CP59" s="102">
        <v>0</v>
      </c>
      <c r="CQ59" s="102">
        <v>0</v>
      </c>
      <c r="CR59" s="102">
        <v>0</v>
      </c>
      <c r="CS59" s="102">
        <v>0</v>
      </c>
      <c r="CT59" s="102">
        <v>0</v>
      </c>
      <c r="CU59" s="102">
        <v>0</v>
      </c>
      <c r="CV59" s="102">
        <v>0</v>
      </c>
      <c r="CW59" s="102">
        <v>0</v>
      </c>
      <c r="CX59" s="102">
        <v>0</v>
      </c>
      <c r="CY59" s="102">
        <v>0</v>
      </c>
      <c r="CZ59" s="102">
        <v>0</v>
      </c>
      <c r="DA59" s="102">
        <v>0</v>
      </c>
      <c r="DB59" s="102">
        <v>0</v>
      </c>
      <c r="DC59" s="102">
        <v>0</v>
      </c>
      <c r="DD59" s="102">
        <v>0</v>
      </c>
      <c r="DE59" s="102">
        <v>0</v>
      </c>
      <c r="DF59" s="102">
        <v>0</v>
      </c>
      <c r="DG59" s="102">
        <v>0</v>
      </c>
      <c r="DH59" s="102">
        <v>0</v>
      </c>
      <c r="DI59" s="102">
        <v>0</v>
      </c>
      <c r="DJ59" s="102">
        <v>0</v>
      </c>
      <c r="DK59" s="102">
        <v>0</v>
      </c>
      <c r="DL59" s="102">
        <v>0</v>
      </c>
      <c r="DM59" s="102">
        <v>0</v>
      </c>
      <c r="DN59" s="102">
        <v>0</v>
      </c>
      <c r="DO59" s="102">
        <v>0</v>
      </c>
      <c r="DP59" s="102">
        <v>0</v>
      </c>
      <c r="DQ59" s="102">
        <v>0</v>
      </c>
      <c r="DR59" s="102">
        <v>0</v>
      </c>
      <c r="DS59" s="102">
        <v>0</v>
      </c>
      <c r="DT59" s="102">
        <v>0</v>
      </c>
      <c r="DU59" s="102">
        <v>0</v>
      </c>
      <c r="DV59" s="102">
        <v>0</v>
      </c>
      <c r="DW59" s="102">
        <v>0</v>
      </c>
      <c r="DX59" s="102">
        <v>0</v>
      </c>
      <c r="DY59" s="102">
        <v>0</v>
      </c>
      <c r="DZ59" s="102">
        <v>0</v>
      </c>
      <c r="EA59" s="102">
        <v>0</v>
      </c>
      <c r="EB59" s="102">
        <v>0</v>
      </c>
      <c r="EC59" s="102">
        <v>0</v>
      </c>
      <c r="ED59" s="102">
        <v>0</v>
      </c>
      <c r="EE59" s="102">
        <v>0</v>
      </c>
      <c r="EF59" s="102">
        <v>0</v>
      </c>
      <c r="EG59" s="102">
        <v>0</v>
      </c>
      <c r="EH59" s="102">
        <v>0</v>
      </c>
      <c r="EI59" s="102">
        <v>0</v>
      </c>
      <c r="EJ59" s="102">
        <v>0</v>
      </c>
      <c r="EK59" s="102">
        <v>0</v>
      </c>
      <c r="EL59" s="102">
        <v>0</v>
      </c>
      <c r="EM59" s="102">
        <v>0</v>
      </c>
      <c r="EN59" s="102">
        <v>0</v>
      </c>
      <c r="EO59" s="102">
        <v>0</v>
      </c>
      <c r="EP59" s="102">
        <v>0</v>
      </c>
      <c r="EQ59" s="102">
        <v>0</v>
      </c>
      <c r="ER59" s="102">
        <v>0</v>
      </c>
      <c r="ES59" s="102">
        <v>0</v>
      </c>
      <c r="ET59" s="102">
        <v>0</v>
      </c>
      <c r="EU59" s="102">
        <v>0</v>
      </c>
      <c r="EV59" s="102">
        <v>0</v>
      </c>
      <c r="EW59" s="102">
        <v>0</v>
      </c>
      <c r="EX59" s="102">
        <v>0</v>
      </c>
      <c r="EY59" s="102">
        <v>0</v>
      </c>
      <c r="EZ59" s="102">
        <v>0</v>
      </c>
      <c r="FA59" s="102">
        <v>0</v>
      </c>
      <c r="FB59" s="102">
        <v>0</v>
      </c>
      <c r="FC59" s="102">
        <v>0</v>
      </c>
      <c r="FD59" s="102">
        <v>0</v>
      </c>
      <c r="FE59" s="102">
        <v>0</v>
      </c>
      <c r="FF59" s="102">
        <v>0</v>
      </c>
      <c r="FG59" s="102">
        <v>0</v>
      </c>
      <c r="FH59" s="102">
        <v>0</v>
      </c>
      <c r="FI59" s="102">
        <v>0</v>
      </c>
      <c r="FJ59" s="71">
        <v>0</v>
      </c>
    </row>
    <row r="60" spans="1:166" x14ac:dyDescent="0.3">
      <c r="A60" s="401" t="s">
        <v>769</v>
      </c>
      <c r="B60" s="103" t="s">
        <v>424</v>
      </c>
      <c r="C60" s="419" t="s">
        <v>658</v>
      </c>
      <c r="D60" s="419" t="s">
        <v>714</v>
      </c>
      <c r="E60" s="419" t="s">
        <v>750</v>
      </c>
      <c r="F60" s="103" t="s">
        <v>740</v>
      </c>
      <c r="G60" s="103" t="s">
        <v>748</v>
      </c>
      <c r="H60" s="103" t="s">
        <v>749</v>
      </c>
      <c r="I60" s="103">
        <v>0</v>
      </c>
      <c r="J60" s="103" t="s">
        <v>661</v>
      </c>
      <c r="K60" s="103">
        <v>0</v>
      </c>
      <c r="L60" s="103" t="s">
        <v>712</v>
      </c>
      <c r="M60" s="103">
        <v>2</v>
      </c>
      <c r="N60" s="103">
        <v>0</v>
      </c>
      <c r="O60" s="103">
        <v>6000000</v>
      </c>
      <c r="P60" s="393">
        <f t="shared" si="0"/>
        <v>12000000</v>
      </c>
      <c r="Q60" s="103">
        <v>0</v>
      </c>
      <c r="R60" s="103">
        <v>0</v>
      </c>
      <c r="S60" s="103">
        <v>0</v>
      </c>
      <c r="T60" s="395">
        <v>1</v>
      </c>
      <c r="U60" s="103">
        <v>0</v>
      </c>
      <c r="V60" s="102">
        <v>0</v>
      </c>
      <c r="W60" s="102">
        <v>0</v>
      </c>
      <c r="X60" s="102">
        <v>0</v>
      </c>
      <c r="Y60" s="102">
        <v>0</v>
      </c>
      <c r="Z60" s="102">
        <v>0</v>
      </c>
      <c r="AA60" s="102">
        <v>0</v>
      </c>
      <c r="AB60" s="102">
        <v>0</v>
      </c>
      <c r="AC60" s="102">
        <v>0</v>
      </c>
      <c r="AD60" s="102">
        <v>0</v>
      </c>
      <c r="AE60" s="102">
        <v>0</v>
      </c>
      <c r="AF60" s="102">
        <v>0</v>
      </c>
      <c r="AG60" s="102">
        <v>0</v>
      </c>
      <c r="AH60" s="102">
        <v>0</v>
      </c>
      <c r="AI60" s="102">
        <v>0</v>
      </c>
      <c r="AJ60" s="102">
        <v>0</v>
      </c>
      <c r="AK60" s="102">
        <v>0</v>
      </c>
      <c r="AL60" s="102">
        <v>0</v>
      </c>
      <c r="AM60" s="102">
        <v>0</v>
      </c>
      <c r="AN60" s="102">
        <v>0</v>
      </c>
      <c r="AO60" s="102">
        <v>0</v>
      </c>
      <c r="AP60" s="102">
        <v>0</v>
      </c>
      <c r="AQ60" s="102">
        <v>0</v>
      </c>
      <c r="AR60" s="102">
        <v>0</v>
      </c>
      <c r="AS60" s="102">
        <v>0</v>
      </c>
      <c r="AT60" s="102">
        <v>0</v>
      </c>
      <c r="AU60" s="102">
        <v>0</v>
      </c>
      <c r="AV60" s="102">
        <v>0</v>
      </c>
      <c r="AW60" s="102">
        <v>0</v>
      </c>
      <c r="AX60" s="102">
        <v>0</v>
      </c>
      <c r="AY60" s="102">
        <v>0</v>
      </c>
      <c r="AZ60" s="102">
        <v>0</v>
      </c>
      <c r="BA60" s="102">
        <v>0</v>
      </c>
      <c r="BB60" s="102">
        <v>0</v>
      </c>
      <c r="BC60" s="102">
        <v>0</v>
      </c>
      <c r="BD60" s="102">
        <v>0</v>
      </c>
      <c r="BE60" s="102">
        <v>0</v>
      </c>
      <c r="BF60" s="102">
        <v>0</v>
      </c>
      <c r="BG60" s="102">
        <v>0</v>
      </c>
      <c r="BH60" s="102">
        <v>0</v>
      </c>
      <c r="BI60" s="102">
        <v>0</v>
      </c>
      <c r="BJ60" s="102">
        <v>0</v>
      </c>
      <c r="BK60" s="102">
        <v>0</v>
      </c>
      <c r="BL60" s="102">
        <v>0</v>
      </c>
      <c r="BM60" s="102">
        <v>0</v>
      </c>
      <c r="BN60" s="102">
        <v>0</v>
      </c>
      <c r="BO60" s="102">
        <v>0</v>
      </c>
      <c r="BP60" s="102">
        <v>0</v>
      </c>
      <c r="BQ60" s="102">
        <v>0</v>
      </c>
      <c r="BR60" s="102">
        <v>0</v>
      </c>
      <c r="BS60" s="102">
        <v>0</v>
      </c>
      <c r="BT60" s="102">
        <v>0</v>
      </c>
      <c r="BU60" s="102">
        <v>0</v>
      </c>
      <c r="BV60" s="102">
        <v>0</v>
      </c>
      <c r="BW60" s="102">
        <v>0</v>
      </c>
      <c r="BX60" s="102">
        <v>0</v>
      </c>
      <c r="BY60" s="102">
        <v>0</v>
      </c>
      <c r="BZ60" s="102">
        <v>0</v>
      </c>
      <c r="CA60" s="102">
        <v>0</v>
      </c>
      <c r="CB60" s="102">
        <v>0</v>
      </c>
      <c r="CC60" s="102">
        <v>0</v>
      </c>
      <c r="CD60" s="102">
        <v>0</v>
      </c>
      <c r="CE60" s="102">
        <v>0</v>
      </c>
      <c r="CF60" s="102">
        <v>0</v>
      </c>
      <c r="CG60" s="102">
        <v>0</v>
      </c>
      <c r="CH60" s="102">
        <v>0</v>
      </c>
      <c r="CI60" s="102">
        <v>0</v>
      </c>
      <c r="CJ60" s="102">
        <v>0</v>
      </c>
      <c r="CK60" s="102">
        <v>0</v>
      </c>
      <c r="CL60" s="102">
        <v>0</v>
      </c>
      <c r="CM60" s="102">
        <v>0</v>
      </c>
      <c r="CN60" s="102">
        <v>0</v>
      </c>
      <c r="CO60" s="102">
        <v>0</v>
      </c>
      <c r="CP60" s="102">
        <v>0</v>
      </c>
      <c r="CQ60" s="102">
        <v>0</v>
      </c>
      <c r="CR60" s="102">
        <v>0</v>
      </c>
      <c r="CS60" s="102">
        <v>0</v>
      </c>
      <c r="CT60" s="102">
        <v>0</v>
      </c>
      <c r="CU60" s="102">
        <v>0</v>
      </c>
      <c r="CV60" s="102">
        <v>0</v>
      </c>
      <c r="CW60" s="102">
        <v>0</v>
      </c>
      <c r="CX60" s="102">
        <v>0</v>
      </c>
      <c r="CY60" s="102">
        <v>0</v>
      </c>
      <c r="CZ60" s="102">
        <v>0</v>
      </c>
      <c r="DA60" s="102">
        <v>0</v>
      </c>
      <c r="DB60" s="102">
        <v>0</v>
      </c>
      <c r="DC60" s="102">
        <v>0</v>
      </c>
      <c r="DD60" s="102">
        <v>0</v>
      </c>
      <c r="DE60" s="102">
        <v>0</v>
      </c>
      <c r="DF60" s="102">
        <v>0</v>
      </c>
      <c r="DG60" s="102">
        <v>0</v>
      </c>
      <c r="DH60" s="102">
        <v>0</v>
      </c>
      <c r="DI60" s="102">
        <v>0</v>
      </c>
      <c r="DJ60" s="102">
        <v>0</v>
      </c>
      <c r="DK60" s="102">
        <v>0</v>
      </c>
      <c r="DL60" s="102">
        <v>0</v>
      </c>
      <c r="DM60" s="102">
        <v>0</v>
      </c>
      <c r="DN60" s="102">
        <v>0</v>
      </c>
      <c r="DO60" s="102">
        <v>0</v>
      </c>
      <c r="DP60" s="102">
        <v>0</v>
      </c>
      <c r="DQ60" s="102">
        <v>0</v>
      </c>
      <c r="DR60" s="102">
        <v>0</v>
      </c>
      <c r="DS60" s="102">
        <v>0</v>
      </c>
      <c r="DT60" s="102">
        <v>0</v>
      </c>
      <c r="DU60" s="102">
        <v>0</v>
      </c>
      <c r="DV60" s="102">
        <v>0</v>
      </c>
      <c r="DW60" s="102">
        <v>0</v>
      </c>
      <c r="DX60" s="102">
        <v>0</v>
      </c>
      <c r="DY60" s="102">
        <v>0</v>
      </c>
      <c r="DZ60" s="102">
        <v>0</v>
      </c>
      <c r="EA60" s="102">
        <v>0</v>
      </c>
      <c r="EB60" s="102">
        <v>0</v>
      </c>
      <c r="EC60" s="102">
        <v>0</v>
      </c>
      <c r="ED60" s="102">
        <v>0</v>
      </c>
      <c r="EE60" s="102">
        <v>0</v>
      </c>
      <c r="EF60" s="102">
        <v>0</v>
      </c>
      <c r="EG60" s="102">
        <v>0</v>
      </c>
      <c r="EH60" s="102">
        <v>0</v>
      </c>
      <c r="EI60" s="102">
        <v>0</v>
      </c>
      <c r="EJ60" s="102">
        <v>0</v>
      </c>
      <c r="EK60" s="102">
        <v>0</v>
      </c>
      <c r="EL60" s="102">
        <v>0</v>
      </c>
      <c r="EM60" s="102">
        <v>0</v>
      </c>
      <c r="EN60" s="102">
        <v>0</v>
      </c>
      <c r="EO60" s="102">
        <v>0</v>
      </c>
      <c r="EP60" s="102">
        <v>0</v>
      </c>
      <c r="EQ60" s="102">
        <v>0</v>
      </c>
      <c r="ER60" s="102">
        <v>0</v>
      </c>
      <c r="ES60" s="102">
        <v>0</v>
      </c>
      <c r="ET60" s="102">
        <v>0</v>
      </c>
      <c r="EU60" s="102">
        <v>0</v>
      </c>
      <c r="EV60" s="102">
        <v>0</v>
      </c>
      <c r="EW60" s="102">
        <v>0</v>
      </c>
      <c r="EX60" s="102">
        <v>0</v>
      </c>
      <c r="EY60" s="102">
        <v>0</v>
      </c>
      <c r="EZ60" s="102">
        <v>0</v>
      </c>
      <c r="FA60" s="102">
        <v>0</v>
      </c>
      <c r="FB60" s="102">
        <v>0</v>
      </c>
      <c r="FC60" s="102">
        <v>0</v>
      </c>
      <c r="FD60" s="102">
        <v>0</v>
      </c>
      <c r="FE60" s="102">
        <v>0</v>
      </c>
      <c r="FF60" s="102">
        <v>0</v>
      </c>
      <c r="FG60" s="102">
        <v>0</v>
      </c>
      <c r="FH60" s="102">
        <v>0</v>
      </c>
      <c r="FI60" s="102">
        <v>0</v>
      </c>
      <c r="FJ60" s="71">
        <v>0</v>
      </c>
    </row>
    <row r="61" spans="1:166" x14ac:dyDescent="0.3">
      <c r="A61" s="401" t="s">
        <v>770</v>
      </c>
      <c r="B61" s="103" t="s">
        <v>424</v>
      </c>
      <c r="C61" s="419" t="s">
        <v>658</v>
      </c>
      <c r="D61" s="419" t="s">
        <v>723</v>
      </c>
      <c r="E61" s="419" t="s">
        <v>752</v>
      </c>
      <c r="F61" s="103" t="s">
        <v>740</v>
      </c>
      <c r="G61" s="103" t="s">
        <v>751</v>
      </c>
      <c r="H61" s="103">
        <v>0</v>
      </c>
      <c r="I61" s="103" t="s">
        <v>751</v>
      </c>
      <c r="J61" s="103" t="s">
        <v>661</v>
      </c>
      <c r="K61" s="103">
        <v>0</v>
      </c>
      <c r="L61" s="103" t="s">
        <v>724</v>
      </c>
      <c r="M61" s="103">
        <v>60</v>
      </c>
      <c r="N61" s="103">
        <v>0</v>
      </c>
      <c r="O61" s="103">
        <v>0</v>
      </c>
      <c r="P61" s="393">
        <v>0</v>
      </c>
      <c r="Q61" s="103">
        <v>24</v>
      </c>
      <c r="R61" s="103">
        <v>60</v>
      </c>
      <c r="S61" s="103">
        <v>0.2</v>
      </c>
      <c r="T61" s="395">
        <v>1</v>
      </c>
      <c r="U61" s="103">
        <v>0</v>
      </c>
      <c r="V61" s="102">
        <v>600000</v>
      </c>
      <c r="W61" s="102">
        <v>36000000</v>
      </c>
      <c r="X61" s="102">
        <v>0</v>
      </c>
      <c r="Y61" s="102">
        <v>0</v>
      </c>
      <c r="Z61" s="102">
        <v>7200000</v>
      </c>
      <c r="AA61" s="102">
        <v>7200000</v>
      </c>
      <c r="AB61" s="102">
        <v>7200000</v>
      </c>
      <c r="AC61" s="102">
        <v>7200000</v>
      </c>
      <c r="AD61" s="102">
        <v>7200000</v>
      </c>
      <c r="AE61" s="102">
        <v>0</v>
      </c>
      <c r="AF61" s="102">
        <v>0</v>
      </c>
      <c r="AG61" s="102">
        <v>0</v>
      </c>
      <c r="AH61" s="102">
        <v>0</v>
      </c>
      <c r="AI61" s="399">
        <v>0</v>
      </c>
      <c r="AJ61" s="399">
        <v>0</v>
      </c>
      <c r="AK61" s="399">
        <v>0</v>
      </c>
      <c r="AL61" s="399">
        <v>0</v>
      </c>
      <c r="AM61" s="399">
        <v>0</v>
      </c>
      <c r="AN61" s="399">
        <v>0</v>
      </c>
      <c r="AO61" s="399">
        <v>0</v>
      </c>
      <c r="AP61" s="399">
        <v>0</v>
      </c>
      <c r="AQ61" s="399">
        <v>0</v>
      </c>
      <c r="AR61" s="399">
        <v>0</v>
      </c>
      <c r="AS61" s="399">
        <v>0</v>
      </c>
      <c r="AT61" s="399">
        <v>0</v>
      </c>
      <c r="AU61" s="399">
        <v>0</v>
      </c>
      <c r="AV61" s="399">
        <v>0</v>
      </c>
      <c r="AW61" s="399">
        <v>0</v>
      </c>
      <c r="AX61" s="399">
        <v>0</v>
      </c>
      <c r="AY61" s="399">
        <v>0</v>
      </c>
      <c r="AZ61" s="399">
        <v>0</v>
      </c>
      <c r="BA61" s="399">
        <v>0</v>
      </c>
      <c r="BB61" s="399">
        <v>0</v>
      </c>
      <c r="BC61" s="399">
        <v>0</v>
      </c>
      <c r="BD61" s="399">
        <v>0</v>
      </c>
      <c r="BE61" s="399">
        <v>0</v>
      </c>
      <c r="BF61" s="399">
        <v>0</v>
      </c>
      <c r="BG61" s="102">
        <v>600000</v>
      </c>
      <c r="BH61" s="102">
        <v>600000</v>
      </c>
      <c r="BI61" s="102">
        <v>600000</v>
      </c>
      <c r="BJ61" s="102">
        <v>600000</v>
      </c>
      <c r="BK61" s="102">
        <v>600000</v>
      </c>
      <c r="BL61" s="102">
        <v>600000</v>
      </c>
      <c r="BM61" s="102">
        <v>600000</v>
      </c>
      <c r="BN61" s="102">
        <v>600000</v>
      </c>
      <c r="BO61" s="102">
        <v>600000</v>
      </c>
      <c r="BP61" s="102">
        <v>600000</v>
      </c>
      <c r="BQ61" s="102">
        <v>600000</v>
      </c>
      <c r="BR61" s="102">
        <v>600000</v>
      </c>
      <c r="BS61" s="102">
        <v>600000</v>
      </c>
      <c r="BT61" s="102">
        <v>600000</v>
      </c>
      <c r="BU61" s="102">
        <v>600000</v>
      </c>
      <c r="BV61" s="102">
        <v>600000</v>
      </c>
      <c r="BW61" s="102">
        <v>600000</v>
      </c>
      <c r="BX61" s="102">
        <v>600000</v>
      </c>
      <c r="BY61" s="102">
        <v>600000</v>
      </c>
      <c r="BZ61" s="102">
        <v>600000</v>
      </c>
      <c r="CA61" s="102">
        <v>600000</v>
      </c>
      <c r="CB61" s="102">
        <v>600000</v>
      </c>
      <c r="CC61" s="102">
        <v>600000</v>
      </c>
      <c r="CD61" s="102">
        <v>600000</v>
      </c>
      <c r="CE61" s="102">
        <v>600000</v>
      </c>
      <c r="CF61" s="102">
        <v>600000</v>
      </c>
      <c r="CG61" s="102">
        <v>600000</v>
      </c>
      <c r="CH61" s="102">
        <v>600000</v>
      </c>
      <c r="CI61" s="102">
        <v>600000</v>
      </c>
      <c r="CJ61" s="102">
        <v>600000</v>
      </c>
      <c r="CK61" s="102">
        <v>600000</v>
      </c>
      <c r="CL61" s="102">
        <v>600000</v>
      </c>
      <c r="CM61" s="102">
        <v>600000</v>
      </c>
      <c r="CN61" s="102">
        <v>600000</v>
      </c>
      <c r="CO61" s="102">
        <v>600000</v>
      </c>
      <c r="CP61" s="102">
        <v>600000</v>
      </c>
      <c r="CQ61" s="102">
        <v>600000</v>
      </c>
      <c r="CR61" s="102">
        <v>600000</v>
      </c>
      <c r="CS61" s="102">
        <v>600000</v>
      </c>
      <c r="CT61" s="102">
        <v>600000</v>
      </c>
      <c r="CU61" s="102">
        <v>600000</v>
      </c>
      <c r="CV61" s="102">
        <v>600000</v>
      </c>
      <c r="CW61" s="102">
        <v>600000</v>
      </c>
      <c r="CX61" s="102">
        <v>600000</v>
      </c>
      <c r="CY61" s="102">
        <v>600000</v>
      </c>
      <c r="CZ61" s="102">
        <v>600000</v>
      </c>
      <c r="DA61" s="102">
        <v>600000</v>
      </c>
      <c r="DB61" s="102">
        <v>600000</v>
      </c>
      <c r="DC61" s="102">
        <v>600000</v>
      </c>
      <c r="DD61" s="102">
        <v>600000</v>
      </c>
      <c r="DE61" s="102">
        <v>600000</v>
      </c>
      <c r="DF61" s="102">
        <v>600000</v>
      </c>
      <c r="DG61" s="102">
        <v>600000</v>
      </c>
      <c r="DH61" s="102">
        <v>600000</v>
      </c>
      <c r="DI61" s="102">
        <v>600000</v>
      </c>
      <c r="DJ61" s="102">
        <v>600000</v>
      </c>
      <c r="DK61" s="102">
        <v>600000</v>
      </c>
      <c r="DL61" s="102">
        <v>600000</v>
      </c>
      <c r="DM61" s="102">
        <v>600000</v>
      </c>
      <c r="DN61" s="102">
        <v>600000</v>
      </c>
      <c r="DO61" s="102">
        <v>0</v>
      </c>
      <c r="DP61" s="102">
        <v>0</v>
      </c>
      <c r="DQ61" s="102">
        <v>0</v>
      </c>
      <c r="DR61" s="102">
        <v>0</v>
      </c>
      <c r="DS61" s="102">
        <v>0</v>
      </c>
      <c r="DT61" s="102">
        <v>0</v>
      </c>
      <c r="DU61" s="102">
        <v>0</v>
      </c>
      <c r="DV61" s="102">
        <v>0</v>
      </c>
      <c r="DW61" s="102">
        <v>0</v>
      </c>
      <c r="DX61" s="102">
        <v>0</v>
      </c>
      <c r="DY61" s="102">
        <v>0</v>
      </c>
      <c r="DZ61" s="102">
        <v>0</v>
      </c>
      <c r="EA61" s="102">
        <v>0</v>
      </c>
      <c r="EB61" s="102">
        <v>0</v>
      </c>
      <c r="EC61" s="102">
        <v>0</v>
      </c>
      <c r="ED61" s="102">
        <v>0</v>
      </c>
      <c r="EE61" s="102">
        <v>0</v>
      </c>
      <c r="EF61" s="102">
        <v>0</v>
      </c>
      <c r="EG61" s="102">
        <v>0</v>
      </c>
      <c r="EH61" s="102">
        <v>0</v>
      </c>
      <c r="EI61" s="102">
        <v>0</v>
      </c>
      <c r="EJ61" s="102">
        <v>0</v>
      </c>
      <c r="EK61" s="102">
        <v>0</v>
      </c>
      <c r="EL61" s="102">
        <v>0</v>
      </c>
      <c r="EM61" s="102">
        <v>0</v>
      </c>
      <c r="EN61" s="102">
        <v>0</v>
      </c>
      <c r="EO61" s="102">
        <v>0</v>
      </c>
      <c r="EP61" s="102">
        <v>0</v>
      </c>
      <c r="EQ61" s="102">
        <v>0</v>
      </c>
      <c r="ER61" s="102">
        <v>0</v>
      </c>
      <c r="ES61" s="102">
        <v>0</v>
      </c>
      <c r="ET61" s="102">
        <v>0</v>
      </c>
      <c r="EU61" s="102">
        <v>0</v>
      </c>
      <c r="EV61" s="102">
        <v>0</v>
      </c>
      <c r="EW61" s="102">
        <v>0</v>
      </c>
      <c r="EX61" s="102">
        <v>0</v>
      </c>
      <c r="EY61" s="102">
        <v>0</v>
      </c>
      <c r="EZ61" s="102">
        <v>0</v>
      </c>
      <c r="FA61" s="102">
        <v>0</v>
      </c>
      <c r="FB61" s="102">
        <v>0</v>
      </c>
      <c r="FC61" s="102">
        <v>0</v>
      </c>
      <c r="FD61" s="102">
        <v>0</v>
      </c>
      <c r="FE61" s="102">
        <v>0</v>
      </c>
      <c r="FF61" s="102">
        <v>0</v>
      </c>
      <c r="FG61" s="102">
        <v>0</v>
      </c>
      <c r="FH61" s="102">
        <v>0</v>
      </c>
      <c r="FI61" s="102">
        <v>0</v>
      </c>
      <c r="FJ61" s="71">
        <v>0</v>
      </c>
    </row>
    <row r="62" spans="1:166" x14ac:dyDescent="0.3">
      <c r="A62" s="401" t="s">
        <v>771</v>
      </c>
      <c r="B62" s="103" t="s">
        <v>424</v>
      </c>
      <c r="C62" s="419" t="s">
        <v>658</v>
      </c>
      <c r="D62" s="419" t="s">
        <v>757</v>
      </c>
      <c r="E62" s="419" t="s">
        <v>800</v>
      </c>
      <c r="F62" s="103" t="s">
        <v>753</v>
      </c>
      <c r="G62" s="103" t="s">
        <v>753</v>
      </c>
      <c r="H62" s="103">
        <v>0</v>
      </c>
      <c r="I62" s="103">
        <v>0</v>
      </c>
      <c r="J62" s="103" t="s">
        <v>661</v>
      </c>
      <c r="K62" s="103">
        <v>0</v>
      </c>
      <c r="L62" s="103" t="s">
        <v>724</v>
      </c>
      <c r="M62" s="103">
        <v>74</v>
      </c>
      <c r="N62" s="103">
        <v>0</v>
      </c>
      <c r="O62" s="103">
        <v>0</v>
      </c>
      <c r="P62" s="393">
        <v>0</v>
      </c>
      <c r="Q62" s="103">
        <v>10</v>
      </c>
      <c r="R62" s="103">
        <v>74</v>
      </c>
      <c r="S62" s="103">
        <v>0.16216216216216217</v>
      </c>
      <c r="T62" s="395">
        <v>1</v>
      </c>
      <c r="U62" s="103">
        <v>0</v>
      </c>
      <c r="V62" s="102">
        <v>2600000</v>
      </c>
      <c r="W62" s="102">
        <v>192400000</v>
      </c>
      <c r="X62" s="102">
        <v>5200000</v>
      </c>
      <c r="Y62" s="102">
        <v>31200000</v>
      </c>
      <c r="Z62" s="102">
        <v>31200000</v>
      </c>
      <c r="AA62" s="102">
        <v>31200000</v>
      </c>
      <c r="AB62" s="102">
        <v>31200000</v>
      </c>
      <c r="AC62" s="102">
        <v>31200000</v>
      </c>
      <c r="AD62" s="102">
        <v>31200000</v>
      </c>
      <c r="AE62" s="102">
        <v>0</v>
      </c>
      <c r="AF62" s="102">
        <v>0</v>
      </c>
      <c r="AG62" s="102">
        <v>0</v>
      </c>
      <c r="AH62" s="102">
        <v>0</v>
      </c>
      <c r="AI62" s="399">
        <v>0</v>
      </c>
      <c r="AJ62" s="399">
        <v>0</v>
      </c>
      <c r="AK62" s="399">
        <v>0</v>
      </c>
      <c r="AL62" s="399">
        <v>0</v>
      </c>
      <c r="AM62" s="399">
        <v>0</v>
      </c>
      <c r="AN62" s="399">
        <v>0</v>
      </c>
      <c r="AO62" s="399">
        <v>0</v>
      </c>
      <c r="AP62" s="399">
        <v>0</v>
      </c>
      <c r="AQ62" s="399">
        <v>0</v>
      </c>
      <c r="AR62" s="399">
        <v>0</v>
      </c>
      <c r="AS62" s="102">
        <v>2600000</v>
      </c>
      <c r="AT62" s="102">
        <v>2600000</v>
      </c>
      <c r="AU62" s="102">
        <v>2600000</v>
      </c>
      <c r="AV62" s="102">
        <v>2600000</v>
      </c>
      <c r="AW62" s="102">
        <v>2600000</v>
      </c>
      <c r="AX62" s="102">
        <v>2600000</v>
      </c>
      <c r="AY62" s="102">
        <v>2600000</v>
      </c>
      <c r="AZ62" s="102">
        <v>2600000</v>
      </c>
      <c r="BA62" s="102">
        <v>2600000</v>
      </c>
      <c r="BB62" s="102">
        <v>2600000</v>
      </c>
      <c r="BC62" s="102">
        <v>2600000</v>
      </c>
      <c r="BD62" s="102">
        <v>2600000</v>
      </c>
      <c r="BE62" s="102">
        <v>2600000</v>
      </c>
      <c r="BF62" s="102">
        <v>2600000</v>
      </c>
      <c r="BG62" s="102">
        <v>2600000</v>
      </c>
      <c r="BH62" s="102">
        <v>2600000</v>
      </c>
      <c r="BI62" s="102">
        <v>2600000</v>
      </c>
      <c r="BJ62" s="102">
        <v>2600000</v>
      </c>
      <c r="BK62" s="102">
        <v>2600000</v>
      </c>
      <c r="BL62" s="102">
        <v>2600000</v>
      </c>
      <c r="BM62" s="102">
        <v>2600000</v>
      </c>
      <c r="BN62" s="102">
        <v>2600000</v>
      </c>
      <c r="BO62" s="102">
        <v>2600000</v>
      </c>
      <c r="BP62" s="102">
        <v>2600000</v>
      </c>
      <c r="BQ62" s="102">
        <v>2600000</v>
      </c>
      <c r="BR62" s="102">
        <v>2600000</v>
      </c>
      <c r="BS62" s="102">
        <v>2600000</v>
      </c>
      <c r="BT62" s="102">
        <v>2600000</v>
      </c>
      <c r="BU62" s="102">
        <v>2600000</v>
      </c>
      <c r="BV62" s="102">
        <v>2600000</v>
      </c>
      <c r="BW62" s="102">
        <v>2600000</v>
      </c>
      <c r="BX62" s="102">
        <v>2600000</v>
      </c>
      <c r="BY62" s="102">
        <v>2600000</v>
      </c>
      <c r="BZ62" s="102">
        <v>2600000</v>
      </c>
      <c r="CA62" s="102">
        <v>2600000</v>
      </c>
      <c r="CB62" s="102">
        <v>2600000</v>
      </c>
      <c r="CC62" s="102">
        <v>2600000</v>
      </c>
      <c r="CD62" s="102">
        <v>2600000</v>
      </c>
      <c r="CE62" s="102">
        <v>2600000</v>
      </c>
      <c r="CF62" s="102">
        <v>2600000</v>
      </c>
      <c r="CG62" s="102">
        <v>2600000</v>
      </c>
      <c r="CH62" s="102">
        <v>2600000</v>
      </c>
      <c r="CI62" s="102">
        <v>2600000</v>
      </c>
      <c r="CJ62" s="102">
        <v>2600000</v>
      </c>
      <c r="CK62" s="102">
        <v>2600000</v>
      </c>
      <c r="CL62" s="102">
        <v>2600000</v>
      </c>
      <c r="CM62" s="102">
        <v>2600000</v>
      </c>
      <c r="CN62" s="102">
        <v>2600000</v>
      </c>
      <c r="CO62" s="102">
        <v>2600000</v>
      </c>
      <c r="CP62" s="102">
        <v>2600000</v>
      </c>
      <c r="CQ62" s="102">
        <v>2600000</v>
      </c>
      <c r="CR62" s="102">
        <v>2600000</v>
      </c>
      <c r="CS62" s="102">
        <v>2600000</v>
      </c>
      <c r="CT62" s="102">
        <v>2600000</v>
      </c>
      <c r="CU62" s="102">
        <v>2600000</v>
      </c>
      <c r="CV62" s="102">
        <v>2600000</v>
      </c>
      <c r="CW62" s="102">
        <v>2600000</v>
      </c>
      <c r="CX62" s="102">
        <v>2600000</v>
      </c>
      <c r="CY62" s="102">
        <v>2600000</v>
      </c>
      <c r="CZ62" s="102">
        <v>2600000</v>
      </c>
      <c r="DA62" s="102">
        <v>2600000</v>
      </c>
      <c r="DB62" s="102">
        <v>2600000</v>
      </c>
      <c r="DC62" s="102">
        <v>2600000</v>
      </c>
      <c r="DD62" s="102">
        <v>2600000</v>
      </c>
      <c r="DE62" s="102">
        <v>2600000</v>
      </c>
      <c r="DF62" s="102">
        <v>2600000</v>
      </c>
      <c r="DG62" s="102">
        <v>2600000</v>
      </c>
      <c r="DH62" s="102">
        <v>2600000</v>
      </c>
      <c r="DI62" s="102">
        <v>2600000</v>
      </c>
      <c r="DJ62" s="102">
        <v>2600000</v>
      </c>
      <c r="DK62" s="102">
        <v>2600000</v>
      </c>
      <c r="DL62" s="102">
        <v>2600000</v>
      </c>
      <c r="DM62" s="102">
        <v>2600000</v>
      </c>
      <c r="DN62" s="102">
        <v>2600000</v>
      </c>
      <c r="DO62" s="102">
        <v>0</v>
      </c>
      <c r="DP62" s="102">
        <v>0</v>
      </c>
      <c r="DQ62" s="102">
        <v>0</v>
      </c>
      <c r="DR62" s="102">
        <v>0</v>
      </c>
      <c r="DS62" s="102">
        <v>0</v>
      </c>
      <c r="DT62" s="102">
        <v>0</v>
      </c>
      <c r="DU62" s="102">
        <v>0</v>
      </c>
      <c r="DV62" s="102">
        <v>0</v>
      </c>
      <c r="DW62" s="102">
        <v>0</v>
      </c>
      <c r="DX62" s="102">
        <v>0</v>
      </c>
      <c r="DY62" s="102">
        <v>0</v>
      </c>
      <c r="DZ62" s="102">
        <v>0</v>
      </c>
      <c r="EA62" s="102">
        <v>0</v>
      </c>
      <c r="EB62" s="102">
        <v>0</v>
      </c>
      <c r="EC62" s="102">
        <v>0</v>
      </c>
      <c r="ED62" s="102">
        <v>0</v>
      </c>
      <c r="EE62" s="102">
        <v>0</v>
      </c>
      <c r="EF62" s="102">
        <v>0</v>
      </c>
      <c r="EG62" s="102">
        <v>0</v>
      </c>
      <c r="EH62" s="102">
        <v>0</v>
      </c>
      <c r="EI62" s="102">
        <v>0</v>
      </c>
      <c r="EJ62" s="102">
        <v>0</v>
      </c>
      <c r="EK62" s="102">
        <v>0</v>
      </c>
      <c r="EL62" s="102">
        <v>0</v>
      </c>
      <c r="EM62" s="102">
        <v>0</v>
      </c>
      <c r="EN62" s="102">
        <v>0</v>
      </c>
      <c r="EO62" s="102">
        <v>0</v>
      </c>
      <c r="EP62" s="102">
        <v>0</v>
      </c>
      <c r="EQ62" s="102">
        <v>0</v>
      </c>
      <c r="ER62" s="102">
        <v>0</v>
      </c>
      <c r="ES62" s="102">
        <v>0</v>
      </c>
      <c r="ET62" s="102">
        <v>0</v>
      </c>
      <c r="EU62" s="102">
        <v>0</v>
      </c>
      <c r="EV62" s="102">
        <v>0</v>
      </c>
      <c r="EW62" s="102">
        <v>0</v>
      </c>
      <c r="EX62" s="102">
        <v>0</v>
      </c>
      <c r="EY62" s="102">
        <v>0</v>
      </c>
      <c r="EZ62" s="102">
        <v>0</v>
      </c>
      <c r="FA62" s="102">
        <v>0</v>
      </c>
      <c r="FB62" s="102">
        <v>0</v>
      </c>
      <c r="FC62" s="102">
        <v>0</v>
      </c>
      <c r="FD62" s="102">
        <v>0</v>
      </c>
      <c r="FE62" s="102">
        <v>0</v>
      </c>
      <c r="FF62" s="102">
        <v>0</v>
      </c>
      <c r="FG62" s="102">
        <v>0</v>
      </c>
      <c r="FH62" s="102">
        <v>0</v>
      </c>
      <c r="FI62" s="102">
        <v>0</v>
      </c>
      <c r="FJ62" s="71">
        <v>0</v>
      </c>
    </row>
    <row r="63" spans="1:166" x14ac:dyDescent="0.3">
      <c r="A63" s="401" t="s">
        <v>772</v>
      </c>
      <c r="B63" s="103" t="s">
        <v>424</v>
      </c>
      <c r="C63" s="419" t="s">
        <v>758</v>
      </c>
      <c r="D63" s="419" t="s">
        <v>759</v>
      </c>
      <c r="E63" s="419" t="s">
        <v>800</v>
      </c>
      <c r="F63" s="103" t="s">
        <v>754</v>
      </c>
      <c r="G63" s="103" t="s">
        <v>754</v>
      </c>
      <c r="H63" s="103">
        <v>0</v>
      </c>
      <c r="I63" s="103">
        <v>0</v>
      </c>
      <c r="J63" s="103" t="s">
        <v>661</v>
      </c>
      <c r="K63" s="103">
        <v>0</v>
      </c>
      <c r="L63" s="103" t="s">
        <v>724</v>
      </c>
      <c r="M63" s="103">
        <v>74</v>
      </c>
      <c r="N63" s="103">
        <v>0</v>
      </c>
      <c r="O63" s="103">
        <v>0</v>
      </c>
      <c r="P63" s="393">
        <v>0</v>
      </c>
      <c r="Q63" s="103">
        <v>10</v>
      </c>
      <c r="R63" s="103">
        <v>74</v>
      </c>
      <c r="S63" s="103">
        <v>0.16216216216216217</v>
      </c>
      <c r="T63" s="395">
        <v>1</v>
      </c>
      <c r="U63" s="103">
        <v>0</v>
      </c>
      <c r="V63" s="102">
        <v>2600000</v>
      </c>
      <c r="W63" s="102">
        <v>192400000</v>
      </c>
      <c r="X63" s="102">
        <v>5200000</v>
      </c>
      <c r="Y63" s="102">
        <v>31200000</v>
      </c>
      <c r="Z63" s="102">
        <v>31200000</v>
      </c>
      <c r="AA63" s="102">
        <v>31200000</v>
      </c>
      <c r="AB63" s="102">
        <v>31200000</v>
      </c>
      <c r="AC63" s="102">
        <v>31200000</v>
      </c>
      <c r="AD63" s="102">
        <v>31200000</v>
      </c>
      <c r="AE63" s="102">
        <v>0</v>
      </c>
      <c r="AF63" s="102">
        <v>0</v>
      </c>
      <c r="AG63" s="102">
        <v>0</v>
      </c>
      <c r="AH63" s="102">
        <v>0</v>
      </c>
      <c r="AI63" s="399">
        <v>0</v>
      </c>
      <c r="AJ63" s="399">
        <v>0</v>
      </c>
      <c r="AK63" s="399">
        <v>0</v>
      </c>
      <c r="AL63" s="399">
        <v>0</v>
      </c>
      <c r="AM63" s="399">
        <v>0</v>
      </c>
      <c r="AN63" s="399">
        <v>0</v>
      </c>
      <c r="AO63" s="399">
        <v>0</v>
      </c>
      <c r="AP63" s="399">
        <v>0</v>
      </c>
      <c r="AQ63" s="399">
        <v>0</v>
      </c>
      <c r="AR63" s="399">
        <v>0</v>
      </c>
      <c r="AS63" s="102">
        <v>2600000</v>
      </c>
      <c r="AT63" s="102">
        <v>2600000</v>
      </c>
      <c r="AU63" s="102">
        <v>2600000</v>
      </c>
      <c r="AV63" s="102">
        <v>2600000</v>
      </c>
      <c r="AW63" s="102">
        <v>2600000</v>
      </c>
      <c r="AX63" s="102">
        <v>2600000</v>
      </c>
      <c r="AY63" s="102">
        <v>2600000</v>
      </c>
      <c r="AZ63" s="102">
        <v>2600000</v>
      </c>
      <c r="BA63" s="102">
        <v>2600000</v>
      </c>
      <c r="BB63" s="102">
        <v>2600000</v>
      </c>
      <c r="BC63" s="102">
        <v>2600000</v>
      </c>
      <c r="BD63" s="102">
        <v>2600000</v>
      </c>
      <c r="BE63" s="102">
        <v>2600000</v>
      </c>
      <c r="BF63" s="102">
        <v>2600000</v>
      </c>
      <c r="BG63" s="102">
        <v>2600000</v>
      </c>
      <c r="BH63" s="102">
        <v>2600000</v>
      </c>
      <c r="BI63" s="102">
        <v>2600000</v>
      </c>
      <c r="BJ63" s="102">
        <v>2600000</v>
      </c>
      <c r="BK63" s="102">
        <v>2600000</v>
      </c>
      <c r="BL63" s="102">
        <v>2600000</v>
      </c>
      <c r="BM63" s="102">
        <v>2600000</v>
      </c>
      <c r="BN63" s="102">
        <v>2600000</v>
      </c>
      <c r="BO63" s="102">
        <v>2600000</v>
      </c>
      <c r="BP63" s="102">
        <v>2600000</v>
      </c>
      <c r="BQ63" s="102">
        <v>2600000</v>
      </c>
      <c r="BR63" s="102">
        <v>2600000</v>
      </c>
      <c r="BS63" s="102">
        <v>2600000</v>
      </c>
      <c r="BT63" s="102">
        <v>2600000</v>
      </c>
      <c r="BU63" s="102">
        <v>2600000</v>
      </c>
      <c r="BV63" s="102">
        <v>2600000</v>
      </c>
      <c r="BW63" s="102">
        <v>2600000</v>
      </c>
      <c r="BX63" s="102">
        <v>2600000</v>
      </c>
      <c r="BY63" s="102">
        <v>2600000</v>
      </c>
      <c r="BZ63" s="102">
        <v>2600000</v>
      </c>
      <c r="CA63" s="102">
        <v>2600000</v>
      </c>
      <c r="CB63" s="102">
        <v>2600000</v>
      </c>
      <c r="CC63" s="102">
        <v>2600000</v>
      </c>
      <c r="CD63" s="102">
        <v>2600000</v>
      </c>
      <c r="CE63" s="102">
        <v>2600000</v>
      </c>
      <c r="CF63" s="102">
        <v>2600000</v>
      </c>
      <c r="CG63" s="102">
        <v>2600000</v>
      </c>
      <c r="CH63" s="102">
        <v>2600000</v>
      </c>
      <c r="CI63" s="102">
        <v>2600000</v>
      </c>
      <c r="CJ63" s="102">
        <v>2600000</v>
      </c>
      <c r="CK63" s="102">
        <v>2600000</v>
      </c>
      <c r="CL63" s="102">
        <v>2600000</v>
      </c>
      <c r="CM63" s="102">
        <v>2600000</v>
      </c>
      <c r="CN63" s="102">
        <v>2600000</v>
      </c>
      <c r="CO63" s="102">
        <v>2600000</v>
      </c>
      <c r="CP63" s="102">
        <v>2600000</v>
      </c>
      <c r="CQ63" s="102">
        <v>2600000</v>
      </c>
      <c r="CR63" s="102">
        <v>2600000</v>
      </c>
      <c r="CS63" s="102">
        <v>2600000</v>
      </c>
      <c r="CT63" s="102">
        <v>2600000</v>
      </c>
      <c r="CU63" s="102">
        <v>2600000</v>
      </c>
      <c r="CV63" s="102">
        <v>2600000</v>
      </c>
      <c r="CW63" s="102">
        <v>2600000</v>
      </c>
      <c r="CX63" s="102">
        <v>2600000</v>
      </c>
      <c r="CY63" s="102">
        <v>2600000</v>
      </c>
      <c r="CZ63" s="102">
        <v>2600000</v>
      </c>
      <c r="DA63" s="102">
        <v>2600000</v>
      </c>
      <c r="DB63" s="102">
        <v>2600000</v>
      </c>
      <c r="DC63" s="102">
        <v>2600000</v>
      </c>
      <c r="DD63" s="102">
        <v>2600000</v>
      </c>
      <c r="DE63" s="102">
        <v>2600000</v>
      </c>
      <c r="DF63" s="102">
        <v>2600000</v>
      </c>
      <c r="DG63" s="102">
        <v>2600000</v>
      </c>
      <c r="DH63" s="102">
        <v>2600000</v>
      </c>
      <c r="DI63" s="102">
        <v>2600000</v>
      </c>
      <c r="DJ63" s="102">
        <v>2600000</v>
      </c>
      <c r="DK63" s="102">
        <v>2600000</v>
      </c>
      <c r="DL63" s="102">
        <v>2600000</v>
      </c>
      <c r="DM63" s="102">
        <v>2600000</v>
      </c>
      <c r="DN63" s="102">
        <v>2600000</v>
      </c>
      <c r="DO63" s="102">
        <v>0</v>
      </c>
      <c r="DP63" s="102">
        <v>0</v>
      </c>
      <c r="DQ63" s="102">
        <v>0</v>
      </c>
      <c r="DR63" s="102">
        <v>0</v>
      </c>
      <c r="DS63" s="102">
        <v>0</v>
      </c>
      <c r="DT63" s="102">
        <v>0</v>
      </c>
      <c r="DU63" s="102">
        <v>0</v>
      </c>
      <c r="DV63" s="102">
        <v>0</v>
      </c>
      <c r="DW63" s="102">
        <v>0</v>
      </c>
      <c r="DX63" s="102">
        <v>0</v>
      </c>
      <c r="DY63" s="102">
        <v>0</v>
      </c>
      <c r="DZ63" s="102">
        <v>0</v>
      </c>
      <c r="EA63" s="102">
        <v>0</v>
      </c>
      <c r="EB63" s="102">
        <v>0</v>
      </c>
      <c r="EC63" s="102">
        <v>0</v>
      </c>
      <c r="ED63" s="102">
        <v>0</v>
      </c>
      <c r="EE63" s="102">
        <v>0</v>
      </c>
      <c r="EF63" s="102">
        <v>0</v>
      </c>
      <c r="EG63" s="102">
        <v>0</v>
      </c>
      <c r="EH63" s="102">
        <v>0</v>
      </c>
      <c r="EI63" s="102">
        <v>0</v>
      </c>
      <c r="EJ63" s="102">
        <v>0</v>
      </c>
      <c r="EK63" s="102">
        <v>0</v>
      </c>
      <c r="EL63" s="102">
        <v>0</v>
      </c>
      <c r="EM63" s="102">
        <v>0</v>
      </c>
      <c r="EN63" s="102">
        <v>0</v>
      </c>
      <c r="EO63" s="102">
        <v>0</v>
      </c>
      <c r="EP63" s="102">
        <v>0</v>
      </c>
      <c r="EQ63" s="102">
        <v>0</v>
      </c>
      <c r="ER63" s="102">
        <v>0</v>
      </c>
      <c r="ES63" s="102">
        <v>0</v>
      </c>
      <c r="ET63" s="102">
        <v>0</v>
      </c>
      <c r="EU63" s="102">
        <v>0</v>
      </c>
      <c r="EV63" s="102">
        <v>0</v>
      </c>
      <c r="EW63" s="102">
        <v>0</v>
      </c>
      <c r="EX63" s="102">
        <v>0</v>
      </c>
      <c r="EY63" s="102">
        <v>0</v>
      </c>
      <c r="EZ63" s="102">
        <v>0</v>
      </c>
      <c r="FA63" s="102">
        <v>0</v>
      </c>
      <c r="FB63" s="102">
        <v>0</v>
      </c>
      <c r="FC63" s="102">
        <v>0</v>
      </c>
      <c r="FD63" s="102">
        <v>0</v>
      </c>
      <c r="FE63" s="102">
        <v>0</v>
      </c>
      <c r="FF63" s="102">
        <v>0</v>
      </c>
      <c r="FG63" s="102">
        <v>0</v>
      </c>
      <c r="FH63" s="102">
        <v>0</v>
      </c>
      <c r="FI63" s="102">
        <v>0</v>
      </c>
      <c r="FJ63" s="71">
        <v>0</v>
      </c>
    </row>
    <row r="64" spans="1:166" x14ac:dyDescent="0.3">
      <c r="A64" s="401" t="s">
        <v>773</v>
      </c>
      <c r="B64" s="103" t="s">
        <v>424</v>
      </c>
      <c r="C64" s="419" t="s">
        <v>760</v>
      </c>
      <c r="D64" s="419" t="s">
        <v>756</v>
      </c>
      <c r="E64" s="419" t="s">
        <v>800</v>
      </c>
      <c r="F64" s="103" t="s">
        <v>755</v>
      </c>
      <c r="G64" s="103" t="s">
        <v>755</v>
      </c>
      <c r="H64" s="103">
        <v>0</v>
      </c>
      <c r="I64" s="103">
        <v>0</v>
      </c>
      <c r="J64" s="103" t="s">
        <v>661</v>
      </c>
      <c r="K64" s="103">
        <v>0</v>
      </c>
      <c r="L64" s="103" t="s">
        <v>724</v>
      </c>
      <c r="M64" s="103">
        <v>74</v>
      </c>
      <c r="N64" s="103">
        <v>0</v>
      </c>
      <c r="O64" s="103">
        <v>0</v>
      </c>
      <c r="P64" s="393">
        <v>0</v>
      </c>
      <c r="Q64" s="103">
        <v>10</v>
      </c>
      <c r="R64" s="103">
        <v>74</v>
      </c>
      <c r="S64" s="103">
        <v>0.16216216216216217</v>
      </c>
      <c r="T64" s="395">
        <v>1</v>
      </c>
      <c r="U64" s="103">
        <v>0</v>
      </c>
      <c r="V64" s="102">
        <v>2600000</v>
      </c>
      <c r="W64" s="102">
        <v>192400000</v>
      </c>
      <c r="X64" s="102">
        <v>5200000</v>
      </c>
      <c r="Y64" s="102">
        <v>31200000</v>
      </c>
      <c r="Z64" s="102">
        <v>31200000</v>
      </c>
      <c r="AA64" s="102">
        <v>31200000</v>
      </c>
      <c r="AB64" s="102">
        <v>31200000</v>
      </c>
      <c r="AC64" s="102">
        <v>31200000</v>
      </c>
      <c r="AD64" s="102">
        <v>31200000</v>
      </c>
      <c r="AE64" s="102">
        <v>0</v>
      </c>
      <c r="AF64" s="102">
        <v>0</v>
      </c>
      <c r="AG64" s="102">
        <v>0</v>
      </c>
      <c r="AH64" s="102">
        <v>0</v>
      </c>
      <c r="AI64" s="399">
        <v>0</v>
      </c>
      <c r="AJ64" s="399">
        <v>0</v>
      </c>
      <c r="AK64" s="399">
        <v>0</v>
      </c>
      <c r="AL64" s="399">
        <v>0</v>
      </c>
      <c r="AM64" s="399">
        <v>0</v>
      </c>
      <c r="AN64" s="399">
        <v>0</v>
      </c>
      <c r="AO64" s="399">
        <v>0</v>
      </c>
      <c r="AP64" s="399">
        <v>0</v>
      </c>
      <c r="AQ64" s="399">
        <v>0</v>
      </c>
      <c r="AR64" s="399">
        <v>0</v>
      </c>
      <c r="AS64" s="102">
        <v>2600000</v>
      </c>
      <c r="AT64" s="102">
        <v>2600000</v>
      </c>
      <c r="AU64" s="102">
        <v>2600000</v>
      </c>
      <c r="AV64" s="102">
        <v>2600000</v>
      </c>
      <c r="AW64" s="102">
        <v>2600000</v>
      </c>
      <c r="AX64" s="102">
        <v>2600000</v>
      </c>
      <c r="AY64" s="102">
        <v>2600000</v>
      </c>
      <c r="AZ64" s="102">
        <v>2600000</v>
      </c>
      <c r="BA64" s="102">
        <v>2600000</v>
      </c>
      <c r="BB64" s="102">
        <v>2600000</v>
      </c>
      <c r="BC64" s="102">
        <v>2600000</v>
      </c>
      <c r="BD64" s="102">
        <v>2600000</v>
      </c>
      <c r="BE64" s="102">
        <v>2600000</v>
      </c>
      <c r="BF64" s="102">
        <v>2600000</v>
      </c>
      <c r="BG64" s="102">
        <v>2600000</v>
      </c>
      <c r="BH64" s="102">
        <v>2600000</v>
      </c>
      <c r="BI64" s="102">
        <v>2600000</v>
      </c>
      <c r="BJ64" s="102">
        <v>2600000</v>
      </c>
      <c r="BK64" s="102">
        <v>2600000</v>
      </c>
      <c r="BL64" s="102">
        <v>2600000</v>
      </c>
      <c r="BM64" s="102">
        <v>2600000</v>
      </c>
      <c r="BN64" s="102">
        <v>2600000</v>
      </c>
      <c r="BO64" s="102">
        <v>2600000</v>
      </c>
      <c r="BP64" s="102">
        <v>2600000</v>
      </c>
      <c r="BQ64" s="102">
        <v>2600000</v>
      </c>
      <c r="BR64" s="102">
        <v>2600000</v>
      </c>
      <c r="BS64" s="102">
        <v>2600000</v>
      </c>
      <c r="BT64" s="102">
        <v>2600000</v>
      </c>
      <c r="BU64" s="102">
        <v>2600000</v>
      </c>
      <c r="BV64" s="102">
        <v>2600000</v>
      </c>
      <c r="BW64" s="102">
        <v>2600000</v>
      </c>
      <c r="BX64" s="102">
        <v>2600000</v>
      </c>
      <c r="BY64" s="102">
        <v>2600000</v>
      </c>
      <c r="BZ64" s="102">
        <v>2600000</v>
      </c>
      <c r="CA64" s="102">
        <v>2600000</v>
      </c>
      <c r="CB64" s="102">
        <v>2600000</v>
      </c>
      <c r="CC64" s="102">
        <v>2600000</v>
      </c>
      <c r="CD64" s="102">
        <v>2600000</v>
      </c>
      <c r="CE64" s="102">
        <v>2600000</v>
      </c>
      <c r="CF64" s="102">
        <v>2600000</v>
      </c>
      <c r="CG64" s="102">
        <v>2600000</v>
      </c>
      <c r="CH64" s="102">
        <v>2600000</v>
      </c>
      <c r="CI64" s="102">
        <v>2600000</v>
      </c>
      <c r="CJ64" s="102">
        <v>2600000</v>
      </c>
      <c r="CK64" s="102">
        <v>2600000</v>
      </c>
      <c r="CL64" s="102">
        <v>2600000</v>
      </c>
      <c r="CM64" s="102">
        <v>2600000</v>
      </c>
      <c r="CN64" s="102">
        <v>2600000</v>
      </c>
      <c r="CO64" s="102">
        <v>2600000</v>
      </c>
      <c r="CP64" s="102">
        <v>2600000</v>
      </c>
      <c r="CQ64" s="102">
        <v>2600000</v>
      </c>
      <c r="CR64" s="102">
        <v>2600000</v>
      </c>
      <c r="CS64" s="102">
        <v>2600000</v>
      </c>
      <c r="CT64" s="102">
        <v>2600000</v>
      </c>
      <c r="CU64" s="102">
        <v>2600000</v>
      </c>
      <c r="CV64" s="102">
        <v>2600000</v>
      </c>
      <c r="CW64" s="102">
        <v>2600000</v>
      </c>
      <c r="CX64" s="102">
        <v>2600000</v>
      </c>
      <c r="CY64" s="102">
        <v>2600000</v>
      </c>
      <c r="CZ64" s="102">
        <v>2600000</v>
      </c>
      <c r="DA64" s="102">
        <v>2600000</v>
      </c>
      <c r="DB64" s="102">
        <v>2600000</v>
      </c>
      <c r="DC64" s="102">
        <v>2600000</v>
      </c>
      <c r="DD64" s="102">
        <v>2600000</v>
      </c>
      <c r="DE64" s="102">
        <v>2600000</v>
      </c>
      <c r="DF64" s="102">
        <v>2600000</v>
      </c>
      <c r="DG64" s="102">
        <v>2600000</v>
      </c>
      <c r="DH64" s="102">
        <v>2600000</v>
      </c>
      <c r="DI64" s="102">
        <v>2600000</v>
      </c>
      <c r="DJ64" s="102">
        <v>2600000</v>
      </c>
      <c r="DK64" s="102">
        <v>2600000</v>
      </c>
      <c r="DL64" s="102">
        <v>2600000</v>
      </c>
      <c r="DM64" s="102">
        <v>2600000</v>
      </c>
      <c r="DN64" s="102">
        <v>2600000</v>
      </c>
      <c r="DO64" s="102">
        <v>0</v>
      </c>
      <c r="DP64" s="102">
        <v>0</v>
      </c>
      <c r="DQ64" s="102">
        <v>0</v>
      </c>
      <c r="DR64" s="102">
        <v>0</v>
      </c>
      <c r="DS64" s="102">
        <v>0</v>
      </c>
      <c r="DT64" s="102">
        <v>0</v>
      </c>
      <c r="DU64" s="102">
        <v>0</v>
      </c>
      <c r="DV64" s="102">
        <v>0</v>
      </c>
      <c r="DW64" s="102">
        <v>0</v>
      </c>
      <c r="DX64" s="102">
        <v>0</v>
      </c>
      <c r="DY64" s="102">
        <v>0</v>
      </c>
      <c r="DZ64" s="102">
        <v>0</v>
      </c>
      <c r="EA64" s="102">
        <v>0</v>
      </c>
      <c r="EB64" s="102">
        <v>0</v>
      </c>
      <c r="EC64" s="102">
        <v>0</v>
      </c>
      <c r="ED64" s="102">
        <v>0</v>
      </c>
      <c r="EE64" s="102">
        <v>0</v>
      </c>
      <c r="EF64" s="102">
        <v>0</v>
      </c>
      <c r="EG64" s="102">
        <v>0</v>
      </c>
      <c r="EH64" s="102">
        <v>0</v>
      </c>
      <c r="EI64" s="102">
        <v>0</v>
      </c>
      <c r="EJ64" s="102">
        <v>0</v>
      </c>
      <c r="EK64" s="102">
        <v>0</v>
      </c>
      <c r="EL64" s="102">
        <v>0</v>
      </c>
      <c r="EM64" s="102">
        <v>0</v>
      </c>
      <c r="EN64" s="102">
        <v>0</v>
      </c>
      <c r="EO64" s="102">
        <v>0</v>
      </c>
      <c r="EP64" s="102">
        <v>0</v>
      </c>
      <c r="EQ64" s="102">
        <v>0</v>
      </c>
      <c r="ER64" s="102">
        <v>0</v>
      </c>
      <c r="ES64" s="102">
        <v>0</v>
      </c>
      <c r="ET64" s="102">
        <v>0</v>
      </c>
      <c r="EU64" s="102">
        <v>0</v>
      </c>
      <c r="EV64" s="102">
        <v>0</v>
      </c>
      <c r="EW64" s="102">
        <v>0</v>
      </c>
      <c r="EX64" s="102">
        <v>0</v>
      </c>
      <c r="EY64" s="102">
        <v>0</v>
      </c>
      <c r="EZ64" s="102">
        <v>0</v>
      </c>
      <c r="FA64" s="102">
        <v>0</v>
      </c>
      <c r="FB64" s="102">
        <v>0</v>
      </c>
      <c r="FC64" s="102">
        <v>0</v>
      </c>
      <c r="FD64" s="102">
        <v>0</v>
      </c>
      <c r="FE64" s="102">
        <v>0</v>
      </c>
      <c r="FF64" s="102">
        <v>0</v>
      </c>
      <c r="FG64" s="102">
        <v>0</v>
      </c>
      <c r="FH64" s="102">
        <v>0</v>
      </c>
      <c r="FI64" s="102">
        <v>0</v>
      </c>
      <c r="FJ64" s="71">
        <v>0</v>
      </c>
    </row>
    <row r="65" spans="1:166" x14ac:dyDescent="0.3">
      <c r="A65" s="401" t="s">
        <v>774</v>
      </c>
      <c r="B65" s="103" t="s">
        <v>424</v>
      </c>
      <c r="C65" s="419" t="s">
        <v>658</v>
      </c>
      <c r="D65" s="419" t="s">
        <v>653</v>
      </c>
      <c r="E65" s="419" t="s">
        <v>659</v>
      </c>
      <c r="F65" s="419" t="s">
        <v>775</v>
      </c>
      <c r="G65" s="103" t="s">
        <v>776</v>
      </c>
      <c r="H65" s="103">
        <v>0</v>
      </c>
      <c r="I65" s="103">
        <v>0</v>
      </c>
      <c r="J65" s="103" t="s">
        <v>661</v>
      </c>
      <c r="K65" s="103">
        <v>0</v>
      </c>
      <c r="L65" s="103" t="s">
        <v>777</v>
      </c>
      <c r="M65" s="103">
        <v>2</v>
      </c>
      <c r="N65" s="103">
        <v>0</v>
      </c>
      <c r="O65" s="103">
        <v>21000000</v>
      </c>
      <c r="P65" s="393">
        <f t="shared" si="0"/>
        <v>42000000</v>
      </c>
      <c r="Q65" s="103">
        <v>0</v>
      </c>
      <c r="R65" s="103">
        <v>0</v>
      </c>
      <c r="S65" s="103">
        <v>0</v>
      </c>
      <c r="T65" s="395">
        <v>1</v>
      </c>
      <c r="U65" s="103">
        <v>0</v>
      </c>
      <c r="V65" s="102">
        <v>0</v>
      </c>
      <c r="W65" s="102">
        <v>0</v>
      </c>
      <c r="X65" s="102">
        <v>0</v>
      </c>
      <c r="Y65" s="102">
        <v>0</v>
      </c>
      <c r="Z65" s="102">
        <v>0</v>
      </c>
      <c r="AA65" s="102">
        <v>0</v>
      </c>
      <c r="AB65" s="102">
        <v>0</v>
      </c>
      <c r="AC65" s="102">
        <v>0</v>
      </c>
      <c r="AD65" s="102">
        <v>0</v>
      </c>
      <c r="AE65" s="102">
        <v>0</v>
      </c>
      <c r="AF65" s="102">
        <v>0</v>
      </c>
      <c r="AG65" s="102">
        <v>0</v>
      </c>
      <c r="AH65" s="102">
        <v>0</v>
      </c>
      <c r="AI65" s="102">
        <v>0</v>
      </c>
      <c r="AJ65" s="102">
        <v>0</v>
      </c>
      <c r="AK65" s="102">
        <v>0</v>
      </c>
      <c r="AL65" s="102">
        <v>0</v>
      </c>
      <c r="AM65" s="102">
        <v>0</v>
      </c>
      <c r="AN65" s="102">
        <v>0</v>
      </c>
      <c r="AO65" s="102">
        <v>0</v>
      </c>
      <c r="AP65" s="102">
        <v>0</v>
      </c>
      <c r="AQ65" s="102">
        <v>0</v>
      </c>
      <c r="AR65" s="102">
        <v>0</v>
      </c>
      <c r="AS65" s="102">
        <v>0</v>
      </c>
      <c r="AT65" s="102">
        <v>0</v>
      </c>
      <c r="AU65" s="102">
        <v>0</v>
      </c>
      <c r="AV65" s="102">
        <v>0</v>
      </c>
      <c r="AW65" s="102">
        <v>0</v>
      </c>
      <c r="AX65" s="102">
        <v>0</v>
      </c>
      <c r="AY65" s="102">
        <v>0</v>
      </c>
      <c r="AZ65" s="102">
        <v>0</v>
      </c>
      <c r="BA65" s="102">
        <v>0</v>
      </c>
      <c r="BB65" s="102">
        <v>0</v>
      </c>
      <c r="BC65" s="102">
        <v>0</v>
      </c>
      <c r="BD65" s="102">
        <v>0</v>
      </c>
      <c r="BE65" s="102">
        <v>0</v>
      </c>
      <c r="BF65" s="102">
        <v>0</v>
      </c>
      <c r="BG65" s="102">
        <v>0</v>
      </c>
      <c r="BH65" s="102">
        <v>0</v>
      </c>
      <c r="BI65" s="102">
        <v>0</v>
      </c>
      <c r="BJ65" s="102">
        <v>0</v>
      </c>
      <c r="BK65" s="102">
        <v>0</v>
      </c>
      <c r="BL65" s="102">
        <v>0</v>
      </c>
      <c r="BM65" s="102">
        <v>0</v>
      </c>
      <c r="BN65" s="102">
        <v>0</v>
      </c>
      <c r="BO65" s="102">
        <v>0</v>
      </c>
      <c r="BP65" s="102">
        <v>0</v>
      </c>
      <c r="BQ65" s="102">
        <v>0</v>
      </c>
      <c r="BR65" s="102">
        <v>0</v>
      </c>
      <c r="BS65" s="102">
        <v>0</v>
      </c>
      <c r="BT65" s="102">
        <v>0</v>
      </c>
      <c r="BU65" s="102">
        <v>0</v>
      </c>
      <c r="BV65" s="102">
        <v>0</v>
      </c>
      <c r="BW65" s="102">
        <v>0</v>
      </c>
      <c r="BX65" s="102">
        <v>0</v>
      </c>
      <c r="BY65" s="102">
        <v>0</v>
      </c>
      <c r="BZ65" s="102">
        <v>0</v>
      </c>
      <c r="CA65" s="102">
        <v>0</v>
      </c>
      <c r="CB65" s="102">
        <v>0</v>
      </c>
      <c r="CC65" s="102">
        <v>0</v>
      </c>
      <c r="CD65" s="102">
        <v>0</v>
      </c>
      <c r="CE65" s="102">
        <v>0</v>
      </c>
      <c r="CF65" s="102">
        <v>0</v>
      </c>
      <c r="CG65" s="102">
        <v>0</v>
      </c>
      <c r="CH65" s="102">
        <v>0</v>
      </c>
      <c r="CI65" s="102">
        <v>0</v>
      </c>
      <c r="CJ65" s="102">
        <v>0</v>
      </c>
      <c r="CK65" s="102">
        <v>0</v>
      </c>
      <c r="CL65" s="102">
        <v>0</v>
      </c>
      <c r="CM65" s="102">
        <v>0</v>
      </c>
      <c r="CN65" s="102">
        <v>0</v>
      </c>
      <c r="CO65" s="102">
        <v>0</v>
      </c>
      <c r="CP65" s="102">
        <v>0</v>
      </c>
      <c r="CQ65" s="102">
        <v>0</v>
      </c>
      <c r="CR65" s="102">
        <v>0</v>
      </c>
      <c r="CS65" s="102">
        <v>0</v>
      </c>
      <c r="CT65" s="102">
        <v>0</v>
      </c>
      <c r="CU65" s="102">
        <v>0</v>
      </c>
      <c r="CV65" s="102">
        <v>0</v>
      </c>
      <c r="CW65" s="102">
        <v>0</v>
      </c>
      <c r="CX65" s="102">
        <v>0</v>
      </c>
      <c r="CY65" s="102">
        <v>0</v>
      </c>
      <c r="CZ65" s="102">
        <v>0</v>
      </c>
      <c r="DA65" s="102">
        <v>0</v>
      </c>
      <c r="DB65" s="102">
        <v>0</v>
      </c>
      <c r="DC65" s="102">
        <v>0</v>
      </c>
      <c r="DD65" s="102">
        <v>0</v>
      </c>
      <c r="DE65" s="102">
        <v>0</v>
      </c>
      <c r="DF65" s="102">
        <v>0</v>
      </c>
      <c r="DG65" s="102">
        <v>0</v>
      </c>
      <c r="DH65" s="102">
        <v>0</v>
      </c>
      <c r="DI65" s="102">
        <v>0</v>
      </c>
      <c r="DJ65" s="102">
        <v>0</v>
      </c>
      <c r="DK65" s="102">
        <v>0</v>
      </c>
      <c r="DL65" s="102">
        <v>0</v>
      </c>
      <c r="DM65" s="102">
        <v>0</v>
      </c>
      <c r="DN65" s="102">
        <v>0</v>
      </c>
      <c r="DO65" s="102">
        <v>0</v>
      </c>
      <c r="DP65" s="102">
        <v>0</v>
      </c>
      <c r="DQ65" s="102">
        <v>0</v>
      </c>
      <c r="DR65" s="102">
        <v>0</v>
      </c>
      <c r="DS65" s="102">
        <v>0</v>
      </c>
      <c r="DT65" s="102">
        <v>0</v>
      </c>
      <c r="DU65" s="102">
        <v>0</v>
      </c>
      <c r="DV65" s="102">
        <v>0</v>
      </c>
      <c r="DW65" s="102">
        <v>0</v>
      </c>
      <c r="DX65" s="102">
        <v>0</v>
      </c>
      <c r="DY65" s="102">
        <v>0</v>
      </c>
      <c r="DZ65" s="102">
        <v>0</v>
      </c>
      <c r="EA65" s="102">
        <v>0</v>
      </c>
      <c r="EB65" s="102">
        <v>0</v>
      </c>
      <c r="EC65" s="102">
        <v>0</v>
      </c>
      <c r="ED65" s="102">
        <v>0</v>
      </c>
      <c r="EE65" s="102">
        <v>0</v>
      </c>
      <c r="EF65" s="102">
        <v>0</v>
      </c>
      <c r="EG65" s="102">
        <v>0</v>
      </c>
      <c r="EH65" s="102">
        <v>0</v>
      </c>
      <c r="EI65" s="102">
        <v>0</v>
      </c>
      <c r="EJ65" s="102">
        <v>0</v>
      </c>
      <c r="EK65" s="102">
        <v>0</v>
      </c>
      <c r="EL65" s="102">
        <v>0</v>
      </c>
      <c r="EM65" s="102">
        <v>0</v>
      </c>
      <c r="EN65" s="102">
        <v>0</v>
      </c>
      <c r="EO65" s="102">
        <v>0</v>
      </c>
      <c r="EP65" s="102">
        <v>0</v>
      </c>
      <c r="EQ65" s="102">
        <v>0</v>
      </c>
      <c r="ER65" s="102">
        <v>0</v>
      </c>
      <c r="ES65" s="102">
        <v>0</v>
      </c>
      <c r="ET65" s="102">
        <v>0</v>
      </c>
      <c r="EU65" s="102">
        <v>0</v>
      </c>
      <c r="EV65" s="102">
        <v>0</v>
      </c>
      <c r="EW65" s="102">
        <v>0</v>
      </c>
      <c r="EX65" s="102">
        <v>0</v>
      </c>
      <c r="EY65" s="102">
        <v>0</v>
      </c>
      <c r="EZ65" s="102">
        <v>0</v>
      </c>
      <c r="FA65" s="102">
        <v>0</v>
      </c>
      <c r="FB65" s="102">
        <v>0</v>
      </c>
      <c r="FC65" s="102">
        <v>0</v>
      </c>
      <c r="FD65" s="102">
        <v>0</v>
      </c>
      <c r="FE65" s="102">
        <v>0</v>
      </c>
      <c r="FF65" s="102">
        <v>0</v>
      </c>
      <c r="FG65" s="102">
        <v>0</v>
      </c>
      <c r="FH65" s="102">
        <v>0</v>
      </c>
      <c r="FI65" s="102">
        <v>0</v>
      </c>
      <c r="FJ65" s="71">
        <v>0</v>
      </c>
    </row>
    <row r="66" spans="1:166" x14ac:dyDescent="0.3">
      <c r="A66" s="401" t="s">
        <v>787</v>
      </c>
      <c r="B66" s="103" t="s">
        <v>424</v>
      </c>
      <c r="C66" s="419" t="s">
        <v>795</v>
      </c>
      <c r="D66" s="419" t="s">
        <v>653</v>
      </c>
      <c r="E66" s="419" t="s">
        <v>659</v>
      </c>
      <c r="F66" s="103" t="s">
        <v>778</v>
      </c>
      <c r="G66" s="103" t="s">
        <v>779</v>
      </c>
      <c r="H66" s="103" t="s">
        <v>305</v>
      </c>
      <c r="I66" s="103">
        <v>0</v>
      </c>
      <c r="J66" s="419" t="s">
        <v>794</v>
      </c>
      <c r="K66" s="103">
        <v>0</v>
      </c>
      <c r="L66" s="103" t="s">
        <v>307</v>
      </c>
      <c r="M66" s="103">
        <v>6</v>
      </c>
      <c r="N66" s="103">
        <v>0</v>
      </c>
      <c r="O66" s="103">
        <v>9880194</v>
      </c>
      <c r="P66" s="393">
        <f t="shared" si="0"/>
        <v>59281164</v>
      </c>
      <c r="Q66" s="103">
        <v>0</v>
      </c>
      <c r="R66" s="103">
        <v>0</v>
      </c>
      <c r="S66" s="103">
        <v>0</v>
      </c>
      <c r="T66" s="395">
        <v>1</v>
      </c>
      <c r="U66" s="103">
        <v>0</v>
      </c>
      <c r="V66" s="102">
        <v>0</v>
      </c>
      <c r="W66" s="102">
        <v>0</v>
      </c>
      <c r="X66" s="102">
        <v>0</v>
      </c>
      <c r="Y66" s="102">
        <v>0</v>
      </c>
      <c r="Z66" s="102">
        <v>0</v>
      </c>
      <c r="AA66" s="102">
        <v>0</v>
      </c>
      <c r="AB66" s="102">
        <v>0</v>
      </c>
      <c r="AC66" s="102">
        <v>0</v>
      </c>
      <c r="AD66" s="102">
        <v>0</v>
      </c>
      <c r="AE66" s="102">
        <v>0</v>
      </c>
      <c r="AF66" s="102">
        <v>0</v>
      </c>
      <c r="AG66" s="102">
        <v>0</v>
      </c>
      <c r="AH66" s="102">
        <v>0</v>
      </c>
      <c r="AI66" s="102">
        <v>0</v>
      </c>
      <c r="AJ66" s="102">
        <v>0</v>
      </c>
      <c r="AK66" s="102">
        <v>0</v>
      </c>
      <c r="AL66" s="102">
        <v>0</v>
      </c>
      <c r="AM66" s="102">
        <v>0</v>
      </c>
      <c r="AN66" s="102">
        <v>0</v>
      </c>
      <c r="AO66" s="102">
        <v>0</v>
      </c>
      <c r="AP66" s="102">
        <v>0</v>
      </c>
      <c r="AQ66" s="102">
        <v>0</v>
      </c>
      <c r="AR66" s="102">
        <v>0</v>
      </c>
      <c r="AS66" s="102">
        <v>0</v>
      </c>
      <c r="AT66" s="102">
        <v>0</v>
      </c>
      <c r="AU66" s="102">
        <v>0</v>
      </c>
      <c r="AV66" s="102">
        <v>0</v>
      </c>
      <c r="AW66" s="102">
        <v>0</v>
      </c>
      <c r="AX66" s="102">
        <v>0</v>
      </c>
      <c r="AY66" s="102">
        <v>0</v>
      </c>
      <c r="AZ66" s="102">
        <v>0</v>
      </c>
      <c r="BA66" s="102">
        <v>0</v>
      </c>
      <c r="BB66" s="102">
        <v>0</v>
      </c>
      <c r="BC66" s="102">
        <v>0</v>
      </c>
      <c r="BD66" s="102">
        <v>0</v>
      </c>
      <c r="BE66" s="102">
        <v>0</v>
      </c>
      <c r="BF66" s="102">
        <v>0</v>
      </c>
      <c r="BG66" s="102">
        <v>0</v>
      </c>
      <c r="BH66" s="102">
        <v>0</v>
      </c>
      <c r="BI66" s="102">
        <v>0</v>
      </c>
      <c r="BJ66" s="102">
        <v>0</v>
      </c>
      <c r="BK66" s="102">
        <v>0</v>
      </c>
      <c r="BL66" s="102">
        <v>0</v>
      </c>
      <c r="BM66" s="102">
        <v>0</v>
      </c>
      <c r="BN66" s="102">
        <v>0</v>
      </c>
      <c r="BO66" s="102">
        <v>0</v>
      </c>
      <c r="BP66" s="102">
        <v>0</v>
      </c>
      <c r="BQ66" s="102">
        <v>0</v>
      </c>
      <c r="BR66" s="102">
        <v>0</v>
      </c>
      <c r="BS66" s="102">
        <v>0</v>
      </c>
      <c r="BT66" s="102">
        <v>0</v>
      </c>
      <c r="BU66" s="102">
        <v>0</v>
      </c>
      <c r="BV66" s="102">
        <v>0</v>
      </c>
      <c r="BW66" s="102">
        <v>0</v>
      </c>
      <c r="BX66" s="102">
        <v>0</v>
      </c>
      <c r="BY66" s="102">
        <v>0</v>
      </c>
      <c r="BZ66" s="102">
        <v>0</v>
      </c>
      <c r="CA66" s="102">
        <v>0</v>
      </c>
      <c r="CB66" s="102">
        <v>0</v>
      </c>
      <c r="CC66" s="102">
        <v>0</v>
      </c>
      <c r="CD66" s="102">
        <v>0</v>
      </c>
      <c r="CE66" s="102">
        <v>0</v>
      </c>
      <c r="CF66" s="102">
        <v>0</v>
      </c>
      <c r="CG66" s="102">
        <v>0</v>
      </c>
      <c r="CH66" s="102">
        <v>0</v>
      </c>
      <c r="CI66" s="102">
        <v>0</v>
      </c>
      <c r="CJ66" s="102">
        <v>0</v>
      </c>
      <c r="CK66" s="102">
        <v>0</v>
      </c>
      <c r="CL66" s="102">
        <v>0</v>
      </c>
      <c r="CM66" s="102">
        <v>0</v>
      </c>
      <c r="CN66" s="102">
        <v>0</v>
      </c>
      <c r="CO66" s="102">
        <v>0</v>
      </c>
      <c r="CP66" s="102">
        <v>0</v>
      </c>
      <c r="CQ66" s="102">
        <v>0</v>
      </c>
      <c r="CR66" s="102">
        <v>0</v>
      </c>
      <c r="CS66" s="102">
        <v>0</v>
      </c>
      <c r="CT66" s="102">
        <v>0</v>
      </c>
      <c r="CU66" s="102">
        <v>0</v>
      </c>
      <c r="CV66" s="102">
        <v>0</v>
      </c>
      <c r="CW66" s="102">
        <v>0</v>
      </c>
      <c r="CX66" s="102">
        <v>0</v>
      </c>
      <c r="CY66" s="102">
        <v>0</v>
      </c>
      <c r="CZ66" s="102">
        <v>0</v>
      </c>
      <c r="DA66" s="102">
        <v>0</v>
      </c>
      <c r="DB66" s="102">
        <v>0</v>
      </c>
      <c r="DC66" s="102">
        <v>0</v>
      </c>
      <c r="DD66" s="102">
        <v>0</v>
      </c>
      <c r="DE66" s="102">
        <v>0</v>
      </c>
      <c r="DF66" s="102">
        <v>0</v>
      </c>
      <c r="DG66" s="102">
        <v>0</v>
      </c>
      <c r="DH66" s="102">
        <v>0</v>
      </c>
      <c r="DI66" s="102">
        <v>0</v>
      </c>
      <c r="DJ66" s="102">
        <v>0</v>
      </c>
      <c r="DK66" s="102">
        <v>0</v>
      </c>
      <c r="DL66" s="102">
        <v>0</v>
      </c>
      <c r="DM66" s="102">
        <v>0</v>
      </c>
      <c r="DN66" s="102">
        <v>0</v>
      </c>
      <c r="DO66" s="102">
        <v>0</v>
      </c>
      <c r="DP66" s="102">
        <v>0</v>
      </c>
      <c r="DQ66" s="102">
        <v>0</v>
      </c>
      <c r="DR66" s="102">
        <v>0</v>
      </c>
      <c r="DS66" s="102">
        <v>0</v>
      </c>
      <c r="DT66" s="102">
        <v>0</v>
      </c>
      <c r="DU66" s="102">
        <v>0</v>
      </c>
      <c r="DV66" s="102">
        <v>0</v>
      </c>
      <c r="DW66" s="102">
        <v>0</v>
      </c>
      <c r="DX66" s="102">
        <v>0</v>
      </c>
      <c r="DY66" s="102">
        <v>0</v>
      </c>
      <c r="DZ66" s="102">
        <v>0</v>
      </c>
      <c r="EA66" s="102">
        <v>0</v>
      </c>
      <c r="EB66" s="102">
        <v>0</v>
      </c>
      <c r="EC66" s="102">
        <v>0</v>
      </c>
      <c r="ED66" s="102">
        <v>0</v>
      </c>
      <c r="EE66" s="102">
        <v>0</v>
      </c>
      <c r="EF66" s="102">
        <v>0</v>
      </c>
      <c r="EG66" s="102">
        <v>0</v>
      </c>
      <c r="EH66" s="102">
        <v>0</v>
      </c>
      <c r="EI66" s="102">
        <v>0</v>
      </c>
      <c r="EJ66" s="102">
        <v>0</v>
      </c>
      <c r="EK66" s="102">
        <v>0</v>
      </c>
      <c r="EL66" s="102">
        <v>0</v>
      </c>
      <c r="EM66" s="102">
        <v>0</v>
      </c>
      <c r="EN66" s="102">
        <v>0</v>
      </c>
      <c r="EO66" s="102">
        <v>0</v>
      </c>
      <c r="EP66" s="102">
        <v>0</v>
      </c>
      <c r="EQ66" s="102">
        <v>0</v>
      </c>
      <c r="ER66" s="102">
        <v>0</v>
      </c>
      <c r="ES66" s="102">
        <v>0</v>
      </c>
      <c r="ET66" s="102">
        <v>0</v>
      </c>
      <c r="EU66" s="102">
        <v>0</v>
      </c>
      <c r="EV66" s="102">
        <v>0</v>
      </c>
      <c r="EW66" s="102">
        <v>0</v>
      </c>
      <c r="EX66" s="102">
        <v>0</v>
      </c>
      <c r="EY66" s="102">
        <v>0</v>
      </c>
      <c r="EZ66" s="102">
        <v>0</v>
      </c>
      <c r="FA66" s="102">
        <v>0</v>
      </c>
      <c r="FB66" s="102">
        <v>0</v>
      </c>
      <c r="FC66" s="102">
        <v>0</v>
      </c>
      <c r="FD66" s="102">
        <v>0</v>
      </c>
      <c r="FE66" s="102">
        <v>0</v>
      </c>
      <c r="FF66" s="102">
        <v>0</v>
      </c>
      <c r="FG66" s="102">
        <v>0</v>
      </c>
      <c r="FH66" s="102">
        <v>0</v>
      </c>
      <c r="FI66" s="102">
        <v>0</v>
      </c>
      <c r="FJ66" s="71">
        <v>0</v>
      </c>
    </row>
    <row r="67" spans="1:166" x14ac:dyDescent="0.3">
      <c r="A67" s="401" t="s">
        <v>788</v>
      </c>
      <c r="B67" s="103" t="s">
        <v>424</v>
      </c>
      <c r="C67" s="419" t="s">
        <v>795</v>
      </c>
      <c r="D67" s="419" t="s">
        <v>653</v>
      </c>
      <c r="E67" s="419" t="s">
        <v>659</v>
      </c>
      <c r="F67" s="103" t="s">
        <v>14</v>
      </c>
      <c r="G67" s="103" t="s">
        <v>780</v>
      </c>
      <c r="H67" s="103" t="s">
        <v>305</v>
      </c>
      <c r="I67" s="103">
        <v>0</v>
      </c>
      <c r="J67" s="419" t="s">
        <v>794</v>
      </c>
      <c r="K67" s="103">
        <v>0</v>
      </c>
      <c r="L67" s="103" t="s">
        <v>307</v>
      </c>
      <c r="M67" s="103">
        <v>6</v>
      </c>
      <c r="N67" s="103">
        <v>0</v>
      </c>
      <c r="O67" s="103">
        <v>9880194</v>
      </c>
      <c r="P67" s="393">
        <f t="shared" si="0"/>
        <v>59281164</v>
      </c>
      <c r="Q67" s="103">
        <v>0</v>
      </c>
      <c r="R67" s="103">
        <v>0</v>
      </c>
      <c r="S67" s="103">
        <v>0</v>
      </c>
      <c r="T67" s="395">
        <v>1</v>
      </c>
      <c r="U67" s="103">
        <v>0</v>
      </c>
      <c r="V67" s="102">
        <v>0</v>
      </c>
      <c r="W67" s="102">
        <v>0</v>
      </c>
      <c r="X67" s="102">
        <v>0</v>
      </c>
      <c r="Y67" s="102">
        <v>0</v>
      </c>
      <c r="Z67" s="102">
        <v>0</v>
      </c>
      <c r="AA67" s="102">
        <v>0</v>
      </c>
      <c r="AB67" s="102">
        <v>0</v>
      </c>
      <c r="AC67" s="102">
        <v>0</v>
      </c>
      <c r="AD67" s="102">
        <v>0</v>
      </c>
      <c r="AE67" s="102">
        <v>0</v>
      </c>
      <c r="AF67" s="102">
        <v>0</v>
      </c>
      <c r="AG67" s="102">
        <v>0</v>
      </c>
      <c r="AH67" s="102">
        <v>0</v>
      </c>
      <c r="AI67" s="102">
        <v>0</v>
      </c>
      <c r="AJ67" s="102">
        <v>0</v>
      </c>
      <c r="AK67" s="102">
        <v>0</v>
      </c>
      <c r="AL67" s="102">
        <v>0</v>
      </c>
      <c r="AM67" s="102">
        <v>0</v>
      </c>
      <c r="AN67" s="102">
        <v>0</v>
      </c>
      <c r="AO67" s="102">
        <v>0</v>
      </c>
      <c r="AP67" s="102">
        <v>0</v>
      </c>
      <c r="AQ67" s="102">
        <v>0</v>
      </c>
      <c r="AR67" s="102">
        <v>0</v>
      </c>
      <c r="AS67" s="102">
        <v>0</v>
      </c>
      <c r="AT67" s="102">
        <v>0</v>
      </c>
      <c r="AU67" s="102">
        <v>0</v>
      </c>
      <c r="AV67" s="102">
        <v>0</v>
      </c>
      <c r="AW67" s="102">
        <v>0</v>
      </c>
      <c r="AX67" s="102">
        <v>0</v>
      </c>
      <c r="AY67" s="102">
        <v>0</v>
      </c>
      <c r="AZ67" s="102">
        <v>0</v>
      </c>
      <c r="BA67" s="102">
        <v>0</v>
      </c>
      <c r="BB67" s="102">
        <v>0</v>
      </c>
      <c r="BC67" s="102">
        <v>0</v>
      </c>
      <c r="BD67" s="102">
        <v>0</v>
      </c>
      <c r="BE67" s="102">
        <v>0</v>
      </c>
      <c r="BF67" s="102">
        <v>0</v>
      </c>
      <c r="BG67" s="102">
        <v>0</v>
      </c>
      <c r="BH67" s="102">
        <v>0</v>
      </c>
      <c r="BI67" s="102">
        <v>0</v>
      </c>
      <c r="BJ67" s="102">
        <v>0</v>
      </c>
      <c r="BK67" s="102">
        <v>0</v>
      </c>
      <c r="BL67" s="102">
        <v>0</v>
      </c>
      <c r="BM67" s="102">
        <v>0</v>
      </c>
      <c r="BN67" s="102">
        <v>0</v>
      </c>
      <c r="BO67" s="102">
        <v>0</v>
      </c>
      <c r="BP67" s="102">
        <v>0</v>
      </c>
      <c r="BQ67" s="102">
        <v>0</v>
      </c>
      <c r="BR67" s="102">
        <v>0</v>
      </c>
      <c r="BS67" s="102">
        <v>0</v>
      </c>
      <c r="BT67" s="102">
        <v>0</v>
      </c>
      <c r="BU67" s="102">
        <v>0</v>
      </c>
      <c r="BV67" s="102">
        <v>0</v>
      </c>
      <c r="BW67" s="102">
        <v>0</v>
      </c>
      <c r="BX67" s="102">
        <v>0</v>
      </c>
      <c r="BY67" s="102">
        <v>0</v>
      </c>
      <c r="BZ67" s="102">
        <v>0</v>
      </c>
      <c r="CA67" s="102">
        <v>0</v>
      </c>
      <c r="CB67" s="102">
        <v>0</v>
      </c>
      <c r="CC67" s="102">
        <v>0</v>
      </c>
      <c r="CD67" s="102">
        <v>0</v>
      </c>
      <c r="CE67" s="102">
        <v>0</v>
      </c>
      <c r="CF67" s="102">
        <v>0</v>
      </c>
      <c r="CG67" s="102">
        <v>0</v>
      </c>
      <c r="CH67" s="102">
        <v>0</v>
      </c>
      <c r="CI67" s="102">
        <v>0</v>
      </c>
      <c r="CJ67" s="102">
        <v>0</v>
      </c>
      <c r="CK67" s="102">
        <v>0</v>
      </c>
      <c r="CL67" s="102">
        <v>0</v>
      </c>
      <c r="CM67" s="102">
        <v>0</v>
      </c>
      <c r="CN67" s="102">
        <v>0</v>
      </c>
      <c r="CO67" s="102">
        <v>0</v>
      </c>
      <c r="CP67" s="102">
        <v>0</v>
      </c>
      <c r="CQ67" s="102">
        <v>0</v>
      </c>
      <c r="CR67" s="102">
        <v>0</v>
      </c>
      <c r="CS67" s="102">
        <v>0</v>
      </c>
      <c r="CT67" s="102">
        <v>0</v>
      </c>
      <c r="CU67" s="102">
        <v>0</v>
      </c>
      <c r="CV67" s="102">
        <v>0</v>
      </c>
      <c r="CW67" s="102">
        <v>0</v>
      </c>
      <c r="CX67" s="102">
        <v>0</v>
      </c>
      <c r="CY67" s="102">
        <v>0</v>
      </c>
      <c r="CZ67" s="102">
        <v>0</v>
      </c>
      <c r="DA67" s="102">
        <v>0</v>
      </c>
      <c r="DB67" s="102">
        <v>0</v>
      </c>
      <c r="DC67" s="102">
        <v>0</v>
      </c>
      <c r="DD67" s="102">
        <v>0</v>
      </c>
      <c r="DE67" s="102">
        <v>0</v>
      </c>
      <c r="DF67" s="102">
        <v>0</v>
      </c>
      <c r="DG67" s="102">
        <v>0</v>
      </c>
      <c r="DH67" s="102">
        <v>0</v>
      </c>
      <c r="DI67" s="102">
        <v>0</v>
      </c>
      <c r="DJ67" s="102">
        <v>0</v>
      </c>
      <c r="DK67" s="102">
        <v>0</v>
      </c>
      <c r="DL67" s="102">
        <v>0</v>
      </c>
      <c r="DM67" s="102">
        <v>0</v>
      </c>
      <c r="DN67" s="102">
        <v>0</v>
      </c>
      <c r="DO67" s="102">
        <v>0</v>
      </c>
      <c r="DP67" s="102">
        <v>0</v>
      </c>
      <c r="DQ67" s="102">
        <v>0</v>
      </c>
      <c r="DR67" s="102">
        <v>0</v>
      </c>
      <c r="DS67" s="102">
        <v>0</v>
      </c>
      <c r="DT67" s="102">
        <v>0</v>
      </c>
      <c r="DU67" s="102">
        <v>0</v>
      </c>
      <c r="DV67" s="102">
        <v>0</v>
      </c>
      <c r="DW67" s="102">
        <v>0</v>
      </c>
      <c r="DX67" s="102">
        <v>0</v>
      </c>
      <c r="DY67" s="102">
        <v>0</v>
      </c>
      <c r="DZ67" s="102">
        <v>0</v>
      </c>
      <c r="EA67" s="102">
        <v>0</v>
      </c>
      <c r="EB67" s="102">
        <v>0</v>
      </c>
      <c r="EC67" s="102">
        <v>0</v>
      </c>
      <c r="ED67" s="102">
        <v>0</v>
      </c>
      <c r="EE67" s="102">
        <v>0</v>
      </c>
      <c r="EF67" s="102">
        <v>0</v>
      </c>
      <c r="EG67" s="102">
        <v>0</v>
      </c>
      <c r="EH67" s="102">
        <v>0</v>
      </c>
      <c r="EI67" s="102">
        <v>0</v>
      </c>
      <c r="EJ67" s="102">
        <v>0</v>
      </c>
      <c r="EK67" s="102">
        <v>0</v>
      </c>
      <c r="EL67" s="102">
        <v>0</v>
      </c>
      <c r="EM67" s="102">
        <v>0</v>
      </c>
      <c r="EN67" s="102">
        <v>0</v>
      </c>
      <c r="EO67" s="102">
        <v>0</v>
      </c>
      <c r="EP67" s="102">
        <v>0</v>
      </c>
      <c r="EQ67" s="102">
        <v>0</v>
      </c>
      <c r="ER67" s="102">
        <v>0</v>
      </c>
      <c r="ES67" s="102">
        <v>0</v>
      </c>
      <c r="ET67" s="102">
        <v>0</v>
      </c>
      <c r="EU67" s="102">
        <v>0</v>
      </c>
      <c r="EV67" s="102">
        <v>0</v>
      </c>
      <c r="EW67" s="102">
        <v>0</v>
      </c>
      <c r="EX67" s="102">
        <v>0</v>
      </c>
      <c r="EY67" s="102">
        <v>0</v>
      </c>
      <c r="EZ67" s="102">
        <v>0</v>
      </c>
      <c r="FA67" s="102">
        <v>0</v>
      </c>
      <c r="FB67" s="102">
        <v>0</v>
      </c>
      <c r="FC67" s="102">
        <v>0</v>
      </c>
      <c r="FD67" s="102">
        <v>0</v>
      </c>
      <c r="FE67" s="102">
        <v>0</v>
      </c>
      <c r="FF67" s="102">
        <v>0</v>
      </c>
      <c r="FG67" s="102">
        <v>0</v>
      </c>
      <c r="FH67" s="102">
        <v>0</v>
      </c>
      <c r="FI67" s="102">
        <v>0</v>
      </c>
      <c r="FJ67" s="71">
        <v>0</v>
      </c>
    </row>
    <row r="68" spans="1:166" x14ac:dyDescent="0.3">
      <c r="A68" s="401" t="s">
        <v>789</v>
      </c>
      <c r="B68" s="103" t="s">
        <v>424</v>
      </c>
      <c r="C68" s="419" t="s">
        <v>795</v>
      </c>
      <c r="D68" s="419" t="s">
        <v>653</v>
      </c>
      <c r="E68" s="419" t="s">
        <v>659</v>
      </c>
      <c r="F68" s="103" t="s">
        <v>14</v>
      </c>
      <c r="G68" s="103" t="s">
        <v>781</v>
      </c>
      <c r="H68" s="103" t="s">
        <v>306</v>
      </c>
      <c r="I68" s="103">
        <v>0</v>
      </c>
      <c r="J68" s="419" t="s">
        <v>794</v>
      </c>
      <c r="K68" s="103">
        <v>0</v>
      </c>
      <c r="L68" s="103" t="s">
        <v>307</v>
      </c>
      <c r="M68" s="103">
        <v>4</v>
      </c>
      <c r="N68" s="103">
        <v>0</v>
      </c>
      <c r="O68" s="103">
        <v>8329880</v>
      </c>
      <c r="P68" s="393">
        <f t="shared" si="0"/>
        <v>33319520</v>
      </c>
      <c r="Q68" s="103">
        <v>0</v>
      </c>
      <c r="R68" s="103">
        <v>0</v>
      </c>
      <c r="S68" s="103">
        <v>0</v>
      </c>
      <c r="T68" s="395">
        <v>1</v>
      </c>
      <c r="U68" s="103">
        <v>0</v>
      </c>
      <c r="V68" s="102">
        <v>0</v>
      </c>
      <c r="W68" s="102">
        <v>0</v>
      </c>
      <c r="X68" s="102">
        <v>0</v>
      </c>
      <c r="Y68" s="102">
        <v>0</v>
      </c>
      <c r="Z68" s="102">
        <v>0</v>
      </c>
      <c r="AA68" s="102">
        <v>0</v>
      </c>
      <c r="AB68" s="102">
        <v>0</v>
      </c>
      <c r="AC68" s="102">
        <v>0</v>
      </c>
      <c r="AD68" s="102">
        <v>0</v>
      </c>
      <c r="AE68" s="102">
        <v>0</v>
      </c>
      <c r="AF68" s="102">
        <v>0</v>
      </c>
      <c r="AG68" s="102">
        <v>0</v>
      </c>
      <c r="AH68" s="102">
        <v>0</v>
      </c>
      <c r="AI68" s="102">
        <v>0</v>
      </c>
      <c r="AJ68" s="102">
        <v>0</v>
      </c>
      <c r="AK68" s="102">
        <v>0</v>
      </c>
      <c r="AL68" s="102">
        <v>0</v>
      </c>
      <c r="AM68" s="102">
        <v>0</v>
      </c>
      <c r="AN68" s="102">
        <v>0</v>
      </c>
      <c r="AO68" s="102">
        <v>0</v>
      </c>
      <c r="AP68" s="102">
        <v>0</v>
      </c>
      <c r="AQ68" s="102">
        <v>0</v>
      </c>
      <c r="AR68" s="102">
        <v>0</v>
      </c>
      <c r="AS68" s="102">
        <v>0</v>
      </c>
      <c r="AT68" s="102">
        <v>0</v>
      </c>
      <c r="AU68" s="102">
        <v>0</v>
      </c>
      <c r="AV68" s="102">
        <v>0</v>
      </c>
      <c r="AW68" s="102">
        <v>0</v>
      </c>
      <c r="AX68" s="102">
        <v>0</v>
      </c>
      <c r="AY68" s="102">
        <v>0</v>
      </c>
      <c r="AZ68" s="102">
        <v>0</v>
      </c>
      <c r="BA68" s="102">
        <v>0</v>
      </c>
      <c r="BB68" s="102">
        <v>0</v>
      </c>
      <c r="BC68" s="102">
        <v>0</v>
      </c>
      <c r="BD68" s="102">
        <v>0</v>
      </c>
      <c r="BE68" s="102">
        <v>0</v>
      </c>
      <c r="BF68" s="102">
        <v>0</v>
      </c>
      <c r="BG68" s="102">
        <v>0</v>
      </c>
      <c r="BH68" s="102">
        <v>0</v>
      </c>
      <c r="BI68" s="102">
        <v>0</v>
      </c>
      <c r="BJ68" s="102">
        <v>0</v>
      </c>
      <c r="BK68" s="102">
        <v>0</v>
      </c>
      <c r="BL68" s="102">
        <v>0</v>
      </c>
      <c r="BM68" s="102">
        <v>0</v>
      </c>
      <c r="BN68" s="102">
        <v>0</v>
      </c>
      <c r="BO68" s="102">
        <v>0</v>
      </c>
      <c r="BP68" s="102">
        <v>0</v>
      </c>
      <c r="BQ68" s="102">
        <v>0</v>
      </c>
      <c r="BR68" s="102">
        <v>0</v>
      </c>
      <c r="BS68" s="102">
        <v>0</v>
      </c>
      <c r="BT68" s="102">
        <v>0</v>
      </c>
      <c r="BU68" s="102">
        <v>0</v>
      </c>
      <c r="BV68" s="102">
        <v>0</v>
      </c>
      <c r="BW68" s="102">
        <v>0</v>
      </c>
      <c r="BX68" s="102">
        <v>0</v>
      </c>
      <c r="BY68" s="102">
        <v>0</v>
      </c>
      <c r="BZ68" s="102">
        <v>0</v>
      </c>
      <c r="CA68" s="102">
        <v>0</v>
      </c>
      <c r="CB68" s="102">
        <v>0</v>
      </c>
      <c r="CC68" s="102">
        <v>0</v>
      </c>
      <c r="CD68" s="102">
        <v>0</v>
      </c>
      <c r="CE68" s="102">
        <v>0</v>
      </c>
      <c r="CF68" s="102">
        <v>0</v>
      </c>
      <c r="CG68" s="102">
        <v>0</v>
      </c>
      <c r="CH68" s="102">
        <v>0</v>
      </c>
      <c r="CI68" s="102">
        <v>0</v>
      </c>
      <c r="CJ68" s="102">
        <v>0</v>
      </c>
      <c r="CK68" s="102">
        <v>0</v>
      </c>
      <c r="CL68" s="102">
        <v>0</v>
      </c>
      <c r="CM68" s="102">
        <v>0</v>
      </c>
      <c r="CN68" s="102">
        <v>0</v>
      </c>
      <c r="CO68" s="102">
        <v>0</v>
      </c>
      <c r="CP68" s="102">
        <v>0</v>
      </c>
      <c r="CQ68" s="102">
        <v>0</v>
      </c>
      <c r="CR68" s="102">
        <v>0</v>
      </c>
      <c r="CS68" s="102">
        <v>0</v>
      </c>
      <c r="CT68" s="102">
        <v>0</v>
      </c>
      <c r="CU68" s="102">
        <v>0</v>
      </c>
      <c r="CV68" s="102">
        <v>0</v>
      </c>
      <c r="CW68" s="102">
        <v>0</v>
      </c>
      <c r="CX68" s="102">
        <v>0</v>
      </c>
      <c r="CY68" s="102">
        <v>0</v>
      </c>
      <c r="CZ68" s="102">
        <v>0</v>
      </c>
      <c r="DA68" s="102">
        <v>0</v>
      </c>
      <c r="DB68" s="102">
        <v>0</v>
      </c>
      <c r="DC68" s="102">
        <v>0</v>
      </c>
      <c r="DD68" s="102">
        <v>0</v>
      </c>
      <c r="DE68" s="102">
        <v>0</v>
      </c>
      <c r="DF68" s="102">
        <v>0</v>
      </c>
      <c r="DG68" s="102">
        <v>0</v>
      </c>
      <c r="DH68" s="102">
        <v>0</v>
      </c>
      <c r="DI68" s="102">
        <v>0</v>
      </c>
      <c r="DJ68" s="102">
        <v>0</v>
      </c>
      <c r="DK68" s="102">
        <v>0</v>
      </c>
      <c r="DL68" s="102">
        <v>0</v>
      </c>
      <c r="DM68" s="102">
        <v>0</v>
      </c>
      <c r="DN68" s="102">
        <v>0</v>
      </c>
      <c r="DO68" s="102">
        <v>0</v>
      </c>
      <c r="DP68" s="102">
        <v>0</v>
      </c>
      <c r="DQ68" s="102">
        <v>0</v>
      </c>
      <c r="DR68" s="102">
        <v>0</v>
      </c>
      <c r="DS68" s="102">
        <v>0</v>
      </c>
      <c r="DT68" s="102">
        <v>0</v>
      </c>
      <c r="DU68" s="102">
        <v>0</v>
      </c>
      <c r="DV68" s="102">
        <v>0</v>
      </c>
      <c r="DW68" s="102">
        <v>0</v>
      </c>
      <c r="DX68" s="102">
        <v>0</v>
      </c>
      <c r="DY68" s="102">
        <v>0</v>
      </c>
      <c r="DZ68" s="102">
        <v>0</v>
      </c>
      <c r="EA68" s="102">
        <v>0</v>
      </c>
      <c r="EB68" s="102">
        <v>0</v>
      </c>
      <c r="EC68" s="102">
        <v>0</v>
      </c>
      <c r="ED68" s="102">
        <v>0</v>
      </c>
      <c r="EE68" s="102">
        <v>0</v>
      </c>
      <c r="EF68" s="102">
        <v>0</v>
      </c>
      <c r="EG68" s="102">
        <v>0</v>
      </c>
      <c r="EH68" s="102">
        <v>0</v>
      </c>
      <c r="EI68" s="102">
        <v>0</v>
      </c>
      <c r="EJ68" s="102">
        <v>0</v>
      </c>
      <c r="EK68" s="102">
        <v>0</v>
      </c>
      <c r="EL68" s="102">
        <v>0</v>
      </c>
      <c r="EM68" s="102">
        <v>0</v>
      </c>
      <c r="EN68" s="102">
        <v>0</v>
      </c>
      <c r="EO68" s="102">
        <v>0</v>
      </c>
      <c r="EP68" s="102">
        <v>0</v>
      </c>
      <c r="EQ68" s="102">
        <v>0</v>
      </c>
      <c r="ER68" s="102">
        <v>0</v>
      </c>
      <c r="ES68" s="102">
        <v>0</v>
      </c>
      <c r="ET68" s="102">
        <v>0</v>
      </c>
      <c r="EU68" s="102">
        <v>0</v>
      </c>
      <c r="EV68" s="102">
        <v>0</v>
      </c>
      <c r="EW68" s="102">
        <v>0</v>
      </c>
      <c r="EX68" s="102">
        <v>0</v>
      </c>
      <c r="EY68" s="102">
        <v>0</v>
      </c>
      <c r="EZ68" s="102">
        <v>0</v>
      </c>
      <c r="FA68" s="102">
        <v>0</v>
      </c>
      <c r="FB68" s="102">
        <v>0</v>
      </c>
      <c r="FC68" s="102">
        <v>0</v>
      </c>
      <c r="FD68" s="102">
        <v>0</v>
      </c>
      <c r="FE68" s="102">
        <v>0</v>
      </c>
      <c r="FF68" s="102">
        <v>0</v>
      </c>
      <c r="FG68" s="102">
        <v>0</v>
      </c>
      <c r="FH68" s="102">
        <v>0</v>
      </c>
      <c r="FI68" s="102">
        <v>0</v>
      </c>
      <c r="FJ68" s="71">
        <v>0</v>
      </c>
    </row>
    <row r="69" spans="1:166" x14ac:dyDescent="0.3">
      <c r="A69" s="401" t="s">
        <v>790</v>
      </c>
      <c r="B69" s="103" t="s">
        <v>424</v>
      </c>
      <c r="C69" s="419" t="s">
        <v>795</v>
      </c>
      <c r="D69" s="419" t="s">
        <v>653</v>
      </c>
      <c r="E69" s="419" t="s">
        <v>659</v>
      </c>
      <c r="F69" s="103" t="s">
        <v>14</v>
      </c>
      <c r="G69" s="103" t="s">
        <v>782</v>
      </c>
      <c r="H69" s="103" t="s">
        <v>306</v>
      </c>
      <c r="I69" s="103">
        <v>0</v>
      </c>
      <c r="J69" s="419" t="s">
        <v>794</v>
      </c>
      <c r="K69" s="103">
        <v>0</v>
      </c>
      <c r="L69" s="103" t="s">
        <v>307</v>
      </c>
      <c r="M69" s="103">
        <v>4</v>
      </c>
      <c r="N69" s="103">
        <v>0</v>
      </c>
      <c r="O69" s="103">
        <v>8329880</v>
      </c>
      <c r="P69" s="393">
        <f t="shared" si="0"/>
        <v>33319520</v>
      </c>
      <c r="Q69" s="103">
        <v>0</v>
      </c>
      <c r="R69" s="103">
        <v>0</v>
      </c>
      <c r="S69" s="103">
        <v>0</v>
      </c>
      <c r="T69" s="395">
        <v>1</v>
      </c>
      <c r="U69" s="103">
        <v>0</v>
      </c>
      <c r="V69" s="102">
        <v>0</v>
      </c>
      <c r="W69" s="102">
        <v>0</v>
      </c>
      <c r="X69" s="102">
        <v>0</v>
      </c>
      <c r="Y69" s="102">
        <v>0</v>
      </c>
      <c r="Z69" s="102">
        <v>0</v>
      </c>
      <c r="AA69" s="102">
        <v>0</v>
      </c>
      <c r="AB69" s="102">
        <v>0</v>
      </c>
      <c r="AC69" s="102">
        <v>0</v>
      </c>
      <c r="AD69" s="102">
        <v>0</v>
      </c>
      <c r="AE69" s="102">
        <v>0</v>
      </c>
      <c r="AF69" s="102">
        <v>0</v>
      </c>
      <c r="AG69" s="102">
        <v>0</v>
      </c>
      <c r="AH69" s="102">
        <v>0</v>
      </c>
      <c r="AI69" s="102">
        <v>0</v>
      </c>
      <c r="AJ69" s="102">
        <v>0</v>
      </c>
      <c r="AK69" s="102">
        <v>0</v>
      </c>
      <c r="AL69" s="102">
        <v>0</v>
      </c>
      <c r="AM69" s="102">
        <v>0</v>
      </c>
      <c r="AN69" s="102">
        <v>0</v>
      </c>
      <c r="AO69" s="102">
        <v>0</v>
      </c>
      <c r="AP69" s="102">
        <v>0</v>
      </c>
      <c r="AQ69" s="102">
        <v>0</v>
      </c>
      <c r="AR69" s="102">
        <v>0</v>
      </c>
      <c r="AS69" s="102">
        <v>0</v>
      </c>
      <c r="AT69" s="102">
        <v>0</v>
      </c>
      <c r="AU69" s="102">
        <v>0</v>
      </c>
      <c r="AV69" s="102">
        <v>0</v>
      </c>
      <c r="AW69" s="102">
        <v>0</v>
      </c>
      <c r="AX69" s="102">
        <v>0</v>
      </c>
      <c r="AY69" s="102">
        <v>0</v>
      </c>
      <c r="AZ69" s="102">
        <v>0</v>
      </c>
      <c r="BA69" s="102">
        <v>0</v>
      </c>
      <c r="BB69" s="102">
        <v>0</v>
      </c>
      <c r="BC69" s="102">
        <v>0</v>
      </c>
      <c r="BD69" s="102">
        <v>0</v>
      </c>
      <c r="BE69" s="102">
        <v>0</v>
      </c>
      <c r="BF69" s="102">
        <v>0</v>
      </c>
      <c r="BG69" s="102">
        <v>0</v>
      </c>
      <c r="BH69" s="102">
        <v>0</v>
      </c>
      <c r="BI69" s="102">
        <v>0</v>
      </c>
      <c r="BJ69" s="102">
        <v>0</v>
      </c>
      <c r="BK69" s="102">
        <v>0</v>
      </c>
      <c r="BL69" s="102">
        <v>0</v>
      </c>
      <c r="BM69" s="102">
        <v>0</v>
      </c>
      <c r="BN69" s="102">
        <v>0</v>
      </c>
      <c r="BO69" s="102">
        <v>0</v>
      </c>
      <c r="BP69" s="102">
        <v>0</v>
      </c>
      <c r="BQ69" s="102">
        <v>0</v>
      </c>
      <c r="BR69" s="102">
        <v>0</v>
      </c>
      <c r="BS69" s="102">
        <v>0</v>
      </c>
      <c r="BT69" s="102">
        <v>0</v>
      </c>
      <c r="BU69" s="102">
        <v>0</v>
      </c>
      <c r="BV69" s="102">
        <v>0</v>
      </c>
      <c r="BW69" s="102">
        <v>0</v>
      </c>
      <c r="BX69" s="102">
        <v>0</v>
      </c>
      <c r="BY69" s="102">
        <v>0</v>
      </c>
      <c r="BZ69" s="102">
        <v>0</v>
      </c>
      <c r="CA69" s="102">
        <v>0</v>
      </c>
      <c r="CB69" s="102">
        <v>0</v>
      </c>
      <c r="CC69" s="102">
        <v>0</v>
      </c>
      <c r="CD69" s="102">
        <v>0</v>
      </c>
      <c r="CE69" s="102">
        <v>0</v>
      </c>
      <c r="CF69" s="102">
        <v>0</v>
      </c>
      <c r="CG69" s="102">
        <v>0</v>
      </c>
      <c r="CH69" s="102">
        <v>0</v>
      </c>
      <c r="CI69" s="102">
        <v>0</v>
      </c>
      <c r="CJ69" s="102">
        <v>0</v>
      </c>
      <c r="CK69" s="102">
        <v>0</v>
      </c>
      <c r="CL69" s="102">
        <v>0</v>
      </c>
      <c r="CM69" s="102">
        <v>0</v>
      </c>
      <c r="CN69" s="102">
        <v>0</v>
      </c>
      <c r="CO69" s="102">
        <v>0</v>
      </c>
      <c r="CP69" s="102">
        <v>0</v>
      </c>
      <c r="CQ69" s="102">
        <v>0</v>
      </c>
      <c r="CR69" s="102">
        <v>0</v>
      </c>
      <c r="CS69" s="102">
        <v>0</v>
      </c>
      <c r="CT69" s="102">
        <v>0</v>
      </c>
      <c r="CU69" s="102">
        <v>0</v>
      </c>
      <c r="CV69" s="102">
        <v>0</v>
      </c>
      <c r="CW69" s="102">
        <v>0</v>
      </c>
      <c r="CX69" s="102">
        <v>0</v>
      </c>
      <c r="CY69" s="102">
        <v>0</v>
      </c>
      <c r="CZ69" s="102">
        <v>0</v>
      </c>
      <c r="DA69" s="102">
        <v>0</v>
      </c>
      <c r="DB69" s="102">
        <v>0</v>
      </c>
      <c r="DC69" s="102">
        <v>0</v>
      </c>
      <c r="DD69" s="102">
        <v>0</v>
      </c>
      <c r="DE69" s="102">
        <v>0</v>
      </c>
      <c r="DF69" s="102">
        <v>0</v>
      </c>
      <c r="DG69" s="102">
        <v>0</v>
      </c>
      <c r="DH69" s="102">
        <v>0</v>
      </c>
      <c r="DI69" s="102">
        <v>0</v>
      </c>
      <c r="DJ69" s="102">
        <v>0</v>
      </c>
      <c r="DK69" s="102">
        <v>0</v>
      </c>
      <c r="DL69" s="102">
        <v>0</v>
      </c>
      <c r="DM69" s="102">
        <v>0</v>
      </c>
      <c r="DN69" s="102">
        <v>0</v>
      </c>
      <c r="DO69" s="102">
        <v>0</v>
      </c>
      <c r="DP69" s="102">
        <v>0</v>
      </c>
      <c r="DQ69" s="102">
        <v>0</v>
      </c>
      <c r="DR69" s="102">
        <v>0</v>
      </c>
      <c r="DS69" s="102">
        <v>0</v>
      </c>
      <c r="DT69" s="102">
        <v>0</v>
      </c>
      <c r="DU69" s="102">
        <v>0</v>
      </c>
      <c r="DV69" s="102">
        <v>0</v>
      </c>
      <c r="DW69" s="102">
        <v>0</v>
      </c>
      <c r="DX69" s="102">
        <v>0</v>
      </c>
      <c r="DY69" s="102">
        <v>0</v>
      </c>
      <c r="DZ69" s="102">
        <v>0</v>
      </c>
      <c r="EA69" s="102">
        <v>0</v>
      </c>
      <c r="EB69" s="102">
        <v>0</v>
      </c>
      <c r="EC69" s="102">
        <v>0</v>
      </c>
      <c r="ED69" s="102">
        <v>0</v>
      </c>
      <c r="EE69" s="102">
        <v>0</v>
      </c>
      <c r="EF69" s="102">
        <v>0</v>
      </c>
      <c r="EG69" s="102">
        <v>0</v>
      </c>
      <c r="EH69" s="102">
        <v>0</v>
      </c>
      <c r="EI69" s="102">
        <v>0</v>
      </c>
      <c r="EJ69" s="102">
        <v>0</v>
      </c>
      <c r="EK69" s="102">
        <v>0</v>
      </c>
      <c r="EL69" s="102">
        <v>0</v>
      </c>
      <c r="EM69" s="102">
        <v>0</v>
      </c>
      <c r="EN69" s="102">
        <v>0</v>
      </c>
      <c r="EO69" s="102">
        <v>0</v>
      </c>
      <c r="EP69" s="102">
        <v>0</v>
      </c>
      <c r="EQ69" s="102">
        <v>0</v>
      </c>
      <c r="ER69" s="102">
        <v>0</v>
      </c>
      <c r="ES69" s="102">
        <v>0</v>
      </c>
      <c r="ET69" s="102">
        <v>0</v>
      </c>
      <c r="EU69" s="102">
        <v>0</v>
      </c>
      <c r="EV69" s="102">
        <v>0</v>
      </c>
      <c r="EW69" s="102">
        <v>0</v>
      </c>
      <c r="EX69" s="102">
        <v>0</v>
      </c>
      <c r="EY69" s="102">
        <v>0</v>
      </c>
      <c r="EZ69" s="102">
        <v>0</v>
      </c>
      <c r="FA69" s="102">
        <v>0</v>
      </c>
      <c r="FB69" s="102">
        <v>0</v>
      </c>
      <c r="FC69" s="102">
        <v>0</v>
      </c>
      <c r="FD69" s="102">
        <v>0</v>
      </c>
      <c r="FE69" s="102">
        <v>0</v>
      </c>
      <c r="FF69" s="102">
        <v>0</v>
      </c>
      <c r="FG69" s="102">
        <v>0</v>
      </c>
      <c r="FH69" s="102">
        <v>0</v>
      </c>
      <c r="FI69" s="102">
        <v>0</v>
      </c>
      <c r="FJ69" s="71">
        <v>0</v>
      </c>
    </row>
    <row r="70" spans="1:166" x14ac:dyDescent="0.3">
      <c r="A70" s="401" t="s">
        <v>791</v>
      </c>
      <c r="B70" s="103" t="s">
        <v>424</v>
      </c>
      <c r="C70" s="419" t="s">
        <v>795</v>
      </c>
      <c r="D70" s="419" t="s">
        <v>653</v>
      </c>
      <c r="E70" s="419" t="s">
        <v>659</v>
      </c>
      <c r="F70" s="103" t="s">
        <v>14</v>
      </c>
      <c r="G70" s="103" t="s">
        <v>783</v>
      </c>
      <c r="H70" s="103" t="s">
        <v>622</v>
      </c>
      <c r="I70" s="103">
        <v>0</v>
      </c>
      <c r="J70" s="419" t="s">
        <v>794</v>
      </c>
      <c r="K70" s="103">
        <v>0</v>
      </c>
      <c r="L70" s="103" t="s">
        <v>307</v>
      </c>
      <c r="M70" s="103">
        <v>4</v>
      </c>
      <c r="N70" s="103">
        <v>0</v>
      </c>
      <c r="O70" s="103">
        <v>7063018</v>
      </c>
      <c r="P70" s="393">
        <f t="shared" ref="P70:P112" si="1">M70*O70</f>
        <v>28252072</v>
      </c>
      <c r="Q70" s="103">
        <v>0</v>
      </c>
      <c r="R70" s="103">
        <v>0</v>
      </c>
      <c r="S70" s="103">
        <v>0</v>
      </c>
      <c r="T70" s="395">
        <v>1</v>
      </c>
      <c r="U70" s="103">
        <v>0</v>
      </c>
      <c r="V70" s="102">
        <v>0</v>
      </c>
      <c r="W70" s="102">
        <v>0</v>
      </c>
      <c r="X70" s="102">
        <v>0</v>
      </c>
      <c r="Y70" s="102">
        <v>0</v>
      </c>
      <c r="Z70" s="102">
        <v>0</v>
      </c>
      <c r="AA70" s="102">
        <v>0</v>
      </c>
      <c r="AB70" s="102">
        <v>0</v>
      </c>
      <c r="AC70" s="102">
        <v>0</v>
      </c>
      <c r="AD70" s="102">
        <v>0</v>
      </c>
      <c r="AE70" s="102">
        <v>0</v>
      </c>
      <c r="AF70" s="102">
        <v>0</v>
      </c>
      <c r="AG70" s="102">
        <v>0</v>
      </c>
      <c r="AH70" s="102">
        <v>0</v>
      </c>
      <c r="AI70" s="102">
        <v>0</v>
      </c>
      <c r="AJ70" s="102">
        <v>0</v>
      </c>
      <c r="AK70" s="102">
        <v>0</v>
      </c>
      <c r="AL70" s="102">
        <v>0</v>
      </c>
      <c r="AM70" s="102">
        <v>0</v>
      </c>
      <c r="AN70" s="102">
        <v>0</v>
      </c>
      <c r="AO70" s="102">
        <v>0</v>
      </c>
      <c r="AP70" s="102">
        <v>0</v>
      </c>
      <c r="AQ70" s="102">
        <v>0</v>
      </c>
      <c r="AR70" s="102">
        <v>0</v>
      </c>
      <c r="AS70" s="102">
        <v>0</v>
      </c>
      <c r="AT70" s="102">
        <v>0</v>
      </c>
      <c r="AU70" s="102">
        <v>0</v>
      </c>
      <c r="AV70" s="102">
        <v>0</v>
      </c>
      <c r="AW70" s="102">
        <v>0</v>
      </c>
      <c r="AX70" s="102">
        <v>0</v>
      </c>
      <c r="AY70" s="102">
        <v>0</v>
      </c>
      <c r="AZ70" s="102">
        <v>0</v>
      </c>
      <c r="BA70" s="102">
        <v>0</v>
      </c>
      <c r="BB70" s="102">
        <v>0</v>
      </c>
      <c r="BC70" s="102">
        <v>0</v>
      </c>
      <c r="BD70" s="102">
        <v>0</v>
      </c>
      <c r="BE70" s="102">
        <v>0</v>
      </c>
      <c r="BF70" s="102">
        <v>0</v>
      </c>
      <c r="BG70" s="102">
        <v>0</v>
      </c>
      <c r="BH70" s="102">
        <v>0</v>
      </c>
      <c r="BI70" s="102">
        <v>0</v>
      </c>
      <c r="BJ70" s="102">
        <v>0</v>
      </c>
      <c r="BK70" s="102">
        <v>0</v>
      </c>
      <c r="BL70" s="102">
        <v>0</v>
      </c>
      <c r="BM70" s="102">
        <v>0</v>
      </c>
      <c r="BN70" s="102">
        <v>0</v>
      </c>
      <c r="BO70" s="102">
        <v>0</v>
      </c>
      <c r="BP70" s="102">
        <v>0</v>
      </c>
      <c r="BQ70" s="102">
        <v>0</v>
      </c>
      <c r="BR70" s="102">
        <v>0</v>
      </c>
      <c r="BS70" s="102">
        <v>0</v>
      </c>
      <c r="BT70" s="102">
        <v>0</v>
      </c>
      <c r="BU70" s="102">
        <v>0</v>
      </c>
      <c r="BV70" s="102">
        <v>0</v>
      </c>
      <c r="BW70" s="102">
        <v>0</v>
      </c>
      <c r="BX70" s="102">
        <v>0</v>
      </c>
      <c r="BY70" s="102">
        <v>0</v>
      </c>
      <c r="BZ70" s="102">
        <v>0</v>
      </c>
      <c r="CA70" s="102">
        <v>0</v>
      </c>
      <c r="CB70" s="102">
        <v>0</v>
      </c>
      <c r="CC70" s="102">
        <v>0</v>
      </c>
      <c r="CD70" s="102">
        <v>0</v>
      </c>
      <c r="CE70" s="102">
        <v>0</v>
      </c>
      <c r="CF70" s="102">
        <v>0</v>
      </c>
      <c r="CG70" s="102">
        <v>0</v>
      </c>
      <c r="CH70" s="102">
        <v>0</v>
      </c>
      <c r="CI70" s="102">
        <v>0</v>
      </c>
      <c r="CJ70" s="102">
        <v>0</v>
      </c>
      <c r="CK70" s="102">
        <v>0</v>
      </c>
      <c r="CL70" s="102">
        <v>0</v>
      </c>
      <c r="CM70" s="102">
        <v>0</v>
      </c>
      <c r="CN70" s="102">
        <v>0</v>
      </c>
      <c r="CO70" s="102">
        <v>0</v>
      </c>
      <c r="CP70" s="102">
        <v>0</v>
      </c>
      <c r="CQ70" s="102">
        <v>0</v>
      </c>
      <c r="CR70" s="102">
        <v>0</v>
      </c>
      <c r="CS70" s="102">
        <v>0</v>
      </c>
      <c r="CT70" s="102">
        <v>0</v>
      </c>
      <c r="CU70" s="102">
        <v>0</v>
      </c>
      <c r="CV70" s="102">
        <v>0</v>
      </c>
      <c r="CW70" s="102">
        <v>0</v>
      </c>
      <c r="CX70" s="102">
        <v>0</v>
      </c>
      <c r="CY70" s="102">
        <v>0</v>
      </c>
      <c r="CZ70" s="102">
        <v>0</v>
      </c>
      <c r="DA70" s="102">
        <v>0</v>
      </c>
      <c r="DB70" s="102">
        <v>0</v>
      </c>
      <c r="DC70" s="102">
        <v>0</v>
      </c>
      <c r="DD70" s="102">
        <v>0</v>
      </c>
      <c r="DE70" s="102">
        <v>0</v>
      </c>
      <c r="DF70" s="102">
        <v>0</v>
      </c>
      <c r="DG70" s="102">
        <v>0</v>
      </c>
      <c r="DH70" s="102">
        <v>0</v>
      </c>
      <c r="DI70" s="102">
        <v>0</v>
      </c>
      <c r="DJ70" s="102">
        <v>0</v>
      </c>
      <c r="DK70" s="102">
        <v>0</v>
      </c>
      <c r="DL70" s="102">
        <v>0</v>
      </c>
      <c r="DM70" s="102">
        <v>0</v>
      </c>
      <c r="DN70" s="102">
        <v>0</v>
      </c>
      <c r="DO70" s="102">
        <v>0</v>
      </c>
      <c r="DP70" s="102">
        <v>0</v>
      </c>
      <c r="DQ70" s="102">
        <v>0</v>
      </c>
      <c r="DR70" s="102">
        <v>0</v>
      </c>
      <c r="DS70" s="102">
        <v>0</v>
      </c>
      <c r="DT70" s="102">
        <v>0</v>
      </c>
      <c r="DU70" s="102">
        <v>0</v>
      </c>
      <c r="DV70" s="102">
        <v>0</v>
      </c>
      <c r="DW70" s="102">
        <v>0</v>
      </c>
      <c r="DX70" s="102">
        <v>0</v>
      </c>
      <c r="DY70" s="102">
        <v>0</v>
      </c>
      <c r="DZ70" s="102">
        <v>0</v>
      </c>
      <c r="EA70" s="102">
        <v>0</v>
      </c>
      <c r="EB70" s="102">
        <v>0</v>
      </c>
      <c r="EC70" s="102">
        <v>0</v>
      </c>
      <c r="ED70" s="102">
        <v>0</v>
      </c>
      <c r="EE70" s="102">
        <v>0</v>
      </c>
      <c r="EF70" s="102">
        <v>0</v>
      </c>
      <c r="EG70" s="102">
        <v>0</v>
      </c>
      <c r="EH70" s="102">
        <v>0</v>
      </c>
      <c r="EI70" s="102">
        <v>0</v>
      </c>
      <c r="EJ70" s="102">
        <v>0</v>
      </c>
      <c r="EK70" s="102">
        <v>0</v>
      </c>
      <c r="EL70" s="102">
        <v>0</v>
      </c>
      <c r="EM70" s="102">
        <v>0</v>
      </c>
      <c r="EN70" s="102">
        <v>0</v>
      </c>
      <c r="EO70" s="102">
        <v>0</v>
      </c>
      <c r="EP70" s="102">
        <v>0</v>
      </c>
      <c r="EQ70" s="102">
        <v>0</v>
      </c>
      <c r="ER70" s="102">
        <v>0</v>
      </c>
      <c r="ES70" s="102">
        <v>0</v>
      </c>
      <c r="ET70" s="102">
        <v>0</v>
      </c>
      <c r="EU70" s="102">
        <v>0</v>
      </c>
      <c r="EV70" s="102">
        <v>0</v>
      </c>
      <c r="EW70" s="102">
        <v>0</v>
      </c>
      <c r="EX70" s="102">
        <v>0</v>
      </c>
      <c r="EY70" s="102">
        <v>0</v>
      </c>
      <c r="EZ70" s="102">
        <v>0</v>
      </c>
      <c r="FA70" s="102">
        <v>0</v>
      </c>
      <c r="FB70" s="102">
        <v>0</v>
      </c>
      <c r="FC70" s="102">
        <v>0</v>
      </c>
      <c r="FD70" s="102">
        <v>0</v>
      </c>
      <c r="FE70" s="102">
        <v>0</v>
      </c>
      <c r="FF70" s="102">
        <v>0</v>
      </c>
      <c r="FG70" s="102">
        <v>0</v>
      </c>
      <c r="FH70" s="102">
        <v>0</v>
      </c>
      <c r="FI70" s="102">
        <v>0</v>
      </c>
      <c r="FJ70" s="71">
        <v>0</v>
      </c>
    </row>
    <row r="71" spans="1:166" x14ac:dyDescent="0.3">
      <c r="A71" s="401" t="s">
        <v>792</v>
      </c>
      <c r="B71" s="103" t="s">
        <v>424</v>
      </c>
      <c r="C71" s="419" t="s">
        <v>795</v>
      </c>
      <c r="D71" s="419" t="s">
        <v>653</v>
      </c>
      <c r="E71" s="419" t="s">
        <v>659</v>
      </c>
      <c r="F71" s="103" t="s">
        <v>784</v>
      </c>
      <c r="G71" s="103" t="s">
        <v>785</v>
      </c>
      <c r="H71" s="103" t="s">
        <v>306</v>
      </c>
      <c r="I71" s="103">
        <v>0</v>
      </c>
      <c r="J71" s="419" t="s">
        <v>794</v>
      </c>
      <c r="K71" s="103">
        <v>0</v>
      </c>
      <c r="L71" s="103" t="s">
        <v>307</v>
      </c>
      <c r="M71" s="103">
        <v>1</v>
      </c>
      <c r="N71" s="103">
        <v>0</v>
      </c>
      <c r="O71" s="103">
        <v>8329880</v>
      </c>
      <c r="P71" s="393">
        <f t="shared" si="1"/>
        <v>8329880</v>
      </c>
      <c r="Q71" s="103">
        <v>0</v>
      </c>
      <c r="R71" s="103">
        <v>0</v>
      </c>
      <c r="S71" s="103">
        <v>0</v>
      </c>
      <c r="T71" s="395">
        <v>1</v>
      </c>
      <c r="U71" s="103">
        <v>0</v>
      </c>
      <c r="V71" s="102">
        <v>0</v>
      </c>
      <c r="W71" s="102">
        <v>0</v>
      </c>
      <c r="X71" s="102">
        <v>0</v>
      </c>
      <c r="Y71" s="102">
        <v>0</v>
      </c>
      <c r="Z71" s="102">
        <v>0</v>
      </c>
      <c r="AA71" s="102">
        <v>0</v>
      </c>
      <c r="AB71" s="102">
        <v>0</v>
      </c>
      <c r="AC71" s="102">
        <v>0</v>
      </c>
      <c r="AD71" s="102">
        <v>0</v>
      </c>
      <c r="AE71" s="102">
        <v>0</v>
      </c>
      <c r="AF71" s="102">
        <v>0</v>
      </c>
      <c r="AG71" s="102">
        <v>0</v>
      </c>
      <c r="AH71" s="102">
        <v>0</v>
      </c>
      <c r="AI71" s="102">
        <v>0</v>
      </c>
      <c r="AJ71" s="102">
        <v>0</v>
      </c>
      <c r="AK71" s="102">
        <v>0</v>
      </c>
      <c r="AL71" s="102">
        <v>0</v>
      </c>
      <c r="AM71" s="102">
        <v>0</v>
      </c>
      <c r="AN71" s="102">
        <v>0</v>
      </c>
      <c r="AO71" s="102">
        <v>0</v>
      </c>
      <c r="AP71" s="102">
        <v>0</v>
      </c>
      <c r="AQ71" s="102">
        <v>0</v>
      </c>
      <c r="AR71" s="102">
        <v>0</v>
      </c>
      <c r="AS71" s="102">
        <v>0</v>
      </c>
      <c r="AT71" s="102">
        <v>0</v>
      </c>
      <c r="AU71" s="102">
        <v>0</v>
      </c>
      <c r="AV71" s="102">
        <v>0</v>
      </c>
      <c r="AW71" s="102">
        <v>0</v>
      </c>
      <c r="AX71" s="102">
        <v>0</v>
      </c>
      <c r="AY71" s="102">
        <v>0</v>
      </c>
      <c r="AZ71" s="102">
        <v>0</v>
      </c>
      <c r="BA71" s="102">
        <v>0</v>
      </c>
      <c r="BB71" s="102">
        <v>0</v>
      </c>
      <c r="BC71" s="102">
        <v>0</v>
      </c>
      <c r="BD71" s="102">
        <v>0</v>
      </c>
      <c r="BE71" s="102">
        <v>0</v>
      </c>
      <c r="BF71" s="102">
        <v>0</v>
      </c>
      <c r="BG71" s="102">
        <v>0</v>
      </c>
      <c r="BH71" s="102">
        <v>0</v>
      </c>
      <c r="BI71" s="102">
        <v>0</v>
      </c>
      <c r="BJ71" s="102">
        <v>0</v>
      </c>
      <c r="BK71" s="102">
        <v>0</v>
      </c>
      <c r="BL71" s="102">
        <v>0</v>
      </c>
      <c r="BM71" s="102">
        <v>0</v>
      </c>
      <c r="BN71" s="102">
        <v>0</v>
      </c>
      <c r="BO71" s="102">
        <v>0</v>
      </c>
      <c r="BP71" s="102">
        <v>0</v>
      </c>
      <c r="BQ71" s="102">
        <v>0</v>
      </c>
      <c r="BR71" s="102">
        <v>0</v>
      </c>
      <c r="BS71" s="102">
        <v>0</v>
      </c>
      <c r="BT71" s="102">
        <v>0</v>
      </c>
      <c r="BU71" s="102">
        <v>0</v>
      </c>
      <c r="BV71" s="102">
        <v>0</v>
      </c>
      <c r="BW71" s="102">
        <v>0</v>
      </c>
      <c r="BX71" s="102">
        <v>0</v>
      </c>
      <c r="BY71" s="102">
        <v>0</v>
      </c>
      <c r="BZ71" s="102">
        <v>0</v>
      </c>
      <c r="CA71" s="102">
        <v>0</v>
      </c>
      <c r="CB71" s="102">
        <v>0</v>
      </c>
      <c r="CC71" s="102">
        <v>0</v>
      </c>
      <c r="CD71" s="102">
        <v>0</v>
      </c>
      <c r="CE71" s="102">
        <v>0</v>
      </c>
      <c r="CF71" s="102">
        <v>0</v>
      </c>
      <c r="CG71" s="102">
        <v>0</v>
      </c>
      <c r="CH71" s="102">
        <v>0</v>
      </c>
      <c r="CI71" s="102">
        <v>0</v>
      </c>
      <c r="CJ71" s="102">
        <v>0</v>
      </c>
      <c r="CK71" s="102">
        <v>0</v>
      </c>
      <c r="CL71" s="102">
        <v>0</v>
      </c>
      <c r="CM71" s="102">
        <v>0</v>
      </c>
      <c r="CN71" s="102">
        <v>0</v>
      </c>
      <c r="CO71" s="102">
        <v>0</v>
      </c>
      <c r="CP71" s="102">
        <v>0</v>
      </c>
      <c r="CQ71" s="102">
        <v>0</v>
      </c>
      <c r="CR71" s="102">
        <v>0</v>
      </c>
      <c r="CS71" s="102">
        <v>0</v>
      </c>
      <c r="CT71" s="102">
        <v>0</v>
      </c>
      <c r="CU71" s="102">
        <v>0</v>
      </c>
      <c r="CV71" s="102">
        <v>0</v>
      </c>
      <c r="CW71" s="102">
        <v>0</v>
      </c>
      <c r="CX71" s="102">
        <v>0</v>
      </c>
      <c r="CY71" s="102">
        <v>0</v>
      </c>
      <c r="CZ71" s="102">
        <v>0</v>
      </c>
      <c r="DA71" s="102">
        <v>0</v>
      </c>
      <c r="DB71" s="102">
        <v>0</v>
      </c>
      <c r="DC71" s="102">
        <v>0</v>
      </c>
      <c r="DD71" s="102">
        <v>0</v>
      </c>
      <c r="DE71" s="102">
        <v>0</v>
      </c>
      <c r="DF71" s="102">
        <v>0</v>
      </c>
      <c r="DG71" s="102">
        <v>0</v>
      </c>
      <c r="DH71" s="102">
        <v>0</v>
      </c>
      <c r="DI71" s="102">
        <v>0</v>
      </c>
      <c r="DJ71" s="102">
        <v>0</v>
      </c>
      <c r="DK71" s="102">
        <v>0</v>
      </c>
      <c r="DL71" s="102">
        <v>0</v>
      </c>
      <c r="DM71" s="102">
        <v>0</v>
      </c>
      <c r="DN71" s="102">
        <v>0</v>
      </c>
      <c r="DO71" s="102">
        <v>0</v>
      </c>
      <c r="DP71" s="102">
        <v>0</v>
      </c>
      <c r="DQ71" s="102">
        <v>0</v>
      </c>
      <c r="DR71" s="102">
        <v>0</v>
      </c>
      <c r="DS71" s="102">
        <v>0</v>
      </c>
      <c r="DT71" s="102">
        <v>0</v>
      </c>
      <c r="DU71" s="102">
        <v>0</v>
      </c>
      <c r="DV71" s="102">
        <v>0</v>
      </c>
      <c r="DW71" s="102">
        <v>0</v>
      </c>
      <c r="DX71" s="102">
        <v>0</v>
      </c>
      <c r="DY71" s="102">
        <v>0</v>
      </c>
      <c r="DZ71" s="102">
        <v>0</v>
      </c>
      <c r="EA71" s="102">
        <v>0</v>
      </c>
      <c r="EB71" s="102">
        <v>0</v>
      </c>
      <c r="EC71" s="102">
        <v>0</v>
      </c>
      <c r="ED71" s="102">
        <v>0</v>
      </c>
      <c r="EE71" s="102">
        <v>0</v>
      </c>
      <c r="EF71" s="102">
        <v>0</v>
      </c>
      <c r="EG71" s="102">
        <v>0</v>
      </c>
      <c r="EH71" s="102">
        <v>0</v>
      </c>
      <c r="EI71" s="102">
        <v>0</v>
      </c>
      <c r="EJ71" s="102">
        <v>0</v>
      </c>
      <c r="EK71" s="102">
        <v>0</v>
      </c>
      <c r="EL71" s="102">
        <v>0</v>
      </c>
      <c r="EM71" s="102">
        <v>0</v>
      </c>
      <c r="EN71" s="102">
        <v>0</v>
      </c>
      <c r="EO71" s="102">
        <v>0</v>
      </c>
      <c r="EP71" s="102">
        <v>0</v>
      </c>
      <c r="EQ71" s="102">
        <v>0</v>
      </c>
      <c r="ER71" s="102">
        <v>0</v>
      </c>
      <c r="ES71" s="102">
        <v>0</v>
      </c>
      <c r="ET71" s="102">
        <v>0</v>
      </c>
      <c r="EU71" s="102">
        <v>0</v>
      </c>
      <c r="EV71" s="102">
        <v>0</v>
      </c>
      <c r="EW71" s="102">
        <v>0</v>
      </c>
      <c r="EX71" s="102">
        <v>0</v>
      </c>
      <c r="EY71" s="102">
        <v>0</v>
      </c>
      <c r="EZ71" s="102">
        <v>0</v>
      </c>
      <c r="FA71" s="102">
        <v>0</v>
      </c>
      <c r="FB71" s="102">
        <v>0</v>
      </c>
      <c r="FC71" s="102">
        <v>0</v>
      </c>
      <c r="FD71" s="102">
        <v>0</v>
      </c>
      <c r="FE71" s="102">
        <v>0</v>
      </c>
      <c r="FF71" s="102">
        <v>0</v>
      </c>
      <c r="FG71" s="102">
        <v>0</v>
      </c>
      <c r="FH71" s="102">
        <v>0</v>
      </c>
      <c r="FI71" s="102">
        <v>0</v>
      </c>
      <c r="FJ71" s="71">
        <v>0</v>
      </c>
    </row>
    <row r="72" spans="1:166" x14ac:dyDescent="0.3">
      <c r="A72" s="401" t="s">
        <v>793</v>
      </c>
      <c r="B72" s="103" t="s">
        <v>424</v>
      </c>
      <c r="C72" s="419" t="s">
        <v>795</v>
      </c>
      <c r="D72" s="419" t="s">
        <v>653</v>
      </c>
      <c r="E72" s="419" t="s">
        <v>659</v>
      </c>
      <c r="F72" s="103" t="s">
        <v>636</v>
      </c>
      <c r="G72" s="103" t="s">
        <v>786</v>
      </c>
      <c r="H72" s="103" t="s">
        <v>305</v>
      </c>
      <c r="I72" s="103">
        <v>0</v>
      </c>
      <c r="J72" s="419" t="s">
        <v>794</v>
      </c>
      <c r="K72" s="103">
        <v>0</v>
      </c>
      <c r="L72" s="103" t="s">
        <v>307</v>
      </c>
      <c r="M72" s="103">
        <v>1</v>
      </c>
      <c r="N72" s="103">
        <v>0</v>
      </c>
      <c r="O72" s="103">
        <v>9880194</v>
      </c>
      <c r="P72" s="393">
        <f t="shared" si="1"/>
        <v>9880194</v>
      </c>
      <c r="Q72" s="103">
        <v>0</v>
      </c>
      <c r="R72" s="103">
        <v>0</v>
      </c>
      <c r="S72" s="103">
        <v>0</v>
      </c>
      <c r="T72" s="395">
        <v>1</v>
      </c>
      <c r="U72" s="103">
        <v>0</v>
      </c>
      <c r="V72" s="102">
        <v>0</v>
      </c>
      <c r="W72" s="102">
        <v>0</v>
      </c>
      <c r="X72" s="102">
        <v>0</v>
      </c>
      <c r="Y72" s="102">
        <v>0</v>
      </c>
      <c r="Z72" s="102">
        <v>0</v>
      </c>
      <c r="AA72" s="102">
        <v>0</v>
      </c>
      <c r="AB72" s="102">
        <v>0</v>
      </c>
      <c r="AC72" s="102">
        <v>0</v>
      </c>
      <c r="AD72" s="102">
        <v>0</v>
      </c>
      <c r="AE72" s="102">
        <v>0</v>
      </c>
      <c r="AF72" s="102">
        <v>0</v>
      </c>
      <c r="AG72" s="102">
        <v>0</v>
      </c>
      <c r="AH72" s="102">
        <v>0</v>
      </c>
      <c r="AI72" s="102">
        <v>0</v>
      </c>
      <c r="AJ72" s="102">
        <v>0</v>
      </c>
      <c r="AK72" s="102">
        <v>0</v>
      </c>
      <c r="AL72" s="102">
        <v>0</v>
      </c>
      <c r="AM72" s="102">
        <v>0</v>
      </c>
      <c r="AN72" s="102">
        <v>0</v>
      </c>
      <c r="AO72" s="102">
        <v>0</v>
      </c>
      <c r="AP72" s="102">
        <v>0</v>
      </c>
      <c r="AQ72" s="102">
        <v>0</v>
      </c>
      <c r="AR72" s="102">
        <v>0</v>
      </c>
      <c r="AS72" s="102">
        <v>0</v>
      </c>
      <c r="AT72" s="102">
        <v>0</v>
      </c>
      <c r="AU72" s="102">
        <v>0</v>
      </c>
      <c r="AV72" s="102">
        <v>0</v>
      </c>
      <c r="AW72" s="102">
        <v>0</v>
      </c>
      <c r="AX72" s="102">
        <v>0</v>
      </c>
      <c r="AY72" s="102">
        <v>0</v>
      </c>
      <c r="AZ72" s="102">
        <v>0</v>
      </c>
      <c r="BA72" s="102">
        <v>0</v>
      </c>
      <c r="BB72" s="102">
        <v>0</v>
      </c>
      <c r="BC72" s="102">
        <v>0</v>
      </c>
      <c r="BD72" s="102">
        <v>0</v>
      </c>
      <c r="BE72" s="102">
        <v>0</v>
      </c>
      <c r="BF72" s="102">
        <v>0</v>
      </c>
      <c r="BG72" s="102">
        <v>0</v>
      </c>
      <c r="BH72" s="102">
        <v>0</v>
      </c>
      <c r="BI72" s="102">
        <v>0</v>
      </c>
      <c r="BJ72" s="102">
        <v>0</v>
      </c>
      <c r="BK72" s="102">
        <v>0</v>
      </c>
      <c r="BL72" s="102">
        <v>0</v>
      </c>
      <c r="BM72" s="102">
        <v>0</v>
      </c>
      <c r="BN72" s="102">
        <v>0</v>
      </c>
      <c r="BO72" s="102">
        <v>0</v>
      </c>
      <c r="BP72" s="102">
        <v>0</v>
      </c>
      <c r="BQ72" s="102">
        <v>0</v>
      </c>
      <c r="BR72" s="102">
        <v>0</v>
      </c>
      <c r="BS72" s="102">
        <v>0</v>
      </c>
      <c r="BT72" s="102">
        <v>0</v>
      </c>
      <c r="BU72" s="102">
        <v>0</v>
      </c>
      <c r="BV72" s="102">
        <v>0</v>
      </c>
      <c r="BW72" s="102">
        <v>0</v>
      </c>
      <c r="BX72" s="102">
        <v>0</v>
      </c>
      <c r="BY72" s="102">
        <v>0</v>
      </c>
      <c r="BZ72" s="102">
        <v>0</v>
      </c>
      <c r="CA72" s="102">
        <v>0</v>
      </c>
      <c r="CB72" s="102">
        <v>0</v>
      </c>
      <c r="CC72" s="102">
        <v>0</v>
      </c>
      <c r="CD72" s="102">
        <v>0</v>
      </c>
      <c r="CE72" s="102">
        <v>0</v>
      </c>
      <c r="CF72" s="102">
        <v>0</v>
      </c>
      <c r="CG72" s="102">
        <v>0</v>
      </c>
      <c r="CH72" s="102">
        <v>0</v>
      </c>
      <c r="CI72" s="102">
        <v>0</v>
      </c>
      <c r="CJ72" s="102">
        <v>0</v>
      </c>
      <c r="CK72" s="102">
        <v>0</v>
      </c>
      <c r="CL72" s="102">
        <v>0</v>
      </c>
      <c r="CM72" s="102">
        <v>0</v>
      </c>
      <c r="CN72" s="102">
        <v>0</v>
      </c>
      <c r="CO72" s="102">
        <v>0</v>
      </c>
      <c r="CP72" s="102">
        <v>0</v>
      </c>
      <c r="CQ72" s="102">
        <v>0</v>
      </c>
      <c r="CR72" s="102">
        <v>0</v>
      </c>
      <c r="CS72" s="102">
        <v>0</v>
      </c>
      <c r="CT72" s="102">
        <v>0</v>
      </c>
      <c r="CU72" s="102">
        <v>0</v>
      </c>
      <c r="CV72" s="102">
        <v>0</v>
      </c>
      <c r="CW72" s="102">
        <v>0</v>
      </c>
      <c r="CX72" s="102">
        <v>0</v>
      </c>
      <c r="CY72" s="102">
        <v>0</v>
      </c>
      <c r="CZ72" s="102">
        <v>0</v>
      </c>
      <c r="DA72" s="102">
        <v>0</v>
      </c>
      <c r="DB72" s="102">
        <v>0</v>
      </c>
      <c r="DC72" s="102">
        <v>0</v>
      </c>
      <c r="DD72" s="102">
        <v>0</v>
      </c>
      <c r="DE72" s="102">
        <v>0</v>
      </c>
      <c r="DF72" s="102">
        <v>0</v>
      </c>
      <c r="DG72" s="102">
        <v>0</v>
      </c>
      <c r="DH72" s="102">
        <v>0</v>
      </c>
      <c r="DI72" s="102">
        <v>0</v>
      </c>
      <c r="DJ72" s="102">
        <v>0</v>
      </c>
      <c r="DK72" s="102">
        <v>0</v>
      </c>
      <c r="DL72" s="102">
        <v>0</v>
      </c>
      <c r="DM72" s="102">
        <v>0</v>
      </c>
      <c r="DN72" s="102">
        <v>0</v>
      </c>
      <c r="DO72" s="102">
        <v>0</v>
      </c>
      <c r="DP72" s="102">
        <v>0</v>
      </c>
      <c r="DQ72" s="102">
        <v>0</v>
      </c>
      <c r="DR72" s="102">
        <v>0</v>
      </c>
      <c r="DS72" s="102">
        <v>0</v>
      </c>
      <c r="DT72" s="102">
        <v>0</v>
      </c>
      <c r="DU72" s="102">
        <v>0</v>
      </c>
      <c r="DV72" s="102">
        <v>0</v>
      </c>
      <c r="DW72" s="102">
        <v>0</v>
      </c>
      <c r="DX72" s="102">
        <v>0</v>
      </c>
      <c r="DY72" s="102">
        <v>0</v>
      </c>
      <c r="DZ72" s="102">
        <v>0</v>
      </c>
      <c r="EA72" s="102">
        <v>0</v>
      </c>
      <c r="EB72" s="102">
        <v>0</v>
      </c>
      <c r="EC72" s="102">
        <v>0</v>
      </c>
      <c r="ED72" s="102">
        <v>0</v>
      </c>
      <c r="EE72" s="102">
        <v>0</v>
      </c>
      <c r="EF72" s="102">
        <v>0</v>
      </c>
      <c r="EG72" s="102">
        <v>0</v>
      </c>
      <c r="EH72" s="102">
        <v>0</v>
      </c>
      <c r="EI72" s="102">
        <v>0</v>
      </c>
      <c r="EJ72" s="102">
        <v>0</v>
      </c>
      <c r="EK72" s="102">
        <v>0</v>
      </c>
      <c r="EL72" s="102">
        <v>0</v>
      </c>
      <c r="EM72" s="102">
        <v>0</v>
      </c>
      <c r="EN72" s="102">
        <v>0</v>
      </c>
      <c r="EO72" s="102">
        <v>0</v>
      </c>
      <c r="EP72" s="102">
        <v>0</v>
      </c>
      <c r="EQ72" s="102">
        <v>0</v>
      </c>
      <c r="ER72" s="102">
        <v>0</v>
      </c>
      <c r="ES72" s="102">
        <v>0</v>
      </c>
      <c r="ET72" s="102">
        <v>0</v>
      </c>
      <c r="EU72" s="102">
        <v>0</v>
      </c>
      <c r="EV72" s="102">
        <v>0</v>
      </c>
      <c r="EW72" s="102">
        <v>0</v>
      </c>
      <c r="EX72" s="102">
        <v>0</v>
      </c>
      <c r="EY72" s="102">
        <v>0</v>
      </c>
      <c r="EZ72" s="102">
        <v>0</v>
      </c>
      <c r="FA72" s="102">
        <v>0</v>
      </c>
      <c r="FB72" s="102">
        <v>0</v>
      </c>
      <c r="FC72" s="102">
        <v>0</v>
      </c>
      <c r="FD72" s="102">
        <v>0</v>
      </c>
      <c r="FE72" s="102">
        <v>0</v>
      </c>
      <c r="FF72" s="102">
        <v>0</v>
      </c>
      <c r="FG72" s="102">
        <v>0</v>
      </c>
      <c r="FH72" s="102">
        <v>0</v>
      </c>
      <c r="FI72" s="102">
        <v>0</v>
      </c>
      <c r="FJ72" s="71">
        <v>0</v>
      </c>
    </row>
    <row r="73" spans="1:166" x14ac:dyDescent="0.3">
      <c r="A73" s="401" t="s">
        <v>773</v>
      </c>
      <c r="B73" s="103" t="s">
        <v>424</v>
      </c>
      <c r="C73" s="419" t="s">
        <v>795</v>
      </c>
      <c r="D73" s="419" t="s">
        <v>756</v>
      </c>
      <c r="E73" s="419" t="s">
        <v>800</v>
      </c>
      <c r="F73" s="103" t="s">
        <v>796</v>
      </c>
      <c r="G73" s="103" t="s">
        <v>796</v>
      </c>
      <c r="H73" s="103">
        <v>0</v>
      </c>
      <c r="I73" s="103">
        <v>0</v>
      </c>
      <c r="J73" s="419" t="s">
        <v>794</v>
      </c>
      <c r="K73" s="103">
        <v>0</v>
      </c>
      <c r="L73" s="103" t="s">
        <v>724</v>
      </c>
      <c r="M73" s="103">
        <v>72</v>
      </c>
      <c r="N73" s="103">
        <v>0</v>
      </c>
      <c r="O73" s="103">
        <v>0</v>
      </c>
      <c r="P73" s="393">
        <v>0</v>
      </c>
      <c r="Q73" s="103">
        <v>12</v>
      </c>
      <c r="R73" s="103">
        <v>72</v>
      </c>
      <c r="S73" s="103">
        <v>0.16666666666666666</v>
      </c>
      <c r="T73" s="395">
        <v>1</v>
      </c>
      <c r="U73" s="103">
        <v>0</v>
      </c>
      <c r="V73" s="102">
        <v>3768378</v>
      </c>
      <c r="W73" s="102">
        <v>271323216</v>
      </c>
      <c r="X73" s="102">
        <v>0</v>
      </c>
      <c r="Y73" s="102">
        <v>45220536</v>
      </c>
      <c r="Z73" s="102">
        <v>45220536</v>
      </c>
      <c r="AA73" s="102">
        <v>45220536</v>
      </c>
      <c r="AB73" s="102">
        <v>45220536</v>
      </c>
      <c r="AC73" s="102">
        <v>45220536</v>
      </c>
      <c r="AD73" s="102">
        <v>45220536</v>
      </c>
      <c r="AE73" s="102">
        <v>0</v>
      </c>
      <c r="AF73" s="102">
        <v>0</v>
      </c>
      <c r="AG73" s="102">
        <v>0</v>
      </c>
      <c r="AH73" s="102">
        <v>0</v>
      </c>
      <c r="AI73" s="399">
        <v>0</v>
      </c>
      <c r="AJ73" s="399">
        <v>0</v>
      </c>
      <c r="AK73" s="399">
        <v>0</v>
      </c>
      <c r="AL73" s="399">
        <v>0</v>
      </c>
      <c r="AM73" s="399">
        <v>0</v>
      </c>
      <c r="AN73" s="399">
        <v>0</v>
      </c>
      <c r="AO73" s="399">
        <v>0</v>
      </c>
      <c r="AP73" s="399">
        <v>0</v>
      </c>
      <c r="AQ73" s="399">
        <v>0</v>
      </c>
      <c r="AR73" s="399">
        <v>0</v>
      </c>
      <c r="AS73" s="399">
        <v>0</v>
      </c>
      <c r="AT73" s="399">
        <v>0</v>
      </c>
      <c r="AU73" s="102">
        <v>3768378</v>
      </c>
      <c r="AV73" s="102">
        <v>3768378</v>
      </c>
      <c r="AW73" s="102">
        <v>3768378</v>
      </c>
      <c r="AX73" s="102">
        <v>3768378</v>
      </c>
      <c r="AY73" s="102">
        <v>3768378</v>
      </c>
      <c r="AZ73" s="102">
        <v>3768378</v>
      </c>
      <c r="BA73" s="102">
        <v>3768378</v>
      </c>
      <c r="BB73" s="102">
        <v>3768378</v>
      </c>
      <c r="BC73" s="102">
        <v>3768378</v>
      </c>
      <c r="BD73" s="102">
        <v>3768378</v>
      </c>
      <c r="BE73" s="102">
        <v>3768378</v>
      </c>
      <c r="BF73" s="102">
        <v>3768378</v>
      </c>
      <c r="BG73" s="102">
        <v>3768378</v>
      </c>
      <c r="BH73" s="102">
        <v>3768378</v>
      </c>
      <c r="BI73" s="102">
        <v>3768378</v>
      </c>
      <c r="BJ73" s="102">
        <v>3768378</v>
      </c>
      <c r="BK73" s="102">
        <v>3768378</v>
      </c>
      <c r="BL73" s="102">
        <v>3768378</v>
      </c>
      <c r="BM73" s="102">
        <v>3768378</v>
      </c>
      <c r="BN73" s="102">
        <v>3768378</v>
      </c>
      <c r="BO73" s="102">
        <v>3768378</v>
      </c>
      <c r="BP73" s="102">
        <v>3768378</v>
      </c>
      <c r="BQ73" s="102">
        <v>3768378</v>
      </c>
      <c r="BR73" s="102">
        <v>3768378</v>
      </c>
      <c r="BS73" s="102">
        <v>3768378</v>
      </c>
      <c r="BT73" s="102">
        <v>3768378</v>
      </c>
      <c r="BU73" s="102">
        <v>3768378</v>
      </c>
      <c r="BV73" s="102">
        <v>3768378</v>
      </c>
      <c r="BW73" s="102">
        <v>3768378</v>
      </c>
      <c r="BX73" s="102">
        <v>3768378</v>
      </c>
      <c r="BY73" s="102">
        <v>3768378</v>
      </c>
      <c r="BZ73" s="102">
        <v>3768378</v>
      </c>
      <c r="CA73" s="102">
        <v>3768378</v>
      </c>
      <c r="CB73" s="102">
        <v>3768378</v>
      </c>
      <c r="CC73" s="102">
        <v>3768378</v>
      </c>
      <c r="CD73" s="102">
        <v>3768378</v>
      </c>
      <c r="CE73" s="102">
        <v>3768378</v>
      </c>
      <c r="CF73" s="102">
        <v>3768378</v>
      </c>
      <c r="CG73" s="102">
        <v>3768378</v>
      </c>
      <c r="CH73" s="102">
        <v>3768378</v>
      </c>
      <c r="CI73" s="102">
        <v>3768378</v>
      </c>
      <c r="CJ73" s="102">
        <v>3768378</v>
      </c>
      <c r="CK73" s="102">
        <v>3768378</v>
      </c>
      <c r="CL73" s="102">
        <v>3768378</v>
      </c>
      <c r="CM73" s="102">
        <v>3768378</v>
      </c>
      <c r="CN73" s="102">
        <v>3768378</v>
      </c>
      <c r="CO73" s="102">
        <v>3768378</v>
      </c>
      <c r="CP73" s="102">
        <v>3768378</v>
      </c>
      <c r="CQ73" s="102">
        <v>3768378</v>
      </c>
      <c r="CR73" s="102">
        <v>3768378</v>
      </c>
      <c r="CS73" s="102">
        <v>3768378</v>
      </c>
      <c r="CT73" s="102">
        <v>3768378</v>
      </c>
      <c r="CU73" s="102">
        <v>3768378</v>
      </c>
      <c r="CV73" s="102">
        <v>3768378</v>
      </c>
      <c r="CW73" s="102">
        <v>3768378</v>
      </c>
      <c r="CX73" s="102">
        <v>3768378</v>
      </c>
      <c r="CY73" s="102">
        <v>3768378</v>
      </c>
      <c r="CZ73" s="102">
        <v>3768378</v>
      </c>
      <c r="DA73" s="102">
        <v>3768378</v>
      </c>
      <c r="DB73" s="102">
        <v>3768378</v>
      </c>
      <c r="DC73" s="102">
        <v>3768378</v>
      </c>
      <c r="DD73" s="102">
        <v>3768378</v>
      </c>
      <c r="DE73" s="102">
        <v>3768378</v>
      </c>
      <c r="DF73" s="102">
        <v>3768378</v>
      </c>
      <c r="DG73" s="102">
        <v>3768378</v>
      </c>
      <c r="DH73" s="102">
        <v>3768378</v>
      </c>
      <c r="DI73" s="102">
        <v>3768378</v>
      </c>
      <c r="DJ73" s="102">
        <v>3768378</v>
      </c>
      <c r="DK73" s="102">
        <v>3768378</v>
      </c>
      <c r="DL73" s="102">
        <v>3768378</v>
      </c>
      <c r="DM73" s="102">
        <v>3768378</v>
      </c>
      <c r="DN73" s="102">
        <v>3768378</v>
      </c>
      <c r="DO73" s="102">
        <v>0</v>
      </c>
      <c r="DP73" s="102">
        <v>0</v>
      </c>
      <c r="DQ73" s="102">
        <v>0</v>
      </c>
      <c r="DR73" s="102">
        <v>0</v>
      </c>
      <c r="DS73" s="102">
        <v>0</v>
      </c>
      <c r="DT73" s="102">
        <v>0</v>
      </c>
      <c r="DU73" s="102">
        <v>0</v>
      </c>
      <c r="DV73" s="102">
        <v>0</v>
      </c>
      <c r="DW73" s="102">
        <v>0</v>
      </c>
      <c r="DX73" s="102">
        <v>0</v>
      </c>
      <c r="DY73" s="102">
        <v>0</v>
      </c>
      <c r="DZ73" s="102">
        <v>0</v>
      </c>
      <c r="EA73" s="102">
        <v>0</v>
      </c>
      <c r="EB73" s="102">
        <v>0</v>
      </c>
      <c r="EC73" s="102">
        <v>0</v>
      </c>
      <c r="ED73" s="102">
        <v>0</v>
      </c>
      <c r="EE73" s="102">
        <v>0</v>
      </c>
      <c r="EF73" s="102">
        <v>0</v>
      </c>
      <c r="EG73" s="102">
        <v>0</v>
      </c>
      <c r="EH73" s="102">
        <v>0</v>
      </c>
      <c r="EI73" s="102">
        <v>0</v>
      </c>
      <c r="EJ73" s="102">
        <v>0</v>
      </c>
      <c r="EK73" s="102">
        <v>0</v>
      </c>
      <c r="EL73" s="102">
        <v>0</v>
      </c>
      <c r="EM73" s="102">
        <v>0</v>
      </c>
      <c r="EN73" s="102">
        <v>0</v>
      </c>
      <c r="EO73" s="102">
        <v>0</v>
      </c>
      <c r="EP73" s="102">
        <v>0</v>
      </c>
      <c r="EQ73" s="102">
        <v>0</v>
      </c>
      <c r="ER73" s="102">
        <v>0</v>
      </c>
      <c r="ES73" s="102">
        <v>0</v>
      </c>
      <c r="ET73" s="102">
        <v>0</v>
      </c>
      <c r="EU73" s="102">
        <v>0</v>
      </c>
      <c r="EV73" s="102">
        <v>0</v>
      </c>
      <c r="EW73" s="102">
        <v>0</v>
      </c>
      <c r="EX73" s="102">
        <v>0</v>
      </c>
      <c r="EY73" s="102">
        <v>0</v>
      </c>
      <c r="EZ73" s="102">
        <v>0</v>
      </c>
      <c r="FA73" s="102">
        <v>0</v>
      </c>
      <c r="FB73" s="102">
        <v>0</v>
      </c>
      <c r="FC73" s="102">
        <v>0</v>
      </c>
      <c r="FD73" s="102">
        <v>0</v>
      </c>
      <c r="FE73" s="102">
        <v>0</v>
      </c>
      <c r="FF73" s="102">
        <v>0</v>
      </c>
      <c r="FG73" s="102">
        <v>0</v>
      </c>
      <c r="FH73" s="102">
        <v>0</v>
      </c>
      <c r="FI73" s="102">
        <v>0</v>
      </c>
      <c r="FJ73" s="71">
        <v>0</v>
      </c>
    </row>
    <row r="74" spans="1:166" x14ac:dyDescent="0.3">
      <c r="A74" s="401" t="s">
        <v>793</v>
      </c>
      <c r="B74" s="103" t="s">
        <v>424</v>
      </c>
      <c r="C74" s="419" t="s">
        <v>925</v>
      </c>
      <c r="D74" s="419" t="s">
        <v>653</v>
      </c>
      <c r="E74" s="419" t="s">
        <v>860</v>
      </c>
      <c r="F74" s="103" t="s">
        <v>801</v>
      </c>
      <c r="G74" s="103" t="s">
        <v>802</v>
      </c>
      <c r="H74" s="103" t="s">
        <v>803</v>
      </c>
      <c r="I74" s="103">
        <v>0</v>
      </c>
      <c r="J74" s="103" t="s">
        <v>889</v>
      </c>
      <c r="K74" s="103">
        <v>0</v>
      </c>
      <c r="L74" s="103" t="s">
        <v>859</v>
      </c>
      <c r="M74" s="103">
        <v>2</v>
      </c>
      <c r="N74" s="103">
        <v>0</v>
      </c>
      <c r="O74" s="103">
        <v>7699940</v>
      </c>
      <c r="P74" s="393">
        <f t="shared" si="1"/>
        <v>15399880</v>
      </c>
      <c r="Q74" s="103">
        <v>48</v>
      </c>
      <c r="R74" s="103">
        <v>36</v>
      </c>
      <c r="S74" s="103">
        <v>0.04</v>
      </c>
      <c r="T74" s="395">
        <v>1</v>
      </c>
      <c r="U74" s="103">
        <v>0</v>
      </c>
      <c r="V74" s="102">
        <v>51332.933333333342</v>
      </c>
      <c r="W74" s="102">
        <v>1847985.6</v>
      </c>
      <c r="X74" s="102">
        <v>0</v>
      </c>
      <c r="Y74" s="102">
        <v>0</v>
      </c>
      <c r="Z74" s="102">
        <v>0</v>
      </c>
      <c r="AA74" s="102">
        <v>0</v>
      </c>
      <c r="AB74" s="102">
        <v>615995.20000000007</v>
      </c>
      <c r="AC74" s="102">
        <v>615995.20000000007</v>
      </c>
      <c r="AD74" s="102">
        <v>615995.20000000007</v>
      </c>
      <c r="AE74" s="102">
        <v>0</v>
      </c>
      <c r="AF74" s="102">
        <v>0</v>
      </c>
      <c r="AG74" s="102">
        <v>0</v>
      </c>
      <c r="AH74" s="102">
        <v>0</v>
      </c>
      <c r="AI74" s="399">
        <v>0</v>
      </c>
      <c r="AJ74" s="399">
        <v>0</v>
      </c>
      <c r="AK74" s="399">
        <v>0</v>
      </c>
      <c r="AL74" s="399">
        <v>0</v>
      </c>
      <c r="AM74" s="399">
        <v>0</v>
      </c>
      <c r="AN74" s="399">
        <v>0</v>
      </c>
      <c r="AO74" s="399">
        <v>0</v>
      </c>
      <c r="AP74" s="399">
        <v>0</v>
      </c>
      <c r="AQ74" s="399">
        <v>0</v>
      </c>
      <c r="AR74" s="399">
        <v>0</v>
      </c>
      <c r="AS74" s="399">
        <v>0</v>
      </c>
      <c r="AT74" s="399">
        <v>0</v>
      </c>
      <c r="AU74" s="399">
        <v>0</v>
      </c>
      <c r="AV74" s="399">
        <v>0</v>
      </c>
      <c r="AW74" s="399">
        <v>0</v>
      </c>
      <c r="AX74" s="399">
        <v>0</v>
      </c>
      <c r="AY74" s="399">
        <v>0</v>
      </c>
      <c r="AZ74" s="399">
        <v>0</v>
      </c>
      <c r="BA74" s="399">
        <v>0</v>
      </c>
      <c r="BB74" s="399">
        <v>0</v>
      </c>
      <c r="BC74" s="399">
        <v>0</v>
      </c>
      <c r="BD74" s="399">
        <v>0</v>
      </c>
      <c r="BE74" s="399">
        <v>0</v>
      </c>
      <c r="BF74" s="399">
        <v>0</v>
      </c>
      <c r="BG74" s="399">
        <v>0</v>
      </c>
      <c r="BH74" s="399">
        <v>0</v>
      </c>
      <c r="BI74" s="399">
        <v>0</v>
      </c>
      <c r="BJ74" s="399">
        <v>0</v>
      </c>
      <c r="BK74" s="399">
        <v>0</v>
      </c>
      <c r="BL74" s="399">
        <v>0</v>
      </c>
      <c r="BM74" s="399">
        <v>0</v>
      </c>
      <c r="BN74" s="399">
        <v>0</v>
      </c>
      <c r="BO74" s="399">
        <v>0</v>
      </c>
      <c r="BP74" s="399">
        <v>0</v>
      </c>
      <c r="BQ74" s="399">
        <v>0</v>
      </c>
      <c r="BR74" s="399">
        <v>0</v>
      </c>
      <c r="BS74" s="399">
        <v>0</v>
      </c>
      <c r="BT74" s="399">
        <v>0</v>
      </c>
      <c r="BU74" s="399">
        <v>0</v>
      </c>
      <c r="BV74" s="399">
        <v>0</v>
      </c>
      <c r="BW74" s="399">
        <v>0</v>
      </c>
      <c r="BX74" s="399">
        <v>0</v>
      </c>
      <c r="BY74" s="399">
        <v>0</v>
      </c>
      <c r="BZ74" s="399">
        <v>0</v>
      </c>
      <c r="CA74" s="399">
        <v>0</v>
      </c>
      <c r="CB74" s="399">
        <v>0</v>
      </c>
      <c r="CC74" s="399">
        <v>0</v>
      </c>
      <c r="CD74" s="399">
        <v>0</v>
      </c>
      <c r="CE74" s="102">
        <v>51332.933333333342</v>
      </c>
      <c r="CF74" s="102">
        <v>51332.933333333342</v>
      </c>
      <c r="CG74" s="102">
        <v>51332.933333333342</v>
      </c>
      <c r="CH74" s="102">
        <v>51332.933333333342</v>
      </c>
      <c r="CI74" s="102">
        <v>51332.933333333342</v>
      </c>
      <c r="CJ74" s="102">
        <v>51332.933333333342</v>
      </c>
      <c r="CK74" s="102">
        <v>51332.933333333342</v>
      </c>
      <c r="CL74" s="102">
        <v>51332.933333333342</v>
      </c>
      <c r="CM74" s="102">
        <v>51332.933333333342</v>
      </c>
      <c r="CN74" s="102">
        <v>51332.933333333342</v>
      </c>
      <c r="CO74" s="102">
        <v>51332.933333333342</v>
      </c>
      <c r="CP74" s="102">
        <v>51332.933333333342</v>
      </c>
      <c r="CQ74" s="102">
        <v>51332.933333333342</v>
      </c>
      <c r="CR74" s="102">
        <v>51332.933333333342</v>
      </c>
      <c r="CS74" s="102">
        <v>51332.933333333342</v>
      </c>
      <c r="CT74" s="102">
        <v>51332.933333333342</v>
      </c>
      <c r="CU74" s="102">
        <v>51332.933333333342</v>
      </c>
      <c r="CV74" s="102">
        <v>51332.933333333342</v>
      </c>
      <c r="CW74" s="102">
        <v>51332.933333333342</v>
      </c>
      <c r="CX74" s="102">
        <v>51332.933333333342</v>
      </c>
      <c r="CY74" s="102">
        <v>51332.933333333342</v>
      </c>
      <c r="CZ74" s="102">
        <v>51332.933333333342</v>
      </c>
      <c r="DA74" s="102">
        <v>51332.933333333342</v>
      </c>
      <c r="DB74" s="102">
        <v>51332.933333333342</v>
      </c>
      <c r="DC74" s="102">
        <v>51332.933333333342</v>
      </c>
      <c r="DD74" s="102">
        <v>51332.933333333342</v>
      </c>
      <c r="DE74" s="102">
        <v>51332.933333333342</v>
      </c>
      <c r="DF74" s="102">
        <v>51332.933333333342</v>
      </c>
      <c r="DG74" s="102">
        <v>51332.933333333342</v>
      </c>
      <c r="DH74" s="102">
        <v>51332.933333333342</v>
      </c>
      <c r="DI74" s="102">
        <v>51332.933333333342</v>
      </c>
      <c r="DJ74" s="102">
        <v>51332.933333333342</v>
      </c>
      <c r="DK74" s="102">
        <v>51332.933333333342</v>
      </c>
      <c r="DL74" s="102">
        <v>51332.933333333342</v>
      </c>
      <c r="DM74" s="102">
        <v>51332.933333333342</v>
      </c>
      <c r="DN74" s="102">
        <v>51332.933333333342</v>
      </c>
      <c r="DO74" s="102">
        <v>0</v>
      </c>
      <c r="DP74" s="102">
        <v>0</v>
      </c>
      <c r="DQ74" s="102">
        <v>0</v>
      </c>
      <c r="DR74" s="102">
        <v>0</v>
      </c>
      <c r="DS74" s="102">
        <v>0</v>
      </c>
      <c r="DT74" s="102">
        <v>0</v>
      </c>
      <c r="DU74" s="102">
        <v>0</v>
      </c>
      <c r="DV74" s="102">
        <v>0</v>
      </c>
      <c r="DW74" s="102">
        <v>0</v>
      </c>
      <c r="DX74" s="102">
        <v>0</v>
      </c>
      <c r="DY74" s="102">
        <v>0</v>
      </c>
      <c r="DZ74" s="102">
        <v>0</v>
      </c>
      <c r="EA74" s="102">
        <v>0</v>
      </c>
      <c r="EB74" s="102">
        <v>0</v>
      </c>
      <c r="EC74" s="102">
        <v>0</v>
      </c>
      <c r="ED74" s="102">
        <v>0</v>
      </c>
      <c r="EE74" s="102">
        <v>0</v>
      </c>
      <c r="EF74" s="102">
        <v>0</v>
      </c>
      <c r="EG74" s="102">
        <v>0</v>
      </c>
      <c r="EH74" s="102">
        <v>0</v>
      </c>
      <c r="EI74" s="102">
        <v>0</v>
      </c>
      <c r="EJ74" s="102">
        <v>0</v>
      </c>
      <c r="EK74" s="102">
        <v>0</v>
      </c>
      <c r="EL74" s="102">
        <v>0</v>
      </c>
      <c r="EM74" s="102">
        <v>0</v>
      </c>
      <c r="EN74" s="102">
        <v>0</v>
      </c>
      <c r="EO74" s="102">
        <v>0</v>
      </c>
      <c r="EP74" s="102">
        <v>0</v>
      </c>
      <c r="EQ74" s="102">
        <v>0</v>
      </c>
      <c r="ER74" s="102">
        <v>0</v>
      </c>
      <c r="ES74" s="102">
        <v>0</v>
      </c>
      <c r="ET74" s="102">
        <v>0</v>
      </c>
      <c r="EU74" s="102">
        <v>0</v>
      </c>
      <c r="EV74" s="102">
        <v>0</v>
      </c>
      <c r="EW74" s="102">
        <v>0</v>
      </c>
      <c r="EX74" s="102">
        <v>0</v>
      </c>
      <c r="EY74" s="102">
        <v>0</v>
      </c>
      <c r="EZ74" s="102">
        <v>0</v>
      </c>
      <c r="FA74" s="102">
        <v>0</v>
      </c>
      <c r="FB74" s="102">
        <v>0</v>
      </c>
      <c r="FC74" s="102">
        <v>0</v>
      </c>
      <c r="FD74" s="102">
        <v>0</v>
      </c>
      <c r="FE74" s="102">
        <v>0</v>
      </c>
      <c r="FF74" s="102">
        <v>0</v>
      </c>
      <c r="FG74" s="102">
        <v>0</v>
      </c>
      <c r="FH74" s="102">
        <v>0</v>
      </c>
      <c r="FI74" s="102">
        <v>0</v>
      </c>
      <c r="FJ74" s="71">
        <v>0</v>
      </c>
    </row>
    <row r="75" spans="1:166" x14ac:dyDescent="0.3">
      <c r="A75" s="401" t="s">
        <v>861</v>
      </c>
      <c r="B75" s="103" t="s">
        <v>424</v>
      </c>
      <c r="C75" s="419" t="s">
        <v>925</v>
      </c>
      <c r="D75" s="419" t="s">
        <v>653</v>
      </c>
      <c r="E75" s="419" t="s">
        <v>860</v>
      </c>
      <c r="F75" s="103" t="s">
        <v>804</v>
      </c>
      <c r="G75" s="103" t="s">
        <v>802</v>
      </c>
      <c r="H75" s="103" t="s">
        <v>805</v>
      </c>
      <c r="I75" s="103">
        <v>0</v>
      </c>
      <c r="J75" s="103" t="s">
        <v>889</v>
      </c>
      <c r="K75" s="103">
        <v>0</v>
      </c>
      <c r="L75" s="103" t="s">
        <v>859</v>
      </c>
      <c r="M75" s="103">
        <v>2</v>
      </c>
      <c r="N75" s="103">
        <v>0</v>
      </c>
      <c r="O75" s="103">
        <v>7172560</v>
      </c>
      <c r="P75" s="393">
        <f t="shared" si="1"/>
        <v>14345120</v>
      </c>
      <c r="Q75" s="103">
        <v>48</v>
      </c>
      <c r="R75" s="103">
        <v>36</v>
      </c>
      <c r="S75" s="103">
        <v>0.04</v>
      </c>
      <c r="T75" s="395">
        <v>1</v>
      </c>
      <c r="U75" s="103">
        <v>0</v>
      </c>
      <c r="V75" s="102">
        <v>47817.066666666673</v>
      </c>
      <c r="W75" s="102">
        <v>1721414.4</v>
      </c>
      <c r="X75" s="102">
        <v>0</v>
      </c>
      <c r="Y75" s="102">
        <v>0</v>
      </c>
      <c r="Z75" s="102">
        <v>0</v>
      </c>
      <c r="AA75" s="102">
        <v>0</v>
      </c>
      <c r="AB75" s="102">
        <v>573804.79999999993</v>
      </c>
      <c r="AC75" s="102">
        <v>573804.79999999993</v>
      </c>
      <c r="AD75" s="102">
        <v>573804.79999999993</v>
      </c>
      <c r="AE75" s="102">
        <v>0</v>
      </c>
      <c r="AF75" s="102">
        <v>0</v>
      </c>
      <c r="AG75" s="102">
        <v>0</v>
      </c>
      <c r="AH75" s="102">
        <v>0</v>
      </c>
      <c r="AI75" s="399">
        <v>0</v>
      </c>
      <c r="AJ75" s="399">
        <v>0</v>
      </c>
      <c r="AK75" s="399">
        <v>0</v>
      </c>
      <c r="AL75" s="399">
        <v>0</v>
      </c>
      <c r="AM75" s="399">
        <v>0</v>
      </c>
      <c r="AN75" s="399">
        <v>0</v>
      </c>
      <c r="AO75" s="399">
        <v>0</v>
      </c>
      <c r="AP75" s="399">
        <v>0</v>
      </c>
      <c r="AQ75" s="399">
        <v>0</v>
      </c>
      <c r="AR75" s="399">
        <v>0</v>
      </c>
      <c r="AS75" s="399">
        <v>0</v>
      </c>
      <c r="AT75" s="399">
        <v>0</v>
      </c>
      <c r="AU75" s="399">
        <v>0</v>
      </c>
      <c r="AV75" s="399">
        <v>0</v>
      </c>
      <c r="AW75" s="399">
        <v>0</v>
      </c>
      <c r="AX75" s="399">
        <v>0</v>
      </c>
      <c r="AY75" s="399">
        <v>0</v>
      </c>
      <c r="AZ75" s="399">
        <v>0</v>
      </c>
      <c r="BA75" s="399">
        <v>0</v>
      </c>
      <c r="BB75" s="399">
        <v>0</v>
      </c>
      <c r="BC75" s="399">
        <v>0</v>
      </c>
      <c r="BD75" s="399">
        <v>0</v>
      </c>
      <c r="BE75" s="399">
        <v>0</v>
      </c>
      <c r="BF75" s="399">
        <v>0</v>
      </c>
      <c r="BG75" s="399">
        <v>0</v>
      </c>
      <c r="BH75" s="399">
        <v>0</v>
      </c>
      <c r="BI75" s="399">
        <v>0</v>
      </c>
      <c r="BJ75" s="399">
        <v>0</v>
      </c>
      <c r="BK75" s="399">
        <v>0</v>
      </c>
      <c r="BL75" s="399">
        <v>0</v>
      </c>
      <c r="BM75" s="399">
        <v>0</v>
      </c>
      <c r="BN75" s="399">
        <v>0</v>
      </c>
      <c r="BO75" s="399">
        <v>0</v>
      </c>
      <c r="BP75" s="399">
        <v>0</v>
      </c>
      <c r="BQ75" s="399">
        <v>0</v>
      </c>
      <c r="BR75" s="399">
        <v>0</v>
      </c>
      <c r="BS75" s="399">
        <v>0</v>
      </c>
      <c r="BT75" s="399">
        <v>0</v>
      </c>
      <c r="BU75" s="399">
        <v>0</v>
      </c>
      <c r="BV75" s="399">
        <v>0</v>
      </c>
      <c r="BW75" s="399">
        <v>0</v>
      </c>
      <c r="BX75" s="399">
        <v>0</v>
      </c>
      <c r="BY75" s="399">
        <v>0</v>
      </c>
      <c r="BZ75" s="399">
        <v>0</v>
      </c>
      <c r="CA75" s="399">
        <v>0</v>
      </c>
      <c r="CB75" s="399">
        <v>0</v>
      </c>
      <c r="CC75" s="399">
        <v>0</v>
      </c>
      <c r="CD75" s="399">
        <v>0</v>
      </c>
      <c r="CE75" s="102">
        <v>47817.066666666673</v>
      </c>
      <c r="CF75" s="102">
        <v>47817.066666666673</v>
      </c>
      <c r="CG75" s="102">
        <v>47817.066666666673</v>
      </c>
      <c r="CH75" s="102">
        <v>47817.066666666673</v>
      </c>
      <c r="CI75" s="102">
        <v>47817.066666666673</v>
      </c>
      <c r="CJ75" s="102">
        <v>47817.066666666673</v>
      </c>
      <c r="CK75" s="102">
        <v>47817.066666666673</v>
      </c>
      <c r="CL75" s="102">
        <v>47817.066666666673</v>
      </c>
      <c r="CM75" s="102">
        <v>47817.066666666673</v>
      </c>
      <c r="CN75" s="102">
        <v>47817.066666666673</v>
      </c>
      <c r="CO75" s="102">
        <v>47817.066666666673</v>
      </c>
      <c r="CP75" s="102">
        <v>47817.066666666673</v>
      </c>
      <c r="CQ75" s="102">
        <v>47817.066666666673</v>
      </c>
      <c r="CR75" s="102">
        <v>47817.066666666673</v>
      </c>
      <c r="CS75" s="102">
        <v>47817.066666666673</v>
      </c>
      <c r="CT75" s="102">
        <v>47817.066666666673</v>
      </c>
      <c r="CU75" s="102">
        <v>47817.066666666673</v>
      </c>
      <c r="CV75" s="102">
        <v>47817.066666666673</v>
      </c>
      <c r="CW75" s="102">
        <v>47817.066666666673</v>
      </c>
      <c r="CX75" s="102">
        <v>47817.066666666673</v>
      </c>
      <c r="CY75" s="102">
        <v>47817.066666666673</v>
      </c>
      <c r="CZ75" s="102">
        <v>47817.066666666673</v>
      </c>
      <c r="DA75" s="102">
        <v>47817.066666666673</v>
      </c>
      <c r="DB75" s="102">
        <v>47817.066666666673</v>
      </c>
      <c r="DC75" s="102">
        <v>47817.066666666673</v>
      </c>
      <c r="DD75" s="102">
        <v>47817.066666666673</v>
      </c>
      <c r="DE75" s="102">
        <v>47817.066666666673</v>
      </c>
      <c r="DF75" s="102">
        <v>47817.066666666673</v>
      </c>
      <c r="DG75" s="102">
        <v>47817.066666666673</v>
      </c>
      <c r="DH75" s="102">
        <v>47817.066666666673</v>
      </c>
      <c r="DI75" s="102">
        <v>47817.066666666673</v>
      </c>
      <c r="DJ75" s="102">
        <v>47817.066666666673</v>
      </c>
      <c r="DK75" s="102">
        <v>47817.066666666673</v>
      </c>
      <c r="DL75" s="102">
        <v>47817.066666666673</v>
      </c>
      <c r="DM75" s="102">
        <v>47817.066666666673</v>
      </c>
      <c r="DN75" s="102">
        <v>47817.066666666673</v>
      </c>
      <c r="DO75" s="102">
        <v>0</v>
      </c>
      <c r="DP75" s="102">
        <v>0</v>
      </c>
      <c r="DQ75" s="102">
        <v>0</v>
      </c>
      <c r="DR75" s="102">
        <v>0</v>
      </c>
      <c r="DS75" s="102">
        <v>0</v>
      </c>
      <c r="DT75" s="102">
        <v>0</v>
      </c>
      <c r="DU75" s="102">
        <v>0</v>
      </c>
      <c r="DV75" s="102">
        <v>0</v>
      </c>
      <c r="DW75" s="102">
        <v>0</v>
      </c>
      <c r="DX75" s="102">
        <v>0</v>
      </c>
      <c r="DY75" s="102">
        <v>0</v>
      </c>
      <c r="DZ75" s="102">
        <v>0</v>
      </c>
      <c r="EA75" s="102">
        <v>0</v>
      </c>
      <c r="EB75" s="102">
        <v>0</v>
      </c>
      <c r="EC75" s="102">
        <v>0</v>
      </c>
      <c r="ED75" s="102">
        <v>0</v>
      </c>
      <c r="EE75" s="102">
        <v>0</v>
      </c>
      <c r="EF75" s="102">
        <v>0</v>
      </c>
      <c r="EG75" s="102">
        <v>0</v>
      </c>
      <c r="EH75" s="102">
        <v>0</v>
      </c>
      <c r="EI75" s="102">
        <v>0</v>
      </c>
      <c r="EJ75" s="102">
        <v>0</v>
      </c>
      <c r="EK75" s="102">
        <v>0</v>
      </c>
      <c r="EL75" s="102">
        <v>0</v>
      </c>
      <c r="EM75" s="102">
        <v>0</v>
      </c>
      <c r="EN75" s="102">
        <v>0</v>
      </c>
      <c r="EO75" s="102">
        <v>0</v>
      </c>
      <c r="EP75" s="102">
        <v>0</v>
      </c>
      <c r="EQ75" s="102">
        <v>0</v>
      </c>
      <c r="ER75" s="102">
        <v>0</v>
      </c>
      <c r="ES75" s="102">
        <v>0</v>
      </c>
      <c r="ET75" s="102">
        <v>0</v>
      </c>
      <c r="EU75" s="102">
        <v>0</v>
      </c>
      <c r="EV75" s="102">
        <v>0</v>
      </c>
      <c r="EW75" s="102">
        <v>0</v>
      </c>
      <c r="EX75" s="102">
        <v>0</v>
      </c>
      <c r="EY75" s="102">
        <v>0</v>
      </c>
      <c r="EZ75" s="102">
        <v>0</v>
      </c>
      <c r="FA75" s="102">
        <v>0</v>
      </c>
      <c r="FB75" s="102">
        <v>0</v>
      </c>
      <c r="FC75" s="102">
        <v>0</v>
      </c>
      <c r="FD75" s="102">
        <v>0</v>
      </c>
      <c r="FE75" s="102">
        <v>0</v>
      </c>
      <c r="FF75" s="102">
        <v>0</v>
      </c>
      <c r="FG75" s="102">
        <v>0</v>
      </c>
      <c r="FH75" s="102">
        <v>0</v>
      </c>
      <c r="FI75" s="102">
        <v>0</v>
      </c>
      <c r="FJ75" s="71">
        <v>0</v>
      </c>
    </row>
    <row r="76" spans="1:166" x14ac:dyDescent="0.3">
      <c r="A76" s="401" t="s">
        <v>862</v>
      </c>
      <c r="B76" s="103" t="s">
        <v>424</v>
      </c>
      <c r="C76" s="419" t="s">
        <v>925</v>
      </c>
      <c r="D76" s="419" t="s">
        <v>653</v>
      </c>
      <c r="E76" s="419" t="s">
        <v>860</v>
      </c>
      <c r="F76" s="103" t="s">
        <v>806</v>
      </c>
      <c r="G76" s="103" t="s">
        <v>802</v>
      </c>
      <c r="H76" s="103" t="s">
        <v>807</v>
      </c>
      <c r="I76" s="103">
        <v>0</v>
      </c>
      <c r="J76" s="103" t="s">
        <v>889</v>
      </c>
      <c r="K76" s="103">
        <v>0</v>
      </c>
      <c r="L76" s="103" t="s">
        <v>859</v>
      </c>
      <c r="M76" s="103">
        <v>2</v>
      </c>
      <c r="N76" s="103">
        <v>0</v>
      </c>
      <c r="O76" s="103">
        <v>9565360</v>
      </c>
      <c r="P76" s="393">
        <f t="shared" si="1"/>
        <v>19130720</v>
      </c>
      <c r="Q76" s="103">
        <v>48</v>
      </c>
      <c r="R76" s="103">
        <v>36</v>
      </c>
      <c r="S76" s="103">
        <v>0.04</v>
      </c>
      <c r="T76" s="395">
        <v>1</v>
      </c>
      <c r="U76" s="103">
        <v>0</v>
      </c>
      <c r="V76" s="102">
        <v>63769.066666666673</v>
      </c>
      <c r="W76" s="102">
        <v>2295686.4</v>
      </c>
      <c r="X76" s="102">
        <v>0</v>
      </c>
      <c r="Y76" s="102">
        <v>0</v>
      </c>
      <c r="Z76" s="102">
        <v>0</v>
      </c>
      <c r="AA76" s="102">
        <v>0</v>
      </c>
      <c r="AB76" s="102">
        <v>765228.79999999993</v>
      </c>
      <c r="AC76" s="102">
        <v>765228.79999999993</v>
      </c>
      <c r="AD76" s="102">
        <v>765228.79999999993</v>
      </c>
      <c r="AE76" s="102">
        <v>0</v>
      </c>
      <c r="AF76" s="102">
        <v>0</v>
      </c>
      <c r="AG76" s="102">
        <v>0</v>
      </c>
      <c r="AH76" s="102">
        <v>0</v>
      </c>
      <c r="AI76" s="399">
        <v>0</v>
      </c>
      <c r="AJ76" s="399">
        <v>0</v>
      </c>
      <c r="AK76" s="399">
        <v>0</v>
      </c>
      <c r="AL76" s="399">
        <v>0</v>
      </c>
      <c r="AM76" s="399">
        <v>0</v>
      </c>
      <c r="AN76" s="399">
        <v>0</v>
      </c>
      <c r="AO76" s="399">
        <v>0</v>
      </c>
      <c r="AP76" s="399">
        <v>0</v>
      </c>
      <c r="AQ76" s="399">
        <v>0</v>
      </c>
      <c r="AR76" s="399">
        <v>0</v>
      </c>
      <c r="AS76" s="399">
        <v>0</v>
      </c>
      <c r="AT76" s="399">
        <v>0</v>
      </c>
      <c r="AU76" s="399">
        <v>0</v>
      </c>
      <c r="AV76" s="399">
        <v>0</v>
      </c>
      <c r="AW76" s="399">
        <v>0</v>
      </c>
      <c r="AX76" s="399">
        <v>0</v>
      </c>
      <c r="AY76" s="399">
        <v>0</v>
      </c>
      <c r="AZ76" s="399">
        <v>0</v>
      </c>
      <c r="BA76" s="399">
        <v>0</v>
      </c>
      <c r="BB76" s="399">
        <v>0</v>
      </c>
      <c r="BC76" s="399">
        <v>0</v>
      </c>
      <c r="BD76" s="399">
        <v>0</v>
      </c>
      <c r="BE76" s="399">
        <v>0</v>
      </c>
      <c r="BF76" s="399">
        <v>0</v>
      </c>
      <c r="BG76" s="399">
        <v>0</v>
      </c>
      <c r="BH76" s="399">
        <v>0</v>
      </c>
      <c r="BI76" s="399">
        <v>0</v>
      </c>
      <c r="BJ76" s="399">
        <v>0</v>
      </c>
      <c r="BK76" s="399">
        <v>0</v>
      </c>
      <c r="BL76" s="399">
        <v>0</v>
      </c>
      <c r="BM76" s="399">
        <v>0</v>
      </c>
      <c r="BN76" s="399">
        <v>0</v>
      </c>
      <c r="BO76" s="399">
        <v>0</v>
      </c>
      <c r="BP76" s="399">
        <v>0</v>
      </c>
      <c r="BQ76" s="399">
        <v>0</v>
      </c>
      <c r="BR76" s="399">
        <v>0</v>
      </c>
      <c r="BS76" s="399">
        <v>0</v>
      </c>
      <c r="BT76" s="399">
        <v>0</v>
      </c>
      <c r="BU76" s="399">
        <v>0</v>
      </c>
      <c r="BV76" s="399">
        <v>0</v>
      </c>
      <c r="BW76" s="399">
        <v>0</v>
      </c>
      <c r="BX76" s="399">
        <v>0</v>
      </c>
      <c r="BY76" s="399">
        <v>0</v>
      </c>
      <c r="BZ76" s="399">
        <v>0</v>
      </c>
      <c r="CA76" s="399">
        <v>0</v>
      </c>
      <c r="CB76" s="399">
        <v>0</v>
      </c>
      <c r="CC76" s="399">
        <v>0</v>
      </c>
      <c r="CD76" s="399">
        <v>0</v>
      </c>
      <c r="CE76" s="102">
        <v>63769.066666666673</v>
      </c>
      <c r="CF76" s="102">
        <v>63769.066666666673</v>
      </c>
      <c r="CG76" s="102">
        <v>63769.066666666673</v>
      </c>
      <c r="CH76" s="102">
        <v>63769.066666666673</v>
      </c>
      <c r="CI76" s="102">
        <v>63769.066666666673</v>
      </c>
      <c r="CJ76" s="102">
        <v>63769.066666666673</v>
      </c>
      <c r="CK76" s="102">
        <v>63769.066666666673</v>
      </c>
      <c r="CL76" s="102">
        <v>63769.066666666673</v>
      </c>
      <c r="CM76" s="102">
        <v>63769.066666666673</v>
      </c>
      <c r="CN76" s="102">
        <v>63769.066666666673</v>
      </c>
      <c r="CO76" s="102">
        <v>63769.066666666673</v>
      </c>
      <c r="CP76" s="102">
        <v>63769.066666666673</v>
      </c>
      <c r="CQ76" s="102">
        <v>63769.066666666673</v>
      </c>
      <c r="CR76" s="102">
        <v>63769.066666666673</v>
      </c>
      <c r="CS76" s="102">
        <v>63769.066666666673</v>
      </c>
      <c r="CT76" s="102">
        <v>63769.066666666673</v>
      </c>
      <c r="CU76" s="102">
        <v>63769.066666666673</v>
      </c>
      <c r="CV76" s="102">
        <v>63769.066666666673</v>
      </c>
      <c r="CW76" s="102">
        <v>63769.066666666673</v>
      </c>
      <c r="CX76" s="102">
        <v>63769.066666666673</v>
      </c>
      <c r="CY76" s="102">
        <v>63769.066666666673</v>
      </c>
      <c r="CZ76" s="102">
        <v>63769.066666666673</v>
      </c>
      <c r="DA76" s="102">
        <v>63769.066666666673</v>
      </c>
      <c r="DB76" s="102">
        <v>63769.066666666673</v>
      </c>
      <c r="DC76" s="102">
        <v>63769.066666666673</v>
      </c>
      <c r="DD76" s="102">
        <v>63769.066666666673</v>
      </c>
      <c r="DE76" s="102">
        <v>63769.066666666673</v>
      </c>
      <c r="DF76" s="102">
        <v>63769.066666666673</v>
      </c>
      <c r="DG76" s="102">
        <v>63769.066666666673</v>
      </c>
      <c r="DH76" s="102">
        <v>63769.066666666673</v>
      </c>
      <c r="DI76" s="102">
        <v>63769.066666666673</v>
      </c>
      <c r="DJ76" s="102">
        <v>63769.066666666673</v>
      </c>
      <c r="DK76" s="102">
        <v>63769.066666666673</v>
      </c>
      <c r="DL76" s="102">
        <v>63769.066666666673</v>
      </c>
      <c r="DM76" s="102">
        <v>63769.066666666673</v>
      </c>
      <c r="DN76" s="102">
        <v>63769.066666666673</v>
      </c>
      <c r="DO76" s="102">
        <v>0</v>
      </c>
      <c r="DP76" s="102">
        <v>0</v>
      </c>
      <c r="DQ76" s="102">
        <v>0</v>
      </c>
      <c r="DR76" s="102">
        <v>0</v>
      </c>
      <c r="DS76" s="102">
        <v>0</v>
      </c>
      <c r="DT76" s="102">
        <v>0</v>
      </c>
      <c r="DU76" s="102">
        <v>0</v>
      </c>
      <c r="DV76" s="102">
        <v>0</v>
      </c>
      <c r="DW76" s="102">
        <v>0</v>
      </c>
      <c r="DX76" s="102">
        <v>0</v>
      </c>
      <c r="DY76" s="102">
        <v>0</v>
      </c>
      <c r="DZ76" s="102">
        <v>0</v>
      </c>
      <c r="EA76" s="102">
        <v>0</v>
      </c>
      <c r="EB76" s="102">
        <v>0</v>
      </c>
      <c r="EC76" s="102">
        <v>0</v>
      </c>
      <c r="ED76" s="102">
        <v>0</v>
      </c>
      <c r="EE76" s="102">
        <v>0</v>
      </c>
      <c r="EF76" s="102">
        <v>0</v>
      </c>
      <c r="EG76" s="102">
        <v>0</v>
      </c>
      <c r="EH76" s="102">
        <v>0</v>
      </c>
      <c r="EI76" s="102">
        <v>0</v>
      </c>
      <c r="EJ76" s="102">
        <v>0</v>
      </c>
      <c r="EK76" s="102">
        <v>0</v>
      </c>
      <c r="EL76" s="102">
        <v>0</v>
      </c>
      <c r="EM76" s="102">
        <v>0</v>
      </c>
      <c r="EN76" s="102">
        <v>0</v>
      </c>
      <c r="EO76" s="102">
        <v>0</v>
      </c>
      <c r="EP76" s="102">
        <v>0</v>
      </c>
      <c r="EQ76" s="102">
        <v>0</v>
      </c>
      <c r="ER76" s="102">
        <v>0</v>
      </c>
      <c r="ES76" s="102">
        <v>0</v>
      </c>
      <c r="ET76" s="102">
        <v>0</v>
      </c>
      <c r="EU76" s="102">
        <v>0</v>
      </c>
      <c r="EV76" s="102">
        <v>0</v>
      </c>
      <c r="EW76" s="102">
        <v>0</v>
      </c>
      <c r="EX76" s="102">
        <v>0</v>
      </c>
      <c r="EY76" s="102">
        <v>0</v>
      </c>
      <c r="EZ76" s="102">
        <v>0</v>
      </c>
      <c r="FA76" s="102">
        <v>0</v>
      </c>
      <c r="FB76" s="102">
        <v>0</v>
      </c>
      <c r="FC76" s="102">
        <v>0</v>
      </c>
      <c r="FD76" s="102">
        <v>0</v>
      </c>
      <c r="FE76" s="102">
        <v>0</v>
      </c>
      <c r="FF76" s="102">
        <v>0</v>
      </c>
      <c r="FG76" s="102">
        <v>0</v>
      </c>
      <c r="FH76" s="102">
        <v>0</v>
      </c>
      <c r="FI76" s="102">
        <v>0</v>
      </c>
      <c r="FJ76" s="71">
        <v>0</v>
      </c>
    </row>
    <row r="77" spans="1:166" x14ac:dyDescent="0.3">
      <c r="A77" s="401" t="s">
        <v>863</v>
      </c>
      <c r="B77" s="103" t="s">
        <v>424</v>
      </c>
      <c r="C77" s="419" t="s">
        <v>926</v>
      </c>
      <c r="D77" s="419" t="s">
        <v>653</v>
      </c>
      <c r="E77" s="419" t="s">
        <v>860</v>
      </c>
      <c r="F77" s="103" t="s">
        <v>808</v>
      </c>
      <c r="G77" s="103" t="s">
        <v>802</v>
      </c>
      <c r="H77" s="103" t="s">
        <v>809</v>
      </c>
      <c r="I77" s="103">
        <v>0</v>
      </c>
      <c r="J77" s="103" t="s">
        <v>889</v>
      </c>
      <c r="K77" s="103">
        <v>0</v>
      </c>
      <c r="L77" s="103" t="s">
        <v>859</v>
      </c>
      <c r="M77" s="103">
        <v>3</v>
      </c>
      <c r="N77" s="103">
        <v>0</v>
      </c>
      <c r="O77" s="103">
        <v>14676370</v>
      </c>
      <c r="P77" s="393">
        <f t="shared" si="1"/>
        <v>44029110</v>
      </c>
      <c r="Q77" s="103">
        <v>48</v>
      </c>
      <c r="R77" s="103">
        <v>36</v>
      </c>
      <c r="S77" s="103">
        <v>0.04</v>
      </c>
      <c r="T77" s="395">
        <v>1</v>
      </c>
      <c r="U77" s="103">
        <v>0</v>
      </c>
      <c r="V77" s="102">
        <v>146763.70000000001</v>
      </c>
      <c r="W77" s="102">
        <v>5283493.1999999993</v>
      </c>
      <c r="X77" s="102">
        <v>0</v>
      </c>
      <c r="Y77" s="102">
        <v>0</v>
      </c>
      <c r="Z77" s="102">
        <v>0</v>
      </c>
      <c r="AA77" s="102">
        <v>0</v>
      </c>
      <c r="AB77" s="102">
        <v>1761164.3999999997</v>
      </c>
      <c r="AC77" s="102">
        <v>1761164.3999999997</v>
      </c>
      <c r="AD77" s="102">
        <v>1761164.3999999997</v>
      </c>
      <c r="AE77" s="102">
        <v>0</v>
      </c>
      <c r="AF77" s="102">
        <v>0</v>
      </c>
      <c r="AG77" s="102">
        <v>0</v>
      </c>
      <c r="AH77" s="102">
        <v>0</v>
      </c>
      <c r="AI77" s="399">
        <v>0</v>
      </c>
      <c r="AJ77" s="399">
        <v>0</v>
      </c>
      <c r="AK77" s="399">
        <v>0</v>
      </c>
      <c r="AL77" s="399">
        <v>0</v>
      </c>
      <c r="AM77" s="399">
        <v>0</v>
      </c>
      <c r="AN77" s="399">
        <v>0</v>
      </c>
      <c r="AO77" s="399">
        <v>0</v>
      </c>
      <c r="AP77" s="399">
        <v>0</v>
      </c>
      <c r="AQ77" s="399">
        <v>0</v>
      </c>
      <c r="AR77" s="399">
        <v>0</v>
      </c>
      <c r="AS77" s="399">
        <v>0</v>
      </c>
      <c r="AT77" s="399">
        <v>0</v>
      </c>
      <c r="AU77" s="399">
        <v>0</v>
      </c>
      <c r="AV77" s="399">
        <v>0</v>
      </c>
      <c r="AW77" s="399">
        <v>0</v>
      </c>
      <c r="AX77" s="399">
        <v>0</v>
      </c>
      <c r="AY77" s="399">
        <v>0</v>
      </c>
      <c r="AZ77" s="399">
        <v>0</v>
      </c>
      <c r="BA77" s="399">
        <v>0</v>
      </c>
      <c r="BB77" s="399">
        <v>0</v>
      </c>
      <c r="BC77" s="399">
        <v>0</v>
      </c>
      <c r="BD77" s="399">
        <v>0</v>
      </c>
      <c r="BE77" s="399">
        <v>0</v>
      </c>
      <c r="BF77" s="399">
        <v>0</v>
      </c>
      <c r="BG77" s="399">
        <v>0</v>
      </c>
      <c r="BH77" s="399">
        <v>0</v>
      </c>
      <c r="BI77" s="399">
        <v>0</v>
      </c>
      <c r="BJ77" s="399">
        <v>0</v>
      </c>
      <c r="BK77" s="399">
        <v>0</v>
      </c>
      <c r="BL77" s="399">
        <v>0</v>
      </c>
      <c r="BM77" s="399">
        <v>0</v>
      </c>
      <c r="BN77" s="399">
        <v>0</v>
      </c>
      <c r="BO77" s="399">
        <v>0</v>
      </c>
      <c r="BP77" s="399">
        <v>0</v>
      </c>
      <c r="BQ77" s="399">
        <v>0</v>
      </c>
      <c r="BR77" s="399">
        <v>0</v>
      </c>
      <c r="BS77" s="399">
        <v>0</v>
      </c>
      <c r="BT77" s="399">
        <v>0</v>
      </c>
      <c r="BU77" s="399">
        <v>0</v>
      </c>
      <c r="BV77" s="399">
        <v>0</v>
      </c>
      <c r="BW77" s="399">
        <v>0</v>
      </c>
      <c r="BX77" s="399">
        <v>0</v>
      </c>
      <c r="BY77" s="399">
        <v>0</v>
      </c>
      <c r="BZ77" s="399">
        <v>0</v>
      </c>
      <c r="CA77" s="399">
        <v>0</v>
      </c>
      <c r="CB77" s="399">
        <v>0</v>
      </c>
      <c r="CC77" s="399">
        <v>0</v>
      </c>
      <c r="CD77" s="399">
        <v>0</v>
      </c>
      <c r="CE77" s="102">
        <v>146763.70000000001</v>
      </c>
      <c r="CF77" s="102">
        <v>146763.70000000001</v>
      </c>
      <c r="CG77" s="102">
        <v>146763.70000000001</v>
      </c>
      <c r="CH77" s="102">
        <v>146763.70000000001</v>
      </c>
      <c r="CI77" s="102">
        <v>146763.70000000001</v>
      </c>
      <c r="CJ77" s="102">
        <v>146763.70000000001</v>
      </c>
      <c r="CK77" s="102">
        <v>146763.70000000001</v>
      </c>
      <c r="CL77" s="102">
        <v>146763.70000000001</v>
      </c>
      <c r="CM77" s="102">
        <v>146763.70000000001</v>
      </c>
      <c r="CN77" s="102">
        <v>146763.70000000001</v>
      </c>
      <c r="CO77" s="102">
        <v>146763.70000000001</v>
      </c>
      <c r="CP77" s="102">
        <v>146763.70000000001</v>
      </c>
      <c r="CQ77" s="102">
        <v>146763.70000000001</v>
      </c>
      <c r="CR77" s="102">
        <v>146763.70000000001</v>
      </c>
      <c r="CS77" s="102">
        <v>146763.70000000001</v>
      </c>
      <c r="CT77" s="102">
        <v>146763.70000000001</v>
      </c>
      <c r="CU77" s="102">
        <v>146763.70000000001</v>
      </c>
      <c r="CV77" s="102">
        <v>146763.70000000001</v>
      </c>
      <c r="CW77" s="102">
        <v>146763.70000000001</v>
      </c>
      <c r="CX77" s="102">
        <v>146763.70000000001</v>
      </c>
      <c r="CY77" s="102">
        <v>146763.70000000001</v>
      </c>
      <c r="CZ77" s="102">
        <v>146763.70000000001</v>
      </c>
      <c r="DA77" s="102">
        <v>146763.70000000001</v>
      </c>
      <c r="DB77" s="102">
        <v>146763.70000000001</v>
      </c>
      <c r="DC77" s="102">
        <v>146763.70000000001</v>
      </c>
      <c r="DD77" s="102">
        <v>146763.70000000001</v>
      </c>
      <c r="DE77" s="102">
        <v>146763.70000000001</v>
      </c>
      <c r="DF77" s="102">
        <v>146763.70000000001</v>
      </c>
      <c r="DG77" s="102">
        <v>146763.70000000001</v>
      </c>
      <c r="DH77" s="102">
        <v>146763.70000000001</v>
      </c>
      <c r="DI77" s="102">
        <v>146763.70000000001</v>
      </c>
      <c r="DJ77" s="102">
        <v>146763.70000000001</v>
      </c>
      <c r="DK77" s="102">
        <v>146763.70000000001</v>
      </c>
      <c r="DL77" s="102">
        <v>146763.70000000001</v>
      </c>
      <c r="DM77" s="102">
        <v>146763.70000000001</v>
      </c>
      <c r="DN77" s="102">
        <v>146763.70000000001</v>
      </c>
      <c r="DO77" s="102">
        <v>0</v>
      </c>
      <c r="DP77" s="102">
        <v>0</v>
      </c>
      <c r="DQ77" s="102">
        <v>0</v>
      </c>
      <c r="DR77" s="102">
        <v>0</v>
      </c>
      <c r="DS77" s="102">
        <v>0</v>
      </c>
      <c r="DT77" s="102">
        <v>0</v>
      </c>
      <c r="DU77" s="102">
        <v>0</v>
      </c>
      <c r="DV77" s="102">
        <v>0</v>
      </c>
      <c r="DW77" s="102">
        <v>0</v>
      </c>
      <c r="DX77" s="102">
        <v>0</v>
      </c>
      <c r="DY77" s="102">
        <v>0</v>
      </c>
      <c r="DZ77" s="102">
        <v>0</v>
      </c>
      <c r="EA77" s="102">
        <v>0</v>
      </c>
      <c r="EB77" s="102">
        <v>0</v>
      </c>
      <c r="EC77" s="102">
        <v>0</v>
      </c>
      <c r="ED77" s="102">
        <v>0</v>
      </c>
      <c r="EE77" s="102">
        <v>0</v>
      </c>
      <c r="EF77" s="102">
        <v>0</v>
      </c>
      <c r="EG77" s="102">
        <v>0</v>
      </c>
      <c r="EH77" s="102">
        <v>0</v>
      </c>
      <c r="EI77" s="102">
        <v>0</v>
      </c>
      <c r="EJ77" s="102">
        <v>0</v>
      </c>
      <c r="EK77" s="102">
        <v>0</v>
      </c>
      <c r="EL77" s="102">
        <v>0</v>
      </c>
      <c r="EM77" s="102">
        <v>0</v>
      </c>
      <c r="EN77" s="102">
        <v>0</v>
      </c>
      <c r="EO77" s="102">
        <v>0</v>
      </c>
      <c r="EP77" s="102">
        <v>0</v>
      </c>
      <c r="EQ77" s="102">
        <v>0</v>
      </c>
      <c r="ER77" s="102">
        <v>0</v>
      </c>
      <c r="ES77" s="102">
        <v>0</v>
      </c>
      <c r="ET77" s="102">
        <v>0</v>
      </c>
      <c r="EU77" s="102">
        <v>0</v>
      </c>
      <c r="EV77" s="102">
        <v>0</v>
      </c>
      <c r="EW77" s="102">
        <v>0</v>
      </c>
      <c r="EX77" s="102">
        <v>0</v>
      </c>
      <c r="EY77" s="102">
        <v>0</v>
      </c>
      <c r="EZ77" s="102">
        <v>0</v>
      </c>
      <c r="FA77" s="102">
        <v>0</v>
      </c>
      <c r="FB77" s="102">
        <v>0</v>
      </c>
      <c r="FC77" s="102">
        <v>0</v>
      </c>
      <c r="FD77" s="102">
        <v>0</v>
      </c>
      <c r="FE77" s="102">
        <v>0</v>
      </c>
      <c r="FF77" s="102">
        <v>0</v>
      </c>
      <c r="FG77" s="102">
        <v>0</v>
      </c>
      <c r="FH77" s="102">
        <v>0</v>
      </c>
      <c r="FI77" s="102">
        <v>0</v>
      </c>
      <c r="FJ77" s="71">
        <v>0</v>
      </c>
    </row>
    <row r="78" spans="1:166" x14ac:dyDescent="0.3">
      <c r="A78" s="401" t="s">
        <v>864</v>
      </c>
      <c r="B78" s="103" t="s">
        <v>424</v>
      </c>
      <c r="C78" s="419" t="s">
        <v>925</v>
      </c>
      <c r="D78" s="419" t="s">
        <v>653</v>
      </c>
      <c r="E78" s="419" t="s">
        <v>860</v>
      </c>
      <c r="F78" s="103" t="s">
        <v>810</v>
      </c>
      <c r="G78" s="103" t="s">
        <v>802</v>
      </c>
      <c r="H78" s="103" t="s">
        <v>811</v>
      </c>
      <c r="I78" s="103">
        <v>0</v>
      </c>
      <c r="J78" s="103" t="s">
        <v>889</v>
      </c>
      <c r="K78" s="103">
        <v>0</v>
      </c>
      <c r="L78" s="103" t="s">
        <v>859</v>
      </c>
      <c r="M78" s="103">
        <v>2</v>
      </c>
      <c r="N78" s="103">
        <v>0</v>
      </c>
      <c r="O78" s="103">
        <v>9361120</v>
      </c>
      <c r="P78" s="393">
        <f t="shared" si="1"/>
        <v>18722240</v>
      </c>
      <c r="Q78" s="103">
        <v>48</v>
      </c>
      <c r="R78" s="103">
        <v>36</v>
      </c>
      <c r="S78" s="103">
        <v>0.04</v>
      </c>
      <c r="T78" s="395">
        <v>1</v>
      </c>
      <c r="U78" s="103">
        <v>0</v>
      </c>
      <c r="V78" s="102">
        <v>62407.466666666667</v>
      </c>
      <c r="W78" s="102">
        <v>2246668.7999999998</v>
      </c>
      <c r="X78" s="102">
        <v>0</v>
      </c>
      <c r="Y78" s="102">
        <v>0</v>
      </c>
      <c r="Z78" s="102">
        <v>0</v>
      </c>
      <c r="AA78" s="102">
        <v>0</v>
      </c>
      <c r="AB78" s="102">
        <v>748889.59999999998</v>
      </c>
      <c r="AC78" s="102">
        <v>748889.59999999998</v>
      </c>
      <c r="AD78" s="102">
        <v>748889.59999999998</v>
      </c>
      <c r="AE78" s="102">
        <v>0</v>
      </c>
      <c r="AF78" s="102">
        <v>0</v>
      </c>
      <c r="AG78" s="102">
        <v>0</v>
      </c>
      <c r="AH78" s="102">
        <v>0</v>
      </c>
      <c r="AI78" s="399">
        <v>0</v>
      </c>
      <c r="AJ78" s="399">
        <v>0</v>
      </c>
      <c r="AK78" s="399">
        <v>0</v>
      </c>
      <c r="AL78" s="399">
        <v>0</v>
      </c>
      <c r="AM78" s="399">
        <v>0</v>
      </c>
      <c r="AN78" s="399">
        <v>0</v>
      </c>
      <c r="AO78" s="399">
        <v>0</v>
      </c>
      <c r="AP78" s="399">
        <v>0</v>
      </c>
      <c r="AQ78" s="399">
        <v>0</v>
      </c>
      <c r="AR78" s="399">
        <v>0</v>
      </c>
      <c r="AS78" s="399">
        <v>0</v>
      </c>
      <c r="AT78" s="399">
        <v>0</v>
      </c>
      <c r="AU78" s="399">
        <v>0</v>
      </c>
      <c r="AV78" s="399">
        <v>0</v>
      </c>
      <c r="AW78" s="399">
        <v>0</v>
      </c>
      <c r="AX78" s="399">
        <v>0</v>
      </c>
      <c r="AY78" s="399">
        <v>0</v>
      </c>
      <c r="AZ78" s="399">
        <v>0</v>
      </c>
      <c r="BA78" s="399">
        <v>0</v>
      </c>
      <c r="BB78" s="399">
        <v>0</v>
      </c>
      <c r="BC78" s="399">
        <v>0</v>
      </c>
      <c r="BD78" s="399">
        <v>0</v>
      </c>
      <c r="BE78" s="399">
        <v>0</v>
      </c>
      <c r="BF78" s="399">
        <v>0</v>
      </c>
      <c r="BG78" s="399">
        <v>0</v>
      </c>
      <c r="BH78" s="399">
        <v>0</v>
      </c>
      <c r="BI78" s="399">
        <v>0</v>
      </c>
      <c r="BJ78" s="399">
        <v>0</v>
      </c>
      <c r="BK78" s="399">
        <v>0</v>
      </c>
      <c r="BL78" s="399">
        <v>0</v>
      </c>
      <c r="BM78" s="399">
        <v>0</v>
      </c>
      <c r="BN78" s="399">
        <v>0</v>
      </c>
      <c r="BO78" s="399">
        <v>0</v>
      </c>
      <c r="BP78" s="399">
        <v>0</v>
      </c>
      <c r="BQ78" s="399">
        <v>0</v>
      </c>
      <c r="BR78" s="399">
        <v>0</v>
      </c>
      <c r="BS78" s="399">
        <v>0</v>
      </c>
      <c r="BT78" s="399">
        <v>0</v>
      </c>
      <c r="BU78" s="399">
        <v>0</v>
      </c>
      <c r="BV78" s="399">
        <v>0</v>
      </c>
      <c r="BW78" s="399">
        <v>0</v>
      </c>
      <c r="BX78" s="399">
        <v>0</v>
      </c>
      <c r="BY78" s="399">
        <v>0</v>
      </c>
      <c r="BZ78" s="399">
        <v>0</v>
      </c>
      <c r="CA78" s="399">
        <v>0</v>
      </c>
      <c r="CB78" s="399">
        <v>0</v>
      </c>
      <c r="CC78" s="399">
        <v>0</v>
      </c>
      <c r="CD78" s="399">
        <v>0</v>
      </c>
      <c r="CE78" s="102">
        <v>62407.466666666667</v>
      </c>
      <c r="CF78" s="102">
        <v>62407.466666666667</v>
      </c>
      <c r="CG78" s="102">
        <v>62407.466666666667</v>
      </c>
      <c r="CH78" s="102">
        <v>62407.466666666667</v>
      </c>
      <c r="CI78" s="102">
        <v>62407.466666666667</v>
      </c>
      <c r="CJ78" s="102">
        <v>62407.466666666667</v>
      </c>
      <c r="CK78" s="102">
        <v>62407.466666666667</v>
      </c>
      <c r="CL78" s="102">
        <v>62407.466666666667</v>
      </c>
      <c r="CM78" s="102">
        <v>62407.466666666667</v>
      </c>
      <c r="CN78" s="102">
        <v>62407.466666666667</v>
      </c>
      <c r="CO78" s="102">
        <v>62407.466666666667</v>
      </c>
      <c r="CP78" s="102">
        <v>62407.466666666667</v>
      </c>
      <c r="CQ78" s="102">
        <v>62407.466666666667</v>
      </c>
      <c r="CR78" s="102">
        <v>62407.466666666667</v>
      </c>
      <c r="CS78" s="102">
        <v>62407.466666666667</v>
      </c>
      <c r="CT78" s="102">
        <v>62407.466666666667</v>
      </c>
      <c r="CU78" s="102">
        <v>62407.466666666667</v>
      </c>
      <c r="CV78" s="102">
        <v>62407.466666666667</v>
      </c>
      <c r="CW78" s="102">
        <v>62407.466666666667</v>
      </c>
      <c r="CX78" s="102">
        <v>62407.466666666667</v>
      </c>
      <c r="CY78" s="102">
        <v>62407.466666666667</v>
      </c>
      <c r="CZ78" s="102">
        <v>62407.466666666667</v>
      </c>
      <c r="DA78" s="102">
        <v>62407.466666666667</v>
      </c>
      <c r="DB78" s="102">
        <v>62407.466666666667</v>
      </c>
      <c r="DC78" s="102">
        <v>62407.466666666667</v>
      </c>
      <c r="DD78" s="102">
        <v>62407.466666666667</v>
      </c>
      <c r="DE78" s="102">
        <v>62407.466666666667</v>
      </c>
      <c r="DF78" s="102">
        <v>62407.466666666667</v>
      </c>
      <c r="DG78" s="102">
        <v>62407.466666666667</v>
      </c>
      <c r="DH78" s="102">
        <v>62407.466666666667</v>
      </c>
      <c r="DI78" s="102">
        <v>62407.466666666667</v>
      </c>
      <c r="DJ78" s="102">
        <v>62407.466666666667</v>
      </c>
      <c r="DK78" s="102">
        <v>62407.466666666667</v>
      </c>
      <c r="DL78" s="102">
        <v>62407.466666666667</v>
      </c>
      <c r="DM78" s="102">
        <v>62407.466666666667</v>
      </c>
      <c r="DN78" s="102">
        <v>62407.466666666667</v>
      </c>
      <c r="DO78" s="102">
        <v>0</v>
      </c>
      <c r="DP78" s="102">
        <v>0</v>
      </c>
      <c r="DQ78" s="102">
        <v>0</v>
      </c>
      <c r="DR78" s="102">
        <v>0</v>
      </c>
      <c r="DS78" s="102">
        <v>0</v>
      </c>
      <c r="DT78" s="102">
        <v>0</v>
      </c>
      <c r="DU78" s="102">
        <v>0</v>
      </c>
      <c r="DV78" s="102">
        <v>0</v>
      </c>
      <c r="DW78" s="102">
        <v>0</v>
      </c>
      <c r="DX78" s="102">
        <v>0</v>
      </c>
      <c r="DY78" s="102">
        <v>0</v>
      </c>
      <c r="DZ78" s="102">
        <v>0</v>
      </c>
      <c r="EA78" s="102">
        <v>0</v>
      </c>
      <c r="EB78" s="102">
        <v>0</v>
      </c>
      <c r="EC78" s="102">
        <v>0</v>
      </c>
      <c r="ED78" s="102">
        <v>0</v>
      </c>
      <c r="EE78" s="102">
        <v>0</v>
      </c>
      <c r="EF78" s="102">
        <v>0</v>
      </c>
      <c r="EG78" s="102">
        <v>0</v>
      </c>
      <c r="EH78" s="102">
        <v>0</v>
      </c>
      <c r="EI78" s="102">
        <v>0</v>
      </c>
      <c r="EJ78" s="102">
        <v>0</v>
      </c>
      <c r="EK78" s="102">
        <v>0</v>
      </c>
      <c r="EL78" s="102">
        <v>0</v>
      </c>
      <c r="EM78" s="102">
        <v>0</v>
      </c>
      <c r="EN78" s="102">
        <v>0</v>
      </c>
      <c r="EO78" s="102">
        <v>0</v>
      </c>
      <c r="EP78" s="102">
        <v>0</v>
      </c>
      <c r="EQ78" s="102">
        <v>0</v>
      </c>
      <c r="ER78" s="102">
        <v>0</v>
      </c>
      <c r="ES78" s="102">
        <v>0</v>
      </c>
      <c r="ET78" s="102">
        <v>0</v>
      </c>
      <c r="EU78" s="102">
        <v>0</v>
      </c>
      <c r="EV78" s="102">
        <v>0</v>
      </c>
      <c r="EW78" s="102">
        <v>0</v>
      </c>
      <c r="EX78" s="102">
        <v>0</v>
      </c>
      <c r="EY78" s="102">
        <v>0</v>
      </c>
      <c r="EZ78" s="102">
        <v>0</v>
      </c>
      <c r="FA78" s="102">
        <v>0</v>
      </c>
      <c r="FB78" s="102">
        <v>0</v>
      </c>
      <c r="FC78" s="102">
        <v>0</v>
      </c>
      <c r="FD78" s="102">
        <v>0</v>
      </c>
      <c r="FE78" s="102">
        <v>0</v>
      </c>
      <c r="FF78" s="102">
        <v>0</v>
      </c>
      <c r="FG78" s="102">
        <v>0</v>
      </c>
      <c r="FH78" s="102">
        <v>0</v>
      </c>
      <c r="FI78" s="102">
        <v>0</v>
      </c>
      <c r="FJ78" s="71">
        <v>0</v>
      </c>
    </row>
    <row r="79" spans="1:166" x14ac:dyDescent="0.3">
      <c r="A79" s="401" t="s">
        <v>865</v>
      </c>
      <c r="B79" s="103" t="s">
        <v>424</v>
      </c>
      <c r="C79" s="419" t="s">
        <v>925</v>
      </c>
      <c r="D79" s="419" t="s">
        <v>653</v>
      </c>
      <c r="E79" s="419" t="s">
        <v>860</v>
      </c>
      <c r="F79" s="103" t="s">
        <v>812</v>
      </c>
      <c r="G79" s="103" t="s">
        <v>802</v>
      </c>
      <c r="H79" s="103" t="s">
        <v>811</v>
      </c>
      <c r="I79" s="103">
        <v>0</v>
      </c>
      <c r="J79" s="103" t="s">
        <v>889</v>
      </c>
      <c r="K79" s="103">
        <v>0</v>
      </c>
      <c r="L79" s="103" t="s">
        <v>859</v>
      </c>
      <c r="M79" s="103">
        <v>2</v>
      </c>
      <c r="N79" s="103">
        <v>0</v>
      </c>
      <c r="O79" s="103">
        <v>9361120</v>
      </c>
      <c r="P79" s="393">
        <f t="shared" si="1"/>
        <v>18722240</v>
      </c>
      <c r="Q79" s="103">
        <v>48</v>
      </c>
      <c r="R79" s="103">
        <v>36</v>
      </c>
      <c r="S79" s="103">
        <v>0.04</v>
      </c>
      <c r="T79" s="395">
        <v>1</v>
      </c>
      <c r="U79" s="103">
        <v>0</v>
      </c>
      <c r="V79" s="102">
        <v>62407.466666666667</v>
      </c>
      <c r="W79" s="102">
        <v>2246668.7999999998</v>
      </c>
      <c r="X79" s="102">
        <v>0</v>
      </c>
      <c r="Y79" s="102">
        <v>0</v>
      </c>
      <c r="Z79" s="102">
        <v>0</v>
      </c>
      <c r="AA79" s="102">
        <v>0</v>
      </c>
      <c r="AB79" s="102">
        <v>748889.59999999998</v>
      </c>
      <c r="AC79" s="102">
        <v>748889.59999999998</v>
      </c>
      <c r="AD79" s="102">
        <v>748889.59999999998</v>
      </c>
      <c r="AE79" s="102">
        <v>0</v>
      </c>
      <c r="AF79" s="102">
        <v>0</v>
      </c>
      <c r="AG79" s="102">
        <v>0</v>
      </c>
      <c r="AH79" s="102">
        <v>0</v>
      </c>
      <c r="AI79" s="399">
        <v>0</v>
      </c>
      <c r="AJ79" s="399">
        <v>0</v>
      </c>
      <c r="AK79" s="399">
        <v>0</v>
      </c>
      <c r="AL79" s="399">
        <v>0</v>
      </c>
      <c r="AM79" s="399">
        <v>0</v>
      </c>
      <c r="AN79" s="399">
        <v>0</v>
      </c>
      <c r="AO79" s="399">
        <v>0</v>
      </c>
      <c r="AP79" s="399">
        <v>0</v>
      </c>
      <c r="AQ79" s="399">
        <v>0</v>
      </c>
      <c r="AR79" s="399">
        <v>0</v>
      </c>
      <c r="AS79" s="399">
        <v>0</v>
      </c>
      <c r="AT79" s="399">
        <v>0</v>
      </c>
      <c r="AU79" s="399">
        <v>0</v>
      </c>
      <c r="AV79" s="399">
        <v>0</v>
      </c>
      <c r="AW79" s="399">
        <v>0</v>
      </c>
      <c r="AX79" s="399">
        <v>0</v>
      </c>
      <c r="AY79" s="399">
        <v>0</v>
      </c>
      <c r="AZ79" s="399">
        <v>0</v>
      </c>
      <c r="BA79" s="399">
        <v>0</v>
      </c>
      <c r="BB79" s="399">
        <v>0</v>
      </c>
      <c r="BC79" s="399">
        <v>0</v>
      </c>
      <c r="BD79" s="399">
        <v>0</v>
      </c>
      <c r="BE79" s="399">
        <v>0</v>
      </c>
      <c r="BF79" s="399">
        <v>0</v>
      </c>
      <c r="BG79" s="399">
        <v>0</v>
      </c>
      <c r="BH79" s="399">
        <v>0</v>
      </c>
      <c r="BI79" s="399">
        <v>0</v>
      </c>
      <c r="BJ79" s="399">
        <v>0</v>
      </c>
      <c r="BK79" s="399">
        <v>0</v>
      </c>
      <c r="BL79" s="399">
        <v>0</v>
      </c>
      <c r="BM79" s="399">
        <v>0</v>
      </c>
      <c r="BN79" s="399">
        <v>0</v>
      </c>
      <c r="BO79" s="399">
        <v>0</v>
      </c>
      <c r="BP79" s="399">
        <v>0</v>
      </c>
      <c r="BQ79" s="399">
        <v>0</v>
      </c>
      <c r="BR79" s="399">
        <v>0</v>
      </c>
      <c r="BS79" s="399">
        <v>0</v>
      </c>
      <c r="BT79" s="399">
        <v>0</v>
      </c>
      <c r="BU79" s="399">
        <v>0</v>
      </c>
      <c r="BV79" s="399">
        <v>0</v>
      </c>
      <c r="BW79" s="399">
        <v>0</v>
      </c>
      <c r="BX79" s="399">
        <v>0</v>
      </c>
      <c r="BY79" s="399">
        <v>0</v>
      </c>
      <c r="BZ79" s="399">
        <v>0</v>
      </c>
      <c r="CA79" s="399">
        <v>0</v>
      </c>
      <c r="CB79" s="399">
        <v>0</v>
      </c>
      <c r="CC79" s="399">
        <v>0</v>
      </c>
      <c r="CD79" s="399">
        <v>0</v>
      </c>
      <c r="CE79" s="102">
        <v>62407.466666666667</v>
      </c>
      <c r="CF79" s="102">
        <v>62407.466666666667</v>
      </c>
      <c r="CG79" s="102">
        <v>62407.466666666667</v>
      </c>
      <c r="CH79" s="102">
        <v>62407.466666666667</v>
      </c>
      <c r="CI79" s="102">
        <v>62407.466666666667</v>
      </c>
      <c r="CJ79" s="102">
        <v>62407.466666666667</v>
      </c>
      <c r="CK79" s="102">
        <v>62407.466666666667</v>
      </c>
      <c r="CL79" s="102">
        <v>62407.466666666667</v>
      </c>
      <c r="CM79" s="102">
        <v>62407.466666666667</v>
      </c>
      <c r="CN79" s="102">
        <v>62407.466666666667</v>
      </c>
      <c r="CO79" s="102">
        <v>62407.466666666667</v>
      </c>
      <c r="CP79" s="102">
        <v>62407.466666666667</v>
      </c>
      <c r="CQ79" s="102">
        <v>62407.466666666667</v>
      </c>
      <c r="CR79" s="102">
        <v>62407.466666666667</v>
      </c>
      <c r="CS79" s="102">
        <v>62407.466666666667</v>
      </c>
      <c r="CT79" s="102">
        <v>62407.466666666667</v>
      </c>
      <c r="CU79" s="102">
        <v>62407.466666666667</v>
      </c>
      <c r="CV79" s="102">
        <v>62407.466666666667</v>
      </c>
      <c r="CW79" s="102">
        <v>62407.466666666667</v>
      </c>
      <c r="CX79" s="102">
        <v>62407.466666666667</v>
      </c>
      <c r="CY79" s="102">
        <v>62407.466666666667</v>
      </c>
      <c r="CZ79" s="102">
        <v>62407.466666666667</v>
      </c>
      <c r="DA79" s="102">
        <v>62407.466666666667</v>
      </c>
      <c r="DB79" s="102">
        <v>62407.466666666667</v>
      </c>
      <c r="DC79" s="102">
        <v>62407.466666666667</v>
      </c>
      <c r="DD79" s="102">
        <v>62407.466666666667</v>
      </c>
      <c r="DE79" s="102">
        <v>62407.466666666667</v>
      </c>
      <c r="DF79" s="102">
        <v>62407.466666666667</v>
      </c>
      <c r="DG79" s="102">
        <v>62407.466666666667</v>
      </c>
      <c r="DH79" s="102">
        <v>62407.466666666667</v>
      </c>
      <c r="DI79" s="102">
        <v>62407.466666666667</v>
      </c>
      <c r="DJ79" s="102">
        <v>62407.466666666667</v>
      </c>
      <c r="DK79" s="102">
        <v>62407.466666666667</v>
      </c>
      <c r="DL79" s="102">
        <v>62407.466666666667</v>
      </c>
      <c r="DM79" s="102">
        <v>62407.466666666667</v>
      </c>
      <c r="DN79" s="102">
        <v>62407.466666666667</v>
      </c>
      <c r="DO79" s="102">
        <v>0</v>
      </c>
      <c r="DP79" s="102">
        <v>0</v>
      </c>
      <c r="DQ79" s="102">
        <v>0</v>
      </c>
      <c r="DR79" s="102">
        <v>0</v>
      </c>
      <c r="DS79" s="102">
        <v>0</v>
      </c>
      <c r="DT79" s="102">
        <v>0</v>
      </c>
      <c r="DU79" s="102">
        <v>0</v>
      </c>
      <c r="DV79" s="102">
        <v>0</v>
      </c>
      <c r="DW79" s="102">
        <v>0</v>
      </c>
      <c r="DX79" s="102">
        <v>0</v>
      </c>
      <c r="DY79" s="102">
        <v>0</v>
      </c>
      <c r="DZ79" s="102">
        <v>0</v>
      </c>
      <c r="EA79" s="102">
        <v>0</v>
      </c>
      <c r="EB79" s="102">
        <v>0</v>
      </c>
      <c r="EC79" s="102">
        <v>0</v>
      </c>
      <c r="ED79" s="102">
        <v>0</v>
      </c>
      <c r="EE79" s="102">
        <v>0</v>
      </c>
      <c r="EF79" s="102">
        <v>0</v>
      </c>
      <c r="EG79" s="102">
        <v>0</v>
      </c>
      <c r="EH79" s="102">
        <v>0</v>
      </c>
      <c r="EI79" s="102">
        <v>0</v>
      </c>
      <c r="EJ79" s="102">
        <v>0</v>
      </c>
      <c r="EK79" s="102">
        <v>0</v>
      </c>
      <c r="EL79" s="102">
        <v>0</v>
      </c>
      <c r="EM79" s="102">
        <v>0</v>
      </c>
      <c r="EN79" s="102">
        <v>0</v>
      </c>
      <c r="EO79" s="102">
        <v>0</v>
      </c>
      <c r="EP79" s="102">
        <v>0</v>
      </c>
      <c r="EQ79" s="102">
        <v>0</v>
      </c>
      <c r="ER79" s="102">
        <v>0</v>
      </c>
      <c r="ES79" s="102">
        <v>0</v>
      </c>
      <c r="ET79" s="102">
        <v>0</v>
      </c>
      <c r="EU79" s="102">
        <v>0</v>
      </c>
      <c r="EV79" s="102">
        <v>0</v>
      </c>
      <c r="EW79" s="102">
        <v>0</v>
      </c>
      <c r="EX79" s="102">
        <v>0</v>
      </c>
      <c r="EY79" s="102">
        <v>0</v>
      </c>
      <c r="EZ79" s="102">
        <v>0</v>
      </c>
      <c r="FA79" s="102">
        <v>0</v>
      </c>
      <c r="FB79" s="102">
        <v>0</v>
      </c>
      <c r="FC79" s="102">
        <v>0</v>
      </c>
      <c r="FD79" s="102">
        <v>0</v>
      </c>
      <c r="FE79" s="102">
        <v>0</v>
      </c>
      <c r="FF79" s="102">
        <v>0</v>
      </c>
      <c r="FG79" s="102">
        <v>0</v>
      </c>
      <c r="FH79" s="102">
        <v>0</v>
      </c>
      <c r="FI79" s="102">
        <v>0</v>
      </c>
      <c r="FJ79" s="71">
        <v>0</v>
      </c>
    </row>
    <row r="80" spans="1:166" x14ac:dyDescent="0.3">
      <c r="A80" s="401" t="s">
        <v>866</v>
      </c>
      <c r="B80" s="103" t="s">
        <v>424</v>
      </c>
      <c r="C80" s="419" t="s">
        <v>925</v>
      </c>
      <c r="D80" s="419" t="s">
        <v>653</v>
      </c>
      <c r="E80" s="419" t="s">
        <v>860</v>
      </c>
      <c r="F80" s="103" t="s">
        <v>813</v>
      </c>
      <c r="G80" s="103" t="s">
        <v>814</v>
      </c>
      <c r="H80" s="103" t="s">
        <v>815</v>
      </c>
      <c r="I80" s="103">
        <v>0</v>
      </c>
      <c r="J80" s="103" t="s">
        <v>889</v>
      </c>
      <c r="K80" s="103">
        <v>0</v>
      </c>
      <c r="L80" s="103" t="s">
        <v>859</v>
      </c>
      <c r="M80" s="103">
        <v>2</v>
      </c>
      <c r="N80" s="103">
        <v>0</v>
      </c>
      <c r="O80" s="103">
        <v>4548800</v>
      </c>
      <c r="P80" s="393">
        <f t="shared" si="1"/>
        <v>9097600</v>
      </c>
      <c r="Q80" s="103">
        <v>48</v>
      </c>
      <c r="R80" s="103">
        <v>36</v>
      </c>
      <c r="S80" s="103">
        <v>0.04</v>
      </c>
      <c r="T80" s="395">
        <v>1</v>
      </c>
      <c r="U80" s="103">
        <v>0</v>
      </c>
      <c r="V80" s="102">
        <v>30325.333333333332</v>
      </c>
      <c r="W80" s="102">
        <v>1091711.9999999998</v>
      </c>
      <c r="X80" s="102">
        <v>0</v>
      </c>
      <c r="Y80" s="102">
        <v>0</v>
      </c>
      <c r="Z80" s="102">
        <v>0</v>
      </c>
      <c r="AA80" s="102">
        <v>0</v>
      </c>
      <c r="AB80" s="102">
        <v>363903.99999999994</v>
      </c>
      <c r="AC80" s="102">
        <v>363903.99999999994</v>
      </c>
      <c r="AD80" s="102">
        <v>363903.99999999994</v>
      </c>
      <c r="AE80" s="102">
        <v>0</v>
      </c>
      <c r="AF80" s="102">
        <v>0</v>
      </c>
      <c r="AG80" s="102">
        <v>0</v>
      </c>
      <c r="AH80" s="102">
        <v>0</v>
      </c>
      <c r="AI80" s="399">
        <v>0</v>
      </c>
      <c r="AJ80" s="399">
        <v>0</v>
      </c>
      <c r="AK80" s="399">
        <v>0</v>
      </c>
      <c r="AL80" s="399">
        <v>0</v>
      </c>
      <c r="AM80" s="399">
        <v>0</v>
      </c>
      <c r="AN80" s="399">
        <v>0</v>
      </c>
      <c r="AO80" s="399">
        <v>0</v>
      </c>
      <c r="AP80" s="399">
        <v>0</v>
      </c>
      <c r="AQ80" s="399">
        <v>0</v>
      </c>
      <c r="AR80" s="399">
        <v>0</v>
      </c>
      <c r="AS80" s="399">
        <v>0</v>
      </c>
      <c r="AT80" s="399">
        <v>0</v>
      </c>
      <c r="AU80" s="399">
        <v>0</v>
      </c>
      <c r="AV80" s="399">
        <v>0</v>
      </c>
      <c r="AW80" s="399">
        <v>0</v>
      </c>
      <c r="AX80" s="399">
        <v>0</v>
      </c>
      <c r="AY80" s="399">
        <v>0</v>
      </c>
      <c r="AZ80" s="399">
        <v>0</v>
      </c>
      <c r="BA80" s="399">
        <v>0</v>
      </c>
      <c r="BB80" s="399">
        <v>0</v>
      </c>
      <c r="BC80" s="399">
        <v>0</v>
      </c>
      <c r="BD80" s="399">
        <v>0</v>
      </c>
      <c r="BE80" s="399">
        <v>0</v>
      </c>
      <c r="BF80" s="399">
        <v>0</v>
      </c>
      <c r="BG80" s="399">
        <v>0</v>
      </c>
      <c r="BH80" s="399">
        <v>0</v>
      </c>
      <c r="BI80" s="399">
        <v>0</v>
      </c>
      <c r="BJ80" s="399">
        <v>0</v>
      </c>
      <c r="BK80" s="399">
        <v>0</v>
      </c>
      <c r="BL80" s="399">
        <v>0</v>
      </c>
      <c r="BM80" s="399">
        <v>0</v>
      </c>
      <c r="BN80" s="399">
        <v>0</v>
      </c>
      <c r="BO80" s="399">
        <v>0</v>
      </c>
      <c r="BP80" s="399">
        <v>0</v>
      </c>
      <c r="BQ80" s="399">
        <v>0</v>
      </c>
      <c r="BR80" s="399">
        <v>0</v>
      </c>
      <c r="BS80" s="399">
        <v>0</v>
      </c>
      <c r="BT80" s="399">
        <v>0</v>
      </c>
      <c r="BU80" s="399">
        <v>0</v>
      </c>
      <c r="BV80" s="399">
        <v>0</v>
      </c>
      <c r="BW80" s="399">
        <v>0</v>
      </c>
      <c r="BX80" s="399">
        <v>0</v>
      </c>
      <c r="BY80" s="399">
        <v>0</v>
      </c>
      <c r="BZ80" s="399">
        <v>0</v>
      </c>
      <c r="CA80" s="399">
        <v>0</v>
      </c>
      <c r="CB80" s="399">
        <v>0</v>
      </c>
      <c r="CC80" s="399">
        <v>0</v>
      </c>
      <c r="CD80" s="399">
        <v>0</v>
      </c>
      <c r="CE80" s="102">
        <v>30325.333333333332</v>
      </c>
      <c r="CF80" s="102">
        <v>30325.333333333332</v>
      </c>
      <c r="CG80" s="102">
        <v>30325.333333333332</v>
      </c>
      <c r="CH80" s="102">
        <v>30325.333333333332</v>
      </c>
      <c r="CI80" s="102">
        <v>30325.333333333332</v>
      </c>
      <c r="CJ80" s="102">
        <v>30325.333333333332</v>
      </c>
      <c r="CK80" s="102">
        <v>30325.333333333332</v>
      </c>
      <c r="CL80" s="102">
        <v>30325.333333333332</v>
      </c>
      <c r="CM80" s="102">
        <v>30325.333333333332</v>
      </c>
      <c r="CN80" s="102">
        <v>30325.333333333332</v>
      </c>
      <c r="CO80" s="102">
        <v>30325.333333333332</v>
      </c>
      <c r="CP80" s="102">
        <v>30325.333333333332</v>
      </c>
      <c r="CQ80" s="102">
        <v>30325.333333333332</v>
      </c>
      <c r="CR80" s="102">
        <v>30325.333333333332</v>
      </c>
      <c r="CS80" s="102">
        <v>30325.333333333332</v>
      </c>
      <c r="CT80" s="102">
        <v>30325.333333333332</v>
      </c>
      <c r="CU80" s="102">
        <v>30325.333333333332</v>
      </c>
      <c r="CV80" s="102">
        <v>30325.333333333332</v>
      </c>
      <c r="CW80" s="102">
        <v>30325.333333333332</v>
      </c>
      <c r="CX80" s="102">
        <v>30325.333333333332</v>
      </c>
      <c r="CY80" s="102">
        <v>30325.333333333332</v>
      </c>
      <c r="CZ80" s="102">
        <v>30325.333333333332</v>
      </c>
      <c r="DA80" s="102">
        <v>30325.333333333332</v>
      </c>
      <c r="DB80" s="102">
        <v>30325.333333333332</v>
      </c>
      <c r="DC80" s="102">
        <v>30325.333333333332</v>
      </c>
      <c r="DD80" s="102">
        <v>30325.333333333332</v>
      </c>
      <c r="DE80" s="102">
        <v>30325.333333333332</v>
      </c>
      <c r="DF80" s="102">
        <v>30325.333333333332</v>
      </c>
      <c r="DG80" s="102">
        <v>30325.333333333332</v>
      </c>
      <c r="DH80" s="102">
        <v>30325.333333333332</v>
      </c>
      <c r="DI80" s="102">
        <v>30325.333333333332</v>
      </c>
      <c r="DJ80" s="102">
        <v>30325.333333333332</v>
      </c>
      <c r="DK80" s="102">
        <v>30325.333333333332</v>
      </c>
      <c r="DL80" s="102">
        <v>30325.333333333332</v>
      </c>
      <c r="DM80" s="102">
        <v>30325.333333333332</v>
      </c>
      <c r="DN80" s="102">
        <v>30325.333333333332</v>
      </c>
      <c r="DO80" s="102">
        <v>0</v>
      </c>
      <c r="DP80" s="102">
        <v>0</v>
      </c>
      <c r="DQ80" s="102">
        <v>0</v>
      </c>
      <c r="DR80" s="102">
        <v>0</v>
      </c>
      <c r="DS80" s="102">
        <v>0</v>
      </c>
      <c r="DT80" s="102">
        <v>0</v>
      </c>
      <c r="DU80" s="102">
        <v>0</v>
      </c>
      <c r="DV80" s="102">
        <v>0</v>
      </c>
      <c r="DW80" s="102">
        <v>0</v>
      </c>
      <c r="DX80" s="102">
        <v>0</v>
      </c>
      <c r="DY80" s="102">
        <v>0</v>
      </c>
      <c r="DZ80" s="102">
        <v>0</v>
      </c>
      <c r="EA80" s="102">
        <v>0</v>
      </c>
      <c r="EB80" s="102">
        <v>0</v>
      </c>
      <c r="EC80" s="102">
        <v>0</v>
      </c>
      <c r="ED80" s="102">
        <v>0</v>
      </c>
      <c r="EE80" s="102">
        <v>0</v>
      </c>
      <c r="EF80" s="102">
        <v>0</v>
      </c>
      <c r="EG80" s="102">
        <v>0</v>
      </c>
      <c r="EH80" s="102">
        <v>0</v>
      </c>
      <c r="EI80" s="102">
        <v>0</v>
      </c>
      <c r="EJ80" s="102">
        <v>0</v>
      </c>
      <c r="EK80" s="102">
        <v>0</v>
      </c>
      <c r="EL80" s="102">
        <v>0</v>
      </c>
      <c r="EM80" s="102">
        <v>0</v>
      </c>
      <c r="EN80" s="102">
        <v>0</v>
      </c>
      <c r="EO80" s="102">
        <v>0</v>
      </c>
      <c r="EP80" s="102">
        <v>0</v>
      </c>
      <c r="EQ80" s="102">
        <v>0</v>
      </c>
      <c r="ER80" s="102">
        <v>0</v>
      </c>
      <c r="ES80" s="102">
        <v>0</v>
      </c>
      <c r="ET80" s="102">
        <v>0</v>
      </c>
      <c r="EU80" s="102">
        <v>0</v>
      </c>
      <c r="EV80" s="102">
        <v>0</v>
      </c>
      <c r="EW80" s="102">
        <v>0</v>
      </c>
      <c r="EX80" s="102">
        <v>0</v>
      </c>
      <c r="EY80" s="102">
        <v>0</v>
      </c>
      <c r="EZ80" s="102">
        <v>0</v>
      </c>
      <c r="FA80" s="102">
        <v>0</v>
      </c>
      <c r="FB80" s="102">
        <v>0</v>
      </c>
      <c r="FC80" s="102">
        <v>0</v>
      </c>
      <c r="FD80" s="102">
        <v>0</v>
      </c>
      <c r="FE80" s="102">
        <v>0</v>
      </c>
      <c r="FF80" s="102">
        <v>0</v>
      </c>
      <c r="FG80" s="102">
        <v>0</v>
      </c>
      <c r="FH80" s="102">
        <v>0</v>
      </c>
      <c r="FI80" s="102">
        <v>0</v>
      </c>
      <c r="FJ80" s="71">
        <v>0</v>
      </c>
    </row>
    <row r="81" spans="1:166" x14ac:dyDescent="0.3">
      <c r="A81" s="401" t="s">
        <v>867</v>
      </c>
      <c r="B81" s="103" t="s">
        <v>424</v>
      </c>
      <c r="C81" s="419" t="s">
        <v>926</v>
      </c>
      <c r="D81" s="419" t="s">
        <v>653</v>
      </c>
      <c r="E81" s="419" t="s">
        <v>860</v>
      </c>
      <c r="F81" s="103" t="s">
        <v>816</v>
      </c>
      <c r="G81" s="103" t="s">
        <v>814</v>
      </c>
      <c r="H81" s="103" t="s">
        <v>815</v>
      </c>
      <c r="I81" s="103">
        <v>0</v>
      </c>
      <c r="J81" s="103" t="s">
        <v>889</v>
      </c>
      <c r="K81" s="103">
        <v>0</v>
      </c>
      <c r="L81" s="103" t="s">
        <v>859</v>
      </c>
      <c r="M81" s="103">
        <v>2</v>
      </c>
      <c r="N81" s="103">
        <v>0</v>
      </c>
      <c r="O81" s="103">
        <v>4548800</v>
      </c>
      <c r="P81" s="393">
        <f t="shared" si="1"/>
        <v>9097600</v>
      </c>
      <c r="Q81" s="103">
        <v>48</v>
      </c>
      <c r="R81" s="103">
        <v>36</v>
      </c>
      <c r="S81" s="103">
        <v>0.04</v>
      </c>
      <c r="T81" s="395">
        <v>1</v>
      </c>
      <c r="U81" s="103">
        <v>0</v>
      </c>
      <c r="V81" s="102">
        <v>30325.333333333332</v>
      </c>
      <c r="W81" s="102">
        <v>1091711.9999999998</v>
      </c>
      <c r="X81" s="102">
        <v>0</v>
      </c>
      <c r="Y81" s="102">
        <v>0</v>
      </c>
      <c r="Z81" s="102">
        <v>0</v>
      </c>
      <c r="AA81" s="102">
        <v>0</v>
      </c>
      <c r="AB81" s="102">
        <v>363903.99999999994</v>
      </c>
      <c r="AC81" s="102">
        <v>363903.99999999994</v>
      </c>
      <c r="AD81" s="102">
        <v>363903.99999999994</v>
      </c>
      <c r="AE81" s="102">
        <v>0</v>
      </c>
      <c r="AF81" s="102">
        <v>0</v>
      </c>
      <c r="AG81" s="102">
        <v>0</v>
      </c>
      <c r="AH81" s="102">
        <v>0</v>
      </c>
      <c r="AI81" s="399">
        <v>0</v>
      </c>
      <c r="AJ81" s="399">
        <v>0</v>
      </c>
      <c r="AK81" s="399">
        <v>0</v>
      </c>
      <c r="AL81" s="399">
        <v>0</v>
      </c>
      <c r="AM81" s="399">
        <v>0</v>
      </c>
      <c r="AN81" s="399">
        <v>0</v>
      </c>
      <c r="AO81" s="399">
        <v>0</v>
      </c>
      <c r="AP81" s="399">
        <v>0</v>
      </c>
      <c r="AQ81" s="399">
        <v>0</v>
      </c>
      <c r="AR81" s="399">
        <v>0</v>
      </c>
      <c r="AS81" s="399">
        <v>0</v>
      </c>
      <c r="AT81" s="399">
        <v>0</v>
      </c>
      <c r="AU81" s="399">
        <v>0</v>
      </c>
      <c r="AV81" s="399">
        <v>0</v>
      </c>
      <c r="AW81" s="399">
        <v>0</v>
      </c>
      <c r="AX81" s="399">
        <v>0</v>
      </c>
      <c r="AY81" s="399">
        <v>0</v>
      </c>
      <c r="AZ81" s="399">
        <v>0</v>
      </c>
      <c r="BA81" s="399">
        <v>0</v>
      </c>
      <c r="BB81" s="399">
        <v>0</v>
      </c>
      <c r="BC81" s="399">
        <v>0</v>
      </c>
      <c r="BD81" s="399">
        <v>0</v>
      </c>
      <c r="BE81" s="399">
        <v>0</v>
      </c>
      <c r="BF81" s="399">
        <v>0</v>
      </c>
      <c r="BG81" s="399">
        <v>0</v>
      </c>
      <c r="BH81" s="399">
        <v>0</v>
      </c>
      <c r="BI81" s="399">
        <v>0</v>
      </c>
      <c r="BJ81" s="399">
        <v>0</v>
      </c>
      <c r="BK81" s="399">
        <v>0</v>
      </c>
      <c r="BL81" s="399">
        <v>0</v>
      </c>
      <c r="BM81" s="399">
        <v>0</v>
      </c>
      <c r="BN81" s="399">
        <v>0</v>
      </c>
      <c r="BO81" s="399">
        <v>0</v>
      </c>
      <c r="BP81" s="399">
        <v>0</v>
      </c>
      <c r="BQ81" s="399">
        <v>0</v>
      </c>
      <c r="BR81" s="399">
        <v>0</v>
      </c>
      <c r="BS81" s="399">
        <v>0</v>
      </c>
      <c r="BT81" s="399">
        <v>0</v>
      </c>
      <c r="BU81" s="399">
        <v>0</v>
      </c>
      <c r="BV81" s="399">
        <v>0</v>
      </c>
      <c r="BW81" s="399">
        <v>0</v>
      </c>
      <c r="BX81" s="399">
        <v>0</v>
      </c>
      <c r="BY81" s="399">
        <v>0</v>
      </c>
      <c r="BZ81" s="399">
        <v>0</v>
      </c>
      <c r="CA81" s="399">
        <v>0</v>
      </c>
      <c r="CB81" s="399">
        <v>0</v>
      </c>
      <c r="CC81" s="399">
        <v>0</v>
      </c>
      <c r="CD81" s="399">
        <v>0</v>
      </c>
      <c r="CE81" s="102">
        <v>30325.333333333332</v>
      </c>
      <c r="CF81" s="102">
        <v>30325.333333333332</v>
      </c>
      <c r="CG81" s="102">
        <v>30325.333333333332</v>
      </c>
      <c r="CH81" s="102">
        <v>30325.333333333332</v>
      </c>
      <c r="CI81" s="102">
        <v>30325.333333333332</v>
      </c>
      <c r="CJ81" s="102">
        <v>30325.333333333332</v>
      </c>
      <c r="CK81" s="102">
        <v>30325.333333333332</v>
      </c>
      <c r="CL81" s="102">
        <v>30325.333333333332</v>
      </c>
      <c r="CM81" s="102">
        <v>30325.333333333332</v>
      </c>
      <c r="CN81" s="102">
        <v>30325.333333333332</v>
      </c>
      <c r="CO81" s="102">
        <v>30325.333333333332</v>
      </c>
      <c r="CP81" s="102">
        <v>30325.333333333332</v>
      </c>
      <c r="CQ81" s="102">
        <v>30325.333333333332</v>
      </c>
      <c r="CR81" s="102">
        <v>30325.333333333332</v>
      </c>
      <c r="CS81" s="102">
        <v>30325.333333333332</v>
      </c>
      <c r="CT81" s="102">
        <v>30325.333333333332</v>
      </c>
      <c r="CU81" s="102">
        <v>30325.333333333332</v>
      </c>
      <c r="CV81" s="102">
        <v>30325.333333333332</v>
      </c>
      <c r="CW81" s="102">
        <v>30325.333333333332</v>
      </c>
      <c r="CX81" s="102">
        <v>30325.333333333332</v>
      </c>
      <c r="CY81" s="102">
        <v>30325.333333333332</v>
      </c>
      <c r="CZ81" s="102">
        <v>30325.333333333332</v>
      </c>
      <c r="DA81" s="102">
        <v>30325.333333333332</v>
      </c>
      <c r="DB81" s="102">
        <v>30325.333333333332</v>
      </c>
      <c r="DC81" s="102">
        <v>30325.333333333332</v>
      </c>
      <c r="DD81" s="102">
        <v>30325.333333333332</v>
      </c>
      <c r="DE81" s="102">
        <v>30325.333333333332</v>
      </c>
      <c r="DF81" s="102">
        <v>30325.333333333332</v>
      </c>
      <c r="DG81" s="102">
        <v>30325.333333333332</v>
      </c>
      <c r="DH81" s="102">
        <v>30325.333333333332</v>
      </c>
      <c r="DI81" s="102">
        <v>30325.333333333332</v>
      </c>
      <c r="DJ81" s="102">
        <v>30325.333333333332</v>
      </c>
      <c r="DK81" s="102">
        <v>30325.333333333332</v>
      </c>
      <c r="DL81" s="102">
        <v>30325.333333333332</v>
      </c>
      <c r="DM81" s="102">
        <v>30325.333333333332</v>
      </c>
      <c r="DN81" s="102">
        <v>30325.333333333332</v>
      </c>
      <c r="DO81" s="102">
        <v>0</v>
      </c>
      <c r="DP81" s="102">
        <v>0</v>
      </c>
      <c r="DQ81" s="102">
        <v>0</v>
      </c>
      <c r="DR81" s="102">
        <v>0</v>
      </c>
      <c r="DS81" s="102">
        <v>0</v>
      </c>
      <c r="DT81" s="102">
        <v>0</v>
      </c>
      <c r="DU81" s="102">
        <v>0</v>
      </c>
      <c r="DV81" s="102">
        <v>0</v>
      </c>
      <c r="DW81" s="102">
        <v>0</v>
      </c>
      <c r="DX81" s="102">
        <v>0</v>
      </c>
      <c r="DY81" s="102">
        <v>0</v>
      </c>
      <c r="DZ81" s="102">
        <v>0</v>
      </c>
      <c r="EA81" s="102">
        <v>0</v>
      </c>
      <c r="EB81" s="102">
        <v>0</v>
      </c>
      <c r="EC81" s="102">
        <v>0</v>
      </c>
      <c r="ED81" s="102">
        <v>0</v>
      </c>
      <c r="EE81" s="102">
        <v>0</v>
      </c>
      <c r="EF81" s="102">
        <v>0</v>
      </c>
      <c r="EG81" s="102">
        <v>0</v>
      </c>
      <c r="EH81" s="102">
        <v>0</v>
      </c>
      <c r="EI81" s="102">
        <v>0</v>
      </c>
      <c r="EJ81" s="102">
        <v>0</v>
      </c>
      <c r="EK81" s="102">
        <v>0</v>
      </c>
      <c r="EL81" s="102">
        <v>0</v>
      </c>
      <c r="EM81" s="102">
        <v>0</v>
      </c>
      <c r="EN81" s="102">
        <v>0</v>
      </c>
      <c r="EO81" s="102">
        <v>0</v>
      </c>
      <c r="EP81" s="102">
        <v>0</v>
      </c>
      <c r="EQ81" s="102">
        <v>0</v>
      </c>
      <c r="ER81" s="102">
        <v>0</v>
      </c>
      <c r="ES81" s="102">
        <v>0</v>
      </c>
      <c r="ET81" s="102">
        <v>0</v>
      </c>
      <c r="EU81" s="102">
        <v>0</v>
      </c>
      <c r="EV81" s="102">
        <v>0</v>
      </c>
      <c r="EW81" s="102">
        <v>0</v>
      </c>
      <c r="EX81" s="102">
        <v>0</v>
      </c>
      <c r="EY81" s="102">
        <v>0</v>
      </c>
      <c r="EZ81" s="102">
        <v>0</v>
      </c>
      <c r="FA81" s="102">
        <v>0</v>
      </c>
      <c r="FB81" s="102">
        <v>0</v>
      </c>
      <c r="FC81" s="102">
        <v>0</v>
      </c>
      <c r="FD81" s="102">
        <v>0</v>
      </c>
      <c r="FE81" s="102">
        <v>0</v>
      </c>
      <c r="FF81" s="102">
        <v>0</v>
      </c>
      <c r="FG81" s="102">
        <v>0</v>
      </c>
      <c r="FH81" s="102">
        <v>0</v>
      </c>
      <c r="FI81" s="102">
        <v>0</v>
      </c>
      <c r="FJ81" s="71">
        <v>0</v>
      </c>
    </row>
    <row r="82" spans="1:166" x14ac:dyDescent="0.3">
      <c r="A82" s="401" t="s">
        <v>868</v>
      </c>
      <c r="B82" s="103" t="s">
        <v>424</v>
      </c>
      <c r="C82" s="419" t="s">
        <v>925</v>
      </c>
      <c r="D82" s="419" t="s">
        <v>653</v>
      </c>
      <c r="E82" s="419" t="s">
        <v>860</v>
      </c>
      <c r="F82" s="103" t="s">
        <v>817</v>
      </c>
      <c r="G82" s="103" t="s">
        <v>814</v>
      </c>
      <c r="H82" s="103" t="s">
        <v>818</v>
      </c>
      <c r="I82" s="103">
        <v>0</v>
      </c>
      <c r="J82" s="103" t="s">
        <v>889</v>
      </c>
      <c r="K82" s="103">
        <v>0</v>
      </c>
      <c r="L82" s="103" t="s">
        <v>859</v>
      </c>
      <c r="M82" s="103">
        <v>2</v>
      </c>
      <c r="N82" s="103">
        <v>0</v>
      </c>
      <c r="O82" s="103">
        <v>6943980</v>
      </c>
      <c r="P82" s="393">
        <f t="shared" si="1"/>
        <v>13887960</v>
      </c>
      <c r="Q82" s="103">
        <v>48</v>
      </c>
      <c r="R82" s="103">
        <v>36</v>
      </c>
      <c r="S82" s="103">
        <v>0.04</v>
      </c>
      <c r="T82" s="395">
        <v>1</v>
      </c>
      <c r="U82" s="103">
        <v>0</v>
      </c>
      <c r="V82" s="102">
        <v>46293.200000000004</v>
      </c>
      <c r="W82" s="102">
        <v>1666555.2000000002</v>
      </c>
      <c r="X82" s="102">
        <v>0</v>
      </c>
      <c r="Y82" s="102">
        <v>0</v>
      </c>
      <c r="Z82" s="102">
        <v>0</v>
      </c>
      <c r="AA82" s="102">
        <v>0</v>
      </c>
      <c r="AB82" s="102">
        <v>555518.4</v>
      </c>
      <c r="AC82" s="102">
        <v>555518.4</v>
      </c>
      <c r="AD82" s="102">
        <v>555518.4</v>
      </c>
      <c r="AE82" s="102">
        <v>0</v>
      </c>
      <c r="AF82" s="102">
        <v>0</v>
      </c>
      <c r="AG82" s="102">
        <v>0</v>
      </c>
      <c r="AH82" s="102">
        <v>0</v>
      </c>
      <c r="AI82" s="399">
        <v>0</v>
      </c>
      <c r="AJ82" s="399">
        <v>0</v>
      </c>
      <c r="AK82" s="399">
        <v>0</v>
      </c>
      <c r="AL82" s="399">
        <v>0</v>
      </c>
      <c r="AM82" s="399">
        <v>0</v>
      </c>
      <c r="AN82" s="399">
        <v>0</v>
      </c>
      <c r="AO82" s="399">
        <v>0</v>
      </c>
      <c r="AP82" s="399">
        <v>0</v>
      </c>
      <c r="AQ82" s="399">
        <v>0</v>
      </c>
      <c r="AR82" s="399">
        <v>0</v>
      </c>
      <c r="AS82" s="399">
        <v>0</v>
      </c>
      <c r="AT82" s="399">
        <v>0</v>
      </c>
      <c r="AU82" s="399">
        <v>0</v>
      </c>
      <c r="AV82" s="399">
        <v>0</v>
      </c>
      <c r="AW82" s="399">
        <v>0</v>
      </c>
      <c r="AX82" s="399">
        <v>0</v>
      </c>
      <c r="AY82" s="399">
        <v>0</v>
      </c>
      <c r="AZ82" s="399">
        <v>0</v>
      </c>
      <c r="BA82" s="399">
        <v>0</v>
      </c>
      <c r="BB82" s="399">
        <v>0</v>
      </c>
      <c r="BC82" s="399">
        <v>0</v>
      </c>
      <c r="BD82" s="399">
        <v>0</v>
      </c>
      <c r="BE82" s="399">
        <v>0</v>
      </c>
      <c r="BF82" s="399">
        <v>0</v>
      </c>
      <c r="BG82" s="399">
        <v>0</v>
      </c>
      <c r="BH82" s="399">
        <v>0</v>
      </c>
      <c r="BI82" s="399">
        <v>0</v>
      </c>
      <c r="BJ82" s="399">
        <v>0</v>
      </c>
      <c r="BK82" s="399">
        <v>0</v>
      </c>
      <c r="BL82" s="399">
        <v>0</v>
      </c>
      <c r="BM82" s="399">
        <v>0</v>
      </c>
      <c r="BN82" s="399">
        <v>0</v>
      </c>
      <c r="BO82" s="399">
        <v>0</v>
      </c>
      <c r="BP82" s="399">
        <v>0</v>
      </c>
      <c r="BQ82" s="399">
        <v>0</v>
      </c>
      <c r="BR82" s="399">
        <v>0</v>
      </c>
      <c r="BS82" s="399">
        <v>0</v>
      </c>
      <c r="BT82" s="399">
        <v>0</v>
      </c>
      <c r="BU82" s="399">
        <v>0</v>
      </c>
      <c r="BV82" s="399">
        <v>0</v>
      </c>
      <c r="BW82" s="399">
        <v>0</v>
      </c>
      <c r="BX82" s="399">
        <v>0</v>
      </c>
      <c r="BY82" s="399">
        <v>0</v>
      </c>
      <c r="BZ82" s="399">
        <v>0</v>
      </c>
      <c r="CA82" s="399">
        <v>0</v>
      </c>
      <c r="CB82" s="399">
        <v>0</v>
      </c>
      <c r="CC82" s="399">
        <v>0</v>
      </c>
      <c r="CD82" s="399">
        <v>0</v>
      </c>
      <c r="CE82" s="102">
        <v>46293.200000000004</v>
      </c>
      <c r="CF82" s="102">
        <v>46293.200000000004</v>
      </c>
      <c r="CG82" s="102">
        <v>46293.200000000004</v>
      </c>
      <c r="CH82" s="102">
        <v>46293.200000000004</v>
      </c>
      <c r="CI82" s="102">
        <v>46293.200000000004</v>
      </c>
      <c r="CJ82" s="102">
        <v>46293.200000000004</v>
      </c>
      <c r="CK82" s="102">
        <v>46293.200000000004</v>
      </c>
      <c r="CL82" s="102">
        <v>46293.200000000004</v>
      </c>
      <c r="CM82" s="102">
        <v>46293.200000000004</v>
      </c>
      <c r="CN82" s="102">
        <v>46293.200000000004</v>
      </c>
      <c r="CO82" s="102">
        <v>46293.200000000004</v>
      </c>
      <c r="CP82" s="102">
        <v>46293.200000000004</v>
      </c>
      <c r="CQ82" s="102">
        <v>46293.200000000004</v>
      </c>
      <c r="CR82" s="102">
        <v>46293.200000000004</v>
      </c>
      <c r="CS82" s="102">
        <v>46293.200000000004</v>
      </c>
      <c r="CT82" s="102">
        <v>46293.200000000004</v>
      </c>
      <c r="CU82" s="102">
        <v>46293.200000000004</v>
      </c>
      <c r="CV82" s="102">
        <v>46293.200000000004</v>
      </c>
      <c r="CW82" s="102">
        <v>46293.200000000004</v>
      </c>
      <c r="CX82" s="102">
        <v>46293.200000000004</v>
      </c>
      <c r="CY82" s="102">
        <v>46293.200000000004</v>
      </c>
      <c r="CZ82" s="102">
        <v>46293.200000000004</v>
      </c>
      <c r="DA82" s="102">
        <v>46293.200000000004</v>
      </c>
      <c r="DB82" s="102">
        <v>46293.200000000004</v>
      </c>
      <c r="DC82" s="102">
        <v>46293.200000000004</v>
      </c>
      <c r="DD82" s="102">
        <v>46293.200000000004</v>
      </c>
      <c r="DE82" s="102">
        <v>46293.200000000004</v>
      </c>
      <c r="DF82" s="102">
        <v>46293.200000000004</v>
      </c>
      <c r="DG82" s="102">
        <v>46293.200000000004</v>
      </c>
      <c r="DH82" s="102">
        <v>46293.200000000004</v>
      </c>
      <c r="DI82" s="102">
        <v>46293.200000000004</v>
      </c>
      <c r="DJ82" s="102">
        <v>46293.200000000004</v>
      </c>
      <c r="DK82" s="102">
        <v>46293.200000000004</v>
      </c>
      <c r="DL82" s="102">
        <v>46293.200000000004</v>
      </c>
      <c r="DM82" s="102">
        <v>46293.200000000004</v>
      </c>
      <c r="DN82" s="102">
        <v>46293.200000000004</v>
      </c>
      <c r="DO82" s="102">
        <v>0</v>
      </c>
      <c r="DP82" s="102">
        <v>0</v>
      </c>
      <c r="DQ82" s="102">
        <v>0</v>
      </c>
      <c r="DR82" s="102">
        <v>0</v>
      </c>
      <c r="DS82" s="102">
        <v>0</v>
      </c>
      <c r="DT82" s="102">
        <v>0</v>
      </c>
      <c r="DU82" s="102">
        <v>0</v>
      </c>
      <c r="DV82" s="102">
        <v>0</v>
      </c>
      <c r="DW82" s="102">
        <v>0</v>
      </c>
      <c r="DX82" s="102">
        <v>0</v>
      </c>
      <c r="DY82" s="102">
        <v>0</v>
      </c>
      <c r="DZ82" s="102">
        <v>0</v>
      </c>
      <c r="EA82" s="102">
        <v>0</v>
      </c>
      <c r="EB82" s="102">
        <v>0</v>
      </c>
      <c r="EC82" s="102">
        <v>0</v>
      </c>
      <c r="ED82" s="102">
        <v>0</v>
      </c>
      <c r="EE82" s="102">
        <v>0</v>
      </c>
      <c r="EF82" s="102">
        <v>0</v>
      </c>
      <c r="EG82" s="102">
        <v>0</v>
      </c>
      <c r="EH82" s="102">
        <v>0</v>
      </c>
      <c r="EI82" s="102">
        <v>0</v>
      </c>
      <c r="EJ82" s="102">
        <v>0</v>
      </c>
      <c r="EK82" s="102">
        <v>0</v>
      </c>
      <c r="EL82" s="102">
        <v>0</v>
      </c>
      <c r="EM82" s="102">
        <v>0</v>
      </c>
      <c r="EN82" s="102">
        <v>0</v>
      </c>
      <c r="EO82" s="102">
        <v>0</v>
      </c>
      <c r="EP82" s="102">
        <v>0</v>
      </c>
      <c r="EQ82" s="102">
        <v>0</v>
      </c>
      <c r="ER82" s="102">
        <v>0</v>
      </c>
      <c r="ES82" s="102">
        <v>0</v>
      </c>
      <c r="ET82" s="102">
        <v>0</v>
      </c>
      <c r="EU82" s="102">
        <v>0</v>
      </c>
      <c r="EV82" s="102">
        <v>0</v>
      </c>
      <c r="EW82" s="102">
        <v>0</v>
      </c>
      <c r="EX82" s="102">
        <v>0</v>
      </c>
      <c r="EY82" s="102">
        <v>0</v>
      </c>
      <c r="EZ82" s="102">
        <v>0</v>
      </c>
      <c r="FA82" s="102">
        <v>0</v>
      </c>
      <c r="FB82" s="102">
        <v>0</v>
      </c>
      <c r="FC82" s="102">
        <v>0</v>
      </c>
      <c r="FD82" s="102">
        <v>0</v>
      </c>
      <c r="FE82" s="102">
        <v>0</v>
      </c>
      <c r="FF82" s="102">
        <v>0</v>
      </c>
      <c r="FG82" s="102">
        <v>0</v>
      </c>
      <c r="FH82" s="102">
        <v>0</v>
      </c>
      <c r="FI82" s="102">
        <v>0</v>
      </c>
      <c r="FJ82" s="71">
        <v>0</v>
      </c>
    </row>
    <row r="83" spans="1:166" x14ac:dyDescent="0.3">
      <c r="A83" s="401" t="s">
        <v>869</v>
      </c>
      <c r="B83" s="103" t="s">
        <v>424</v>
      </c>
      <c r="C83" s="419" t="s">
        <v>925</v>
      </c>
      <c r="D83" s="419" t="s">
        <v>653</v>
      </c>
      <c r="E83" s="419" t="s">
        <v>860</v>
      </c>
      <c r="F83" s="103" t="s">
        <v>819</v>
      </c>
      <c r="G83" s="103" t="s">
        <v>814</v>
      </c>
      <c r="H83" s="103" t="s">
        <v>815</v>
      </c>
      <c r="I83" s="103">
        <v>0</v>
      </c>
      <c r="J83" s="103" t="s">
        <v>889</v>
      </c>
      <c r="K83" s="103">
        <v>0</v>
      </c>
      <c r="L83" s="103" t="s">
        <v>859</v>
      </c>
      <c r="M83" s="103">
        <v>2</v>
      </c>
      <c r="N83" s="103">
        <v>0</v>
      </c>
      <c r="O83" s="103">
        <v>4548800</v>
      </c>
      <c r="P83" s="393">
        <f t="shared" si="1"/>
        <v>9097600</v>
      </c>
      <c r="Q83" s="103">
        <v>48</v>
      </c>
      <c r="R83" s="103">
        <v>36</v>
      </c>
      <c r="S83" s="103">
        <v>0.04</v>
      </c>
      <c r="T83" s="395">
        <v>1</v>
      </c>
      <c r="U83" s="103">
        <v>0</v>
      </c>
      <c r="V83" s="102">
        <v>30325.333333333332</v>
      </c>
      <c r="W83" s="102">
        <v>1091711.9999999998</v>
      </c>
      <c r="X83" s="102">
        <v>0</v>
      </c>
      <c r="Y83" s="102">
        <v>0</v>
      </c>
      <c r="Z83" s="102">
        <v>0</v>
      </c>
      <c r="AA83" s="102">
        <v>0</v>
      </c>
      <c r="AB83" s="102">
        <v>363903.99999999994</v>
      </c>
      <c r="AC83" s="102">
        <v>363903.99999999994</v>
      </c>
      <c r="AD83" s="102">
        <v>363903.99999999994</v>
      </c>
      <c r="AE83" s="102">
        <v>0</v>
      </c>
      <c r="AF83" s="102">
        <v>0</v>
      </c>
      <c r="AG83" s="102">
        <v>0</v>
      </c>
      <c r="AH83" s="102">
        <v>0</v>
      </c>
      <c r="AI83" s="399">
        <v>0</v>
      </c>
      <c r="AJ83" s="399">
        <v>0</v>
      </c>
      <c r="AK83" s="399">
        <v>0</v>
      </c>
      <c r="AL83" s="399">
        <v>0</v>
      </c>
      <c r="AM83" s="399">
        <v>0</v>
      </c>
      <c r="AN83" s="399">
        <v>0</v>
      </c>
      <c r="AO83" s="399">
        <v>0</v>
      </c>
      <c r="AP83" s="399">
        <v>0</v>
      </c>
      <c r="AQ83" s="399">
        <v>0</v>
      </c>
      <c r="AR83" s="399">
        <v>0</v>
      </c>
      <c r="AS83" s="399">
        <v>0</v>
      </c>
      <c r="AT83" s="399">
        <v>0</v>
      </c>
      <c r="AU83" s="399">
        <v>0</v>
      </c>
      <c r="AV83" s="399">
        <v>0</v>
      </c>
      <c r="AW83" s="399">
        <v>0</v>
      </c>
      <c r="AX83" s="399">
        <v>0</v>
      </c>
      <c r="AY83" s="399">
        <v>0</v>
      </c>
      <c r="AZ83" s="399">
        <v>0</v>
      </c>
      <c r="BA83" s="399">
        <v>0</v>
      </c>
      <c r="BB83" s="399">
        <v>0</v>
      </c>
      <c r="BC83" s="399">
        <v>0</v>
      </c>
      <c r="BD83" s="399">
        <v>0</v>
      </c>
      <c r="BE83" s="399">
        <v>0</v>
      </c>
      <c r="BF83" s="399">
        <v>0</v>
      </c>
      <c r="BG83" s="399">
        <v>0</v>
      </c>
      <c r="BH83" s="399">
        <v>0</v>
      </c>
      <c r="BI83" s="399">
        <v>0</v>
      </c>
      <c r="BJ83" s="399">
        <v>0</v>
      </c>
      <c r="BK83" s="399">
        <v>0</v>
      </c>
      <c r="BL83" s="399">
        <v>0</v>
      </c>
      <c r="BM83" s="399">
        <v>0</v>
      </c>
      <c r="BN83" s="399">
        <v>0</v>
      </c>
      <c r="BO83" s="399">
        <v>0</v>
      </c>
      <c r="BP83" s="399">
        <v>0</v>
      </c>
      <c r="BQ83" s="399">
        <v>0</v>
      </c>
      <c r="BR83" s="399">
        <v>0</v>
      </c>
      <c r="BS83" s="399">
        <v>0</v>
      </c>
      <c r="BT83" s="399">
        <v>0</v>
      </c>
      <c r="BU83" s="399">
        <v>0</v>
      </c>
      <c r="BV83" s="399">
        <v>0</v>
      </c>
      <c r="BW83" s="399">
        <v>0</v>
      </c>
      <c r="BX83" s="399">
        <v>0</v>
      </c>
      <c r="BY83" s="399">
        <v>0</v>
      </c>
      <c r="BZ83" s="399">
        <v>0</v>
      </c>
      <c r="CA83" s="399">
        <v>0</v>
      </c>
      <c r="CB83" s="399">
        <v>0</v>
      </c>
      <c r="CC83" s="399">
        <v>0</v>
      </c>
      <c r="CD83" s="399">
        <v>0</v>
      </c>
      <c r="CE83" s="102">
        <v>30325.333333333332</v>
      </c>
      <c r="CF83" s="102">
        <v>30325.333333333332</v>
      </c>
      <c r="CG83" s="102">
        <v>30325.333333333332</v>
      </c>
      <c r="CH83" s="102">
        <v>30325.333333333332</v>
      </c>
      <c r="CI83" s="102">
        <v>30325.333333333332</v>
      </c>
      <c r="CJ83" s="102">
        <v>30325.333333333332</v>
      </c>
      <c r="CK83" s="102">
        <v>30325.333333333332</v>
      </c>
      <c r="CL83" s="102">
        <v>30325.333333333332</v>
      </c>
      <c r="CM83" s="102">
        <v>30325.333333333332</v>
      </c>
      <c r="CN83" s="102">
        <v>30325.333333333332</v>
      </c>
      <c r="CO83" s="102">
        <v>30325.333333333332</v>
      </c>
      <c r="CP83" s="102">
        <v>30325.333333333332</v>
      </c>
      <c r="CQ83" s="102">
        <v>30325.333333333332</v>
      </c>
      <c r="CR83" s="102">
        <v>30325.333333333332</v>
      </c>
      <c r="CS83" s="102">
        <v>30325.333333333332</v>
      </c>
      <c r="CT83" s="102">
        <v>30325.333333333332</v>
      </c>
      <c r="CU83" s="102">
        <v>30325.333333333332</v>
      </c>
      <c r="CV83" s="102">
        <v>30325.333333333332</v>
      </c>
      <c r="CW83" s="102">
        <v>30325.333333333332</v>
      </c>
      <c r="CX83" s="102">
        <v>30325.333333333332</v>
      </c>
      <c r="CY83" s="102">
        <v>30325.333333333332</v>
      </c>
      <c r="CZ83" s="102">
        <v>30325.333333333332</v>
      </c>
      <c r="DA83" s="102">
        <v>30325.333333333332</v>
      </c>
      <c r="DB83" s="102">
        <v>30325.333333333332</v>
      </c>
      <c r="DC83" s="102">
        <v>30325.333333333332</v>
      </c>
      <c r="DD83" s="102">
        <v>30325.333333333332</v>
      </c>
      <c r="DE83" s="102">
        <v>30325.333333333332</v>
      </c>
      <c r="DF83" s="102">
        <v>30325.333333333332</v>
      </c>
      <c r="DG83" s="102">
        <v>30325.333333333332</v>
      </c>
      <c r="DH83" s="102">
        <v>30325.333333333332</v>
      </c>
      <c r="DI83" s="102">
        <v>30325.333333333332</v>
      </c>
      <c r="DJ83" s="102">
        <v>30325.333333333332</v>
      </c>
      <c r="DK83" s="102">
        <v>30325.333333333332</v>
      </c>
      <c r="DL83" s="102">
        <v>30325.333333333332</v>
      </c>
      <c r="DM83" s="102">
        <v>30325.333333333332</v>
      </c>
      <c r="DN83" s="102">
        <v>30325.333333333332</v>
      </c>
      <c r="DO83" s="102">
        <v>0</v>
      </c>
      <c r="DP83" s="102">
        <v>0</v>
      </c>
      <c r="DQ83" s="102">
        <v>0</v>
      </c>
      <c r="DR83" s="102">
        <v>0</v>
      </c>
      <c r="DS83" s="102">
        <v>0</v>
      </c>
      <c r="DT83" s="102">
        <v>0</v>
      </c>
      <c r="DU83" s="102">
        <v>0</v>
      </c>
      <c r="DV83" s="102">
        <v>0</v>
      </c>
      <c r="DW83" s="102">
        <v>0</v>
      </c>
      <c r="DX83" s="102">
        <v>0</v>
      </c>
      <c r="DY83" s="102">
        <v>0</v>
      </c>
      <c r="DZ83" s="102">
        <v>0</v>
      </c>
      <c r="EA83" s="102">
        <v>0</v>
      </c>
      <c r="EB83" s="102">
        <v>0</v>
      </c>
      <c r="EC83" s="102">
        <v>0</v>
      </c>
      <c r="ED83" s="102">
        <v>0</v>
      </c>
      <c r="EE83" s="102">
        <v>0</v>
      </c>
      <c r="EF83" s="102">
        <v>0</v>
      </c>
      <c r="EG83" s="102">
        <v>0</v>
      </c>
      <c r="EH83" s="102">
        <v>0</v>
      </c>
      <c r="EI83" s="102">
        <v>0</v>
      </c>
      <c r="EJ83" s="102">
        <v>0</v>
      </c>
      <c r="EK83" s="102">
        <v>0</v>
      </c>
      <c r="EL83" s="102">
        <v>0</v>
      </c>
      <c r="EM83" s="102">
        <v>0</v>
      </c>
      <c r="EN83" s="102">
        <v>0</v>
      </c>
      <c r="EO83" s="102">
        <v>0</v>
      </c>
      <c r="EP83" s="102">
        <v>0</v>
      </c>
      <c r="EQ83" s="102">
        <v>0</v>
      </c>
      <c r="ER83" s="102">
        <v>0</v>
      </c>
      <c r="ES83" s="102">
        <v>0</v>
      </c>
      <c r="ET83" s="102">
        <v>0</v>
      </c>
      <c r="EU83" s="102">
        <v>0</v>
      </c>
      <c r="EV83" s="102">
        <v>0</v>
      </c>
      <c r="EW83" s="102">
        <v>0</v>
      </c>
      <c r="EX83" s="102">
        <v>0</v>
      </c>
      <c r="EY83" s="102">
        <v>0</v>
      </c>
      <c r="EZ83" s="102">
        <v>0</v>
      </c>
      <c r="FA83" s="102">
        <v>0</v>
      </c>
      <c r="FB83" s="102">
        <v>0</v>
      </c>
      <c r="FC83" s="102">
        <v>0</v>
      </c>
      <c r="FD83" s="102">
        <v>0</v>
      </c>
      <c r="FE83" s="102">
        <v>0</v>
      </c>
      <c r="FF83" s="102">
        <v>0</v>
      </c>
      <c r="FG83" s="102">
        <v>0</v>
      </c>
      <c r="FH83" s="102">
        <v>0</v>
      </c>
      <c r="FI83" s="102">
        <v>0</v>
      </c>
      <c r="FJ83" s="71">
        <v>0</v>
      </c>
    </row>
    <row r="84" spans="1:166" x14ac:dyDescent="0.3">
      <c r="A84" s="401" t="s">
        <v>870</v>
      </c>
      <c r="B84" s="103" t="s">
        <v>424</v>
      </c>
      <c r="C84" s="419" t="s">
        <v>925</v>
      </c>
      <c r="D84" s="419" t="s">
        <v>653</v>
      </c>
      <c r="E84" s="419" t="s">
        <v>860</v>
      </c>
      <c r="F84" s="103" t="s">
        <v>820</v>
      </c>
      <c r="G84" s="103" t="s">
        <v>814</v>
      </c>
      <c r="H84" s="103" t="s">
        <v>821</v>
      </c>
      <c r="I84" s="103">
        <v>0</v>
      </c>
      <c r="J84" s="103" t="s">
        <v>889</v>
      </c>
      <c r="K84" s="103">
        <v>0</v>
      </c>
      <c r="L84" s="103" t="s">
        <v>859</v>
      </c>
      <c r="M84" s="103">
        <v>1</v>
      </c>
      <c r="N84" s="103">
        <v>0</v>
      </c>
      <c r="O84" s="103">
        <v>5931600</v>
      </c>
      <c r="P84" s="393">
        <f t="shared" si="1"/>
        <v>5931600</v>
      </c>
      <c r="Q84" s="103">
        <v>48</v>
      </c>
      <c r="R84" s="103">
        <v>36</v>
      </c>
      <c r="S84" s="103">
        <v>0.04</v>
      </c>
      <c r="T84" s="395">
        <v>1</v>
      </c>
      <c r="U84" s="103">
        <v>0</v>
      </c>
      <c r="V84" s="102">
        <v>19772</v>
      </c>
      <c r="W84" s="102">
        <v>711792</v>
      </c>
      <c r="X84" s="102">
        <v>0</v>
      </c>
      <c r="Y84" s="102">
        <v>0</v>
      </c>
      <c r="Z84" s="102">
        <v>0</v>
      </c>
      <c r="AA84" s="102">
        <v>0</v>
      </c>
      <c r="AB84" s="102">
        <v>237264</v>
      </c>
      <c r="AC84" s="102">
        <v>237264</v>
      </c>
      <c r="AD84" s="102">
        <v>237264</v>
      </c>
      <c r="AE84" s="102">
        <v>0</v>
      </c>
      <c r="AF84" s="102">
        <v>0</v>
      </c>
      <c r="AG84" s="102">
        <v>0</v>
      </c>
      <c r="AH84" s="102">
        <v>0</v>
      </c>
      <c r="AI84" s="399">
        <v>0</v>
      </c>
      <c r="AJ84" s="399">
        <v>0</v>
      </c>
      <c r="AK84" s="399">
        <v>0</v>
      </c>
      <c r="AL84" s="399">
        <v>0</v>
      </c>
      <c r="AM84" s="399">
        <v>0</v>
      </c>
      <c r="AN84" s="399">
        <v>0</v>
      </c>
      <c r="AO84" s="399">
        <v>0</v>
      </c>
      <c r="AP84" s="399">
        <v>0</v>
      </c>
      <c r="AQ84" s="399">
        <v>0</v>
      </c>
      <c r="AR84" s="399">
        <v>0</v>
      </c>
      <c r="AS84" s="399">
        <v>0</v>
      </c>
      <c r="AT84" s="399">
        <v>0</v>
      </c>
      <c r="AU84" s="399">
        <v>0</v>
      </c>
      <c r="AV84" s="399">
        <v>0</v>
      </c>
      <c r="AW84" s="399">
        <v>0</v>
      </c>
      <c r="AX84" s="399">
        <v>0</v>
      </c>
      <c r="AY84" s="399">
        <v>0</v>
      </c>
      <c r="AZ84" s="399">
        <v>0</v>
      </c>
      <c r="BA84" s="399">
        <v>0</v>
      </c>
      <c r="BB84" s="399">
        <v>0</v>
      </c>
      <c r="BC84" s="399">
        <v>0</v>
      </c>
      <c r="BD84" s="399">
        <v>0</v>
      </c>
      <c r="BE84" s="399">
        <v>0</v>
      </c>
      <c r="BF84" s="399">
        <v>0</v>
      </c>
      <c r="BG84" s="399">
        <v>0</v>
      </c>
      <c r="BH84" s="399">
        <v>0</v>
      </c>
      <c r="BI84" s="399">
        <v>0</v>
      </c>
      <c r="BJ84" s="399">
        <v>0</v>
      </c>
      <c r="BK84" s="399">
        <v>0</v>
      </c>
      <c r="BL84" s="399">
        <v>0</v>
      </c>
      <c r="BM84" s="399">
        <v>0</v>
      </c>
      <c r="BN84" s="399">
        <v>0</v>
      </c>
      <c r="BO84" s="399">
        <v>0</v>
      </c>
      <c r="BP84" s="399">
        <v>0</v>
      </c>
      <c r="BQ84" s="399">
        <v>0</v>
      </c>
      <c r="BR84" s="399">
        <v>0</v>
      </c>
      <c r="BS84" s="399">
        <v>0</v>
      </c>
      <c r="BT84" s="399">
        <v>0</v>
      </c>
      <c r="BU84" s="399">
        <v>0</v>
      </c>
      <c r="BV84" s="399">
        <v>0</v>
      </c>
      <c r="BW84" s="399">
        <v>0</v>
      </c>
      <c r="BX84" s="399">
        <v>0</v>
      </c>
      <c r="BY84" s="399">
        <v>0</v>
      </c>
      <c r="BZ84" s="399">
        <v>0</v>
      </c>
      <c r="CA84" s="399">
        <v>0</v>
      </c>
      <c r="CB84" s="399">
        <v>0</v>
      </c>
      <c r="CC84" s="399">
        <v>0</v>
      </c>
      <c r="CD84" s="399">
        <v>0</v>
      </c>
      <c r="CE84" s="102">
        <v>19772</v>
      </c>
      <c r="CF84" s="102">
        <v>19772</v>
      </c>
      <c r="CG84" s="102">
        <v>19772</v>
      </c>
      <c r="CH84" s="102">
        <v>19772</v>
      </c>
      <c r="CI84" s="102">
        <v>19772</v>
      </c>
      <c r="CJ84" s="102">
        <v>19772</v>
      </c>
      <c r="CK84" s="102">
        <v>19772</v>
      </c>
      <c r="CL84" s="102">
        <v>19772</v>
      </c>
      <c r="CM84" s="102">
        <v>19772</v>
      </c>
      <c r="CN84" s="102">
        <v>19772</v>
      </c>
      <c r="CO84" s="102">
        <v>19772</v>
      </c>
      <c r="CP84" s="102">
        <v>19772</v>
      </c>
      <c r="CQ84" s="102">
        <v>19772</v>
      </c>
      <c r="CR84" s="102">
        <v>19772</v>
      </c>
      <c r="CS84" s="102">
        <v>19772</v>
      </c>
      <c r="CT84" s="102">
        <v>19772</v>
      </c>
      <c r="CU84" s="102">
        <v>19772</v>
      </c>
      <c r="CV84" s="102">
        <v>19772</v>
      </c>
      <c r="CW84" s="102">
        <v>19772</v>
      </c>
      <c r="CX84" s="102">
        <v>19772</v>
      </c>
      <c r="CY84" s="102">
        <v>19772</v>
      </c>
      <c r="CZ84" s="102">
        <v>19772</v>
      </c>
      <c r="DA84" s="102">
        <v>19772</v>
      </c>
      <c r="DB84" s="102">
        <v>19772</v>
      </c>
      <c r="DC84" s="102">
        <v>19772</v>
      </c>
      <c r="DD84" s="102">
        <v>19772</v>
      </c>
      <c r="DE84" s="102">
        <v>19772</v>
      </c>
      <c r="DF84" s="102">
        <v>19772</v>
      </c>
      <c r="DG84" s="102">
        <v>19772</v>
      </c>
      <c r="DH84" s="102">
        <v>19772</v>
      </c>
      <c r="DI84" s="102">
        <v>19772</v>
      </c>
      <c r="DJ84" s="102">
        <v>19772</v>
      </c>
      <c r="DK84" s="102">
        <v>19772</v>
      </c>
      <c r="DL84" s="102">
        <v>19772</v>
      </c>
      <c r="DM84" s="102">
        <v>19772</v>
      </c>
      <c r="DN84" s="102">
        <v>19772</v>
      </c>
      <c r="DO84" s="102">
        <v>0</v>
      </c>
      <c r="DP84" s="102">
        <v>0</v>
      </c>
      <c r="DQ84" s="102">
        <v>0</v>
      </c>
      <c r="DR84" s="102">
        <v>0</v>
      </c>
      <c r="DS84" s="102">
        <v>0</v>
      </c>
      <c r="DT84" s="102">
        <v>0</v>
      </c>
      <c r="DU84" s="102">
        <v>0</v>
      </c>
      <c r="DV84" s="102">
        <v>0</v>
      </c>
      <c r="DW84" s="102">
        <v>0</v>
      </c>
      <c r="DX84" s="102">
        <v>0</v>
      </c>
      <c r="DY84" s="102">
        <v>0</v>
      </c>
      <c r="DZ84" s="102">
        <v>0</v>
      </c>
      <c r="EA84" s="102">
        <v>0</v>
      </c>
      <c r="EB84" s="102">
        <v>0</v>
      </c>
      <c r="EC84" s="102">
        <v>0</v>
      </c>
      <c r="ED84" s="102">
        <v>0</v>
      </c>
      <c r="EE84" s="102">
        <v>0</v>
      </c>
      <c r="EF84" s="102">
        <v>0</v>
      </c>
      <c r="EG84" s="102">
        <v>0</v>
      </c>
      <c r="EH84" s="102">
        <v>0</v>
      </c>
      <c r="EI84" s="102">
        <v>0</v>
      </c>
      <c r="EJ84" s="102">
        <v>0</v>
      </c>
      <c r="EK84" s="102">
        <v>0</v>
      </c>
      <c r="EL84" s="102">
        <v>0</v>
      </c>
      <c r="EM84" s="102">
        <v>0</v>
      </c>
      <c r="EN84" s="102">
        <v>0</v>
      </c>
      <c r="EO84" s="102">
        <v>0</v>
      </c>
      <c r="EP84" s="102">
        <v>0</v>
      </c>
      <c r="EQ84" s="102">
        <v>0</v>
      </c>
      <c r="ER84" s="102">
        <v>0</v>
      </c>
      <c r="ES84" s="102">
        <v>0</v>
      </c>
      <c r="ET84" s="102">
        <v>0</v>
      </c>
      <c r="EU84" s="102">
        <v>0</v>
      </c>
      <c r="EV84" s="102">
        <v>0</v>
      </c>
      <c r="EW84" s="102">
        <v>0</v>
      </c>
      <c r="EX84" s="102">
        <v>0</v>
      </c>
      <c r="EY84" s="102">
        <v>0</v>
      </c>
      <c r="EZ84" s="102">
        <v>0</v>
      </c>
      <c r="FA84" s="102">
        <v>0</v>
      </c>
      <c r="FB84" s="102">
        <v>0</v>
      </c>
      <c r="FC84" s="102">
        <v>0</v>
      </c>
      <c r="FD84" s="102">
        <v>0</v>
      </c>
      <c r="FE84" s="102">
        <v>0</v>
      </c>
      <c r="FF84" s="102">
        <v>0</v>
      </c>
      <c r="FG84" s="102">
        <v>0</v>
      </c>
      <c r="FH84" s="102">
        <v>0</v>
      </c>
      <c r="FI84" s="102">
        <v>0</v>
      </c>
      <c r="FJ84" s="71">
        <v>0</v>
      </c>
    </row>
    <row r="85" spans="1:166" x14ac:dyDescent="0.3">
      <c r="A85" s="401" t="s">
        <v>871</v>
      </c>
      <c r="B85" s="103" t="s">
        <v>424</v>
      </c>
      <c r="C85" s="419" t="s">
        <v>925</v>
      </c>
      <c r="D85" s="419" t="s">
        <v>653</v>
      </c>
      <c r="E85" s="419" t="s">
        <v>860</v>
      </c>
      <c r="F85" s="103" t="s">
        <v>822</v>
      </c>
      <c r="G85" s="103" t="s">
        <v>814</v>
      </c>
      <c r="H85" s="103" t="s">
        <v>815</v>
      </c>
      <c r="I85" s="103">
        <v>0</v>
      </c>
      <c r="J85" s="103" t="s">
        <v>889</v>
      </c>
      <c r="K85" s="103">
        <v>0</v>
      </c>
      <c r="L85" s="103" t="s">
        <v>859</v>
      </c>
      <c r="M85" s="103">
        <v>2</v>
      </c>
      <c r="N85" s="103">
        <v>0</v>
      </c>
      <c r="O85" s="103">
        <v>4548800</v>
      </c>
      <c r="P85" s="393">
        <f t="shared" si="1"/>
        <v>9097600</v>
      </c>
      <c r="Q85" s="103">
        <v>48</v>
      </c>
      <c r="R85" s="103">
        <v>36</v>
      </c>
      <c r="S85" s="103">
        <v>0.04</v>
      </c>
      <c r="T85" s="395">
        <v>1</v>
      </c>
      <c r="U85" s="103">
        <v>0</v>
      </c>
      <c r="V85" s="102">
        <v>30325.333333333332</v>
      </c>
      <c r="W85" s="102">
        <v>1091711.9999999998</v>
      </c>
      <c r="X85" s="102">
        <v>0</v>
      </c>
      <c r="Y85" s="102">
        <v>0</v>
      </c>
      <c r="Z85" s="102">
        <v>0</v>
      </c>
      <c r="AA85" s="102">
        <v>0</v>
      </c>
      <c r="AB85" s="102">
        <v>363903.99999999994</v>
      </c>
      <c r="AC85" s="102">
        <v>363903.99999999994</v>
      </c>
      <c r="AD85" s="102">
        <v>363903.99999999994</v>
      </c>
      <c r="AE85" s="102">
        <v>0</v>
      </c>
      <c r="AF85" s="102">
        <v>0</v>
      </c>
      <c r="AG85" s="102">
        <v>0</v>
      </c>
      <c r="AH85" s="102">
        <v>0</v>
      </c>
      <c r="AI85" s="399">
        <v>0</v>
      </c>
      <c r="AJ85" s="399">
        <v>0</v>
      </c>
      <c r="AK85" s="399">
        <v>0</v>
      </c>
      <c r="AL85" s="399">
        <v>0</v>
      </c>
      <c r="AM85" s="399">
        <v>0</v>
      </c>
      <c r="AN85" s="399">
        <v>0</v>
      </c>
      <c r="AO85" s="399">
        <v>0</v>
      </c>
      <c r="AP85" s="399">
        <v>0</v>
      </c>
      <c r="AQ85" s="399">
        <v>0</v>
      </c>
      <c r="AR85" s="399">
        <v>0</v>
      </c>
      <c r="AS85" s="399">
        <v>0</v>
      </c>
      <c r="AT85" s="399">
        <v>0</v>
      </c>
      <c r="AU85" s="399">
        <v>0</v>
      </c>
      <c r="AV85" s="399">
        <v>0</v>
      </c>
      <c r="AW85" s="399">
        <v>0</v>
      </c>
      <c r="AX85" s="399">
        <v>0</v>
      </c>
      <c r="AY85" s="399">
        <v>0</v>
      </c>
      <c r="AZ85" s="399">
        <v>0</v>
      </c>
      <c r="BA85" s="399">
        <v>0</v>
      </c>
      <c r="BB85" s="399">
        <v>0</v>
      </c>
      <c r="BC85" s="399">
        <v>0</v>
      </c>
      <c r="BD85" s="399">
        <v>0</v>
      </c>
      <c r="BE85" s="399">
        <v>0</v>
      </c>
      <c r="BF85" s="399">
        <v>0</v>
      </c>
      <c r="BG85" s="399">
        <v>0</v>
      </c>
      <c r="BH85" s="399">
        <v>0</v>
      </c>
      <c r="BI85" s="399">
        <v>0</v>
      </c>
      <c r="BJ85" s="399">
        <v>0</v>
      </c>
      <c r="BK85" s="399">
        <v>0</v>
      </c>
      <c r="BL85" s="399">
        <v>0</v>
      </c>
      <c r="BM85" s="399">
        <v>0</v>
      </c>
      <c r="BN85" s="399">
        <v>0</v>
      </c>
      <c r="BO85" s="399">
        <v>0</v>
      </c>
      <c r="BP85" s="399">
        <v>0</v>
      </c>
      <c r="BQ85" s="399">
        <v>0</v>
      </c>
      <c r="BR85" s="399">
        <v>0</v>
      </c>
      <c r="BS85" s="399">
        <v>0</v>
      </c>
      <c r="BT85" s="399">
        <v>0</v>
      </c>
      <c r="BU85" s="399">
        <v>0</v>
      </c>
      <c r="BV85" s="399">
        <v>0</v>
      </c>
      <c r="BW85" s="399">
        <v>0</v>
      </c>
      <c r="BX85" s="399">
        <v>0</v>
      </c>
      <c r="BY85" s="399">
        <v>0</v>
      </c>
      <c r="BZ85" s="399">
        <v>0</v>
      </c>
      <c r="CA85" s="399">
        <v>0</v>
      </c>
      <c r="CB85" s="399">
        <v>0</v>
      </c>
      <c r="CC85" s="399">
        <v>0</v>
      </c>
      <c r="CD85" s="399">
        <v>0</v>
      </c>
      <c r="CE85" s="102">
        <v>30325.333333333332</v>
      </c>
      <c r="CF85" s="102">
        <v>30325.333333333332</v>
      </c>
      <c r="CG85" s="102">
        <v>30325.333333333332</v>
      </c>
      <c r="CH85" s="102">
        <v>30325.333333333332</v>
      </c>
      <c r="CI85" s="102">
        <v>30325.333333333332</v>
      </c>
      <c r="CJ85" s="102">
        <v>30325.333333333332</v>
      </c>
      <c r="CK85" s="102">
        <v>30325.333333333332</v>
      </c>
      <c r="CL85" s="102">
        <v>30325.333333333332</v>
      </c>
      <c r="CM85" s="102">
        <v>30325.333333333332</v>
      </c>
      <c r="CN85" s="102">
        <v>30325.333333333332</v>
      </c>
      <c r="CO85" s="102">
        <v>30325.333333333332</v>
      </c>
      <c r="CP85" s="102">
        <v>30325.333333333332</v>
      </c>
      <c r="CQ85" s="102">
        <v>30325.333333333332</v>
      </c>
      <c r="CR85" s="102">
        <v>30325.333333333332</v>
      </c>
      <c r="CS85" s="102">
        <v>30325.333333333332</v>
      </c>
      <c r="CT85" s="102">
        <v>30325.333333333332</v>
      </c>
      <c r="CU85" s="102">
        <v>30325.333333333332</v>
      </c>
      <c r="CV85" s="102">
        <v>30325.333333333332</v>
      </c>
      <c r="CW85" s="102">
        <v>30325.333333333332</v>
      </c>
      <c r="CX85" s="102">
        <v>30325.333333333332</v>
      </c>
      <c r="CY85" s="102">
        <v>30325.333333333332</v>
      </c>
      <c r="CZ85" s="102">
        <v>30325.333333333332</v>
      </c>
      <c r="DA85" s="102">
        <v>30325.333333333332</v>
      </c>
      <c r="DB85" s="102">
        <v>30325.333333333332</v>
      </c>
      <c r="DC85" s="102">
        <v>30325.333333333332</v>
      </c>
      <c r="DD85" s="102">
        <v>30325.333333333332</v>
      </c>
      <c r="DE85" s="102">
        <v>30325.333333333332</v>
      </c>
      <c r="DF85" s="102">
        <v>30325.333333333332</v>
      </c>
      <c r="DG85" s="102">
        <v>30325.333333333332</v>
      </c>
      <c r="DH85" s="102">
        <v>30325.333333333332</v>
      </c>
      <c r="DI85" s="102">
        <v>30325.333333333332</v>
      </c>
      <c r="DJ85" s="102">
        <v>30325.333333333332</v>
      </c>
      <c r="DK85" s="102">
        <v>30325.333333333332</v>
      </c>
      <c r="DL85" s="102">
        <v>30325.333333333332</v>
      </c>
      <c r="DM85" s="102">
        <v>30325.333333333332</v>
      </c>
      <c r="DN85" s="102">
        <v>30325.333333333332</v>
      </c>
      <c r="DO85" s="102">
        <v>0</v>
      </c>
      <c r="DP85" s="102">
        <v>0</v>
      </c>
      <c r="DQ85" s="102">
        <v>0</v>
      </c>
      <c r="DR85" s="102">
        <v>0</v>
      </c>
      <c r="DS85" s="102">
        <v>0</v>
      </c>
      <c r="DT85" s="102">
        <v>0</v>
      </c>
      <c r="DU85" s="102">
        <v>0</v>
      </c>
      <c r="DV85" s="102">
        <v>0</v>
      </c>
      <c r="DW85" s="102">
        <v>0</v>
      </c>
      <c r="DX85" s="102">
        <v>0</v>
      </c>
      <c r="DY85" s="102">
        <v>0</v>
      </c>
      <c r="DZ85" s="102">
        <v>0</v>
      </c>
      <c r="EA85" s="102">
        <v>0</v>
      </c>
      <c r="EB85" s="102">
        <v>0</v>
      </c>
      <c r="EC85" s="102">
        <v>0</v>
      </c>
      <c r="ED85" s="102">
        <v>0</v>
      </c>
      <c r="EE85" s="102">
        <v>0</v>
      </c>
      <c r="EF85" s="102">
        <v>0</v>
      </c>
      <c r="EG85" s="102">
        <v>0</v>
      </c>
      <c r="EH85" s="102">
        <v>0</v>
      </c>
      <c r="EI85" s="102">
        <v>0</v>
      </c>
      <c r="EJ85" s="102">
        <v>0</v>
      </c>
      <c r="EK85" s="102">
        <v>0</v>
      </c>
      <c r="EL85" s="102">
        <v>0</v>
      </c>
      <c r="EM85" s="102">
        <v>0</v>
      </c>
      <c r="EN85" s="102">
        <v>0</v>
      </c>
      <c r="EO85" s="102">
        <v>0</v>
      </c>
      <c r="EP85" s="102">
        <v>0</v>
      </c>
      <c r="EQ85" s="102">
        <v>0</v>
      </c>
      <c r="ER85" s="102">
        <v>0</v>
      </c>
      <c r="ES85" s="102">
        <v>0</v>
      </c>
      <c r="ET85" s="102">
        <v>0</v>
      </c>
      <c r="EU85" s="102">
        <v>0</v>
      </c>
      <c r="EV85" s="102">
        <v>0</v>
      </c>
      <c r="EW85" s="102">
        <v>0</v>
      </c>
      <c r="EX85" s="102">
        <v>0</v>
      </c>
      <c r="EY85" s="102">
        <v>0</v>
      </c>
      <c r="EZ85" s="102">
        <v>0</v>
      </c>
      <c r="FA85" s="102">
        <v>0</v>
      </c>
      <c r="FB85" s="102">
        <v>0</v>
      </c>
      <c r="FC85" s="102">
        <v>0</v>
      </c>
      <c r="FD85" s="102">
        <v>0</v>
      </c>
      <c r="FE85" s="102">
        <v>0</v>
      </c>
      <c r="FF85" s="102">
        <v>0</v>
      </c>
      <c r="FG85" s="102">
        <v>0</v>
      </c>
      <c r="FH85" s="102">
        <v>0</v>
      </c>
      <c r="FI85" s="102">
        <v>0</v>
      </c>
      <c r="FJ85" s="71">
        <v>0</v>
      </c>
    </row>
    <row r="86" spans="1:166" x14ac:dyDescent="0.3">
      <c r="A86" s="401" t="s">
        <v>872</v>
      </c>
      <c r="B86" s="103" t="s">
        <v>424</v>
      </c>
      <c r="C86" s="419" t="s">
        <v>925</v>
      </c>
      <c r="D86" s="419" t="s">
        <v>653</v>
      </c>
      <c r="E86" s="419" t="s">
        <v>860</v>
      </c>
      <c r="F86" s="103" t="s">
        <v>823</v>
      </c>
      <c r="G86" s="103" t="s">
        <v>802</v>
      </c>
      <c r="H86" s="103" t="s">
        <v>824</v>
      </c>
      <c r="I86" s="103">
        <v>0</v>
      </c>
      <c r="J86" s="103" t="s">
        <v>889</v>
      </c>
      <c r="K86" s="103">
        <v>0</v>
      </c>
      <c r="L86" s="103" t="s">
        <v>859</v>
      </c>
      <c r="M86" s="103">
        <v>2</v>
      </c>
      <c r="N86" s="103">
        <v>0</v>
      </c>
      <c r="O86" s="103">
        <v>12465240</v>
      </c>
      <c r="P86" s="393">
        <f t="shared" si="1"/>
        <v>24930480</v>
      </c>
      <c r="Q86" s="103">
        <v>48</v>
      </c>
      <c r="R86" s="103">
        <v>36</v>
      </c>
      <c r="S86" s="103">
        <v>0.04</v>
      </c>
      <c r="T86" s="395">
        <v>1</v>
      </c>
      <c r="U86" s="103">
        <v>0</v>
      </c>
      <c r="V86" s="102">
        <v>83101.600000000006</v>
      </c>
      <c r="W86" s="102">
        <v>2991657.5999999996</v>
      </c>
      <c r="X86" s="102">
        <v>0</v>
      </c>
      <c r="Y86" s="102">
        <v>0</v>
      </c>
      <c r="Z86" s="102">
        <v>0</v>
      </c>
      <c r="AA86" s="102">
        <v>0</v>
      </c>
      <c r="AB86" s="102">
        <v>997219.19999999984</v>
      </c>
      <c r="AC86" s="102">
        <v>997219.19999999984</v>
      </c>
      <c r="AD86" s="102">
        <v>997219.19999999984</v>
      </c>
      <c r="AE86" s="102">
        <v>0</v>
      </c>
      <c r="AF86" s="102">
        <v>0</v>
      </c>
      <c r="AG86" s="102">
        <v>0</v>
      </c>
      <c r="AH86" s="102">
        <v>0</v>
      </c>
      <c r="AI86" s="399">
        <v>0</v>
      </c>
      <c r="AJ86" s="399">
        <v>0</v>
      </c>
      <c r="AK86" s="399">
        <v>0</v>
      </c>
      <c r="AL86" s="399">
        <v>0</v>
      </c>
      <c r="AM86" s="399">
        <v>0</v>
      </c>
      <c r="AN86" s="399">
        <v>0</v>
      </c>
      <c r="AO86" s="399">
        <v>0</v>
      </c>
      <c r="AP86" s="399">
        <v>0</v>
      </c>
      <c r="AQ86" s="399">
        <v>0</v>
      </c>
      <c r="AR86" s="399">
        <v>0</v>
      </c>
      <c r="AS86" s="399">
        <v>0</v>
      </c>
      <c r="AT86" s="399">
        <v>0</v>
      </c>
      <c r="AU86" s="399">
        <v>0</v>
      </c>
      <c r="AV86" s="399">
        <v>0</v>
      </c>
      <c r="AW86" s="399">
        <v>0</v>
      </c>
      <c r="AX86" s="399">
        <v>0</v>
      </c>
      <c r="AY86" s="399">
        <v>0</v>
      </c>
      <c r="AZ86" s="399">
        <v>0</v>
      </c>
      <c r="BA86" s="399">
        <v>0</v>
      </c>
      <c r="BB86" s="399">
        <v>0</v>
      </c>
      <c r="BC86" s="399">
        <v>0</v>
      </c>
      <c r="BD86" s="399">
        <v>0</v>
      </c>
      <c r="BE86" s="399">
        <v>0</v>
      </c>
      <c r="BF86" s="399">
        <v>0</v>
      </c>
      <c r="BG86" s="399">
        <v>0</v>
      </c>
      <c r="BH86" s="399">
        <v>0</v>
      </c>
      <c r="BI86" s="399">
        <v>0</v>
      </c>
      <c r="BJ86" s="399">
        <v>0</v>
      </c>
      <c r="BK86" s="399">
        <v>0</v>
      </c>
      <c r="BL86" s="399">
        <v>0</v>
      </c>
      <c r="BM86" s="399">
        <v>0</v>
      </c>
      <c r="BN86" s="399">
        <v>0</v>
      </c>
      <c r="BO86" s="399">
        <v>0</v>
      </c>
      <c r="BP86" s="399">
        <v>0</v>
      </c>
      <c r="BQ86" s="399">
        <v>0</v>
      </c>
      <c r="BR86" s="399">
        <v>0</v>
      </c>
      <c r="BS86" s="399">
        <v>0</v>
      </c>
      <c r="BT86" s="399">
        <v>0</v>
      </c>
      <c r="BU86" s="399">
        <v>0</v>
      </c>
      <c r="BV86" s="399">
        <v>0</v>
      </c>
      <c r="BW86" s="399">
        <v>0</v>
      </c>
      <c r="BX86" s="399">
        <v>0</v>
      </c>
      <c r="BY86" s="399">
        <v>0</v>
      </c>
      <c r="BZ86" s="399">
        <v>0</v>
      </c>
      <c r="CA86" s="399">
        <v>0</v>
      </c>
      <c r="CB86" s="399">
        <v>0</v>
      </c>
      <c r="CC86" s="399">
        <v>0</v>
      </c>
      <c r="CD86" s="399">
        <v>0</v>
      </c>
      <c r="CE86" s="102">
        <v>83101.600000000006</v>
      </c>
      <c r="CF86" s="102">
        <v>83101.600000000006</v>
      </c>
      <c r="CG86" s="102">
        <v>83101.600000000006</v>
      </c>
      <c r="CH86" s="102">
        <v>83101.600000000006</v>
      </c>
      <c r="CI86" s="102">
        <v>83101.600000000006</v>
      </c>
      <c r="CJ86" s="102">
        <v>83101.600000000006</v>
      </c>
      <c r="CK86" s="102">
        <v>83101.600000000006</v>
      </c>
      <c r="CL86" s="102">
        <v>83101.600000000006</v>
      </c>
      <c r="CM86" s="102">
        <v>83101.600000000006</v>
      </c>
      <c r="CN86" s="102">
        <v>83101.600000000006</v>
      </c>
      <c r="CO86" s="102">
        <v>83101.600000000006</v>
      </c>
      <c r="CP86" s="102">
        <v>83101.600000000006</v>
      </c>
      <c r="CQ86" s="102">
        <v>83101.600000000006</v>
      </c>
      <c r="CR86" s="102">
        <v>83101.600000000006</v>
      </c>
      <c r="CS86" s="102">
        <v>83101.600000000006</v>
      </c>
      <c r="CT86" s="102">
        <v>83101.600000000006</v>
      </c>
      <c r="CU86" s="102">
        <v>83101.600000000006</v>
      </c>
      <c r="CV86" s="102">
        <v>83101.600000000006</v>
      </c>
      <c r="CW86" s="102">
        <v>83101.600000000006</v>
      </c>
      <c r="CX86" s="102">
        <v>83101.600000000006</v>
      </c>
      <c r="CY86" s="102">
        <v>83101.600000000006</v>
      </c>
      <c r="CZ86" s="102">
        <v>83101.600000000006</v>
      </c>
      <c r="DA86" s="102">
        <v>83101.600000000006</v>
      </c>
      <c r="DB86" s="102">
        <v>83101.600000000006</v>
      </c>
      <c r="DC86" s="102">
        <v>83101.600000000006</v>
      </c>
      <c r="DD86" s="102">
        <v>83101.600000000006</v>
      </c>
      <c r="DE86" s="102">
        <v>83101.600000000006</v>
      </c>
      <c r="DF86" s="102">
        <v>83101.600000000006</v>
      </c>
      <c r="DG86" s="102">
        <v>83101.600000000006</v>
      </c>
      <c r="DH86" s="102">
        <v>83101.600000000006</v>
      </c>
      <c r="DI86" s="102">
        <v>83101.600000000006</v>
      </c>
      <c r="DJ86" s="102">
        <v>83101.600000000006</v>
      </c>
      <c r="DK86" s="102">
        <v>83101.600000000006</v>
      </c>
      <c r="DL86" s="102">
        <v>83101.600000000006</v>
      </c>
      <c r="DM86" s="102">
        <v>83101.600000000006</v>
      </c>
      <c r="DN86" s="102">
        <v>83101.600000000006</v>
      </c>
      <c r="DO86" s="102">
        <v>0</v>
      </c>
      <c r="DP86" s="102">
        <v>0</v>
      </c>
      <c r="DQ86" s="102">
        <v>0</v>
      </c>
      <c r="DR86" s="102">
        <v>0</v>
      </c>
      <c r="DS86" s="102">
        <v>0</v>
      </c>
      <c r="DT86" s="102">
        <v>0</v>
      </c>
      <c r="DU86" s="102">
        <v>0</v>
      </c>
      <c r="DV86" s="102">
        <v>0</v>
      </c>
      <c r="DW86" s="102">
        <v>0</v>
      </c>
      <c r="DX86" s="102">
        <v>0</v>
      </c>
      <c r="DY86" s="102">
        <v>0</v>
      </c>
      <c r="DZ86" s="102">
        <v>0</v>
      </c>
      <c r="EA86" s="102">
        <v>0</v>
      </c>
      <c r="EB86" s="102">
        <v>0</v>
      </c>
      <c r="EC86" s="102">
        <v>0</v>
      </c>
      <c r="ED86" s="102">
        <v>0</v>
      </c>
      <c r="EE86" s="102">
        <v>0</v>
      </c>
      <c r="EF86" s="102">
        <v>0</v>
      </c>
      <c r="EG86" s="102">
        <v>0</v>
      </c>
      <c r="EH86" s="102">
        <v>0</v>
      </c>
      <c r="EI86" s="102">
        <v>0</v>
      </c>
      <c r="EJ86" s="102">
        <v>0</v>
      </c>
      <c r="EK86" s="102">
        <v>0</v>
      </c>
      <c r="EL86" s="102">
        <v>0</v>
      </c>
      <c r="EM86" s="102">
        <v>0</v>
      </c>
      <c r="EN86" s="102">
        <v>0</v>
      </c>
      <c r="EO86" s="102">
        <v>0</v>
      </c>
      <c r="EP86" s="102">
        <v>0</v>
      </c>
      <c r="EQ86" s="102">
        <v>0</v>
      </c>
      <c r="ER86" s="102">
        <v>0</v>
      </c>
      <c r="ES86" s="102">
        <v>0</v>
      </c>
      <c r="ET86" s="102">
        <v>0</v>
      </c>
      <c r="EU86" s="102">
        <v>0</v>
      </c>
      <c r="EV86" s="102">
        <v>0</v>
      </c>
      <c r="EW86" s="102">
        <v>0</v>
      </c>
      <c r="EX86" s="102">
        <v>0</v>
      </c>
      <c r="EY86" s="102">
        <v>0</v>
      </c>
      <c r="EZ86" s="102">
        <v>0</v>
      </c>
      <c r="FA86" s="102">
        <v>0</v>
      </c>
      <c r="FB86" s="102">
        <v>0</v>
      </c>
      <c r="FC86" s="102">
        <v>0</v>
      </c>
      <c r="FD86" s="102">
        <v>0</v>
      </c>
      <c r="FE86" s="102">
        <v>0</v>
      </c>
      <c r="FF86" s="102">
        <v>0</v>
      </c>
      <c r="FG86" s="102">
        <v>0</v>
      </c>
      <c r="FH86" s="102">
        <v>0</v>
      </c>
      <c r="FI86" s="102">
        <v>0</v>
      </c>
      <c r="FJ86" s="71">
        <v>0</v>
      </c>
    </row>
    <row r="87" spans="1:166" x14ac:dyDescent="0.3">
      <c r="A87" s="401" t="s">
        <v>873</v>
      </c>
      <c r="B87" s="103" t="s">
        <v>424</v>
      </c>
      <c r="C87" s="419" t="s">
        <v>925</v>
      </c>
      <c r="D87" s="419" t="s">
        <v>653</v>
      </c>
      <c r="E87" s="419" t="s">
        <v>860</v>
      </c>
      <c r="F87" s="103" t="s">
        <v>825</v>
      </c>
      <c r="G87" s="103" t="s">
        <v>802</v>
      </c>
      <c r="H87" s="103" t="s">
        <v>826</v>
      </c>
      <c r="I87" s="103">
        <v>0</v>
      </c>
      <c r="J87" s="103" t="s">
        <v>889</v>
      </c>
      <c r="K87" s="103">
        <v>0</v>
      </c>
      <c r="L87" s="103" t="s">
        <v>859</v>
      </c>
      <c r="M87" s="103">
        <v>1</v>
      </c>
      <c r="N87" s="103">
        <v>0</v>
      </c>
      <c r="O87" s="103">
        <v>12704010</v>
      </c>
      <c r="P87" s="393">
        <f t="shared" si="1"/>
        <v>12704010</v>
      </c>
      <c r="Q87" s="103">
        <v>48</v>
      </c>
      <c r="R87" s="103">
        <v>36</v>
      </c>
      <c r="S87" s="103">
        <v>0.04</v>
      </c>
      <c r="T87" s="395">
        <v>1</v>
      </c>
      <c r="U87" s="103">
        <v>0</v>
      </c>
      <c r="V87" s="102">
        <v>42346.700000000004</v>
      </c>
      <c r="W87" s="102">
        <v>1524481.2000000002</v>
      </c>
      <c r="X87" s="102">
        <v>0</v>
      </c>
      <c r="Y87" s="102">
        <v>0</v>
      </c>
      <c r="Z87" s="102">
        <v>0</v>
      </c>
      <c r="AA87" s="102">
        <v>0</v>
      </c>
      <c r="AB87" s="102">
        <v>508160.40000000008</v>
      </c>
      <c r="AC87" s="102">
        <v>508160.40000000008</v>
      </c>
      <c r="AD87" s="102">
        <v>508160.40000000008</v>
      </c>
      <c r="AE87" s="102">
        <v>0</v>
      </c>
      <c r="AF87" s="102">
        <v>0</v>
      </c>
      <c r="AG87" s="102">
        <v>0</v>
      </c>
      <c r="AH87" s="102">
        <v>0</v>
      </c>
      <c r="AI87" s="399">
        <v>0</v>
      </c>
      <c r="AJ87" s="399">
        <v>0</v>
      </c>
      <c r="AK87" s="399">
        <v>0</v>
      </c>
      <c r="AL87" s="399">
        <v>0</v>
      </c>
      <c r="AM87" s="399">
        <v>0</v>
      </c>
      <c r="AN87" s="399">
        <v>0</v>
      </c>
      <c r="AO87" s="399">
        <v>0</v>
      </c>
      <c r="AP87" s="399">
        <v>0</v>
      </c>
      <c r="AQ87" s="399">
        <v>0</v>
      </c>
      <c r="AR87" s="399">
        <v>0</v>
      </c>
      <c r="AS87" s="399">
        <v>0</v>
      </c>
      <c r="AT87" s="399">
        <v>0</v>
      </c>
      <c r="AU87" s="399">
        <v>0</v>
      </c>
      <c r="AV87" s="399">
        <v>0</v>
      </c>
      <c r="AW87" s="399">
        <v>0</v>
      </c>
      <c r="AX87" s="399">
        <v>0</v>
      </c>
      <c r="AY87" s="399">
        <v>0</v>
      </c>
      <c r="AZ87" s="399">
        <v>0</v>
      </c>
      <c r="BA87" s="399">
        <v>0</v>
      </c>
      <c r="BB87" s="399">
        <v>0</v>
      </c>
      <c r="BC87" s="399">
        <v>0</v>
      </c>
      <c r="BD87" s="399">
        <v>0</v>
      </c>
      <c r="BE87" s="399">
        <v>0</v>
      </c>
      <c r="BF87" s="399">
        <v>0</v>
      </c>
      <c r="BG87" s="399">
        <v>0</v>
      </c>
      <c r="BH87" s="399">
        <v>0</v>
      </c>
      <c r="BI87" s="399">
        <v>0</v>
      </c>
      <c r="BJ87" s="399">
        <v>0</v>
      </c>
      <c r="BK87" s="399">
        <v>0</v>
      </c>
      <c r="BL87" s="399">
        <v>0</v>
      </c>
      <c r="BM87" s="399">
        <v>0</v>
      </c>
      <c r="BN87" s="399">
        <v>0</v>
      </c>
      <c r="BO87" s="399">
        <v>0</v>
      </c>
      <c r="BP87" s="399">
        <v>0</v>
      </c>
      <c r="BQ87" s="399">
        <v>0</v>
      </c>
      <c r="BR87" s="399">
        <v>0</v>
      </c>
      <c r="BS87" s="399">
        <v>0</v>
      </c>
      <c r="BT87" s="399">
        <v>0</v>
      </c>
      <c r="BU87" s="399">
        <v>0</v>
      </c>
      <c r="BV87" s="399">
        <v>0</v>
      </c>
      <c r="BW87" s="399">
        <v>0</v>
      </c>
      <c r="BX87" s="399">
        <v>0</v>
      </c>
      <c r="BY87" s="399">
        <v>0</v>
      </c>
      <c r="BZ87" s="399">
        <v>0</v>
      </c>
      <c r="CA87" s="399">
        <v>0</v>
      </c>
      <c r="CB87" s="399">
        <v>0</v>
      </c>
      <c r="CC87" s="399">
        <v>0</v>
      </c>
      <c r="CD87" s="399">
        <v>0</v>
      </c>
      <c r="CE87" s="102">
        <v>42346.700000000004</v>
      </c>
      <c r="CF87" s="102">
        <v>42346.700000000004</v>
      </c>
      <c r="CG87" s="102">
        <v>42346.700000000004</v>
      </c>
      <c r="CH87" s="102">
        <v>42346.700000000004</v>
      </c>
      <c r="CI87" s="102">
        <v>42346.700000000004</v>
      </c>
      <c r="CJ87" s="102">
        <v>42346.700000000004</v>
      </c>
      <c r="CK87" s="102">
        <v>42346.700000000004</v>
      </c>
      <c r="CL87" s="102">
        <v>42346.700000000004</v>
      </c>
      <c r="CM87" s="102">
        <v>42346.700000000004</v>
      </c>
      <c r="CN87" s="102">
        <v>42346.700000000004</v>
      </c>
      <c r="CO87" s="102">
        <v>42346.700000000004</v>
      </c>
      <c r="CP87" s="102">
        <v>42346.700000000004</v>
      </c>
      <c r="CQ87" s="102">
        <v>42346.700000000004</v>
      </c>
      <c r="CR87" s="102">
        <v>42346.700000000004</v>
      </c>
      <c r="CS87" s="102">
        <v>42346.700000000004</v>
      </c>
      <c r="CT87" s="102">
        <v>42346.700000000004</v>
      </c>
      <c r="CU87" s="102">
        <v>42346.700000000004</v>
      </c>
      <c r="CV87" s="102">
        <v>42346.700000000004</v>
      </c>
      <c r="CW87" s="102">
        <v>42346.700000000004</v>
      </c>
      <c r="CX87" s="102">
        <v>42346.700000000004</v>
      </c>
      <c r="CY87" s="102">
        <v>42346.700000000004</v>
      </c>
      <c r="CZ87" s="102">
        <v>42346.700000000004</v>
      </c>
      <c r="DA87" s="102">
        <v>42346.700000000004</v>
      </c>
      <c r="DB87" s="102">
        <v>42346.700000000004</v>
      </c>
      <c r="DC87" s="102">
        <v>42346.700000000004</v>
      </c>
      <c r="DD87" s="102">
        <v>42346.700000000004</v>
      </c>
      <c r="DE87" s="102">
        <v>42346.700000000004</v>
      </c>
      <c r="DF87" s="102">
        <v>42346.700000000004</v>
      </c>
      <c r="DG87" s="102">
        <v>42346.700000000004</v>
      </c>
      <c r="DH87" s="102">
        <v>42346.700000000004</v>
      </c>
      <c r="DI87" s="102">
        <v>42346.700000000004</v>
      </c>
      <c r="DJ87" s="102">
        <v>42346.700000000004</v>
      </c>
      <c r="DK87" s="102">
        <v>42346.700000000004</v>
      </c>
      <c r="DL87" s="102">
        <v>42346.700000000004</v>
      </c>
      <c r="DM87" s="102">
        <v>42346.700000000004</v>
      </c>
      <c r="DN87" s="102">
        <v>42346.700000000004</v>
      </c>
      <c r="DO87" s="102">
        <v>0</v>
      </c>
      <c r="DP87" s="102">
        <v>0</v>
      </c>
      <c r="DQ87" s="102">
        <v>0</v>
      </c>
      <c r="DR87" s="102">
        <v>0</v>
      </c>
      <c r="DS87" s="102">
        <v>0</v>
      </c>
      <c r="DT87" s="102">
        <v>0</v>
      </c>
      <c r="DU87" s="102">
        <v>0</v>
      </c>
      <c r="DV87" s="102">
        <v>0</v>
      </c>
      <c r="DW87" s="102">
        <v>0</v>
      </c>
      <c r="DX87" s="102">
        <v>0</v>
      </c>
      <c r="DY87" s="102">
        <v>0</v>
      </c>
      <c r="DZ87" s="102">
        <v>0</v>
      </c>
      <c r="EA87" s="102">
        <v>0</v>
      </c>
      <c r="EB87" s="102">
        <v>0</v>
      </c>
      <c r="EC87" s="102">
        <v>0</v>
      </c>
      <c r="ED87" s="102">
        <v>0</v>
      </c>
      <c r="EE87" s="102">
        <v>0</v>
      </c>
      <c r="EF87" s="102">
        <v>0</v>
      </c>
      <c r="EG87" s="102">
        <v>0</v>
      </c>
      <c r="EH87" s="102">
        <v>0</v>
      </c>
      <c r="EI87" s="102">
        <v>0</v>
      </c>
      <c r="EJ87" s="102">
        <v>0</v>
      </c>
      <c r="EK87" s="102">
        <v>0</v>
      </c>
      <c r="EL87" s="102">
        <v>0</v>
      </c>
      <c r="EM87" s="102">
        <v>0</v>
      </c>
      <c r="EN87" s="102">
        <v>0</v>
      </c>
      <c r="EO87" s="102">
        <v>0</v>
      </c>
      <c r="EP87" s="102">
        <v>0</v>
      </c>
      <c r="EQ87" s="102">
        <v>0</v>
      </c>
      <c r="ER87" s="102">
        <v>0</v>
      </c>
      <c r="ES87" s="102">
        <v>0</v>
      </c>
      <c r="ET87" s="102">
        <v>0</v>
      </c>
      <c r="EU87" s="102">
        <v>0</v>
      </c>
      <c r="EV87" s="102">
        <v>0</v>
      </c>
      <c r="EW87" s="102">
        <v>0</v>
      </c>
      <c r="EX87" s="102">
        <v>0</v>
      </c>
      <c r="EY87" s="102">
        <v>0</v>
      </c>
      <c r="EZ87" s="102">
        <v>0</v>
      </c>
      <c r="FA87" s="102">
        <v>0</v>
      </c>
      <c r="FB87" s="102">
        <v>0</v>
      </c>
      <c r="FC87" s="102">
        <v>0</v>
      </c>
      <c r="FD87" s="102">
        <v>0</v>
      </c>
      <c r="FE87" s="102">
        <v>0</v>
      </c>
      <c r="FF87" s="102">
        <v>0</v>
      </c>
      <c r="FG87" s="102">
        <v>0</v>
      </c>
      <c r="FH87" s="102">
        <v>0</v>
      </c>
      <c r="FI87" s="102">
        <v>0</v>
      </c>
      <c r="FJ87" s="71">
        <v>0</v>
      </c>
    </row>
    <row r="88" spans="1:166" x14ac:dyDescent="0.3">
      <c r="A88" s="401" t="s">
        <v>874</v>
      </c>
      <c r="B88" s="103" t="s">
        <v>424</v>
      </c>
      <c r="C88" s="419" t="s">
        <v>925</v>
      </c>
      <c r="D88" s="419" t="s">
        <v>653</v>
      </c>
      <c r="E88" s="419" t="s">
        <v>860</v>
      </c>
      <c r="F88" s="103" t="s">
        <v>827</v>
      </c>
      <c r="G88" s="103" t="s">
        <v>828</v>
      </c>
      <c r="H88" s="103" t="s">
        <v>829</v>
      </c>
      <c r="I88" s="103">
        <v>0</v>
      </c>
      <c r="J88" s="103" t="s">
        <v>889</v>
      </c>
      <c r="K88" s="103">
        <v>0</v>
      </c>
      <c r="L88" s="103" t="s">
        <v>859</v>
      </c>
      <c r="M88" s="103">
        <v>1</v>
      </c>
      <c r="N88" s="103">
        <v>0</v>
      </c>
      <c r="O88" s="103">
        <v>43000000</v>
      </c>
      <c r="P88" s="393">
        <f t="shared" si="1"/>
        <v>43000000</v>
      </c>
      <c r="Q88" s="103">
        <v>48</v>
      </c>
      <c r="R88" s="103">
        <v>36</v>
      </c>
      <c r="S88" s="103">
        <v>0.08</v>
      </c>
      <c r="T88" s="395">
        <v>1</v>
      </c>
      <c r="U88" s="103">
        <v>0</v>
      </c>
      <c r="V88" s="102">
        <v>286666.66666666669</v>
      </c>
      <c r="W88" s="102">
        <v>10319999.999999998</v>
      </c>
      <c r="X88" s="102">
        <v>0</v>
      </c>
      <c r="Y88" s="102">
        <v>0</v>
      </c>
      <c r="Z88" s="102">
        <v>0</v>
      </c>
      <c r="AA88" s="102">
        <v>0</v>
      </c>
      <c r="AB88" s="102">
        <v>3439999.9999999995</v>
      </c>
      <c r="AC88" s="102">
        <v>3439999.9999999995</v>
      </c>
      <c r="AD88" s="102">
        <v>3439999.9999999995</v>
      </c>
      <c r="AE88" s="102">
        <v>0</v>
      </c>
      <c r="AF88" s="102">
        <v>0</v>
      </c>
      <c r="AG88" s="102">
        <v>0</v>
      </c>
      <c r="AH88" s="102">
        <v>0</v>
      </c>
      <c r="AI88" s="399">
        <v>0</v>
      </c>
      <c r="AJ88" s="399">
        <v>0</v>
      </c>
      <c r="AK88" s="399">
        <v>0</v>
      </c>
      <c r="AL88" s="399">
        <v>0</v>
      </c>
      <c r="AM88" s="399">
        <v>0</v>
      </c>
      <c r="AN88" s="399">
        <v>0</v>
      </c>
      <c r="AO88" s="399">
        <v>0</v>
      </c>
      <c r="AP88" s="399">
        <v>0</v>
      </c>
      <c r="AQ88" s="399">
        <v>0</v>
      </c>
      <c r="AR88" s="399">
        <v>0</v>
      </c>
      <c r="AS88" s="399">
        <v>0</v>
      </c>
      <c r="AT88" s="399">
        <v>0</v>
      </c>
      <c r="AU88" s="399">
        <v>0</v>
      </c>
      <c r="AV88" s="399">
        <v>0</v>
      </c>
      <c r="AW88" s="399">
        <v>0</v>
      </c>
      <c r="AX88" s="399">
        <v>0</v>
      </c>
      <c r="AY88" s="399">
        <v>0</v>
      </c>
      <c r="AZ88" s="399">
        <v>0</v>
      </c>
      <c r="BA88" s="399">
        <v>0</v>
      </c>
      <c r="BB88" s="399">
        <v>0</v>
      </c>
      <c r="BC88" s="399">
        <v>0</v>
      </c>
      <c r="BD88" s="399">
        <v>0</v>
      </c>
      <c r="BE88" s="399">
        <v>0</v>
      </c>
      <c r="BF88" s="399">
        <v>0</v>
      </c>
      <c r="BG88" s="399">
        <v>0</v>
      </c>
      <c r="BH88" s="399">
        <v>0</v>
      </c>
      <c r="BI88" s="399">
        <v>0</v>
      </c>
      <c r="BJ88" s="399">
        <v>0</v>
      </c>
      <c r="BK88" s="399">
        <v>0</v>
      </c>
      <c r="BL88" s="399">
        <v>0</v>
      </c>
      <c r="BM88" s="399">
        <v>0</v>
      </c>
      <c r="BN88" s="399">
        <v>0</v>
      </c>
      <c r="BO88" s="399">
        <v>0</v>
      </c>
      <c r="BP88" s="399">
        <v>0</v>
      </c>
      <c r="BQ88" s="399">
        <v>0</v>
      </c>
      <c r="BR88" s="399">
        <v>0</v>
      </c>
      <c r="BS88" s="399">
        <v>0</v>
      </c>
      <c r="BT88" s="399">
        <v>0</v>
      </c>
      <c r="BU88" s="399">
        <v>0</v>
      </c>
      <c r="BV88" s="399">
        <v>0</v>
      </c>
      <c r="BW88" s="399">
        <v>0</v>
      </c>
      <c r="BX88" s="399">
        <v>0</v>
      </c>
      <c r="BY88" s="399">
        <v>0</v>
      </c>
      <c r="BZ88" s="399">
        <v>0</v>
      </c>
      <c r="CA88" s="399">
        <v>0</v>
      </c>
      <c r="CB88" s="399">
        <v>0</v>
      </c>
      <c r="CC88" s="399">
        <v>0</v>
      </c>
      <c r="CD88" s="399">
        <v>0</v>
      </c>
      <c r="CE88" s="102">
        <v>286666.66666666669</v>
      </c>
      <c r="CF88" s="102">
        <v>286666.66666666669</v>
      </c>
      <c r="CG88" s="102">
        <v>286666.66666666669</v>
      </c>
      <c r="CH88" s="102">
        <v>286666.66666666669</v>
      </c>
      <c r="CI88" s="102">
        <v>286666.66666666669</v>
      </c>
      <c r="CJ88" s="102">
        <v>286666.66666666669</v>
      </c>
      <c r="CK88" s="102">
        <v>286666.66666666669</v>
      </c>
      <c r="CL88" s="102">
        <v>286666.66666666669</v>
      </c>
      <c r="CM88" s="102">
        <v>286666.66666666669</v>
      </c>
      <c r="CN88" s="102">
        <v>286666.66666666669</v>
      </c>
      <c r="CO88" s="102">
        <v>286666.66666666669</v>
      </c>
      <c r="CP88" s="102">
        <v>286666.66666666669</v>
      </c>
      <c r="CQ88" s="102">
        <v>286666.66666666669</v>
      </c>
      <c r="CR88" s="102">
        <v>286666.66666666669</v>
      </c>
      <c r="CS88" s="102">
        <v>286666.66666666669</v>
      </c>
      <c r="CT88" s="102">
        <v>286666.66666666669</v>
      </c>
      <c r="CU88" s="102">
        <v>286666.66666666669</v>
      </c>
      <c r="CV88" s="102">
        <v>286666.66666666669</v>
      </c>
      <c r="CW88" s="102">
        <v>286666.66666666669</v>
      </c>
      <c r="CX88" s="102">
        <v>286666.66666666669</v>
      </c>
      <c r="CY88" s="102">
        <v>286666.66666666669</v>
      </c>
      <c r="CZ88" s="102">
        <v>286666.66666666669</v>
      </c>
      <c r="DA88" s="102">
        <v>286666.66666666669</v>
      </c>
      <c r="DB88" s="102">
        <v>286666.66666666669</v>
      </c>
      <c r="DC88" s="102">
        <v>286666.66666666669</v>
      </c>
      <c r="DD88" s="102">
        <v>286666.66666666669</v>
      </c>
      <c r="DE88" s="102">
        <v>286666.66666666669</v>
      </c>
      <c r="DF88" s="102">
        <v>286666.66666666669</v>
      </c>
      <c r="DG88" s="102">
        <v>286666.66666666669</v>
      </c>
      <c r="DH88" s="102">
        <v>286666.66666666669</v>
      </c>
      <c r="DI88" s="102">
        <v>286666.66666666669</v>
      </c>
      <c r="DJ88" s="102">
        <v>286666.66666666669</v>
      </c>
      <c r="DK88" s="102">
        <v>286666.66666666669</v>
      </c>
      <c r="DL88" s="102">
        <v>286666.66666666669</v>
      </c>
      <c r="DM88" s="102">
        <v>286666.66666666669</v>
      </c>
      <c r="DN88" s="102">
        <v>286666.66666666669</v>
      </c>
      <c r="DO88" s="102">
        <v>0</v>
      </c>
      <c r="DP88" s="102">
        <v>0</v>
      </c>
      <c r="DQ88" s="102">
        <v>0</v>
      </c>
      <c r="DR88" s="102">
        <v>0</v>
      </c>
      <c r="DS88" s="102">
        <v>0</v>
      </c>
      <c r="DT88" s="102">
        <v>0</v>
      </c>
      <c r="DU88" s="102">
        <v>0</v>
      </c>
      <c r="DV88" s="102">
        <v>0</v>
      </c>
      <c r="DW88" s="102">
        <v>0</v>
      </c>
      <c r="DX88" s="102">
        <v>0</v>
      </c>
      <c r="DY88" s="102">
        <v>0</v>
      </c>
      <c r="DZ88" s="102">
        <v>0</v>
      </c>
      <c r="EA88" s="102">
        <v>0</v>
      </c>
      <c r="EB88" s="102">
        <v>0</v>
      </c>
      <c r="EC88" s="102">
        <v>0</v>
      </c>
      <c r="ED88" s="102">
        <v>0</v>
      </c>
      <c r="EE88" s="102">
        <v>0</v>
      </c>
      <c r="EF88" s="102">
        <v>0</v>
      </c>
      <c r="EG88" s="102">
        <v>0</v>
      </c>
      <c r="EH88" s="102">
        <v>0</v>
      </c>
      <c r="EI88" s="102">
        <v>0</v>
      </c>
      <c r="EJ88" s="102">
        <v>0</v>
      </c>
      <c r="EK88" s="102">
        <v>0</v>
      </c>
      <c r="EL88" s="102">
        <v>0</v>
      </c>
      <c r="EM88" s="102">
        <v>0</v>
      </c>
      <c r="EN88" s="102">
        <v>0</v>
      </c>
      <c r="EO88" s="102">
        <v>0</v>
      </c>
      <c r="EP88" s="102">
        <v>0</v>
      </c>
      <c r="EQ88" s="102">
        <v>0</v>
      </c>
      <c r="ER88" s="102">
        <v>0</v>
      </c>
      <c r="ES88" s="102">
        <v>0</v>
      </c>
      <c r="ET88" s="102">
        <v>0</v>
      </c>
      <c r="EU88" s="102">
        <v>0</v>
      </c>
      <c r="EV88" s="102">
        <v>0</v>
      </c>
      <c r="EW88" s="102">
        <v>0</v>
      </c>
      <c r="EX88" s="102">
        <v>0</v>
      </c>
      <c r="EY88" s="102">
        <v>0</v>
      </c>
      <c r="EZ88" s="102">
        <v>0</v>
      </c>
      <c r="FA88" s="102">
        <v>0</v>
      </c>
      <c r="FB88" s="102">
        <v>0</v>
      </c>
      <c r="FC88" s="102">
        <v>0</v>
      </c>
      <c r="FD88" s="102">
        <v>0</v>
      </c>
      <c r="FE88" s="102">
        <v>0</v>
      </c>
      <c r="FF88" s="102">
        <v>0</v>
      </c>
      <c r="FG88" s="102">
        <v>0</v>
      </c>
      <c r="FH88" s="102">
        <v>0</v>
      </c>
      <c r="FI88" s="102">
        <v>0</v>
      </c>
      <c r="FJ88" s="71">
        <v>0</v>
      </c>
    </row>
    <row r="89" spans="1:166" x14ac:dyDescent="0.3">
      <c r="A89" s="401" t="s">
        <v>875</v>
      </c>
      <c r="B89" s="103" t="s">
        <v>424</v>
      </c>
      <c r="C89" s="419" t="s">
        <v>925</v>
      </c>
      <c r="D89" s="419" t="s">
        <v>653</v>
      </c>
      <c r="E89" s="419" t="s">
        <v>860</v>
      </c>
      <c r="F89" s="103" t="s">
        <v>830</v>
      </c>
      <c r="G89" s="103" t="s">
        <v>828</v>
      </c>
      <c r="H89" s="103" t="s">
        <v>831</v>
      </c>
      <c r="I89" s="103">
        <v>0</v>
      </c>
      <c r="J89" s="103" t="s">
        <v>889</v>
      </c>
      <c r="K89" s="103">
        <v>0</v>
      </c>
      <c r="L89" s="103" t="s">
        <v>859</v>
      </c>
      <c r="M89" s="103">
        <v>1</v>
      </c>
      <c r="N89" s="103">
        <v>0</v>
      </c>
      <c r="O89" s="103">
        <v>41000000</v>
      </c>
      <c r="P89" s="393">
        <f t="shared" si="1"/>
        <v>41000000</v>
      </c>
      <c r="Q89" s="103">
        <v>48</v>
      </c>
      <c r="R89" s="103">
        <v>36</v>
      </c>
      <c r="S89" s="103">
        <v>0.08</v>
      </c>
      <c r="T89" s="395">
        <v>1</v>
      </c>
      <c r="U89" s="103">
        <v>0</v>
      </c>
      <c r="V89" s="102">
        <v>273333.33333333331</v>
      </c>
      <c r="W89" s="102">
        <v>9840000.0000000019</v>
      </c>
      <c r="X89" s="102">
        <v>0</v>
      </c>
      <c r="Y89" s="102">
        <v>0</v>
      </c>
      <c r="Z89" s="102">
        <v>0</v>
      </c>
      <c r="AA89" s="102">
        <v>0</v>
      </c>
      <c r="AB89" s="102">
        <v>3280000.0000000005</v>
      </c>
      <c r="AC89" s="102">
        <v>3280000.0000000005</v>
      </c>
      <c r="AD89" s="102">
        <v>3280000.0000000005</v>
      </c>
      <c r="AE89" s="102">
        <v>0</v>
      </c>
      <c r="AF89" s="102">
        <v>0</v>
      </c>
      <c r="AG89" s="102">
        <v>0</v>
      </c>
      <c r="AH89" s="102">
        <v>0</v>
      </c>
      <c r="AI89" s="399">
        <v>0</v>
      </c>
      <c r="AJ89" s="399">
        <v>0</v>
      </c>
      <c r="AK89" s="399">
        <v>0</v>
      </c>
      <c r="AL89" s="399">
        <v>0</v>
      </c>
      <c r="AM89" s="399">
        <v>0</v>
      </c>
      <c r="AN89" s="399">
        <v>0</v>
      </c>
      <c r="AO89" s="399">
        <v>0</v>
      </c>
      <c r="AP89" s="399">
        <v>0</v>
      </c>
      <c r="AQ89" s="399">
        <v>0</v>
      </c>
      <c r="AR89" s="399">
        <v>0</v>
      </c>
      <c r="AS89" s="399">
        <v>0</v>
      </c>
      <c r="AT89" s="399">
        <v>0</v>
      </c>
      <c r="AU89" s="399">
        <v>0</v>
      </c>
      <c r="AV89" s="399">
        <v>0</v>
      </c>
      <c r="AW89" s="399">
        <v>0</v>
      </c>
      <c r="AX89" s="399">
        <v>0</v>
      </c>
      <c r="AY89" s="399">
        <v>0</v>
      </c>
      <c r="AZ89" s="399">
        <v>0</v>
      </c>
      <c r="BA89" s="399">
        <v>0</v>
      </c>
      <c r="BB89" s="399">
        <v>0</v>
      </c>
      <c r="BC89" s="399">
        <v>0</v>
      </c>
      <c r="BD89" s="399">
        <v>0</v>
      </c>
      <c r="BE89" s="399">
        <v>0</v>
      </c>
      <c r="BF89" s="399">
        <v>0</v>
      </c>
      <c r="BG89" s="399">
        <v>0</v>
      </c>
      <c r="BH89" s="399">
        <v>0</v>
      </c>
      <c r="BI89" s="399">
        <v>0</v>
      </c>
      <c r="BJ89" s="399">
        <v>0</v>
      </c>
      <c r="BK89" s="399">
        <v>0</v>
      </c>
      <c r="BL89" s="399">
        <v>0</v>
      </c>
      <c r="BM89" s="399">
        <v>0</v>
      </c>
      <c r="BN89" s="399">
        <v>0</v>
      </c>
      <c r="BO89" s="399">
        <v>0</v>
      </c>
      <c r="BP89" s="399">
        <v>0</v>
      </c>
      <c r="BQ89" s="399">
        <v>0</v>
      </c>
      <c r="BR89" s="399">
        <v>0</v>
      </c>
      <c r="BS89" s="399">
        <v>0</v>
      </c>
      <c r="BT89" s="399">
        <v>0</v>
      </c>
      <c r="BU89" s="399">
        <v>0</v>
      </c>
      <c r="BV89" s="399">
        <v>0</v>
      </c>
      <c r="BW89" s="399">
        <v>0</v>
      </c>
      <c r="BX89" s="399">
        <v>0</v>
      </c>
      <c r="BY89" s="399">
        <v>0</v>
      </c>
      <c r="BZ89" s="399">
        <v>0</v>
      </c>
      <c r="CA89" s="399">
        <v>0</v>
      </c>
      <c r="CB89" s="399">
        <v>0</v>
      </c>
      <c r="CC89" s="399">
        <v>0</v>
      </c>
      <c r="CD89" s="399">
        <v>0</v>
      </c>
      <c r="CE89" s="102">
        <v>273333.33333333331</v>
      </c>
      <c r="CF89" s="102">
        <v>273333.33333333331</v>
      </c>
      <c r="CG89" s="102">
        <v>273333.33333333331</v>
      </c>
      <c r="CH89" s="102">
        <v>273333.33333333331</v>
      </c>
      <c r="CI89" s="102">
        <v>273333.33333333331</v>
      </c>
      <c r="CJ89" s="102">
        <v>273333.33333333331</v>
      </c>
      <c r="CK89" s="102">
        <v>273333.33333333331</v>
      </c>
      <c r="CL89" s="102">
        <v>273333.33333333331</v>
      </c>
      <c r="CM89" s="102">
        <v>273333.33333333331</v>
      </c>
      <c r="CN89" s="102">
        <v>273333.33333333331</v>
      </c>
      <c r="CO89" s="102">
        <v>273333.33333333331</v>
      </c>
      <c r="CP89" s="102">
        <v>273333.33333333331</v>
      </c>
      <c r="CQ89" s="102">
        <v>273333.33333333331</v>
      </c>
      <c r="CR89" s="102">
        <v>273333.33333333331</v>
      </c>
      <c r="CS89" s="102">
        <v>273333.33333333331</v>
      </c>
      <c r="CT89" s="102">
        <v>273333.33333333331</v>
      </c>
      <c r="CU89" s="102">
        <v>273333.33333333331</v>
      </c>
      <c r="CV89" s="102">
        <v>273333.33333333331</v>
      </c>
      <c r="CW89" s="102">
        <v>273333.33333333331</v>
      </c>
      <c r="CX89" s="102">
        <v>273333.33333333331</v>
      </c>
      <c r="CY89" s="102">
        <v>273333.33333333331</v>
      </c>
      <c r="CZ89" s="102">
        <v>273333.33333333331</v>
      </c>
      <c r="DA89" s="102">
        <v>273333.33333333331</v>
      </c>
      <c r="DB89" s="102">
        <v>273333.33333333331</v>
      </c>
      <c r="DC89" s="102">
        <v>273333.33333333331</v>
      </c>
      <c r="DD89" s="102">
        <v>273333.33333333331</v>
      </c>
      <c r="DE89" s="102">
        <v>273333.33333333331</v>
      </c>
      <c r="DF89" s="102">
        <v>273333.33333333331</v>
      </c>
      <c r="DG89" s="102">
        <v>273333.33333333331</v>
      </c>
      <c r="DH89" s="102">
        <v>273333.33333333331</v>
      </c>
      <c r="DI89" s="102">
        <v>273333.33333333331</v>
      </c>
      <c r="DJ89" s="102">
        <v>273333.33333333331</v>
      </c>
      <c r="DK89" s="102">
        <v>273333.33333333331</v>
      </c>
      <c r="DL89" s="102">
        <v>273333.33333333331</v>
      </c>
      <c r="DM89" s="102">
        <v>273333.33333333331</v>
      </c>
      <c r="DN89" s="102">
        <v>273333.33333333331</v>
      </c>
      <c r="DO89" s="102">
        <v>0</v>
      </c>
      <c r="DP89" s="102">
        <v>0</v>
      </c>
      <c r="DQ89" s="102">
        <v>0</v>
      </c>
      <c r="DR89" s="102">
        <v>0</v>
      </c>
      <c r="DS89" s="102">
        <v>0</v>
      </c>
      <c r="DT89" s="102">
        <v>0</v>
      </c>
      <c r="DU89" s="102">
        <v>0</v>
      </c>
      <c r="DV89" s="102">
        <v>0</v>
      </c>
      <c r="DW89" s="102">
        <v>0</v>
      </c>
      <c r="DX89" s="102">
        <v>0</v>
      </c>
      <c r="DY89" s="102">
        <v>0</v>
      </c>
      <c r="DZ89" s="102">
        <v>0</v>
      </c>
      <c r="EA89" s="102">
        <v>0</v>
      </c>
      <c r="EB89" s="102">
        <v>0</v>
      </c>
      <c r="EC89" s="102">
        <v>0</v>
      </c>
      <c r="ED89" s="102">
        <v>0</v>
      </c>
      <c r="EE89" s="102">
        <v>0</v>
      </c>
      <c r="EF89" s="102">
        <v>0</v>
      </c>
      <c r="EG89" s="102">
        <v>0</v>
      </c>
      <c r="EH89" s="102">
        <v>0</v>
      </c>
      <c r="EI89" s="102">
        <v>0</v>
      </c>
      <c r="EJ89" s="102">
        <v>0</v>
      </c>
      <c r="EK89" s="102">
        <v>0</v>
      </c>
      <c r="EL89" s="102">
        <v>0</v>
      </c>
      <c r="EM89" s="102">
        <v>0</v>
      </c>
      <c r="EN89" s="102">
        <v>0</v>
      </c>
      <c r="EO89" s="102">
        <v>0</v>
      </c>
      <c r="EP89" s="102">
        <v>0</v>
      </c>
      <c r="EQ89" s="102">
        <v>0</v>
      </c>
      <c r="ER89" s="102">
        <v>0</v>
      </c>
      <c r="ES89" s="102">
        <v>0</v>
      </c>
      <c r="ET89" s="102">
        <v>0</v>
      </c>
      <c r="EU89" s="102">
        <v>0</v>
      </c>
      <c r="EV89" s="102">
        <v>0</v>
      </c>
      <c r="EW89" s="102">
        <v>0</v>
      </c>
      <c r="EX89" s="102">
        <v>0</v>
      </c>
      <c r="EY89" s="102">
        <v>0</v>
      </c>
      <c r="EZ89" s="102">
        <v>0</v>
      </c>
      <c r="FA89" s="102">
        <v>0</v>
      </c>
      <c r="FB89" s="102">
        <v>0</v>
      </c>
      <c r="FC89" s="102">
        <v>0</v>
      </c>
      <c r="FD89" s="102">
        <v>0</v>
      </c>
      <c r="FE89" s="102">
        <v>0</v>
      </c>
      <c r="FF89" s="102">
        <v>0</v>
      </c>
      <c r="FG89" s="102">
        <v>0</v>
      </c>
      <c r="FH89" s="102">
        <v>0</v>
      </c>
      <c r="FI89" s="102">
        <v>0</v>
      </c>
      <c r="FJ89" s="71">
        <v>0</v>
      </c>
    </row>
    <row r="90" spans="1:166" x14ac:dyDescent="0.3">
      <c r="A90" s="401" t="s">
        <v>876</v>
      </c>
      <c r="B90" s="103" t="s">
        <v>424</v>
      </c>
      <c r="C90" s="419" t="s">
        <v>925</v>
      </c>
      <c r="D90" s="419" t="s">
        <v>653</v>
      </c>
      <c r="E90" s="419" t="s">
        <v>860</v>
      </c>
      <c r="F90" s="103" t="s">
        <v>832</v>
      </c>
      <c r="G90" s="103" t="s">
        <v>833</v>
      </c>
      <c r="H90" s="103" t="s">
        <v>834</v>
      </c>
      <c r="I90" s="103">
        <v>0</v>
      </c>
      <c r="J90" s="103" t="s">
        <v>889</v>
      </c>
      <c r="K90" s="103">
        <v>0</v>
      </c>
      <c r="L90" s="103" t="s">
        <v>859</v>
      </c>
      <c r="M90" s="103">
        <v>2</v>
      </c>
      <c r="N90" s="103">
        <v>0</v>
      </c>
      <c r="O90" s="103">
        <v>6624450</v>
      </c>
      <c r="P90" s="393">
        <f t="shared" si="1"/>
        <v>13248900</v>
      </c>
      <c r="Q90" s="103">
        <v>24</v>
      </c>
      <c r="R90" s="103">
        <v>60</v>
      </c>
      <c r="S90" s="103">
        <v>0.04</v>
      </c>
      <c r="T90" s="395">
        <v>1</v>
      </c>
      <c r="U90" s="103">
        <v>0</v>
      </c>
      <c r="V90" s="102">
        <v>44163</v>
      </c>
      <c r="W90" s="102">
        <v>2649780</v>
      </c>
      <c r="X90" s="102">
        <v>0</v>
      </c>
      <c r="Y90" s="102">
        <v>0</v>
      </c>
      <c r="Z90" s="102">
        <v>529956</v>
      </c>
      <c r="AA90" s="102">
        <v>529956</v>
      </c>
      <c r="AB90" s="102">
        <v>529956</v>
      </c>
      <c r="AC90" s="102">
        <v>529956</v>
      </c>
      <c r="AD90" s="102">
        <v>529956</v>
      </c>
      <c r="AE90" s="102">
        <v>0</v>
      </c>
      <c r="AF90" s="102">
        <v>0</v>
      </c>
      <c r="AG90" s="102">
        <v>0</v>
      </c>
      <c r="AH90" s="102">
        <v>0</v>
      </c>
      <c r="AI90" s="399">
        <v>0</v>
      </c>
      <c r="AJ90" s="399">
        <v>0</v>
      </c>
      <c r="AK90" s="399">
        <v>0</v>
      </c>
      <c r="AL90" s="399">
        <v>0</v>
      </c>
      <c r="AM90" s="399">
        <v>0</v>
      </c>
      <c r="AN90" s="399">
        <v>0</v>
      </c>
      <c r="AO90" s="399">
        <v>0</v>
      </c>
      <c r="AP90" s="399">
        <v>0</v>
      </c>
      <c r="AQ90" s="399">
        <v>0</v>
      </c>
      <c r="AR90" s="399">
        <v>0</v>
      </c>
      <c r="AS90" s="399">
        <v>0</v>
      </c>
      <c r="AT90" s="399">
        <v>0</v>
      </c>
      <c r="AU90" s="399">
        <v>0</v>
      </c>
      <c r="AV90" s="399">
        <v>0</v>
      </c>
      <c r="AW90" s="399">
        <v>0</v>
      </c>
      <c r="AX90" s="399">
        <v>0</v>
      </c>
      <c r="AY90" s="399">
        <v>0</v>
      </c>
      <c r="AZ90" s="399">
        <v>0</v>
      </c>
      <c r="BA90" s="399">
        <v>0</v>
      </c>
      <c r="BB90" s="399">
        <v>0</v>
      </c>
      <c r="BC90" s="399">
        <v>0</v>
      </c>
      <c r="BD90" s="399">
        <v>0</v>
      </c>
      <c r="BE90" s="399">
        <v>0</v>
      </c>
      <c r="BF90" s="399">
        <v>0</v>
      </c>
      <c r="BG90" s="102">
        <v>44163</v>
      </c>
      <c r="BH90" s="102">
        <v>44163</v>
      </c>
      <c r="BI90" s="102">
        <v>44163</v>
      </c>
      <c r="BJ90" s="102">
        <v>44163</v>
      </c>
      <c r="BK90" s="102">
        <v>44163</v>
      </c>
      <c r="BL90" s="102">
        <v>44163</v>
      </c>
      <c r="BM90" s="102">
        <v>44163</v>
      </c>
      <c r="BN90" s="102">
        <v>44163</v>
      </c>
      <c r="BO90" s="102">
        <v>44163</v>
      </c>
      <c r="BP90" s="102">
        <v>44163</v>
      </c>
      <c r="BQ90" s="102">
        <v>44163</v>
      </c>
      <c r="BR90" s="102">
        <v>44163</v>
      </c>
      <c r="BS90" s="102">
        <v>44163</v>
      </c>
      <c r="BT90" s="102">
        <v>44163</v>
      </c>
      <c r="BU90" s="102">
        <v>44163</v>
      </c>
      <c r="BV90" s="102">
        <v>44163</v>
      </c>
      <c r="BW90" s="102">
        <v>44163</v>
      </c>
      <c r="BX90" s="102">
        <v>44163</v>
      </c>
      <c r="BY90" s="102">
        <v>44163</v>
      </c>
      <c r="BZ90" s="102">
        <v>44163</v>
      </c>
      <c r="CA90" s="102">
        <v>44163</v>
      </c>
      <c r="CB90" s="102">
        <v>44163</v>
      </c>
      <c r="CC90" s="102">
        <v>44163</v>
      </c>
      <c r="CD90" s="102">
        <v>44163</v>
      </c>
      <c r="CE90" s="102">
        <v>44163</v>
      </c>
      <c r="CF90" s="102">
        <v>44163</v>
      </c>
      <c r="CG90" s="102">
        <v>44163</v>
      </c>
      <c r="CH90" s="102">
        <v>44163</v>
      </c>
      <c r="CI90" s="102">
        <v>44163</v>
      </c>
      <c r="CJ90" s="102">
        <v>44163</v>
      </c>
      <c r="CK90" s="102">
        <v>44163</v>
      </c>
      <c r="CL90" s="102">
        <v>44163</v>
      </c>
      <c r="CM90" s="102">
        <v>44163</v>
      </c>
      <c r="CN90" s="102">
        <v>44163</v>
      </c>
      <c r="CO90" s="102">
        <v>44163</v>
      </c>
      <c r="CP90" s="102">
        <v>44163</v>
      </c>
      <c r="CQ90" s="102">
        <v>44163</v>
      </c>
      <c r="CR90" s="102">
        <v>44163</v>
      </c>
      <c r="CS90" s="102">
        <v>44163</v>
      </c>
      <c r="CT90" s="102">
        <v>44163</v>
      </c>
      <c r="CU90" s="102">
        <v>44163</v>
      </c>
      <c r="CV90" s="102">
        <v>44163</v>
      </c>
      <c r="CW90" s="102">
        <v>44163</v>
      </c>
      <c r="CX90" s="102">
        <v>44163</v>
      </c>
      <c r="CY90" s="102">
        <v>44163</v>
      </c>
      <c r="CZ90" s="102">
        <v>44163</v>
      </c>
      <c r="DA90" s="102">
        <v>44163</v>
      </c>
      <c r="DB90" s="102">
        <v>44163</v>
      </c>
      <c r="DC90" s="102">
        <v>44163</v>
      </c>
      <c r="DD90" s="102">
        <v>44163</v>
      </c>
      <c r="DE90" s="102">
        <v>44163</v>
      </c>
      <c r="DF90" s="102">
        <v>44163</v>
      </c>
      <c r="DG90" s="102">
        <v>44163</v>
      </c>
      <c r="DH90" s="102">
        <v>44163</v>
      </c>
      <c r="DI90" s="102">
        <v>44163</v>
      </c>
      <c r="DJ90" s="102">
        <v>44163</v>
      </c>
      <c r="DK90" s="102">
        <v>44163</v>
      </c>
      <c r="DL90" s="102">
        <v>44163</v>
      </c>
      <c r="DM90" s="102">
        <v>44163</v>
      </c>
      <c r="DN90" s="102">
        <v>44163</v>
      </c>
      <c r="DO90" s="102">
        <v>0</v>
      </c>
      <c r="DP90" s="102">
        <v>0</v>
      </c>
      <c r="DQ90" s="102">
        <v>0</v>
      </c>
      <c r="DR90" s="102">
        <v>0</v>
      </c>
      <c r="DS90" s="102">
        <v>0</v>
      </c>
      <c r="DT90" s="102">
        <v>0</v>
      </c>
      <c r="DU90" s="102">
        <v>0</v>
      </c>
      <c r="DV90" s="102">
        <v>0</v>
      </c>
      <c r="DW90" s="102">
        <v>0</v>
      </c>
      <c r="DX90" s="102">
        <v>0</v>
      </c>
      <c r="DY90" s="102">
        <v>0</v>
      </c>
      <c r="DZ90" s="102">
        <v>0</v>
      </c>
      <c r="EA90" s="102">
        <v>0</v>
      </c>
      <c r="EB90" s="102">
        <v>0</v>
      </c>
      <c r="EC90" s="102">
        <v>0</v>
      </c>
      <c r="ED90" s="102">
        <v>0</v>
      </c>
      <c r="EE90" s="102">
        <v>0</v>
      </c>
      <c r="EF90" s="102">
        <v>0</v>
      </c>
      <c r="EG90" s="102">
        <v>0</v>
      </c>
      <c r="EH90" s="102">
        <v>0</v>
      </c>
      <c r="EI90" s="102">
        <v>0</v>
      </c>
      <c r="EJ90" s="102">
        <v>0</v>
      </c>
      <c r="EK90" s="102">
        <v>0</v>
      </c>
      <c r="EL90" s="102">
        <v>0</v>
      </c>
      <c r="EM90" s="102">
        <v>0</v>
      </c>
      <c r="EN90" s="102">
        <v>0</v>
      </c>
      <c r="EO90" s="102">
        <v>0</v>
      </c>
      <c r="EP90" s="102">
        <v>0</v>
      </c>
      <c r="EQ90" s="102">
        <v>0</v>
      </c>
      <c r="ER90" s="102">
        <v>0</v>
      </c>
      <c r="ES90" s="102">
        <v>0</v>
      </c>
      <c r="ET90" s="102">
        <v>0</v>
      </c>
      <c r="EU90" s="102">
        <v>0</v>
      </c>
      <c r="EV90" s="102">
        <v>0</v>
      </c>
      <c r="EW90" s="102">
        <v>0</v>
      </c>
      <c r="EX90" s="102">
        <v>0</v>
      </c>
      <c r="EY90" s="102">
        <v>0</v>
      </c>
      <c r="EZ90" s="102">
        <v>0</v>
      </c>
      <c r="FA90" s="102">
        <v>0</v>
      </c>
      <c r="FB90" s="102">
        <v>0</v>
      </c>
      <c r="FC90" s="102">
        <v>0</v>
      </c>
      <c r="FD90" s="102">
        <v>0</v>
      </c>
      <c r="FE90" s="102">
        <v>0</v>
      </c>
      <c r="FF90" s="102">
        <v>0</v>
      </c>
      <c r="FG90" s="102">
        <v>0</v>
      </c>
      <c r="FH90" s="102">
        <v>0</v>
      </c>
      <c r="FI90" s="102">
        <v>0</v>
      </c>
      <c r="FJ90" s="71">
        <v>0</v>
      </c>
    </row>
    <row r="91" spans="1:166" x14ac:dyDescent="0.3">
      <c r="A91" s="401" t="s">
        <v>877</v>
      </c>
      <c r="B91" s="103" t="s">
        <v>424</v>
      </c>
      <c r="C91" s="419" t="s">
        <v>925</v>
      </c>
      <c r="D91" s="419" t="s">
        <v>653</v>
      </c>
      <c r="E91" s="419" t="s">
        <v>860</v>
      </c>
      <c r="F91" s="103" t="s">
        <v>835</v>
      </c>
      <c r="G91" s="103" t="s">
        <v>836</v>
      </c>
      <c r="H91" s="103" t="s">
        <v>837</v>
      </c>
      <c r="I91" s="103">
        <v>0</v>
      </c>
      <c r="J91" s="103" t="s">
        <v>889</v>
      </c>
      <c r="K91" s="103">
        <v>0</v>
      </c>
      <c r="L91" s="103" t="s">
        <v>859</v>
      </c>
      <c r="M91" s="103">
        <v>2</v>
      </c>
      <c r="N91" s="103">
        <v>0</v>
      </c>
      <c r="O91" s="103">
        <v>8100000</v>
      </c>
      <c r="P91" s="393">
        <f t="shared" si="1"/>
        <v>16200000</v>
      </c>
      <c r="Q91" s="103">
        <v>48</v>
      </c>
      <c r="R91" s="103">
        <v>36</v>
      </c>
      <c r="S91" s="103">
        <v>0.1</v>
      </c>
      <c r="T91" s="395">
        <v>1</v>
      </c>
      <c r="U91" s="103">
        <v>0</v>
      </c>
      <c r="V91" s="102">
        <v>135000</v>
      </c>
      <c r="W91" s="102">
        <v>4860000</v>
      </c>
      <c r="X91" s="102">
        <v>0</v>
      </c>
      <c r="Y91" s="102">
        <v>0</v>
      </c>
      <c r="Z91" s="102">
        <v>0</v>
      </c>
      <c r="AA91" s="102">
        <v>0</v>
      </c>
      <c r="AB91" s="102">
        <v>1620000</v>
      </c>
      <c r="AC91" s="102">
        <v>1620000</v>
      </c>
      <c r="AD91" s="102">
        <v>1620000</v>
      </c>
      <c r="AE91" s="102">
        <v>0</v>
      </c>
      <c r="AF91" s="102">
        <v>0</v>
      </c>
      <c r="AG91" s="102">
        <v>0</v>
      </c>
      <c r="AH91" s="102">
        <v>0</v>
      </c>
      <c r="AI91" s="399">
        <v>0</v>
      </c>
      <c r="AJ91" s="399">
        <v>0</v>
      </c>
      <c r="AK91" s="399">
        <v>0</v>
      </c>
      <c r="AL91" s="399">
        <v>0</v>
      </c>
      <c r="AM91" s="399">
        <v>0</v>
      </c>
      <c r="AN91" s="399">
        <v>0</v>
      </c>
      <c r="AO91" s="399">
        <v>0</v>
      </c>
      <c r="AP91" s="399">
        <v>0</v>
      </c>
      <c r="AQ91" s="399">
        <v>0</v>
      </c>
      <c r="AR91" s="399">
        <v>0</v>
      </c>
      <c r="AS91" s="399">
        <v>0</v>
      </c>
      <c r="AT91" s="399">
        <v>0</v>
      </c>
      <c r="AU91" s="399">
        <v>0</v>
      </c>
      <c r="AV91" s="399">
        <v>0</v>
      </c>
      <c r="AW91" s="399">
        <v>0</v>
      </c>
      <c r="AX91" s="399">
        <v>0</v>
      </c>
      <c r="AY91" s="399">
        <v>0</v>
      </c>
      <c r="AZ91" s="399">
        <v>0</v>
      </c>
      <c r="BA91" s="399">
        <v>0</v>
      </c>
      <c r="BB91" s="399">
        <v>0</v>
      </c>
      <c r="BC91" s="399">
        <v>0</v>
      </c>
      <c r="BD91" s="399">
        <v>0</v>
      </c>
      <c r="BE91" s="399">
        <v>0</v>
      </c>
      <c r="BF91" s="399">
        <v>0</v>
      </c>
      <c r="BG91" s="399">
        <v>0</v>
      </c>
      <c r="BH91" s="399">
        <v>0</v>
      </c>
      <c r="BI91" s="399">
        <v>0</v>
      </c>
      <c r="BJ91" s="399">
        <v>0</v>
      </c>
      <c r="BK91" s="399">
        <v>0</v>
      </c>
      <c r="BL91" s="399">
        <v>0</v>
      </c>
      <c r="BM91" s="399">
        <v>0</v>
      </c>
      <c r="BN91" s="399">
        <v>0</v>
      </c>
      <c r="BO91" s="399">
        <v>0</v>
      </c>
      <c r="BP91" s="399">
        <v>0</v>
      </c>
      <c r="BQ91" s="399">
        <v>0</v>
      </c>
      <c r="BR91" s="399">
        <v>0</v>
      </c>
      <c r="BS91" s="399">
        <v>0</v>
      </c>
      <c r="BT91" s="399">
        <v>0</v>
      </c>
      <c r="BU91" s="399">
        <v>0</v>
      </c>
      <c r="BV91" s="399">
        <v>0</v>
      </c>
      <c r="BW91" s="399">
        <v>0</v>
      </c>
      <c r="BX91" s="399">
        <v>0</v>
      </c>
      <c r="BY91" s="399">
        <v>0</v>
      </c>
      <c r="BZ91" s="399">
        <v>0</v>
      </c>
      <c r="CA91" s="399">
        <v>0</v>
      </c>
      <c r="CB91" s="399">
        <v>0</v>
      </c>
      <c r="CC91" s="399">
        <v>0</v>
      </c>
      <c r="CD91" s="399">
        <v>0</v>
      </c>
      <c r="CE91" s="102">
        <v>135000</v>
      </c>
      <c r="CF91" s="102">
        <v>135000</v>
      </c>
      <c r="CG91" s="102">
        <v>135000</v>
      </c>
      <c r="CH91" s="102">
        <v>135000</v>
      </c>
      <c r="CI91" s="102">
        <v>135000</v>
      </c>
      <c r="CJ91" s="102">
        <v>135000</v>
      </c>
      <c r="CK91" s="102">
        <v>135000</v>
      </c>
      <c r="CL91" s="102">
        <v>135000</v>
      </c>
      <c r="CM91" s="102">
        <v>135000</v>
      </c>
      <c r="CN91" s="102">
        <v>135000</v>
      </c>
      <c r="CO91" s="102">
        <v>135000</v>
      </c>
      <c r="CP91" s="102">
        <v>135000</v>
      </c>
      <c r="CQ91" s="102">
        <v>135000</v>
      </c>
      <c r="CR91" s="102">
        <v>135000</v>
      </c>
      <c r="CS91" s="102">
        <v>135000</v>
      </c>
      <c r="CT91" s="102">
        <v>135000</v>
      </c>
      <c r="CU91" s="102">
        <v>135000</v>
      </c>
      <c r="CV91" s="102">
        <v>135000</v>
      </c>
      <c r="CW91" s="102">
        <v>135000</v>
      </c>
      <c r="CX91" s="102">
        <v>135000</v>
      </c>
      <c r="CY91" s="102">
        <v>135000</v>
      </c>
      <c r="CZ91" s="102">
        <v>135000</v>
      </c>
      <c r="DA91" s="102">
        <v>135000</v>
      </c>
      <c r="DB91" s="102">
        <v>135000</v>
      </c>
      <c r="DC91" s="102">
        <v>135000</v>
      </c>
      <c r="DD91" s="102">
        <v>135000</v>
      </c>
      <c r="DE91" s="102">
        <v>135000</v>
      </c>
      <c r="DF91" s="102">
        <v>135000</v>
      </c>
      <c r="DG91" s="102">
        <v>135000</v>
      </c>
      <c r="DH91" s="102">
        <v>135000</v>
      </c>
      <c r="DI91" s="102">
        <v>135000</v>
      </c>
      <c r="DJ91" s="102">
        <v>135000</v>
      </c>
      <c r="DK91" s="102">
        <v>135000</v>
      </c>
      <c r="DL91" s="102">
        <v>135000</v>
      </c>
      <c r="DM91" s="102">
        <v>135000</v>
      </c>
      <c r="DN91" s="102">
        <v>135000</v>
      </c>
      <c r="DO91" s="102">
        <v>0</v>
      </c>
      <c r="DP91" s="102">
        <v>0</v>
      </c>
      <c r="DQ91" s="102">
        <v>0</v>
      </c>
      <c r="DR91" s="102">
        <v>0</v>
      </c>
      <c r="DS91" s="102">
        <v>0</v>
      </c>
      <c r="DT91" s="102">
        <v>0</v>
      </c>
      <c r="DU91" s="102">
        <v>0</v>
      </c>
      <c r="DV91" s="102">
        <v>0</v>
      </c>
      <c r="DW91" s="102">
        <v>0</v>
      </c>
      <c r="DX91" s="102">
        <v>0</v>
      </c>
      <c r="DY91" s="102">
        <v>0</v>
      </c>
      <c r="DZ91" s="102">
        <v>0</v>
      </c>
      <c r="EA91" s="102">
        <v>0</v>
      </c>
      <c r="EB91" s="102">
        <v>0</v>
      </c>
      <c r="EC91" s="102">
        <v>0</v>
      </c>
      <c r="ED91" s="102">
        <v>0</v>
      </c>
      <c r="EE91" s="102">
        <v>0</v>
      </c>
      <c r="EF91" s="102">
        <v>0</v>
      </c>
      <c r="EG91" s="102">
        <v>0</v>
      </c>
      <c r="EH91" s="102">
        <v>0</v>
      </c>
      <c r="EI91" s="102">
        <v>0</v>
      </c>
      <c r="EJ91" s="102">
        <v>0</v>
      </c>
      <c r="EK91" s="102">
        <v>0</v>
      </c>
      <c r="EL91" s="102">
        <v>0</v>
      </c>
      <c r="EM91" s="102">
        <v>0</v>
      </c>
      <c r="EN91" s="102">
        <v>0</v>
      </c>
      <c r="EO91" s="102">
        <v>0</v>
      </c>
      <c r="EP91" s="102">
        <v>0</v>
      </c>
      <c r="EQ91" s="102">
        <v>0</v>
      </c>
      <c r="ER91" s="102">
        <v>0</v>
      </c>
      <c r="ES91" s="102">
        <v>0</v>
      </c>
      <c r="ET91" s="102">
        <v>0</v>
      </c>
      <c r="EU91" s="102">
        <v>0</v>
      </c>
      <c r="EV91" s="102">
        <v>0</v>
      </c>
      <c r="EW91" s="102">
        <v>0</v>
      </c>
      <c r="EX91" s="102">
        <v>0</v>
      </c>
      <c r="EY91" s="102">
        <v>0</v>
      </c>
      <c r="EZ91" s="102">
        <v>0</v>
      </c>
      <c r="FA91" s="102">
        <v>0</v>
      </c>
      <c r="FB91" s="102">
        <v>0</v>
      </c>
      <c r="FC91" s="102">
        <v>0</v>
      </c>
      <c r="FD91" s="102">
        <v>0</v>
      </c>
      <c r="FE91" s="102">
        <v>0</v>
      </c>
      <c r="FF91" s="102">
        <v>0</v>
      </c>
      <c r="FG91" s="102">
        <v>0</v>
      </c>
      <c r="FH91" s="102">
        <v>0</v>
      </c>
      <c r="FI91" s="102">
        <v>0</v>
      </c>
      <c r="FJ91" s="71">
        <v>0</v>
      </c>
    </row>
    <row r="92" spans="1:166" x14ac:dyDescent="0.3">
      <c r="A92" s="401" t="s">
        <v>878</v>
      </c>
      <c r="B92" s="103" t="s">
        <v>424</v>
      </c>
      <c r="C92" s="419" t="s">
        <v>926</v>
      </c>
      <c r="D92" s="419" t="s">
        <v>653</v>
      </c>
      <c r="E92" s="419" t="s">
        <v>860</v>
      </c>
      <c r="F92" s="103" t="s">
        <v>838</v>
      </c>
      <c r="G92" s="103" t="s">
        <v>839</v>
      </c>
      <c r="H92" s="103" t="s">
        <v>840</v>
      </c>
      <c r="I92" s="103">
        <v>0</v>
      </c>
      <c r="J92" s="103" t="s">
        <v>889</v>
      </c>
      <c r="K92" s="103">
        <v>0</v>
      </c>
      <c r="L92" s="103" t="s">
        <v>859</v>
      </c>
      <c r="M92" s="103">
        <v>2</v>
      </c>
      <c r="N92" s="103">
        <v>0</v>
      </c>
      <c r="O92" s="103">
        <v>33000000</v>
      </c>
      <c r="P92" s="393">
        <f t="shared" si="1"/>
        <v>66000000</v>
      </c>
      <c r="Q92" s="103">
        <v>24</v>
      </c>
      <c r="R92" s="103">
        <v>60</v>
      </c>
      <c r="S92" s="103">
        <v>0.1</v>
      </c>
      <c r="T92" s="395">
        <v>1</v>
      </c>
      <c r="U92" s="103">
        <v>0</v>
      </c>
      <c r="V92" s="102">
        <v>550000</v>
      </c>
      <c r="W92" s="102">
        <v>33000000</v>
      </c>
      <c r="X92" s="102">
        <v>0</v>
      </c>
      <c r="Y92" s="102">
        <v>0</v>
      </c>
      <c r="Z92" s="102">
        <v>6600000</v>
      </c>
      <c r="AA92" s="102">
        <v>6600000</v>
      </c>
      <c r="AB92" s="102">
        <v>6600000</v>
      </c>
      <c r="AC92" s="102">
        <v>6600000</v>
      </c>
      <c r="AD92" s="102">
        <v>6600000</v>
      </c>
      <c r="AE92" s="102">
        <v>0</v>
      </c>
      <c r="AF92" s="102">
        <v>0</v>
      </c>
      <c r="AG92" s="102">
        <v>0</v>
      </c>
      <c r="AH92" s="102">
        <v>0</v>
      </c>
      <c r="AI92" s="399">
        <v>0</v>
      </c>
      <c r="AJ92" s="399">
        <v>0</v>
      </c>
      <c r="AK92" s="399">
        <v>0</v>
      </c>
      <c r="AL92" s="399">
        <v>0</v>
      </c>
      <c r="AM92" s="399">
        <v>0</v>
      </c>
      <c r="AN92" s="399">
        <v>0</v>
      </c>
      <c r="AO92" s="399">
        <v>0</v>
      </c>
      <c r="AP92" s="399">
        <v>0</v>
      </c>
      <c r="AQ92" s="399">
        <v>0</v>
      </c>
      <c r="AR92" s="399">
        <v>0</v>
      </c>
      <c r="AS92" s="399">
        <v>0</v>
      </c>
      <c r="AT92" s="399">
        <v>0</v>
      </c>
      <c r="AU92" s="399">
        <v>0</v>
      </c>
      <c r="AV92" s="399">
        <v>0</v>
      </c>
      <c r="AW92" s="399">
        <v>0</v>
      </c>
      <c r="AX92" s="399">
        <v>0</v>
      </c>
      <c r="AY92" s="399">
        <v>0</v>
      </c>
      <c r="AZ92" s="399">
        <v>0</v>
      </c>
      <c r="BA92" s="399">
        <v>0</v>
      </c>
      <c r="BB92" s="399">
        <v>0</v>
      </c>
      <c r="BC92" s="399">
        <v>0</v>
      </c>
      <c r="BD92" s="399">
        <v>0</v>
      </c>
      <c r="BE92" s="399">
        <v>0</v>
      </c>
      <c r="BF92" s="399">
        <v>0</v>
      </c>
      <c r="BG92" s="102">
        <v>550000</v>
      </c>
      <c r="BH92" s="102">
        <v>550000</v>
      </c>
      <c r="BI92" s="102">
        <v>550000</v>
      </c>
      <c r="BJ92" s="102">
        <v>550000</v>
      </c>
      <c r="BK92" s="102">
        <v>550000</v>
      </c>
      <c r="BL92" s="102">
        <v>550000</v>
      </c>
      <c r="BM92" s="102">
        <v>550000</v>
      </c>
      <c r="BN92" s="102">
        <v>550000</v>
      </c>
      <c r="BO92" s="102">
        <v>550000</v>
      </c>
      <c r="BP92" s="102">
        <v>550000</v>
      </c>
      <c r="BQ92" s="102">
        <v>550000</v>
      </c>
      <c r="BR92" s="102">
        <v>550000</v>
      </c>
      <c r="BS92" s="102">
        <v>550000</v>
      </c>
      <c r="BT92" s="102">
        <v>550000</v>
      </c>
      <c r="BU92" s="102">
        <v>550000</v>
      </c>
      <c r="BV92" s="102">
        <v>550000</v>
      </c>
      <c r="BW92" s="102">
        <v>550000</v>
      </c>
      <c r="BX92" s="102">
        <v>550000</v>
      </c>
      <c r="BY92" s="102">
        <v>550000</v>
      </c>
      <c r="BZ92" s="102">
        <v>550000</v>
      </c>
      <c r="CA92" s="102">
        <v>550000</v>
      </c>
      <c r="CB92" s="102">
        <v>550000</v>
      </c>
      <c r="CC92" s="102">
        <v>550000</v>
      </c>
      <c r="CD92" s="102">
        <v>550000</v>
      </c>
      <c r="CE92" s="102">
        <v>550000</v>
      </c>
      <c r="CF92" s="102">
        <v>550000</v>
      </c>
      <c r="CG92" s="102">
        <v>550000</v>
      </c>
      <c r="CH92" s="102">
        <v>550000</v>
      </c>
      <c r="CI92" s="102">
        <v>550000</v>
      </c>
      <c r="CJ92" s="102">
        <v>550000</v>
      </c>
      <c r="CK92" s="102">
        <v>550000</v>
      </c>
      <c r="CL92" s="102">
        <v>550000</v>
      </c>
      <c r="CM92" s="102">
        <v>550000</v>
      </c>
      <c r="CN92" s="102">
        <v>550000</v>
      </c>
      <c r="CO92" s="102">
        <v>550000</v>
      </c>
      <c r="CP92" s="102">
        <v>550000</v>
      </c>
      <c r="CQ92" s="102">
        <v>550000</v>
      </c>
      <c r="CR92" s="102">
        <v>550000</v>
      </c>
      <c r="CS92" s="102">
        <v>550000</v>
      </c>
      <c r="CT92" s="102">
        <v>550000</v>
      </c>
      <c r="CU92" s="102">
        <v>550000</v>
      </c>
      <c r="CV92" s="102">
        <v>550000</v>
      </c>
      <c r="CW92" s="102">
        <v>550000</v>
      </c>
      <c r="CX92" s="102">
        <v>550000</v>
      </c>
      <c r="CY92" s="102">
        <v>550000</v>
      </c>
      <c r="CZ92" s="102">
        <v>550000</v>
      </c>
      <c r="DA92" s="102">
        <v>550000</v>
      </c>
      <c r="DB92" s="102">
        <v>550000</v>
      </c>
      <c r="DC92" s="102">
        <v>550000</v>
      </c>
      <c r="DD92" s="102">
        <v>550000</v>
      </c>
      <c r="DE92" s="102">
        <v>550000</v>
      </c>
      <c r="DF92" s="102">
        <v>550000</v>
      </c>
      <c r="DG92" s="102">
        <v>550000</v>
      </c>
      <c r="DH92" s="102">
        <v>550000</v>
      </c>
      <c r="DI92" s="102">
        <v>550000</v>
      </c>
      <c r="DJ92" s="102">
        <v>550000</v>
      </c>
      <c r="DK92" s="102">
        <v>550000</v>
      </c>
      <c r="DL92" s="102">
        <v>550000</v>
      </c>
      <c r="DM92" s="102">
        <v>550000</v>
      </c>
      <c r="DN92" s="102">
        <v>550000</v>
      </c>
      <c r="DO92" s="102">
        <v>0</v>
      </c>
      <c r="DP92" s="102">
        <v>0</v>
      </c>
      <c r="DQ92" s="102">
        <v>0</v>
      </c>
      <c r="DR92" s="102">
        <v>0</v>
      </c>
      <c r="DS92" s="102">
        <v>0</v>
      </c>
      <c r="DT92" s="102">
        <v>0</v>
      </c>
      <c r="DU92" s="102">
        <v>0</v>
      </c>
      <c r="DV92" s="102">
        <v>0</v>
      </c>
      <c r="DW92" s="102">
        <v>0</v>
      </c>
      <c r="DX92" s="102">
        <v>0</v>
      </c>
      <c r="DY92" s="102">
        <v>0</v>
      </c>
      <c r="DZ92" s="102">
        <v>0</v>
      </c>
      <c r="EA92" s="102">
        <v>0</v>
      </c>
      <c r="EB92" s="102">
        <v>0</v>
      </c>
      <c r="EC92" s="102">
        <v>0</v>
      </c>
      <c r="ED92" s="102">
        <v>0</v>
      </c>
      <c r="EE92" s="102">
        <v>0</v>
      </c>
      <c r="EF92" s="102">
        <v>0</v>
      </c>
      <c r="EG92" s="102">
        <v>0</v>
      </c>
      <c r="EH92" s="102">
        <v>0</v>
      </c>
      <c r="EI92" s="102">
        <v>0</v>
      </c>
      <c r="EJ92" s="102">
        <v>0</v>
      </c>
      <c r="EK92" s="102">
        <v>0</v>
      </c>
      <c r="EL92" s="102">
        <v>0</v>
      </c>
      <c r="EM92" s="102">
        <v>0</v>
      </c>
      <c r="EN92" s="102">
        <v>0</v>
      </c>
      <c r="EO92" s="102">
        <v>0</v>
      </c>
      <c r="EP92" s="102">
        <v>0</v>
      </c>
      <c r="EQ92" s="102">
        <v>0</v>
      </c>
      <c r="ER92" s="102">
        <v>0</v>
      </c>
      <c r="ES92" s="102">
        <v>0</v>
      </c>
      <c r="ET92" s="102">
        <v>0</v>
      </c>
      <c r="EU92" s="102">
        <v>0</v>
      </c>
      <c r="EV92" s="102">
        <v>0</v>
      </c>
      <c r="EW92" s="102">
        <v>0</v>
      </c>
      <c r="EX92" s="102">
        <v>0</v>
      </c>
      <c r="EY92" s="102">
        <v>0</v>
      </c>
      <c r="EZ92" s="102">
        <v>0</v>
      </c>
      <c r="FA92" s="102">
        <v>0</v>
      </c>
      <c r="FB92" s="102">
        <v>0</v>
      </c>
      <c r="FC92" s="102">
        <v>0</v>
      </c>
      <c r="FD92" s="102">
        <v>0</v>
      </c>
      <c r="FE92" s="102">
        <v>0</v>
      </c>
      <c r="FF92" s="102">
        <v>0</v>
      </c>
      <c r="FG92" s="102">
        <v>0</v>
      </c>
      <c r="FH92" s="102">
        <v>0</v>
      </c>
      <c r="FI92" s="102">
        <v>0</v>
      </c>
      <c r="FJ92" s="71">
        <v>0</v>
      </c>
    </row>
    <row r="93" spans="1:166" x14ac:dyDescent="0.3">
      <c r="A93" s="401" t="s">
        <v>879</v>
      </c>
      <c r="B93" s="103" t="s">
        <v>424</v>
      </c>
      <c r="C93" s="419" t="s">
        <v>926</v>
      </c>
      <c r="D93" s="419" t="s">
        <v>653</v>
      </c>
      <c r="E93" s="419" t="s">
        <v>860</v>
      </c>
      <c r="F93" s="103" t="s">
        <v>841</v>
      </c>
      <c r="G93" s="103" t="s">
        <v>842</v>
      </c>
      <c r="H93" s="103" t="s">
        <v>843</v>
      </c>
      <c r="I93" s="103">
        <v>0</v>
      </c>
      <c r="J93" s="103" t="s">
        <v>889</v>
      </c>
      <c r="K93" s="103">
        <v>0</v>
      </c>
      <c r="L93" s="103" t="s">
        <v>859</v>
      </c>
      <c r="M93" s="103">
        <v>2</v>
      </c>
      <c r="N93" s="103">
        <v>0</v>
      </c>
      <c r="O93" s="103">
        <v>10500000</v>
      </c>
      <c r="P93" s="393">
        <f t="shared" si="1"/>
        <v>21000000</v>
      </c>
      <c r="Q93" s="103">
        <v>24</v>
      </c>
      <c r="R93" s="103">
        <v>60</v>
      </c>
      <c r="S93" s="103">
        <v>0.1</v>
      </c>
      <c r="T93" s="395">
        <v>1</v>
      </c>
      <c r="U93" s="103">
        <v>0</v>
      </c>
      <c r="V93" s="102">
        <v>175000</v>
      </c>
      <c r="W93" s="102">
        <v>10500000</v>
      </c>
      <c r="X93" s="102">
        <v>0</v>
      </c>
      <c r="Y93" s="102">
        <v>0</v>
      </c>
      <c r="Z93" s="102">
        <v>2100000</v>
      </c>
      <c r="AA93" s="102">
        <v>2100000</v>
      </c>
      <c r="AB93" s="102">
        <v>2100000</v>
      </c>
      <c r="AC93" s="102">
        <v>2100000</v>
      </c>
      <c r="AD93" s="102">
        <v>2100000</v>
      </c>
      <c r="AE93" s="102">
        <v>0</v>
      </c>
      <c r="AF93" s="102">
        <v>0</v>
      </c>
      <c r="AG93" s="102">
        <v>0</v>
      </c>
      <c r="AH93" s="102">
        <v>0</v>
      </c>
      <c r="AI93" s="399">
        <v>0</v>
      </c>
      <c r="AJ93" s="399">
        <v>0</v>
      </c>
      <c r="AK93" s="399">
        <v>0</v>
      </c>
      <c r="AL93" s="399">
        <v>0</v>
      </c>
      <c r="AM93" s="399">
        <v>0</v>
      </c>
      <c r="AN93" s="399">
        <v>0</v>
      </c>
      <c r="AO93" s="399">
        <v>0</v>
      </c>
      <c r="AP93" s="399">
        <v>0</v>
      </c>
      <c r="AQ93" s="399">
        <v>0</v>
      </c>
      <c r="AR93" s="399">
        <v>0</v>
      </c>
      <c r="AS93" s="399">
        <v>0</v>
      </c>
      <c r="AT93" s="399">
        <v>0</v>
      </c>
      <c r="AU93" s="399">
        <v>0</v>
      </c>
      <c r="AV93" s="399">
        <v>0</v>
      </c>
      <c r="AW93" s="399">
        <v>0</v>
      </c>
      <c r="AX93" s="399">
        <v>0</v>
      </c>
      <c r="AY93" s="399">
        <v>0</v>
      </c>
      <c r="AZ93" s="399">
        <v>0</v>
      </c>
      <c r="BA93" s="399">
        <v>0</v>
      </c>
      <c r="BB93" s="399">
        <v>0</v>
      </c>
      <c r="BC93" s="399">
        <v>0</v>
      </c>
      <c r="BD93" s="399">
        <v>0</v>
      </c>
      <c r="BE93" s="399">
        <v>0</v>
      </c>
      <c r="BF93" s="399">
        <v>0</v>
      </c>
      <c r="BG93" s="102">
        <v>175000</v>
      </c>
      <c r="BH93" s="102">
        <v>175000</v>
      </c>
      <c r="BI93" s="102">
        <v>175000</v>
      </c>
      <c r="BJ93" s="102">
        <v>175000</v>
      </c>
      <c r="BK93" s="102">
        <v>175000</v>
      </c>
      <c r="BL93" s="102">
        <v>175000</v>
      </c>
      <c r="BM93" s="102">
        <v>175000</v>
      </c>
      <c r="BN93" s="102">
        <v>175000</v>
      </c>
      <c r="BO93" s="102">
        <v>175000</v>
      </c>
      <c r="BP93" s="102">
        <v>175000</v>
      </c>
      <c r="BQ93" s="102">
        <v>175000</v>
      </c>
      <c r="BR93" s="102">
        <v>175000</v>
      </c>
      <c r="BS93" s="102">
        <v>175000</v>
      </c>
      <c r="BT93" s="102">
        <v>175000</v>
      </c>
      <c r="BU93" s="102">
        <v>175000</v>
      </c>
      <c r="BV93" s="102">
        <v>175000</v>
      </c>
      <c r="BW93" s="102">
        <v>175000</v>
      </c>
      <c r="BX93" s="102">
        <v>175000</v>
      </c>
      <c r="BY93" s="102">
        <v>175000</v>
      </c>
      <c r="BZ93" s="102">
        <v>175000</v>
      </c>
      <c r="CA93" s="102">
        <v>175000</v>
      </c>
      <c r="CB93" s="102">
        <v>175000</v>
      </c>
      <c r="CC93" s="102">
        <v>175000</v>
      </c>
      <c r="CD93" s="102">
        <v>175000</v>
      </c>
      <c r="CE93" s="102">
        <v>175000</v>
      </c>
      <c r="CF93" s="102">
        <v>175000</v>
      </c>
      <c r="CG93" s="102">
        <v>175000</v>
      </c>
      <c r="CH93" s="102">
        <v>175000</v>
      </c>
      <c r="CI93" s="102">
        <v>175000</v>
      </c>
      <c r="CJ93" s="102">
        <v>175000</v>
      </c>
      <c r="CK93" s="102">
        <v>175000</v>
      </c>
      <c r="CL93" s="102">
        <v>175000</v>
      </c>
      <c r="CM93" s="102">
        <v>175000</v>
      </c>
      <c r="CN93" s="102">
        <v>175000</v>
      </c>
      <c r="CO93" s="102">
        <v>175000</v>
      </c>
      <c r="CP93" s="102">
        <v>175000</v>
      </c>
      <c r="CQ93" s="102">
        <v>175000</v>
      </c>
      <c r="CR93" s="102">
        <v>175000</v>
      </c>
      <c r="CS93" s="102">
        <v>175000</v>
      </c>
      <c r="CT93" s="102">
        <v>175000</v>
      </c>
      <c r="CU93" s="102">
        <v>175000</v>
      </c>
      <c r="CV93" s="102">
        <v>175000</v>
      </c>
      <c r="CW93" s="102">
        <v>175000</v>
      </c>
      <c r="CX93" s="102">
        <v>175000</v>
      </c>
      <c r="CY93" s="102">
        <v>175000</v>
      </c>
      <c r="CZ93" s="102">
        <v>175000</v>
      </c>
      <c r="DA93" s="102">
        <v>175000</v>
      </c>
      <c r="DB93" s="102">
        <v>175000</v>
      </c>
      <c r="DC93" s="102">
        <v>175000</v>
      </c>
      <c r="DD93" s="102">
        <v>175000</v>
      </c>
      <c r="DE93" s="102">
        <v>175000</v>
      </c>
      <c r="DF93" s="102">
        <v>175000</v>
      </c>
      <c r="DG93" s="102">
        <v>175000</v>
      </c>
      <c r="DH93" s="102">
        <v>175000</v>
      </c>
      <c r="DI93" s="102">
        <v>175000</v>
      </c>
      <c r="DJ93" s="102">
        <v>175000</v>
      </c>
      <c r="DK93" s="102">
        <v>175000</v>
      </c>
      <c r="DL93" s="102">
        <v>175000</v>
      </c>
      <c r="DM93" s="102">
        <v>175000</v>
      </c>
      <c r="DN93" s="102">
        <v>175000</v>
      </c>
      <c r="DO93" s="102">
        <v>0</v>
      </c>
      <c r="DP93" s="102">
        <v>0</v>
      </c>
      <c r="DQ93" s="102">
        <v>0</v>
      </c>
      <c r="DR93" s="102">
        <v>0</v>
      </c>
      <c r="DS93" s="102">
        <v>0</v>
      </c>
      <c r="DT93" s="102">
        <v>0</v>
      </c>
      <c r="DU93" s="102">
        <v>0</v>
      </c>
      <c r="DV93" s="102">
        <v>0</v>
      </c>
      <c r="DW93" s="102">
        <v>0</v>
      </c>
      <c r="DX93" s="102">
        <v>0</v>
      </c>
      <c r="DY93" s="102">
        <v>0</v>
      </c>
      <c r="DZ93" s="102">
        <v>0</v>
      </c>
      <c r="EA93" s="102">
        <v>0</v>
      </c>
      <c r="EB93" s="102">
        <v>0</v>
      </c>
      <c r="EC93" s="102">
        <v>0</v>
      </c>
      <c r="ED93" s="102">
        <v>0</v>
      </c>
      <c r="EE93" s="102">
        <v>0</v>
      </c>
      <c r="EF93" s="102">
        <v>0</v>
      </c>
      <c r="EG93" s="102">
        <v>0</v>
      </c>
      <c r="EH93" s="102">
        <v>0</v>
      </c>
      <c r="EI93" s="102">
        <v>0</v>
      </c>
      <c r="EJ93" s="102">
        <v>0</v>
      </c>
      <c r="EK93" s="102">
        <v>0</v>
      </c>
      <c r="EL93" s="102">
        <v>0</v>
      </c>
      <c r="EM93" s="102">
        <v>0</v>
      </c>
      <c r="EN93" s="102">
        <v>0</v>
      </c>
      <c r="EO93" s="102">
        <v>0</v>
      </c>
      <c r="EP93" s="102">
        <v>0</v>
      </c>
      <c r="EQ93" s="102">
        <v>0</v>
      </c>
      <c r="ER93" s="102">
        <v>0</v>
      </c>
      <c r="ES93" s="102">
        <v>0</v>
      </c>
      <c r="ET93" s="102">
        <v>0</v>
      </c>
      <c r="EU93" s="102">
        <v>0</v>
      </c>
      <c r="EV93" s="102">
        <v>0</v>
      </c>
      <c r="EW93" s="102">
        <v>0</v>
      </c>
      <c r="EX93" s="102">
        <v>0</v>
      </c>
      <c r="EY93" s="102">
        <v>0</v>
      </c>
      <c r="EZ93" s="102">
        <v>0</v>
      </c>
      <c r="FA93" s="102">
        <v>0</v>
      </c>
      <c r="FB93" s="102">
        <v>0</v>
      </c>
      <c r="FC93" s="102">
        <v>0</v>
      </c>
      <c r="FD93" s="102">
        <v>0</v>
      </c>
      <c r="FE93" s="102">
        <v>0</v>
      </c>
      <c r="FF93" s="102">
        <v>0</v>
      </c>
      <c r="FG93" s="102">
        <v>0</v>
      </c>
      <c r="FH93" s="102">
        <v>0</v>
      </c>
      <c r="FI93" s="102">
        <v>0</v>
      </c>
      <c r="FJ93" s="71">
        <v>0</v>
      </c>
    </row>
    <row r="94" spans="1:166" x14ac:dyDescent="0.3">
      <c r="A94" s="401" t="s">
        <v>880</v>
      </c>
      <c r="B94" s="103" t="s">
        <v>424</v>
      </c>
      <c r="C94" s="419" t="s">
        <v>926</v>
      </c>
      <c r="D94" s="419" t="s">
        <v>653</v>
      </c>
      <c r="E94" s="419" t="s">
        <v>860</v>
      </c>
      <c r="F94" s="103" t="s">
        <v>844</v>
      </c>
      <c r="G94" s="103" t="s">
        <v>845</v>
      </c>
      <c r="H94" s="103" t="s">
        <v>846</v>
      </c>
      <c r="I94" s="103">
        <v>0</v>
      </c>
      <c r="J94" s="103" t="s">
        <v>889</v>
      </c>
      <c r="K94" s="103">
        <v>0</v>
      </c>
      <c r="L94" s="103" t="s">
        <v>859</v>
      </c>
      <c r="M94" s="103">
        <v>2</v>
      </c>
      <c r="N94" s="103">
        <v>0</v>
      </c>
      <c r="O94" s="103">
        <v>9500000</v>
      </c>
      <c r="P94" s="393">
        <f t="shared" si="1"/>
        <v>19000000</v>
      </c>
      <c r="Q94" s="103">
        <v>24</v>
      </c>
      <c r="R94" s="103">
        <v>60</v>
      </c>
      <c r="S94" s="103">
        <v>0.1</v>
      </c>
      <c r="T94" s="395">
        <v>1</v>
      </c>
      <c r="U94" s="103">
        <v>0</v>
      </c>
      <c r="V94" s="102">
        <v>158333.33333333334</v>
      </c>
      <c r="W94" s="102">
        <v>9499999.9999999981</v>
      </c>
      <c r="X94" s="102">
        <v>0</v>
      </c>
      <c r="Y94" s="102">
        <v>0</v>
      </c>
      <c r="Z94" s="102">
        <v>1899999.9999999998</v>
      </c>
      <c r="AA94" s="102">
        <v>1899999.9999999998</v>
      </c>
      <c r="AB94" s="102">
        <v>1899999.9999999998</v>
      </c>
      <c r="AC94" s="102">
        <v>1899999.9999999998</v>
      </c>
      <c r="AD94" s="102">
        <v>1899999.9999999998</v>
      </c>
      <c r="AE94" s="102">
        <v>0</v>
      </c>
      <c r="AF94" s="102">
        <v>0</v>
      </c>
      <c r="AG94" s="102">
        <v>0</v>
      </c>
      <c r="AH94" s="102">
        <v>0</v>
      </c>
      <c r="AI94" s="399">
        <v>0</v>
      </c>
      <c r="AJ94" s="399">
        <v>0</v>
      </c>
      <c r="AK94" s="399">
        <v>0</v>
      </c>
      <c r="AL94" s="399">
        <v>0</v>
      </c>
      <c r="AM94" s="399">
        <v>0</v>
      </c>
      <c r="AN94" s="399">
        <v>0</v>
      </c>
      <c r="AO94" s="399">
        <v>0</v>
      </c>
      <c r="AP94" s="399">
        <v>0</v>
      </c>
      <c r="AQ94" s="399">
        <v>0</v>
      </c>
      <c r="AR94" s="399">
        <v>0</v>
      </c>
      <c r="AS94" s="399">
        <v>0</v>
      </c>
      <c r="AT94" s="399">
        <v>0</v>
      </c>
      <c r="AU94" s="399">
        <v>0</v>
      </c>
      <c r="AV94" s="399">
        <v>0</v>
      </c>
      <c r="AW94" s="399">
        <v>0</v>
      </c>
      <c r="AX94" s="399">
        <v>0</v>
      </c>
      <c r="AY94" s="399">
        <v>0</v>
      </c>
      <c r="AZ94" s="399">
        <v>0</v>
      </c>
      <c r="BA94" s="399">
        <v>0</v>
      </c>
      <c r="BB94" s="399">
        <v>0</v>
      </c>
      <c r="BC94" s="399">
        <v>0</v>
      </c>
      <c r="BD94" s="399">
        <v>0</v>
      </c>
      <c r="BE94" s="399">
        <v>0</v>
      </c>
      <c r="BF94" s="399">
        <v>0</v>
      </c>
      <c r="BG94" s="102">
        <v>158333.33333333334</v>
      </c>
      <c r="BH94" s="102">
        <v>158333.33333333334</v>
      </c>
      <c r="BI94" s="102">
        <v>158333.33333333334</v>
      </c>
      <c r="BJ94" s="102">
        <v>158333.33333333334</v>
      </c>
      <c r="BK94" s="102">
        <v>158333.33333333334</v>
      </c>
      <c r="BL94" s="102">
        <v>158333.33333333334</v>
      </c>
      <c r="BM94" s="102">
        <v>158333.33333333334</v>
      </c>
      <c r="BN94" s="102">
        <v>158333.33333333334</v>
      </c>
      <c r="BO94" s="102">
        <v>158333.33333333334</v>
      </c>
      <c r="BP94" s="102">
        <v>158333.33333333334</v>
      </c>
      <c r="BQ94" s="102">
        <v>158333.33333333334</v>
      </c>
      <c r="BR94" s="102">
        <v>158333.33333333334</v>
      </c>
      <c r="BS94" s="102">
        <v>158333.33333333334</v>
      </c>
      <c r="BT94" s="102">
        <v>158333.33333333334</v>
      </c>
      <c r="BU94" s="102">
        <v>158333.33333333334</v>
      </c>
      <c r="BV94" s="102">
        <v>158333.33333333334</v>
      </c>
      <c r="BW94" s="102">
        <v>158333.33333333334</v>
      </c>
      <c r="BX94" s="102">
        <v>158333.33333333334</v>
      </c>
      <c r="BY94" s="102">
        <v>158333.33333333334</v>
      </c>
      <c r="BZ94" s="102">
        <v>158333.33333333334</v>
      </c>
      <c r="CA94" s="102">
        <v>158333.33333333334</v>
      </c>
      <c r="CB94" s="102">
        <v>158333.33333333334</v>
      </c>
      <c r="CC94" s="102">
        <v>158333.33333333334</v>
      </c>
      <c r="CD94" s="102">
        <v>158333.33333333334</v>
      </c>
      <c r="CE94" s="102">
        <v>158333.33333333334</v>
      </c>
      <c r="CF94" s="102">
        <v>158333.33333333334</v>
      </c>
      <c r="CG94" s="102">
        <v>158333.33333333334</v>
      </c>
      <c r="CH94" s="102">
        <v>158333.33333333334</v>
      </c>
      <c r="CI94" s="102">
        <v>158333.33333333334</v>
      </c>
      <c r="CJ94" s="102">
        <v>158333.33333333334</v>
      </c>
      <c r="CK94" s="102">
        <v>158333.33333333334</v>
      </c>
      <c r="CL94" s="102">
        <v>158333.33333333334</v>
      </c>
      <c r="CM94" s="102">
        <v>158333.33333333334</v>
      </c>
      <c r="CN94" s="102">
        <v>158333.33333333334</v>
      </c>
      <c r="CO94" s="102">
        <v>158333.33333333334</v>
      </c>
      <c r="CP94" s="102">
        <v>158333.33333333334</v>
      </c>
      <c r="CQ94" s="102">
        <v>158333.33333333334</v>
      </c>
      <c r="CR94" s="102">
        <v>158333.33333333334</v>
      </c>
      <c r="CS94" s="102">
        <v>158333.33333333334</v>
      </c>
      <c r="CT94" s="102">
        <v>158333.33333333334</v>
      </c>
      <c r="CU94" s="102">
        <v>158333.33333333334</v>
      </c>
      <c r="CV94" s="102">
        <v>158333.33333333334</v>
      </c>
      <c r="CW94" s="102">
        <v>158333.33333333334</v>
      </c>
      <c r="CX94" s="102">
        <v>158333.33333333334</v>
      </c>
      <c r="CY94" s="102">
        <v>158333.33333333334</v>
      </c>
      <c r="CZ94" s="102">
        <v>158333.33333333334</v>
      </c>
      <c r="DA94" s="102">
        <v>158333.33333333334</v>
      </c>
      <c r="DB94" s="102">
        <v>158333.33333333334</v>
      </c>
      <c r="DC94" s="102">
        <v>158333.33333333334</v>
      </c>
      <c r="DD94" s="102">
        <v>158333.33333333334</v>
      </c>
      <c r="DE94" s="102">
        <v>158333.33333333334</v>
      </c>
      <c r="DF94" s="102">
        <v>158333.33333333334</v>
      </c>
      <c r="DG94" s="102">
        <v>158333.33333333334</v>
      </c>
      <c r="DH94" s="102">
        <v>158333.33333333334</v>
      </c>
      <c r="DI94" s="102">
        <v>158333.33333333334</v>
      </c>
      <c r="DJ94" s="102">
        <v>158333.33333333334</v>
      </c>
      <c r="DK94" s="102">
        <v>158333.33333333334</v>
      </c>
      <c r="DL94" s="102">
        <v>158333.33333333334</v>
      </c>
      <c r="DM94" s="102">
        <v>158333.33333333334</v>
      </c>
      <c r="DN94" s="102">
        <v>158333.33333333334</v>
      </c>
      <c r="DO94" s="102">
        <v>0</v>
      </c>
      <c r="DP94" s="102">
        <v>0</v>
      </c>
      <c r="DQ94" s="102">
        <v>0</v>
      </c>
      <c r="DR94" s="102">
        <v>0</v>
      </c>
      <c r="DS94" s="102">
        <v>0</v>
      </c>
      <c r="DT94" s="102">
        <v>0</v>
      </c>
      <c r="DU94" s="102">
        <v>0</v>
      </c>
      <c r="DV94" s="102">
        <v>0</v>
      </c>
      <c r="DW94" s="102">
        <v>0</v>
      </c>
      <c r="DX94" s="102">
        <v>0</v>
      </c>
      <c r="DY94" s="102">
        <v>0</v>
      </c>
      <c r="DZ94" s="102">
        <v>0</v>
      </c>
      <c r="EA94" s="102">
        <v>0</v>
      </c>
      <c r="EB94" s="102">
        <v>0</v>
      </c>
      <c r="EC94" s="102">
        <v>0</v>
      </c>
      <c r="ED94" s="102">
        <v>0</v>
      </c>
      <c r="EE94" s="102">
        <v>0</v>
      </c>
      <c r="EF94" s="102">
        <v>0</v>
      </c>
      <c r="EG94" s="102">
        <v>0</v>
      </c>
      <c r="EH94" s="102">
        <v>0</v>
      </c>
      <c r="EI94" s="102">
        <v>0</v>
      </c>
      <c r="EJ94" s="102">
        <v>0</v>
      </c>
      <c r="EK94" s="102">
        <v>0</v>
      </c>
      <c r="EL94" s="102">
        <v>0</v>
      </c>
      <c r="EM94" s="102">
        <v>0</v>
      </c>
      <c r="EN94" s="102">
        <v>0</v>
      </c>
      <c r="EO94" s="102">
        <v>0</v>
      </c>
      <c r="EP94" s="102">
        <v>0</v>
      </c>
      <c r="EQ94" s="102">
        <v>0</v>
      </c>
      <c r="ER94" s="102">
        <v>0</v>
      </c>
      <c r="ES94" s="102">
        <v>0</v>
      </c>
      <c r="ET94" s="102">
        <v>0</v>
      </c>
      <c r="EU94" s="102">
        <v>0</v>
      </c>
      <c r="EV94" s="102">
        <v>0</v>
      </c>
      <c r="EW94" s="102">
        <v>0</v>
      </c>
      <c r="EX94" s="102">
        <v>0</v>
      </c>
      <c r="EY94" s="102">
        <v>0</v>
      </c>
      <c r="EZ94" s="102">
        <v>0</v>
      </c>
      <c r="FA94" s="102">
        <v>0</v>
      </c>
      <c r="FB94" s="102">
        <v>0</v>
      </c>
      <c r="FC94" s="102">
        <v>0</v>
      </c>
      <c r="FD94" s="102">
        <v>0</v>
      </c>
      <c r="FE94" s="102">
        <v>0</v>
      </c>
      <c r="FF94" s="102">
        <v>0</v>
      </c>
      <c r="FG94" s="102">
        <v>0</v>
      </c>
      <c r="FH94" s="102">
        <v>0</v>
      </c>
      <c r="FI94" s="102">
        <v>0</v>
      </c>
      <c r="FJ94" s="71">
        <v>0</v>
      </c>
    </row>
    <row r="95" spans="1:166" x14ac:dyDescent="0.3">
      <c r="A95" s="401" t="s">
        <v>881</v>
      </c>
      <c r="B95" s="103" t="s">
        <v>424</v>
      </c>
      <c r="C95" s="419" t="s">
        <v>926</v>
      </c>
      <c r="D95" s="419" t="s">
        <v>653</v>
      </c>
      <c r="E95" s="419" t="s">
        <v>860</v>
      </c>
      <c r="F95" s="103" t="s">
        <v>847</v>
      </c>
      <c r="G95" s="103" t="s">
        <v>848</v>
      </c>
      <c r="H95" s="103" t="s">
        <v>849</v>
      </c>
      <c r="I95" s="103">
        <v>0</v>
      </c>
      <c r="J95" s="103" t="s">
        <v>889</v>
      </c>
      <c r="K95" s="103">
        <v>0</v>
      </c>
      <c r="L95" s="103" t="s">
        <v>307</v>
      </c>
      <c r="M95" s="103">
        <v>25</v>
      </c>
      <c r="N95" s="103">
        <v>0</v>
      </c>
      <c r="O95" s="103">
        <v>500000</v>
      </c>
      <c r="P95" s="393">
        <f t="shared" si="1"/>
        <v>12500000</v>
      </c>
      <c r="Q95" s="103">
        <v>0</v>
      </c>
      <c r="R95" s="103">
        <v>0</v>
      </c>
      <c r="S95" s="103">
        <v>0</v>
      </c>
      <c r="T95" s="395">
        <v>1</v>
      </c>
      <c r="U95" s="103">
        <v>0</v>
      </c>
      <c r="V95" s="102">
        <v>0</v>
      </c>
      <c r="W95" s="102">
        <v>0</v>
      </c>
      <c r="X95" s="102">
        <v>0</v>
      </c>
      <c r="Y95" s="102">
        <v>0</v>
      </c>
      <c r="Z95" s="102">
        <v>0</v>
      </c>
      <c r="AA95" s="102">
        <v>0</v>
      </c>
      <c r="AB95" s="102">
        <v>0</v>
      </c>
      <c r="AC95" s="102">
        <v>0</v>
      </c>
      <c r="AD95" s="102">
        <v>0</v>
      </c>
      <c r="AE95" s="102">
        <v>0</v>
      </c>
      <c r="AF95" s="102">
        <v>0</v>
      </c>
      <c r="AG95" s="102">
        <v>0</v>
      </c>
      <c r="AH95" s="102">
        <v>0</v>
      </c>
      <c r="AI95" s="102">
        <v>0</v>
      </c>
      <c r="AJ95" s="102">
        <v>0</v>
      </c>
      <c r="AK95" s="102">
        <v>0</v>
      </c>
      <c r="AL95" s="102">
        <v>0</v>
      </c>
      <c r="AM95" s="102">
        <v>0</v>
      </c>
      <c r="AN95" s="102">
        <v>0</v>
      </c>
      <c r="AO95" s="102">
        <v>0</v>
      </c>
      <c r="AP95" s="102">
        <v>0</v>
      </c>
      <c r="AQ95" s="102">
        <v>0</v>
      </c>
      <c r="AR95" s="102">
        <v>0</v>
      </c>
      <c r="AS95" s="102">
        <v>0</v>
      </c>
      <c r="AT95" s="102">
        <v>0</v>
      </c>
      <c r="AU95" s="102">
        <v>0</v>
      </c>
      <c r="AV95" s="102">
        <v>0</v>
      </c>
      <c r="AW95" s="102">
        <v>0</v>
      </c>
      <c r="AX95" s="102">
        <v>0</v>
      </c>
      <c r="AY95" s="102">
        <v>0</v>
      </c>
      <c r="AZ95" s="102">
        <v>0</v>
      </c>
      <c r="BA95" s="102">
        <v>0</v>
      </c>
      <c r="BB95" s="102">
        <v>0</v>
      </c>
      <c r="BC95" s="102">
        <v>0</v>
      </c>
      <c r="BD95" s="102">
        <v>0</v>
      </c>
      <c r="BE95" s="102">
        <v>0</v>
      </c>
      <c r="BF95" s="102">
        <v>0</v>
      </c>
      <c r="BG95" s="102">
        <v>0</v>
      </c>
      <c r="BH95" s="102">
        <v>0</v>
      </c>
      <c r="BI95" s="102">
        <v>0</v>
      </c>
      <c r="BJ95" s="102">
        <v>0</v>
      </c>
      <c r="BK95" s="102">
        <v>0</v>
      </c>
      <c r="BL95" s="102">
        <v>0</v>
      </c>
      <c r="BM95" s="102">
        <v>0</v>
      </c>
      <c r="BN95" s="102">
        <v>0</v>
      </c>
      <c r="BO95" s="102">
        <v>0</v>
      </c>
      <c r="BP95" s="102">
        <v>0</v>
      </c>
      <c r="BQ95" s="102">
        <v>0</v>
      </c>
      <c r="BR95" s="102">
        <v>0</v>
      </c>
      <c r="BS95" s="102">
        <v>0</v>
      </c>
      <c r="BT95" s="102">
        <v>0</v>
      </c>
      <c r="BU95" s="102">
        <v>0</v>
      </c>
      <c r="BV95" s="102">
        <v>0</v>
      </c>
      <c r="BW95" s="102">
        <v>0</v>
      </c>
      <c r="BX95" s="102">
        <v>0</v>
      </c>
      <c r="BY95" s="102">
        <v>0</v>
      </c>
      <c r="BZ95" s="102">
        <v>0</v>
      </c>
      <c r="CA95" s="102">
        <v>0</v>
      </c>
      <c r="CB95" s="102">
        <v>0</v>
      </c>
      <c r="CC95" s="102">
        <v>0</v>
      </c>
      <c r="CD95" s="102">
        <v>0</v>
      </c>
      <c r="CE95" s="102">
        <v>0</v>
      </c>
      <c r="CF95" s="102">
        <v>0</v>
      </c>
      <c r="CG95" s="102">
        <v>0</v>
      </c>
      <c r="CH95" s="102">
        <v>0</v>
      </c>
      <c r="CI95" s="102">
        <v>0</v>
      </c>
      <c r="CJ95" s="102">
        <v>0</v>
      </c>
      <c r="CK95" s="102">
        <v>0</v>
      </c>
      <c r="CL95" s="102">
        <v>0</v>
      </c>
      <c r="CM95" s="102">
        <v>0</v>
      </c>
      <c r="CN95" s="102">
        <v>0</v>
      </c>
      <c r="CO95" s="102">
        <v>0</v>
      </c>
      <c r="CP95" s="102">
        <v>0</v>
      </c>
      <c r="CQ95" s="102">
        <v>0</v>
      </c>
      <c r="CR95" s="102">
        <v>0</v>
      </c>
      <c r="CS95" s="102">
        <v>0</v>
      </c>
      <c r="CT95" s="102">
        <v>0</v>
      </c>
      <c r="CU95" s="102">
        <v>0</v>
      </c>
      <c r="CV95" s="102">
        <v>0</v>
      </c>
      <c r="CW95" s="102">
        <v>0</v>
      </c>
      <c r="CX95" s="102">
        <v>0</v>
      </c>
      <c r="CY95" s="102">
        <v>0</v>
      </c>
      <c r="CZ95" s="102">
        <v>0</v>
      </c>
      <c r="DA95" s="102">
        <v>0</v>
      </c>
      <c r="DB95" s="102">
        <v>0</v>
      </c>
      <c r="DC95" s="102">
        <v>0</v>
      </c>
      <c r="DD95" s="102">
        <v>0</v>
      </c>
      <c r="DE95" s="102">
        <v>0</v>
      </c>
      <c r="DF95" s="102">
        <v>0</v>
      </c>
      <c r="DG95" s="102">
        <v>0</v>
      </c>
      <c r="DH95" s="102">
        <v>0</v>
      </c>
      <c r="DI95" s="102">
        <v>0</v>
      </c>
      <c r="DJ95" s="102">
        <v>0</v>
      </c>
      <c r="DK95" s="102">
        <v>0</v>
      </c>
      <c r="DL95" s="102">
        <v>0</v>
      </c>
      <c r="DM95" s="102">
        <v>0</v>
      </c>
      <c r="DN95" s="102">
        <v>0</v>
      </c>
      <c r="DO95" s="102">
        <v>0</v>
      </c>
      <c r="DP95" s="102">
        <v>0</v>
      </c>
      <c r="DQ95" s="102">
        <v>0</v>
      </c>
      <c r="DR95" s="102">
        <v>0</v>
      </c>
      <c r="DS95" s="102">
        <v>0</v>
      </c>
      <c r="DT95" s="102">
        <v>0</v>
      </c>
      <c r="DU95" s="102">
        <v>0</v>
      </c>
      <c r="DV95" s="102">
        <v>0</v>
      </c>
      <c r="DW95" s="102">
        <v>0</v>
      </c>
      <c r="DX95" s="102">
        <v>0</v>
      </c>
      <c r="DY95" s="102">
        <v>0</v>
      </c>
      <c r="DZ95" s="102">
        <v>0</v>
      </c>
      <c r="EA95" s="102">
        <v>0</v>
      </c>
      <c r="EB95" s="102">
        <v>0</v>
      </c>
      <c r="EC95" s="102">
        <v>0</v>
      </c>
      <c r="ED95" s="102">
        <v>0</v>
      </c>
      <c r="EE95" s="102">
        <v>0</v>
      </c>
      <c r="EF95" s="102">
        <v>0</v>
      </c>
      <c r="EG95" s="102">
        <v>0</v>
      </c>
      <c r="EH95" s="102">
        <v>0</v>
      </c>
      <c r="EI95" s="102">
        <v>0</v>
      </c>
      <c r="EJ95" s="102">
        <v>0</v>
      </c>
      <c r="EK95" s="102">
        <v>0</v>
      </c>
      <c r="EL95" s="102">
        <v>0</v>
      </c>
      <c r="EM95" s="102">
        <v>0</v>
      </c>
      <c r="EN95" s="102">
        <v>0</v>
      </c>
      <c r="EO95" s="102">
        <v>0</v>
      </c>
      <c r="EP95" s="102">
        <v>0</v>
      </c>
      <c r="EQ95" s="102">
        <v>0</v>
      </c>
      <c r="ER95" s="102">
        <v>0</v>
      </c>
      <c r="ES95" s="102">
        <v>0</v>
      </c>
      <c r="ET95" s="102">
        <v>0</v>
      </c>
      <c r="EU95" s="102">
        <v>0</v>
      </c>
      <c r="EV95" s="102">
        <v>0</v>
      </c>
      <c r="EW95" s="102">
        <v>0</v>
      </c>
      <c r="EX95" s="102">
        <v>0</v>
      </c>
      <c r="EY95" s="102">
        <v>0</v>
      </c>
      <c r="EZ95" s="102">
        <v>0</v>
      </c>
      <c r="FA95" s="102">
        <v>0</v>
      </c>
      <c r="FB95" s="102">
        <v>0</v>
      </c>
      <c r="FC95" s="102">
        <v>0</v>
      </c>
      <c r="FD95" s="102">
        <v>0</v>
      </c>
      <c r="FE95" s="102">
        <v>0</v>
      </c>
      <c r="FF95" s="102">
        <v>0</v>
      </c>
      <c r="FG95" s="102">
        <v>0</v>
      </c>
      <c r="FH95" s="102">
        <v>0</v>
      </c>
      <c r="FI95" s="102">
        <v>0</v>
      </c>
      <c r="FJ95" s="71">
        <v>0</v>
      </c>
    </row>
    <row r="96" spans="1:166" x14ac:dyDescent="0.3">
      <c r="A96" s="401" t="s">
        <v>882</v>
      </c>
      <c r="B96" s="103" t="s">
        <v>424</v>
      </c>
      <c r="C96" s="419" t="s">
        <v>925</v>
      </c>
      <c r="D96" s="419" t="s">
        <v>653</v>
      </c>
      <c r="E96" s="419" t="s">
        <v>860</v>
      </c>
      <c r="F96" s="103" t="s">
        <v>850</v>
      </c>
      <c r="G96" s="103" t="s">
        <v>851</v>
      </c>
      <c r="H96" s="103" t="s">
        <v>852</v>
      </c>
      <c r="I96" s="103">
        <v>0</v>
      </c>
      <c r="J96" s="103" t="s">
        <v>889</v>
      </c>
      <c r="K96" s="103">
        <v>0</v>
      </c>
      <c r="L96" s="103" t="s">
        <v>859</v>
      </c>
      <c r="M96" s="103">
        <v>1</v>
      </c>
      <c r="N96" s="103">
        <v>0</v>
      </c>
      <c r="O96" s="103">
        <v>4000000</v>
      </c>
      <c r="P96" s="393">
        <f t="shared" si="1"/>
        <v>4000000</v>
      </c>
      <c r="Q96" s="103">
        <v>0</v>
      </c>
      <c r="R96" s="103">
        <v>0</v>
      </c>
      <c r="S96" s="103">
        <v>0</v>
      </c>
      <c r="T96" s="395">
        <v>1</v>
      </c>
      <c r="U96" s="103">
        <v>0</v>
      </c>
      <c r="V96" s="102">
        <v>0</v>
      </c>
      <c r="W96" s="102">
        <v>0</v>
      </c>
      <c r="X96" s="102">
        <v>0</v>
      </c>
      <c r="Y96" s="102">
        <v>0</v>
      </c>
      <c r="Z96" s="102">
        <v>0</v>
      </c>
      <c r="AA96" s="102">
        <v>0</v>
      </c>
      <c r="AB96" s="102">
        <v>0</v>
      </c>
      <c r="AC96" s="102">
        <v>0</v>
      </c>
      <c r="AD96" s="102">
        <v>0</v>
      </c>
      <c r="AE96" s="102">
        <v>0</v>
      </c>
      <c r="AF96" s="102">
        <v>0</v>
      </c>
      <c r="AG96" s="102">
        <v>0</v>
      </c>
      <c r="AH96" s="102">
        <v>0</v>
      </c>
      <c r="AI96" s="102">
        <v>0</v>
      </c>
      <c r="AJ96" s="102">
        <v>0</v>
      </c>
      <c r="AK96" s="102">
        <v>0</v>
      </c>
      <c r="AL96" s="102">
        <v>0</v>
      </c>
      <c r="AM96" s="102">
        <v>0</v>
      </c>
      <c r="AN96" s="102">
        <v>0</v>
      </c>
      <c r="AO96" s="102">
        <v>0</v>
      </c>
      <c r="AP96" s="102">
        <v>0</v>
      </c>
      <c r="AQ96" s="102">
        <v>0</v>
      </c>
      <c r="AR96" s="102">
        <v>0</v>
      </c>
      <c r="AS96" s="102">
        <v>0</v>
      </c>
      <c r="AT96" s="102">
        <v>0</v>
      </c>
      <c r="AU96" s="102">
        <v>0</v>
      </c>
      <c r="AV96" s="102">
        <v>0</v>
      </c>
      <c r="AW96" s="102">
        <v>0</v>
      </c>
      <c r="AX96" s="102">
        <v>0</v>
      </c>
      <c r="AY96" s="102">
        <v>0</v>
      </c>
      <c r="AZ96" s="102">
        <v>0</v>
      </c>
      <c r="BA96" s="102">
        <v>0</v>
      </c>
      <c r="BB96" s="102">
        <v>0</v>
      </c>
      <c r="BC96" s="102">
        <v>0</v>
      </c>
      <c r="BD96" s="102">
        <v>0</v>
      </c>
      <c r="BE96" s="102">
        <v>0</v>
      </c>
      <c r="BF96" s="102">
        <v>0</v>
      </c>
      <c r="BG96" s="102">
        <v>0</v>
      </c>
      <c r="BH96" s="102">
        <v>0</v>
      </c>
      <c r="BI96" s="102">
        <v>0</v>
      </c>
      <c r="BJ96" s="102">
        <v>0</v>
      </c>
      <c r="BK96" s="102">
        <v>0</v>
      </c>
      <c r="BL96" s="102">
        <v>0</v>
      </c>
      <c r="BM96" s="102">
        <v>0</v>
      </c>
      <c r="BN96" s="102">
        <v>0</v>
      </c>
      <c r="BO96" s="102">
        <v>0</v>
      </c>
      <c r="BP96" s="102">
        <v>0</v>
      </c>
      <c r="BQ96" s="102">
        <v>0</v>
      </c>
      <c r="BR96" s="102">
        <v>0</v>
      </c>
      <c r="BS96" s="102">
        <v>0</v>
      </c>
      <c r="BT96" s="102">
        <v>0</v>
      </c>
      <c r="BU96" s="102">
        <v>0</v>
      </c>
      <c r="BV96" s="102">
        <v>0</v>
      </c>
      <c r="BW96" s="102">
        <v>0</v>
      </c>
      <c r="BX96" s="102">
        <v>0</v>
      </c>
      <c r="BY96" s="102">
        <v>0</v>
      </c>
      <c r="BZ96" s="102">
        <v>0</v>
      </c>
      <c r="CA96" s="102">
        <v>0</v>
      </c>
      <c r="CB96" s="102">
        <v>0</v>
      </c>
      <c r="CC96" s="102">
        <v>0</v>
      </c>
      <c r="CD96" s="102">
        <v>0</v>
      </c>
      <c r="CE96" s="102">
        <v>0</v>
      </c>
      <c r="CF96" s="102">
        <v>0</v>
      </c>
      <c r="CG96" s="102">
        <v>0</v>
      </c>
      <c r="CH96" s="102">
        <v>0</v>
      </c>
      <c r="CI96" s="102">
        <v>0</v>
      </c>
      <c r="CJ96" s="102">
        <v>0</v>
      </c>
      <c r="CK96" s="102">
        <v>0</v>
      </c>
      <c r="CL96" s="102">
        <v>0</v>
      </c>
      <c r="CM96" s="102">
        <v>0</v>
      </c>
      <c r="CN96" s="102">
        <v>0</v>
      </c>
      <c r="CO96" s="102">
        <v>0</v>
      </c>
      <c r="CP96" s="102">
        <v>0</v>
      </c>
      <c r="CQ96" s="102">
        <v>0</v>
      </c>
      <c r="CR96" s="102">
        <v>0</v>
      </c>
      <c r="CS96" s="102">
        <v>0</v>
      </c>
      <c r="CT96" s="102">
        <v>0</v>
      </c>
      <c r="CU96" s="102">
        <v>0</v>
      </c>
      <c r="CV96" s="102">
        <v>0</v>
      </c>
      <c r="CW96" s="102">
        <v>0</v>
      </c>
      <c r="CX96" s="102">
        <v>0</v>
      </c>
      <c r="CY96" s="102">
        <v>0</v>
      </c>
      <c r="CZ96" s="102">
        <v>0</v>
      </c>
      <c r="DA96" s="102">
        <v>0</v>
      </c>
      <c r="DB96" s="102">
        <v>0</v>
      </c>
      <c r="DC96" s="102">
        <v>0</v>
      </c>
      <c r="DD96" s="102">
        <v>0</v>
      </c>
      <c r="DE96" s="102">
        <v>0</v>
      </c>
      <c r="DF96" s="102">
        <v>0</v>
      </c>
      <c r="DG96" s="102">
        <v>0</v>
      </c>
      <c r="DH96" s="102">
        <v>0</v>
      </c>
      <c r="DI96" s="102">
        <v>0</v>
      </c>
      <c r="DJ96" s="102">
        <v>0</v>
      </c>
      <c r="DK96" s="102">
        <v>0</v>
      </c>
      <c r="DL96" s="102">
        <v>0</v>
      </c>
      <c r="DM96" s="102">
        <v>0</v>
      </c>
      <c r="DN96" s="102">
        <v>0</v>
      </c>
      <c r="DO96" s="102">
        <v>0</v>
      </c>
      <c r="DP96" s="102">
        <v>0</v>
      </c>
      <c r="DQ96" s="102">
        <v>0</v>
      </c>
      <c r="DR96" s="102">
        <v>0</v>
      </c>
      <c r="DS96" s="102">
        <v>0</v>
      </c>
      <c r="DT96" s="102">
        <v>0</v>
      </c>
      <c r="DU96" s="102">
        <v>0</v>
      </c>
      <c r="DV96" s="102">
        <v>0</v>
      </c>
      <c r="DW96" s="102">
        <v>0</v>
      </c>
      <c r="DX96" s="102">
        <v>0</v>
      </c>
      <c r="DY96" s="102">
        <v>0</v>
      </c>
      <c r="DZ96" s="102">
        <v>0</v>
      </c>
      <c r="EA96" s="102">
        <v>0</v>
      </c>
      <c r="EB96" s="102">
        <v>0</v>
      </c>
      <c r="EC96" s="102">
        <v>0</v>
      </c>
      <c r="ED96" s="102">
        <v>0</v>
      </c>
      <c r="EE96" s="102">
        <v>0</v>
      </c>
      <c r="EF96" s="102">
        <v>0</v>
      </c>
      <c r="EG96" s="102">
        <v>0</v>
      </c>
      <c r="EH96" s="102">
        <v>0</v>
      </c>
      <c r="EI96" s="102">
        <v>0</v>
      </c>
      <c r="EJ96" s="102">
        <v>0</v>
      </c>
      <c r="EK96" s="102">
        <v>0</v>
      </c>
      <c r="EL96" s="102">
        <v>0</v>
      </c>
      <c r="EM96" s="102">
        <v>0</v>
      </c>
      <c r="EN96" s="102">
        <v>0</v>
      </c>
      <c r="EO96" s="102">
        <v>0</v>
      </c>
      <c r="EP96" s="102">
        <v>0</v>
      </c>
      <c r="EQ96" s="102">
        <v>0</v>
      </c>
      <c r="ER96" s="102">
        <v>0</v>
      </c>
      <c r="ES96" s="102">
        <v>0</v>
      </c>
      <c r="ET96" s="102">
        <v>0</v>
      </c>
      <c r="EU96" s="102">
        <v>0</v>
      </c>
      <c r="EV96" s="102">
        <v>0</v>
      </c>
      <c r="EW96" s="102">
        <v>0</v>
      </c>
      <c r="EX96" s="102">
        <v>0</v>
      </c>
      <c r="EY96" s="102">
        <v>0</v>
      </c>
      <c r="EZ96" s="102">
        <v>0</v>
      </c>
      <c r="FA96" s="102">
        <v>0</v>
      </c>
      <c r="FB96" s="102">
        <v>0</v>
      </c>
      <c r="FC96" s="102">
        <v>0</v>
      </c>
      <c r="FD96" s="102">
        <v>0</v>
      </c>
      <c r="FE96" s="102">
        <v>0</v>
      </c>
      <c r="FF96" s="102">
        <v>0</v>
      </c>
      <c r="FG96" s="102">
        <v>0</v>
      </c>
      <c r="FH96" s="102">
        <v>0</v>
      </c>
      <c r="FI96" s="102">
        <v>0</v>
      </c>
      <c r="FJ96" s="71">
        <v>0</v>
      </c>
    </row>
    <row r="97" spans="1:166" x14ac:dyDescent="0.3">
      <c r="A97" s="401" t="s">
        <v>883</v>
      </c>
      <c r="B97" s="103" t="s">
        <v>424</v>
      </c>
      <c r="C97" s="419" t="s">
        <v>927</v>
      </c>
      <c r="D97" s="419" t="s">
        <v>653</v>
      </c>
      <c r="E97" s="419" t="s">
        <v>860</v>
      </c>
      <c r="F97" s="103" t="s">
        <v>853</v>
      </c>
      <c r="G97" s="103" t="s">
        <v>854</v>
      </c>
      <c r="H97" s="103" t="s">
        <v>855</v>
      </c>
      <c r="I97" s="103">
        <v>0</v>
      </c>
      <c r="J97" s="103" t="s">
        <v>889</v>
      </c>
      <c r="K97" s="103">
        <v>0</v>
      </c>
      <c r="L97" s="103" t="s">
        <v>859</v>
      </c>
      <c r="M97" s="103">
        <v>30</v>
      </c>
      <c r="N97" s="103">
        <v>0</v>
      </c>
      <c r="O97" s="103">
        <v>100000</v>
      </c>
      <c r="P97" s="393">
        <f t="shared" si="1"/>
        <v>3000000</v>
      </c>
      <c r="Q97" s="103">
        <v>0</v>
      </c>
      <c r="R97" s="103">
        <v>0</v>
      </c>
      <c r="S97" s="103">
        <v>0</v>
      </c>
      <c r="T97" s="395">
        <v>1</v>
      </c>
      <c r="U97" s="103">
        <v>0</v>
      </c>
      <c r="V97" s="102">
        <v>0</v>
      </c>
      <c r="W97" s="102">
        <v>0</v>
      </c>
      <c r="X97" s="102">
        <v>0</v>
      </c>
      <c r="Y97" s="102">
        <v>0</v>
      </c>
      <c r="Z97" s="102">
        <v>0</v>
      </c>
      <c r="AA97" s="102">
        <v>0</v>
      </c>
      <c r="AB97" s="102">
        <v>0</v>
      </c>
      <c r="AC97" s="102">
        <v>0</v>
      </c>
      <c r="AD97" s="102">
        <v>0</v>
      </c>
      <c r="AE97" s="102">
        <v>0</v>
      </c>
      <c r="AF97" s="102">
        <v>0</v>
      </c>
      <c r="AG97" s="102">
        <v>0</v>
      </c>
      <c r="AH97" s="102">
        <v>0</v>
      </c>
      <c r="AI97" s="102">
        <v>0</v>
      </c>
      <c r="AJ97" s="102">
        <v>0</v>
      </c>
      <c r="AK97" s="102">
        <v>0</v>
      </c>
      <c r="AL97" s="102">
        <v>0</v>
      </c>
      <c r="AM97" s="102">
        <v>0</v>
      </c>
      <c r="AN97" s="102">
        <v>0</v>
      </c>
      <c r="AO97" s="102">
        <v>0</v>
      </c>
      <c r="AP97" s="102">
        <v>0</v>
      </c>
      <c r="AQ97" s="102">
        <v>0</v>
      </c>
      <c r="AR97" s="102">
        <v>0</v>
      </c>
      <c r="AS97" s="102">
        <v>0</v>
      </c>
      <c r="AT97" s="102">
        <v>0</v>
      </c>
      <c r="AU97" s="102">
        <v>0</v>
      </c>
      <c r="AV97" s="102">
        <v>0</v>
      </c>
      <c r="AW97" s="102">
        <v>0</v>
      </c>
      <c r="AX97" s="102">
        <v>0</v>
      </c>
      <c r="AY97" s="102">
        <v>0</v>
      </c>
      <c r="AZ97" s="102">
        <v>0</v>
      </c>
      <c r="BA97" s="102">
        <v>0</v>
      </c>
      <c r="BB97" s="102">
        <v>0</v>
      </c>
      <c r="BC97" s="102">
        <v>0</v>
      </c>
      <c r="BD97" s="102">
        <v>0</v>
      </c>
      <c r="BE97" s="102">
        <v>0</v>
      </c>
      <c r="BF97" s="102">
        <v>0</v>
      </c>
      <c r="BG97" s="102">
        <v>0</v>
      </c>
      <c r="BH97" s="102">
        <v>0</v>
      </c>
      <c r="BI97" s="102">
        <v>0</v>
      </c>
      <c r="BJ97" s="102">
        <v>0</v>
      </c>
      <c r="BK97" s="102">
        <v>0</v>
      </c>
      <c r="BL97" s="102">
        <v>0</v>
      </c>
      <c r="BM97" s="102">
        <v>0</v>
      </c>
      <c r="BN97" s="102">
        <v>0</v>
      </c>
      <c r="BO97" s="102">
        <v>0</v>
      </c>
      <c r="BP97" s="102">
        <v>0</v>
      </c>
      <c r="BQ97" s="102">
        <v>0</v>
      </c>
      <c r="BR97" s="102">
        <v>0</v>
      </c>
      <c r="BS97" s="102">
        <v>0</v>
      </c>
      <c r="BT97" s="102">
        <v>0</v>
      </c>
      <c r="BU97" s="102">
        <v>0</v>
      </c>
      <c r="BV97" s="102">
        <v>0</v>
      </c>
      <c r="BW97" s="102">
        <v>0</v>
      </c>
      <c r="BX97" s="102">
        <v>0</v>
      </c>
      <c r="BY97" s="102">
        <v>0</v>
      </c>
      <c r="BZ97" s="102">
        <v>0</v>
      </c>
      <c r="CA97" s="102">
        <v>0</v>
      </c>
      <c r="CB97" s="102">
        <v>0</v>
      </c>
      <c r="CC97" s="102">
        <v>0</v>
      </c>
      <c r="CD97" s="102">
        <v>0</v>
      </c>
      <c r="CE97" s="102">
        <v>0</v>
      </c>
      <c r="CF97" s="102">
        <v>0</v>
      </c>
      <c r="CG97" s="102">
        <v>0</v>
      </c>
      <c r="CH97" s="102">
        <v>0</v>
      </c>
      <c r="CI97" s="102">
        <v>0</v>
      </c>
      <c r="CJ97" s="102">
        <v>0</v>
      </c>
      <c r="CK97" s="102">
        <v>0</v>
      </c>
      <c r="CL97" s="102">
        <v>0</v>
      </c>
      <c r="CM97" s="102">
        <v>0</v>
      </c>
      <c r="CN97" s="102">
        <v>0</v>
      </c>
      <c r="CO97" s="102">
        <v>0</v>
      </c>
      <c r="CP97" s="102">
        <v>0</v>
      </c>
      <c r="CQ97" s="102">
        <v>0</v>
      </c>
      <c r="CR97" s="102">
        <v>0</v>
      </c>
      <c r="CS97" s="102">
        <v>0</v>
      </c>
      <c r="CT97" s="102">
        <v>0</v>
      </c>
      <c r="CU97" s="102">
        <v>0</v>
      </c>
      <c r="CV97" s="102">
        <v>0</v>
      </c>
      <c r="CW97" s="102">
        <v>0</v>
      </c>
      <c r="CX97" s="102">
        <v>0</v>
      </c>
      <c r="CY97" s="102">
        <v>0</v>
      </c>
      <c r="CZ97" s="102">
        <v>0</v>
      </c>
      <c r="DA97" s="102">
        <v>0</v>
      </c>
      <c r="DB97" s="102">
        <v>0</v>
      </c>
      <c r="DC97" s="102">
        <v>0</v>
      </c>
      <c r="DD97" s="102">
        <v>0</v>
      </c>
      <c r="DE97" s="102">
        <v>0</v>
      </c>
      <c r="DF97" s="102">
        <v>0</v>
      </c>
      <c r="DG97" s="102">
        <v>0</v>
      </c>
      <c r="DH97" s="102">
        <v>0</v>
      </c>
      <c r="DI97" s="102">
        <v>0</v>
      </c>
      <c r="DJ97" s="102">
        <v>0</v>
      </c>
      <c r="DK97" s="102">
        <v>0</v>
      </c>
      <c r="DL97" s="102">
        <v>0</v>
      </c>
      <c r="DM97" s="102">
        <v>0</v>
      </c>
      <c r="DN97" s="102">
        <v>0</v>
      </c>
      <c r="DO97" s="102">
        <v>0</v>
      </c>
      <c r="DP97" s="102">
        <v>0</v>
      </c>
      <c r="DQ97" s="102">
        <v>0</v>
      </c>
      <c r="DR97" s="102">
        <v>0</v>
      </c>
      <c r="DS97" s="102">
        <v>0</v>
      </c>
      <c r="DT97" s="102">
        <v>0</v>
      </c>
      <c r="DU97" s="102">
        <v>0</v>
      </c>
      <c r="DV97" s="102">
        <v>0</v>
      </c>
      <c r="DW97" s="102">
        <v>0</v>
      </c>
      <c r="DX97" s="102">
        <v>0</v>
      </c>
      <c r="DY97" s="102">
        <v>0</v>
      </c>
      <c r="DZ97" s="102">
        <v>0</v>
      </c>
      <c r="EA97" s="102">
        <v>0</v>
      </c>
      <c r="EB97" s="102">
        <v>0</v>
      </c>
      <c r="EC97" s="102">
        <v>0</v>
      </c>
      <c r="ED97" s="102">
        <v>0</v>
      </c>
      <c r="EE97" s="102">
        <v>0</v>
      </c>
      <c r="EF97" s="102">
        <v>0</v>
      </c>
      <c r="EG97" s="102">
        <v>0</v>
      </c>
      <c r="EH97" s="102">
        <v>0</v>
      </c>
      <c r="EI97" s="102">
        <v>0</v>
      </c>
      <c r="EJ97" s="102">
        <v>0</v>
      </c>
      <c r="EK97" s="102">
        <v>0</v>
      </c>
      <c r="EL97" s="102">
        <v>0</v>
      </c>
      <c r="EM97" s="102">
        <v>0</v>
      </c>
      <c r="EN97" s="102">
        <v>0</v>
      </c>
      <c r="EO97" s="102">
        <v>0</v>
      </c>
      <c r="EP97" s="102">
        <v>0</v>
      </c>
      <c r="EQ97" s="102">
        <v>0</v>
      </c>
      <c r="ER97" s="102">
        <v>0</v>
      </c>
      <c r="ES97" s="102">
        <v>0</v>
      </c>
      <c r="ET97" s="102">
        <v>0</v>
      </c>
      <c r="EU97" s="102">
        <v>0</v>
      </c>
      <c r="EV97" s="102">
        <v>0</v>
      </c>
      <c r="EW97" s="102">
        <v>0</v>
      </c>
      <c r="EX97" s="102">
        <v>0</v>
      </c>
      <c r="EY97" s="102">
        <v>0</v>
      </c>
      <c r="EZ97" s="102">
        <v>0</v>
      </c>
      <c r="FA97" s="102">
        <v>0</v>
      </c>
      <c r="FB97" s="102">
        <v>0</v>
      </c>
      <c r="FC97" s="102">
        <v>0</v>
      </c>
      <c r="FD97" s="102">
        <v>0</v>
      </c>
      <c r="FE97" s="102">
        <v>0</v>
      </c>
      <c r="FF97" s="102">
        <v>0</v>
      </c>
      <c r="FG97" s="102">
        <v>0</v>
      </c>
      <c r="FH97" s="102">
        <v>0</v>
      </c>
      <c r="FI97" s="102">
        <v>0</v>
      </c>
      <c r="FJ97" s="71">
        <v>0</v>
      </c>
    </row>
    <row r="98" spans="1:166" x14ac:dyDescent="0.3">
      <c r="A98" s="401" t="s">
        <v>884</v>
      </c>
      <c r="B98" s="103" t="s">
        <v>424</v>
      </c>
      <c r="C98" s="419" t="s">
        <v>926</v>
      </c>
      <c r="D98" s="419" t="s">
        <v>653</v>
      </c>
      <c r="E98" s="419" t="s">
        <v>860</v>
      </c>
      <c r="F98" s="103" t="s">
        <v>856</v>
      </c>
      <c r="G98" s="103" t="s">
        <v>857</v>
      </c>
      <c r="H98" s="103" t="s">
        <v>858</v>
      </c>
      <c r="I98" s="103">
        <v>0</v>
      </c>
      <c r="J98" s="103" t="s">
        <v>889</v>
      </c>
      <c r="K98" s="103">
        <v>0</v>
      </c>
      <c r="L98" s="103" t="s">
        <v>859</v>
      </c>
      <c r="M98" s="103">
        <v>2</v>
      </c>
      <c r="N98" s="103">
        <v>0</v>
      </c>
      <c r="O98" s="103">
        <v>500000</v>
      </c>
      <c r="P98" s="393">
        <f t="shared" si="1"/>
        <v>1000000</v>
      </c>
      <c r="Q98" s="103">
        <v>0</v>
      </c>
      <c r="R98" s="103">
        <v>0</v>
      </c>
      <c r="S98" s="103">
        <v>0</v>
      </c>
      <c r="T98" s="395">
        <v>1</v>
      </c>
      <c r="U98" s="103">
        <v>0</v>
      </c>
      <c r="V98" s="102">
        <v>0</v>
      </c>
      <c r="W98" s="102">
        <v>0</v>
      </c>
      <c r="X98" s="102">
        <v>0</v>
      </c>
      <c r="Y98" s="102">
        <v>0</v>
      </c>
      <c r="Z98" s="102">
        <v>0</v>
      </c>
      <c r="AA98" s="102">
        <v>0</v>
      </c>
      <c r="AB98" s="102">
        <v>0</v>
      </c>
      <c r="AC98" s="102">
        <v>0</v>
      </c>
      <c r="AD98" s="102">
        <v>0</v>
      </c>
      <c r="AE98" s="102">
        <v>0</v>
      </c>
      <c r="AF98" s="102">
        <v>0</v>
      </c>
      <c r="AG98" s="102">
        <v>0</v>
      </c>
      <c r="AH98" s="102">
        <v>0</v>
      </c>
      <c r="AI98" s="102">
        <v>0</v>
      </c>
      <c r="AJ98" s="102">
        <v>0</v>
      </c>
      <c r="AK98" s="102">
        <v>0</v>
      </c>
      <c r="AL98" s="102">
        <v>0</v>
      </c>
      <c r="AM98" s="102">
        <v>0</v>
      </c>
      <c r="AN98" s="102">
        <v>0</v>
      </c>
      <c r="AO98" s="102">
        <v>0</v>
      </c>
      <c r="AP98" s="102">
        <v>0</v>
      </c>
      <c r="AQ98" s="102">
        <v>0</v>
      </c>
      <c r="AR98" s="102">
        <v>0</v>
      </c>
      <c r="AS98" s="102">
        <v>0</v>
      </c>
      <c r="AT98" s="102">
        <v>0</v>
      </c>
      <c r="AU98" s="102">
        <v>0</v>
      </c>
      <c r="AV98" s="102">
        <v>0</v>
      </c>
      <c r="AW98" s="102">
        <v>0</v>
      </c>
      <c r="AX98" s="102">
        <v>0</v>
      </c>
      <c r="AY98" s="102">
        <v>0</v>
      </c>
      <c r="AZ98" s="102">
        <v>0</v>
      </c>
      <c r="BA98" s="102">
        <v>0</v>
      </c>
      <c r="BB98" s="102">
        <v>0</v>
      </c>
      <c r="BC98" s="102">
        <v>0</v>
      </c>
      <c r="BD98" s="102">
        <v>0</v>
      </c>
      <c r="BE98" s="102">
        <v>0</v>
      </c>
      <c r="BF98" s="102">
        <v>0</v>
      </c>
      <c r="BG98" s="102">
        <v>0</v>
      </c>
      <c r="BH98" s="102">
        <v>0</v>
      </c>
      <c r="BI98" s="102">
        <v>0</v>
      </c>
      <c r="BJ98" s="102">
        <v>0</v>
      </c>
      <c r="BK98" s="102">
        <v>0</v>
      </c>
      <c r="BL98" s="102">
        <v>0</v>
      </c>
      <c r="BM98" s="102">
        <v>0</v>
      </c>
      <c r="BN98" s="102">
        <v>0</v>
      </c>
      <c r="BO98" s="102">
        <v>0</v>
      </c>
      <c r="BP98" s="102">
        <v>0</v>
      </c>
      <c r="BQ98" s="102">
        <v>0</v>
      </c>
      <c r="BR98" s="102">
        <v>0</v>
      </c>
      <c r="BS98" s="102">
        <v>0</v>
      </c>
      <c r="BT98" s="102">
        <v>0</v>
      </c>
      <c r="BU98" s="102">
        <v>0</v>
      </c>
      <c r="BV98" s="102">
        <v>0</v>
      </c>
      <c r="BW98" s="102">
        <v>0</v>
      </c>
      <c r="BX98" s="102">
        <v>0</v>
      </c>
      <c r="BY98" s="102">
        <v>0</v>
      </c>
      <c r="BZ98" s="102">
        <v>0</v>
      </c>
      <c r="CA98" s="102">
        <v>0</v>
      </c>
      <c r="CB98" s="102">
        <v>0</v>
      </c>
      <c r="CC98" s="102">
        <v>0</v>
      </c>
      <c r="CD98" s="102">
        <v>0</v>
      </c>
      <c r="CE98" s="102">
        <v>0</v>
      </c>
      <c r="CF98" s="102">
        <v>0</v>
      </c>
      <c r="CG98" s="102">
        <v>0</v>
      </c>
      <c r="CH98" s="102">
        <v>0</v>
      </c>
      <c r="CI98" s="102">
        <v>0</v>
      </c>
      <c r="CJ98" s="102">
        <v>0</v>
      </c>
      <c r="CK98" s="102">
        <v>0</v>
      </c>
      <c r="CL98" s="102">
        <v>0</v>
      </c>
      <c r="CM98" s="102">
        <v>0</v>
      </c>
      <c r="CN98" s="102">
        <v>0</v>
      </c>
      <c r="CO98" s="102">
        <v>0</v>
      </c>
      <c r="CP98" s="102">
        <v>0</v>
      </c>
      <c r="CQ98" s="102">
        <v>0</v>
      </c>
      <c r="CR98" s="102">
        <v>0</v>
      </c>
      <c r="CS98" s="102">
        <v>0</v>
      </c>
      <c r="CT98" s="102">
        <v>0</v>
      </c>
      <c r="CU98" s="102">
        <v>0</v>
      </c>
      <c r="CV98" s="102">
        <v>0</v>
      </c>
      <c r="CW98" s="102">
        <v>0</v>
      </c>
      <c r="CX98" s="102">
        <v>0</v>
      </c>
      <c r="CY98" s="102">
        <v>0</v>
      </c>
      <c r="CZ98" s="102">
        <v>0</v>
      </c>
      <c r="DA98" s="102">
        <v>0</v>
      </c>
      <c r="DB98" s="102">
        <v>0</v>
      </c>
      <c r="DC98" s="102">
        <v>0</v>
      </c>
      <c r="DD98" s="102">
        <v>0</v>
      </c>
      <c r="DE98" s="102">
        <v>0</v>
      </c>
      <c r="DF98" s="102">
        <v>0</v>
      </c>
      <c r="DG98" s="102">
        <v>0</v>
      </c>
      <c r="DH98" s="102">
        <v>0</v>
      </c>
      <c r="DI98" s="102">
        <v>0</v>
      </c>
      <c r="DJ98" s="102">
        <v>0</v>
      </c>
      <c r="DK98" s="102">
        <v>0</v>
      </c>
      <c r="DL98" s="102">
        <v>0</v>
      </c>
      <c r="DM98" s="102">
        <v>0</v>
      </c>
      <c r="DN98" s="102">
        <v>0</v>
      </c>
      <c r="DO98" s="102">
        <v>0</v>
      </c>
      <c r="DP98" s="102">
        <v>0</v>
      </c>
      <c r="DQ98" s="102">
        <v>0</v>
      </c>
      <c r="DR98" s="102">
        <v>0</v>
      </c>
      <c r="DS98" s="102">
        <v>0</v>
      </c>
      <c r="DT98" s="102">
        <v>0</v>
      </c>
      <c r="DU98" s="102">
        <v>0</v>
      </c>
      <c r="DV98" s="102">
        <v>0</v>
      </c>
      <c r="DW98" s="102">
        <v>0</v>
      </c>
      <c r="DX98" s="102">
        <v>0</v>
      </c>
      <c r="DY98" s="102">
        <v>0</v>
      </c>
      <c r="DZ98" s="102">
        <v>0</v>
      </c>
      <c r="EA98" s="102">
        <v>0</v>
      </c>
      <c r="EB98" s="102">
        <v>0</v>
      </c>
      <c r="EC98" s="102">
        <v>0</v>
      </c>
      <c r="ED98" s="102">
        <v>0</v>
      </c>
      <c r="EE98" s="102">
        <v>0</v>
      </c>
      <c r="EF98" s="102">
        <v>0</v>
      </c>
      <c r="EG98" s="102">
        <v>0</v>
      </c>
      <c r="EH98" s="102">
        <v>0</v>
      </c>
      <c r="EI98" s="102">
        <v>0</v>
      </c>
      <c r="EJ98" s="102">
        <v>0</v>
      </c>
      <c r="EK98" s="102">
        <v>0</v>
      </c>
      <c r="EL98" s="102">
        <v>0</v>
      </c>
      <c r="EM98" s="102">
        <v>0</v>
      </c>
      <c r="EN98" s="102">
        <v>0</v>
      </c>
      <c r="EO98" s="102">
        <v>0</v>
      </c>
      <c r="EP98" s="102">
        <v>0</v>
      </c>
      <c r="EQ98" s="102">
        <v>0</v>
      </c>
      <c r="ER98" s="102">
        <v>0</v>
      </c>
      <c r="ES98" s="102">
        <v>0</v>
      </c>
      <c r="ET98" s="102">
        <v>0</v>
      </c>
      <c r="EU98" s="102">
        <v>0</v>
      </c>
      <c r="EV98" s="102">
        <v>0</v>
      </c>
      <c r="EW98" s="102">
        <v>0</v>
      </c>
      <c r="EX98" s="102">
        <v>0</v>
      </c>
      <c r="EY98" s="102">
        <v>0</v>
      </c>
      <c r="EZ98" s="102">
        <v>0</v>
      </c>
      <c r="FA98" s="102">
        <v>0</v>
      </c>
      <c r="FB98" s="102">
        <v>0</v>
      </c>
      <c r="FC98" s="102">
        <v>0</v>
      </c>
      <c r="FD98" s="102">
        <v>0</v>
      </c>
      <c r="FE98" s="102">
        <v>0</v>
      </c>
      <c r="FF98" s="102">
        <v>0</v>
      </c>
      <c r="FG98" s="102">
        <v>0</v>
      </c>
      <c r="FH98" s="102">
        <v>0</v>
      </c>
      <c r="FI98" s="102">
        <v>0</v>
      </c>
      <c r="FJ98" s="71">
        <v>0</v>
      </c>
    </row>
    <row r="99" spans="1:166" x14ac:dyDescent="0.3">
      <c r="A99" s="401" t="s">
        <v>890</v>
      </c>
      <c r="B99" s="103" t="s">
        <v>424</v>
      </c>
      <c r="C99" s="419" t="s">
        <v>925</v>
      </c>
      <c r="D99" s="419" t="s">
        <v>653</v>
      </c>
      <c r="E99" s="419" t="s">
        <v>860</v>
      </c>
      <c r="F99" s="103" t="s">
        <v>885</v>
      </c>
      <c r="G99" s="103" t="s">
        <v>802</v>
      </c>
      <c r="H99" s="103" t="s">
        <v>809</v>
      </c>
      <c r="I99" s="103">
        <v>0</v>
      </c>
      <c r="J99" s="103" t="s">
        <v>889</v>
      </c>
      <c r="K99" s="103">
        <v>0</v>
      </c>
      <c r="L99" s="103" t="s">
        <v>859</v>
      </c>
      <c r="M99" s="103">
        <v>1</v>
      </c>
      <c r="N99" s="103">
        <v>0</v>
      </c>
      <c r="O99" s="103">
        <v>14676370</v>
      </c>
      <c r="P99" s="393">
        <f t="shared" si="1"/>
        <v>14676370</v>
      </c>
      <c r="Q99" s="103">
        <f t="shared" ref="Q99:Q111" si="2">84-R99</f>
        <v>48</v>
      </c>
      <c r="R99" s="103">
        <v>36</v>
      </c>
      <c r="S99" s="103">
        <v>0.04</v>
      </c>
      <c r="T99" s="395">
        <v>1</v>
      </c>
      <c r="U99" s="103">
        <v>0</v>
      </c>
      <c r="V99" s="102">
        <v>48921.233333333337</v>
      </c>
      <c r="W99" s="102">
        <v>1761164.4000000001</v>
      </c>
      <c r="X99" s="102">
        <v>0</v>
      </c>
      <c r="Y99" s="102">
        <v>0</v>
      </c>
      <c r="Z99" s="102">
        <v>0</v>
      </c>
      <c r="AA99" s="102">
        <v>0</v>
      </c>
      <c r="AB99" s="102">
        <v>587054.80000000005</v>
      </c>
      <c r="AC99" s="102">
        <v>587054.80000000005</v>
      </c>
      <c r="AD99" s="102">
        <v>587054.80000000005</v>
      </c>
      <c r="AE99" s="102">
        <v>0</v>
      </c>
      <c r="AF99" s="102">
        <v>0</v>
      </c>
      <c r="AG99" s="102">
        <v>0</v>
      </c>
      <c r="AH99" s="102">
        <v>0</v>
      </c>
      <c r="AI99" s="399">
        <v>0</v>
      </c>
      <c r="AJ99" s="399">
        <v>0</v>
      </c>
      <c r="AK99" s="399">
        <v>0</v>
      </c>
      <c r="AL99" s="399">
        <v>0</v>
      </c>
      <c r="AM99" s="399">
        <v>0</v>
      </c>
      <c r="AN99" s="399">
        <v>0</v>
      </c>
      <c r="AO99" s="399">
        <v>0</v>
      </c>
      <c r="AP99" s="399">
        <v>0</v>
      </c>
      <c r="AQ99" s="399">
        <v>0</v>
      </c>
      <c r="AR99" s="399">
        <v>0</v>
      </c>
      <c r="AS99" s="399">
        <v>0</v>
      </c>
      <c r="AT99" s="399">
        <v>0</v>
      </c>
      <c r="AU99" s="399">
        <v>0</v>
      </c>
      <c r="AV99" s="399">
        <v>0</v>
      </c>
      <c r="AW99" s="399">
        <v>0</v>
      </c>
      <c r="AX99" s="399">
        <v>0</v>
      </c>
      <c r="AY99" s="399">
        <v>0</v>
      </c>
      <c r="AZ99" s="399">
        <v>0</v>
      </c>
      <c r="BA99" s="399">
        <v>0</v>
      </c>
      <c r="BB99" s="399">
        <v>0</v>
      </c>
      <c r="BC99" s="399">
        <v>0</v>
      </c>
      <c r="BD99" s="399">
        <v>0</v>
      </c>
      <c r="BE99" s="399">
        <v>0</v>
      </c>
      <c r="BF99" s="399">
        <v>0</v>
      </c>
      <c r="BG99" s="399">
        <v>0</v>
      </c>
      <c r="BH99" s="399">
        <v>0</v>
      </c>
      <c r="BI99" s="399">
        <v>0</v>
      </c>
      <c r="BJ99" s="399">
        <v>0</v>
      </c>
      <c r="BK99" s="399">
        <v>0</v>
      </c>
      <c r="BL99" s="399">
        <v>0</v>
      </c>
      <c r="BM99" s="399">
        <v>0</v>
      </c>
      <c r="BN99" s="399">
        <v>0</v>
      </c>
      <c r="BO99" s="399">
        <v>0</v>
      </c>
      <c r="BP99" s="399">
        <v>0</v>
      </c>
      <c r="BQ99" s="399">
        <v>0</v>
      </c>
      <c r="BR99" s="399">
        <v>0</v>
      </c>
      <c r="BS99" s="399">
        <v>0</v>
      </c>
      <c r="BT99" s="399">
        <v>0</v>
      </c>
      <c r="BU99" s="399">
        <v>0</v>
      </c>
      <c r="BV99" s="399">
        <v>0</v>
      </c>
      <c r="BW99" s="399">
        <v>0</v>
      </c>
      <c r="BX99" s="399">
        <v>0</v>
      </c>
      <c r="BY99" s="399">
        <v>0</v>
      </c>
      <c r="BZ99" s="399">
        <v>0</v>
      </c>
      <c r="CA99" s="399">
        <v>0</v>
      </c>
      <c r="CB99" s="399">
        <v>0</v>
      </c>
      <c r="CC99" s="399">
        <v>0</v>
      </c>
      <c r="CD99" s="399">
        <v>0</v>
      </c>
      <c r="CE99" s="102">
        <v>48921.233333333337</v>
      </c>
      <c r="CF99" s="102">
        <v>48921.233333333337</v>
      </c>
      <c r="CG99" s="102">
        <v>48921.233333333337</v>
      </c>
      <c r="CH99" s="102">
        <v>48921.233333333337</v>
      </c>
      <c r="CI99" s="102">
        <v>48921.233333333337</v>
      </c>
      <c r="CJ99" s="102">
        <v>48921.233333333337</v>
      </c>
      <c r="CK99" s="102">
        <v>48921.233333333337</v>
      </c>
      <c r="CL99" s="102">
        <v>48921.233333333337</v>
      </c>
      <c r="CM99" s="102">
        <v>48921.233333333337</v>
      </c>
      <c r="CN99" s="102">
        <v>48921.233333333337</v>
      </c>
      <c r="CO99" s="102">
        <v>48921.233333333337</v>
      </c>
      <c r="CP99" s="102">
        <v>48921.233333333337</v>
      </c>
      <c r="CQ99" s="102">
        <v>48921.233333333337</v>
      </c>
      <c r="CR99" s="102">
        <v>48921.233333333337</v>
      </c>
      <c r="CS99" s="102">
        <v>48921.233333333337</v>
      </c>
      <c r="CT99" s="102">
        <v>48921.233333333337</v>
      </c>
      <c r="CU99" s="102">
        <v>48921.233333333337</v>
      </c>
      <c r="CV99" s="102">
        <v>48921.233333333337</v>
      </c>
      <c r="CW99" s="102">
        <v>48921.233333333337</v>
      </c>
      <c r="CX99" s="102">
        <v>48921.233333333337</v>
      </c>
      <c r="CY99" s="102">
        <v>48921.233333333337</v>
      </c>
      <c r="CZ99" s="102">
        <v>48921.233333333337</v>
      </c>
      <c r="DA99" s="102">
        <v>48921.233333333337</v>
      </c>
      <c r="DB99" s="102">
        <v>48921.233333333337</v>
      </c>
      <c r="DC99" s="102">
        <v>48921.233333333337</v>
      </c>
      <c r="DD99" s="102">
        <v>48921.233333333337</v>
      </c>
      <c r="DE99" s="102">
        <v>48921.233333333337</v>
      </c>
      <c r="DF99" s="102">
        <v>48921.233333333337</v>
      </c>
      <c r="DG99" s="102">
        <v>48921.233333333337</v>
      </c>
      <c r="DH99" s="102">
        <v>48921.233333333337</v>
      </c>
      <c r="DI99" s="102">
        <v>48921.233333333337</v>
      </c>
      <c r="DJ99" s="102">
        <v>48921.233333333337</v>
      </c>
      <c r="DK99" s="102">
        <v>48921.233333333337</v>
      </c>
      <c r="DL99" s="102">
        <v>48921.233333333337</v>
      </c>
      <c r="DM99" s="102">
        <v>48921.233333333337</v>
      </c>
      <c r="DN99" s="102">
        <v>48921.233333333337</v>
      </c>
      <c r="DO99" s="102">
        <v>0</v>
      </c>
      <c r="DP99" s="102">
        <v>0</v>
      </c>
      <c r="DQ99" s="102">
        <v>0</v>
      </c>
      <c r="DR99" s="102">
        <v>0</v>
      </c>
      <c r="DS99" s="102">
        <v>0</v>
      </c>
      <c r="DT99" s="102">
        <v>0</v>
      </c>
      <c r="DU99" s="102">
        <v>0</v>
      </c>
      <c r="DV99" s="102">
        <v>0</v>
      </c>
      <c r="DW99" s="102">
        <v>0</v>
      </c>
      <c r="DX99" s="102">
        <v>0</v>
      </c>
      <c r="DY99" s="102">
        <v>0</v>
      </c>
      <c r="DZ99" s="102">
        <v>0</v>
      </c>
      <c r="EA99" s="102">
        <v>0</v>
      </c>
      <c r="EB99" s="102">
        <v>0</v>
      </c>
      <c r="EC99" s="102">
        <v>0</v>
      </c>
      <c r="ED99" s="102">
        <v>0</v>
      </c>
      <c r="EE99" s="102">
        <v>0</v>
      </c>
      <c r="EF99" s="102">
        <v>0</v>
      </c>
      <c r="EG99" s="102">
        <v>0</v>
      </c>
      <c r="EH99" s="102">
        <v>0</v>
      </c>
      <c r="EI99" s="102">
        <v>0</v>
      </c>
      <c r="EJ99" s="102">
        <v>0</v>
      </c>
      <c r="EK99" s="102">
        <v>0</v>
      </c>
      <c r="EL99" s="102">
        <v>0</v>
      </c>
      <c r="EM99" s="102">
        <v>0</v>
      </c>
      <c r="EN99" s="102">
        <v>0</v>
      </c>
      <c r="EO99" s="102">
        <v>0</v>
      </c>
      <c r="EP99" s="102">
        <v>0</v>
      </c>
      <c r="EQ99" s="102">
        <v>0</v>
      </c>
      <c r="ER99" s="102">
        <v>0</v>
      </c>
      <c r="ES99" s="102">
        <v>0</v>
      </c>
      <c r="ET99" s="102">
        <v>0</v>
      </c>
      <c r="EU99" s="102">
        <v>0</v>
      </c>
      <c r="EV99" s="102">
        <v>0</v>
      </c>
      <c r="EW99" s="102">
        <v>0</v>
      </c>
      <c r="EX99" s="102">
        <v>0</v>
      </c>
      <c r="EY99" s="102">
        <v>0</v>
      </c>
      <c r="EZ99" s="102">
        <v>0</v>
      </c>
      <c r="FA99" s="102">
        <v>0</v>
      </c>
      <c r="FB99" s="102">
        <v>0</v>
      </c>
      <c r="FC99" s="102">
        <v>0</v>
      </c>
      <c r="FD99" s="102">
        <v>0</v>
      </c>
      <c r="FE99" s="102">
        <v>0</v>
      </c>
      <c r="FF99" s="102">
        <v>0</v>
      </c>
      <c r="FG99" s="102">
        <v>0</v>
      </c>
      <c r="FH99" s="102">
        <v>0</v>
      </c>
      <c r="FI99" s="102">
        <v>0</v>
      </c>
      <c r="FJ99" s="71">
        <v>0</v>
      </c>
    </row>
    <row r="100" spans="1:166" x14ac:dyDescent="0.3">
      <c r="A100" s="401" t="s">
        <v>891</v>
      </c>
      <c r="B100" s="103" t="s">
        <v>424</v>
      </c>
      <c r="C100" s="419" t="s">
        <v>925</v>
      </c>
      <c r="D100" s="419" t="s">
        <v>653</v>
      </c>
      <c r="E100" s="419" t="s">
        <v>860</v>
      </c>
      <c r="F100" s="103" t="s">
        <v>810</v>
      </c>
      <c r="G100" s="103" t="s">
        <v>802</v>
      </c>
      <c r="H100" s="103" t="s">
        <v>811</v>
      </c>
      <c r="I100" s="103">
        <v>0</v>
      </c>
      <c r="J100" s="103" t="s">
        <v>889</v>
      </c>
      <c r="K100" s="103">
        <v>0</v>
      </c>
      <c r="L100" s="103" t="s">
        <v>859</v>
      </c>
      <c r="M100" s="103">
        <v>1</v>
      </c>
      <c r="N100" s="103">
        <v>0</v>
      </c>
      <c r="O100" s="103">
        <v>9361120</v>
      </c>
      <c r="P100" s="393">
        <f t="shared" si="1"/>
        <v>9361120</v>
      </c>
      <c r="Q100" s="103">
        <f t="shared" si="2"/>
        <v>48</v>
      </c>
      <c r="R100" s="103">
        <v>36</v>
      </c>
      <c r="S100" s="103">
        <v>0.04</v>
      </c>
      <c r="T100" s="395">
        <v>1</v>
      </c>
      <c r="U100" s="103">
        <v>0</v>
      </c>
      <c r="V100" s="102">
        <v>31203.733333333334</v>
      </c>
      <c r="W100" s="102">
        <v>1123334.3999999999</v>
      </c>
      <c r="X100" s="102">
        <v>0</v>
      </c>
      <c r="Y100" s="102">
        <v>0</v>
      </c>
      <c r="Z100" s="102">
        <v>0</v>
      </c>
      <c r="AA100" s="102">
        <v>0</v>
      </c>
      <c r="AB100" s="102">
        <v>374444.79999999999</v>
      </c>
      <c r="AC100" s="102">
        <v>374444.79999999999</v>
      </c>
      <c r="AD100" s="102">
        <v>374444.79999999999</v>
      </c>
      <c r="AE100" s="102">
        <v>0</v>
      </c>
      <c r="AF100" s="102">
        <v>0</v>
      </c>
      <c r="AG100" s="102">
        <v>0</v>
      </c>
      <c r="AH100" s="102">
        <v>0</v>
      </c>
      <c r="AI100" s="399">
        <v>0</v>
      </c>
      <c r="AJ100" s="399">
        <v>0</v>
      </c>
      <c r="AK100" s="399">
        <v>0</v>
      </c>
      <c r="AL100" s="399">
        <v>0</v>
      </c>
      <c r="AM100" s="399">
        <v>0</v>
      </c>
      <c r="AN100" s="399">
        <v>0</v>
      </c>
      <c r="AO100" s="399">
        <v>0</v>
      </c>
      <c r="AP100" s="399">
        <v>0</v>
      </c>
      <c r="AQ100" s="399">
        <v>0</v>
      </c>
      <c r="AR100" s="399">
        <v>0</v>
      </c>
      <c r="AS100" s="399">
        <v>0</v>
      </c>
      <c r="AT100" s="399">
        <v>0</v>
      </c>
      <c r="AU100" s="399">
        <v>0</v>
      </c>
      <c r="AV100" s="399">
        <v>0</v>
      </c>
      <c r="AW100" s="399">
        <v>0</v>
      </c>
      <c r="AX100" s="399">
        <v>0</v>
      </c>
      <c r="AY100" s="399">
        <v>0</v>
      </c>
      <c r="AZ100" s="399">
        <v>0</v>
      </c>
      <c r="BA100" s="399">
        <v>0</v>
      </c>
      <c r="BB100" s="399">
        <v>0</v>
      </c>
      <c r="BC100" s="399">
        <v>0</v>
      </c>
      <c r="BD100" s="399">
        <v>0</v>
      </c>
      <c r="BE100" s="399">
        <v>0</v>
      </c>
      <c r="BF100" s="399">
        <v>0</v>
      </c>
      <c r="BG100" s="399">
        <v>0</v>
      </c>
      <c r="BH100" s="399">
        <v>0</v>
      </c>
      <c r="BI100" s="399">
        <v>0</v>
      </c>
      <c r="BJ100" s="399">
        <v>0</v>
      </c>
      <c r="BK100" s="399">
        <v>0</v>
      </c>
      <c r="BL100" s="399">
        <v>0</v>
      </c>
      <c r="BM100" s="399">
        <v>0</v>
      </c>
      <c r="BN100" s="399">
        <v>0</v>
      </c>
      <c r="BO100" s="399">
        <v>0</v>
      </c>
      <c r="BP100" s="399">
        <v>0</v>
      </c>
      <c r="BQ100" s="399">
        <v>0</v>
      </c>
      <c r="BR100" s="399">
        <v>0</v>
      </c>
      <c r="BS100" s="399">
        <v>0</v>
      </c>
      <c r="BT100" s="399">
        <v>0</v>
      </c>
      <c r="BU100" s="399">
        <v>0</v>
      </c>
      <c r="BV100" s="399">
        <v>0</v>
      </c>
      <c r="BW100" s="399">
        <v>0</v>
      </c>
      <c r="BX100" s="399">
        <v>0</v>
      </c>
      <c r="BY100" s="399">
        <v>0</v>
      </c>
      <c r="BZ100" s="399">
        <v>0</v>
      </c>
      <c r="CA100" s="399">
        <v>0</v>
      </c>
      <c r="CB100" s="399">
        <v>0</v>
      </c>
      <c r="CC100" s="399">
        <v>0</v>
      </c>
      <c r="CD100" s="399">
        <v>0</v>
      </c>
      <c r="CE100" s="102">
        <v>31203.733333333334</v>
      </c>
      <c r="CF100" s="102">
        <v>31203.733333333334</v>
      </c>
      <c r="CG100" s="102">
        <v>31203.733333333334</v>
      </c>
      <c r="CH100" s="102">
        <v>31203.733333333334</v>
      </c>
      <c r="CI100" s="102">
        <v>31203.733333333334</v>
      </c>
      <c r="CJ100" s="102">
        <v>31203.733333333334</v>
      </c>
      <c r="CK100" s="102">
        <v>31203.733333333334</v>
      </c>
      <c r="CL100" s="102">
        <v>31203.733333333334</v>
      </c>
      <c r="CM100" s="102">
        <v>31203.733333333334</v>
      </c>
      <c r="CN100" s="102">
        <v>31203.733333333334</v>
      </c>
      <c r="CO100" s="102">
        <v>31203.733333333334</v>
      </c>
      <c r="CP100" s="102">
        <v>31203.733333333334</v>
      </c>
      <c r="CQ100" s="102">
        <v>31203.733333333334</v>
      </c>
      <c r="CR100" s="102">
        <v>31203.733333333334</v>
      </c>
      <c r="CS100" s="102">
        <v>31203.733333333334</v>
      </c>
      <c r="CT100" s="102">
        <v>31203.733333333334</v>
      </c>
      <c r="CU100" s="102">
        <v>31203.733333333334</v>
      </c>
      <c r="CV100" s="102">
        <v>31203.733333333334</v>
      </c>
      <c r="CW100" s="102">
        <v>31203.733333333334</v>
      </c>
      <c r="CX100" s="102">
        <v>31203.733333333334</v>
      </c>
      <c r="CY100" s="102">
        <v>31203.733333333334</v>
      </c>
      <c r="CZ100" s="102">
        <v>31203.733333333334</v>
      </c>
      <c r="DA100" s="102">
        <v>31203.733333333334</v>
      </c>
      <c r="DB100" s="102">
        <v>31203.733333333334</v>
      </c>
      <c r="DC100" s="102">
        <v>31203.733333333334</v>
      </c>
      <c r="DD100" s="102">
        <v>31203.733333333334</v>
      </c>
      <c r="DE100" s="102">
        <v>31203.733333333334</v>
      </c>
      <c r="DF100" s="102">
        <v>31203.733333333334</v>
      </c>
      <c r="DG100" s="102">
        <v>31203.733333333334</v>
      </c>
      <c r="DH100" s="102">
        <v>31203.733333333334</v>
      </c>
      <c r="DI100" s="102">
        <v>31203.733333333334</v>
      </c>
      <c r="DJ100" s="102">
        <v>31203.733333333334</v>
      </c>
      <c r="DK100" s="102">
        <v>31203.733333333334</v>
      </c>
      <c r="DL100" s="102">
        <v>31203.733333333334</v>
      </c>
      <c r="DM100" s="102">
        <v>31203.733333333334</v>
      </c>
      <c r="DN100" s="102">
        <v>31203.733333333334</v>
      </c>
      <c r="DO100" s="102">
        <v>0</v>
      </c>
      <c r="DP100" s="102">
        <v>0</v>
      </c>
      <c r="DQ100" s="102">
        <v>0</v>
      </c>
      <c r="DR100" s="102">
        <v>0</v>
      </c>
      <c r="DS100" s="102">
        <v>0</v>
      </c>
      <c r="DT100" s="102">
        <v>0</v>
      </c>
      <c r="DU100" s="102">
        <v>0</v>
      </c>
      <c r="DV100" s="102">
        <v>0</v>
      </c>
      <c r="DW100" s="102">
        <v>0</v>
      </c>
      <c r="DX100" s="102">
        <v>0</v>
      </c>
      <c r="DY100" s="102">
        <v>0</v>
      </c>
      <c r="DZ100" s="102">
        <v>0</v>
      </c>
      <c r="EA100" s="102">
        <v>0</v>
      </c>
      <c r="EB100" s="102">
        <v>0</v>
      </c>
      <c r="EC100" s="102">
        <v>0</v>
      </c>
      <c r="ED100" s="102">
        <v>0</v>
      </c>
      <c r="EE100" s="102">
        <v>0</v>
      </c>
      <c r="EF100" s="102">
        <v>0</v>
      </c>
      <c r="EG100" s="102">
        <v>0</v>
      </c>
      <c r="EH100" s="102">
        <v>0</v>
      </c>
      <c r="EI100" s="102">
        <v>0</v>
      </c>
      <c r="EJ100" s="102">
        <v>0</v>
      </c>
      <c r="EK100" s="102">
        <v>0</v>
      </c>
      <c r="EL100" s="102">
        <v>0</v>
      </c>
      <c r="EM100" s="102">
        <v>0</v>
      </c>
      <c r="EN100" s="102">
        <v>0</v>
      </c>
      <c r="EO100" s="102">
        <v>0</v>
      </c>
      <c r="EP100" s="102">
        <v>0</v>
      </c>
      <c r="EQ100" s="102">
        <v>0</v>
      </c>
      <c r="ER100" s="102">
        <v>0</v>
      </c>
      <c r="ES100" s="102">
        <v>0</v>
      </c>
      <c r="ET100" s="102">
        <v>0</v>
      </c>
      <c r="EU100" s="102">
        <v>0</v>
      </c>
      <c r="EV100" s="102">
        <v>0</v>
      </c>
      <c r="EW100" s="102">
        <v>0</v>
      </c>
      <c r="EX100" s="102">
        <v>0</v>
      </c>
      <c r="EY100" s="102">
        <v>0</v>
      </c>
      <c r="EZ100" s="102">
        <v>0</v>
      </c>
      <c r="FA100" s="102">
        <v>0</v>
      </c>
      <c r="FB100" s="102">
        <v>0</v>
      </c>
      <c r="FC100" s="102">
        <v>0</v>
      </c>
      <c r="FD100" s="102">
        <v>0</v>
      </c>
      <c r="FE100" s="102">
        <v>0</v>
      </c>
      <c r="FF100" s="102">
        <v>0</v>
      </c>
      <c r="FG100" s="102">
        <v>0</v>
      </c>
      <c r="FH100" s="102">
        <v>0</v>
      </c>
      <c r="FI100" s="102">
        <v>0</v>
      </c>
      <c r="FJ100" s="71">
        <v>0</v>
      </c>
    </row>
    <row r="101" spans="1:166" x14ac:dyDescent="0.3">
      <c r="A101" s="401" t="s">
        <v>892</v>
      </c>
      <c r="B101" s="103" t="s">
        <v>424</v>
      </c>
      <c r="C101" s="419" t="s">
        <v>926</v>
      </c>
      <c r="D101" s="419" t="s">
        <v>653</v>
      </c>
      <c r="E101" s="419" t="s">
        <v>860</v>
      </c>
      <c r="F101" s="103" t="s">
        <v>817</v>
      </c>
      <c r="G101" s="103" t="s">
        <v>814</v>
      </c>
      <c r="H101" s="103" t="s">
        <v>818</v>
      </c>
      <c r="I101" s="103">
        <v>0</v>
      </c>
      <c r="J101" s="103" t="s">
        <v>889</v>
      </c>
      <c r="K101" s="103">
        <v>0</v>
      </c>
      <c r="L101" s="103" t="s">
        <v>859</v>
      </c>
      <c r="M101" s="103">
        <v>1</v>
      </c>
      <c r="N101" s="103">
        <v>0</v>
      </c>
      <c r="O101" s="103">
        <v>6943980</v>
      </c>
      <c r="P101" s="393">
        <f t="shared" si="1"/>
        <v>6943980</v>
      </c>
      <c r="Q101" s="103">
        <f t="shared" si="2"/>
        <v>48</v>
      </c>
      <c r="R101" s="103">
        <v>36</v>
      </c>
      <c r="S101" s="103">
        <v>0.04</v>
      </c>
      <c r="T101" s="395">
        <v>1</v>
      </c>
      <c r="U101" s="103">
        <v>0</v>
      </c>
      <c r="V101" s="102">
        <v>23146.600000000002</v>
      </c>
      <c r="W101" s="102">
        <v>833277.60000000009</v>
      </c>
      <c r="X101" s="102">
        <v>0</v>
      </c>
      <c r="Y101" s="102">
        <v>0</v>
      </c>
      <c r="Z101" s="102">
        <v>0</v>
      </c>
      <c r="AA101" s="102">
        <v>0</v>
      </c>
      <c r="AB101" s="102">
        <v>277759.2</v>
      </c>
      <c r="AC101" s="102">
        <v>277759.2</v>
      </c>
      <c r="AD101" s="102">
        <v>277759.2</v>
      </c>
      <c r="AE101" s="102">
        <v>0</v>
      </c>
      <c r="AF101" s="102">
        <v>0</v>
      </c>
      <c r="AG101" s="102">
        <v>0</v>
      </c>
      <c r="AH101" s="102">
        <v>0</v>
      </c>
      <c r="AI101" s="399">
        <v>0</v>
      </c>
      <c r="AJ101" s="399">
        <v>0</v>
      </c>
      <c r="AK101" s="399">
        <v>0</v>
      </c>
      <c r="AL101" s="399">
        <v>0</v>
      </c>
      <c r="AM101" s="399">
        <v>0</v>
      </c>
      <c r="AN101" s="399">
        <v>0</v>
      </c>
      <c r="AO101" s="399">
        <v>0</v>
      </c>
      <c r="AP101" s="399">
        <v>0</v>
      </c>
      <c r="AQ101" s="399">
        <v>0</v>
      </c>
      <c r="AR101" s="399">
        <v>0</v>
      </c>
      <c r="AS101" s="399">
        <v>0</v>
      </c>
      <c r="AT101" s="399">
        <v>0</v>
      </c>
      <c r="AU101" s="399">
        <v>0</v>
      </c>
      <c r="AV101" s="399">
        <v>0</v>
      </c>
      <c r="AW101" s="399">
        <v>0</v>
      </c>
      <c r="AX101" s="399">
        <v>0</v>
      </c>
      <c r="AY101" s="399">
        <v>0</v>
      </c>
      <c r="AZ101" s="399">
        <v>0</v>
      </c>
      <c r="BA101" s="399">
        <v>0</v>
      </c>
      <c r="BB101" s="399">
        <v>0</v>
      </c>
      <c r="BC101" s="399">
        <v>0</v>
      </c>
      <c r="BD101" s="399">
        <v>0</v>
      </c>
      <c r="BE101" s="399">
        <v>0</v>
      </c>
      <c r="BF101" s="399">
        <v>0</v>
      </c>
      <c r="BG101" s="399">
        <v>0</v>
      </c>
      <c r="BH101" s="399">
        <v>0</v>
      </c>
      <c r="BI101" s="399">
        <v>0</v>
      </c>
      <c r="BJ101" s="399">
        <v>0</v>
      </c>
      <c r="BK101" s="399">
        <v>0</v>
      </c>
      <c r="BL101" s="399">
        <v>0</v>
      </c>
      <c r="BM101" s="399">
        <v>0</v>
      </c>
      <c r="BN101" s="399">
        <v>0</v>
      </c>
      <c r="BO101" s="399">
        <v>0</v>
      </c>
      <c r="BP101" s="399">
        <v>0</v>
      </c>
      <c r="BQ101" s="399">
        <v>0</v>
      </c>
      <c r="BR101" s="399">
        <v>0</v>
      </c>
      <c r="BS101" s="399">
        <v>0</v>
      </c>
      <c r="BT101" s="399">
        <v>0</v>
      </c>
      <c r="BU101" s="399">
        <v>0</v>
      </c>
      <c r="BV101" s="399">
        <v>0</v>
      </c>
      <c r="BW101" s="399">
        <v>0</v>
      </c>
      <c r="BX101" s="399">
        <v>0</v>
      </c>
      <c r="BY101" s="399">
        <v>0</v>
      </c>
      <c r="BZ101" s="399">
        <v>0</v>
      </c>
      <c r="CA101" s="399">
        <v>0</v>
      </c>
      <c r="CB101" s="399">
        <v>0</v>
      </c>
      <c r="CC101" s="399">
        <v>0</v>
      </c>
      <c r="CD101" s="399">
        <v>0</v>
      </c>
      <c r="CE101" s="102">
        <v>23146.600000000002</v>
      </c>
      <c r="CF101" s="102">
        <v>23146.600000000002</v>
      </c>
      <c r="CG101" s="102">
        <v>23146.600000000002</v>
      </c>
      <c r="CH101" s="102">
        <v>23146.600000000002</v>
      </c>
      <c r="CI101" s="102">
        <v>23146.600000000002</v>
      </c>
      <c r="CJ101" s="102">
        <v>23146.600000000002</v>
      </c>
      <c r="CK101" s="102">
        <v>23146.600000000002</v>
      </c>
      <c r="CL101" s="102">
        <v>23146.600000000002</v>
      </c>
      <c r="CM101" s="102">
        <v>23146.600000000002</v>
      </c>
      <c r="CN101" s="102">
        <v>23146.600000000002</v>
      </c>
      <c r="CO101" s="102">
        <v>23146.600000000002</v>
      </c>
      <c r="CP101" s="102">
        <v>23146.600000000002</v>
      </c>
      <c r="CQ101" s="102">
        <v>23146.600000000002</v>
      </c>
      <c r="CR101" s="102">
        <v>23146.600000000002</v>
      </c>
      <c r="CS101" s="102">
        <v>23146.600000000002</v>
      </c>
      <c r="CT101" s="102">
        <v>23146.600000000002</v>
      </c>
      <c r="CU101" s="102">
        <v>23146.600000000002</v>
      </c>
      <c r="CV101" s="102">
        <v>23146.600000000002</v>
      </c>
      <c r="CW101" s="102">
        <v>23146.600000000002</v>
      </c>
      <c r="CX101" s="102">
        <v>23146.600000000002</v>
      </c>
      <c r="CY101" s="102">
        <v>23146.600000000002</v>
      </c>
      <c r="CZ101" s="102">
        <v>23146.600000000002</v>
      </c>
      <c r="DA101" s="102">
        <v>23146.600000000002</v>
      </c>
      <c r="DB101" s="102">
        <v>23146.600000000002</v>
      </c>
      <c r="DC101" s="102">
        <v>23146.600000000002</v>
      </c>
      <c r="DD101" s="102">
        <v>23146.600000000002</v>
      </c>
      <c r="DE101" s="102">
        <v>23146.600000000002</v>
      </c>
      <c r="DF101" s="102">
        <v>23146.600000000002</v>
      </c>
      <c r="DG101" s="102">
        <v>23146.600000000002</v>
      </c>
      <c r="DH101" s="102">
        <v>23146.600000000002</v>
      </c>
      <c r="DI101" s="102">
        <v>23146.600000000002</v>
      </c>
      <c r="DJ101" s="102">
        <v>23146.600000000002</v>
      </c>
      <c r="DK101" s="102">
        <v>23146.600000000002</v>
      </c>
      <c r="DL101" s="102">
        <v>23146.600000000002</v>
      </c>
      <c r="DM101" s="102">
        <v>23146.600000000002</v>
      </c>
      <c r="DN101" s="102">
        <v>23146.600000000002</v>
      </c>
      <c r="DO101" s="102">
        <v>0</v>
      </c>
      <c r="DP101" s="102">
        <v>0</v>
      </c>
      <c r="DQ101" s="102">
        <v>0</v>
      </c>
      <c r="DR101" s="102">
        <v>0</v>
      </c>
      <c r="DS101" s="102">
        <v>0</v>
      </c>
      <c r="DT101" s="102">
        <v>0</v>
      </c>
      <c r="DU101" s="102">
        <v>0</v>
      </c>
      <c r="DV101" s="102">
        <v>0</v>
      </c>
      <c r="DW101" s="102">
        <v>0</v>
      </c>
      <c r="DX101" s="102">
        <v>0</v>
      </c>
      <c r="DY101" s="102">
        <v>0</v>
      </c>
      <c r="DZ101" s="102">
        <v>0</v>
      </c>
      <c r="EA101" s="102">
        <v>0</v>
      </c>
      <c r="EB101" s="102">
        <v>0</v>
      </c>
      <c r="EC101" s="102">
        <v>0</v>
      </c>
      <c r="ED101" s="102">
        <v>0</v>
      </c>
      <c r="EE101" s="102">
        <v>0</v>
      </c>
      <c r="EF101" s="102">
        <v>0</v>
      </c>
      <c r="EG101" s="102">
        <v>0</v>
      </c>
      <c r="EH101" s="102">
        <v>0</v>
      </c>
      <c r="EI101" s="102">
        <v>0</v>
      </c>
      <c r="EJ101" s="102">
        <v>0</v>
      </c>
      <c r="EK101" s="102">
        <v>0</v>
      </c>
      <c r="EL101" s="102">
        <v>0</v>
      </c>
      <c r="EM101" s="102">
        <v>0</v>
      </c>
      <c r="EN101" s="102">
        <v>0</v>
      </c>
      <c r="EO101" s="102">
        <v>0</v>
      </c>
      <c r="EP101" s="102">
        <v>0</v>
      </c>
      <c r="EQ101" s="102">
        <v>0</v>
      </c>
      <c r="ER101" s="102">
        <v>0</v>
      </c>
      <c r="ES101" s="102">
        <v>0</v>
      </c>
      <c r="ET101" s="102">
        <v>0</v>
      </c>
      <c r="EU101" s="102">
        <v>0</v>
      </c>
      <c r="EV101" s="102">
        <v>0</v>
      </c>
      <c r="EW101" s="102">
        <v>0</v>
      </c>
      <c r="EX101" s="102">
        <v>0</v>
      </c>
      <c r="EY101" s="102">
        <v>0</v>
      </c>
      <c r="EZ101" s="102">
        <v>0</v>
      </c>
      <c r="FA101" s="102">
        <v>0</v>
      </c>
      <c r="FB101" s="102">
        <v>0</v>
      </c>
      <c r="FC101" s="102">
        <v>0</v>
      </c>
      <c r="FD101" s="102">
        <v>0</v>
      </c>
      <c r="FE101" s="102">
        <v>0</v>
      </c>
      <c r="FF101" s="102">
        <v>0</v>
      </c>
      <c r="FG101" s="102">
        <v>0</v>
      </c>
      <c r="FH101" s="102">
        <v>0</v>
      </c>
      <c r="FI101" s="102">
        <v>0</v>
      </c>
      <c r="FJ101" s="71">
        <v>0</v>
      </c>
    </row>
    <row r="102" spans="1:166" x14ac:dyDescent="0.3">
      <c r="A102" s="401" t="s">
        <v>893</v>
      </c>
      <c r="B102" s="103" t="s">
        <v>424</v>
      </c>
      <c r="C102" s="419" t="s">
        <v>927</v>
      </c>
      <c r="D102" s="419" t="s">
        <v>653</v>
      </c>
      <c r="E102" s="419" t="s">
        <v>860</v>
      </c>
      <c r="F102" s="103" t="s">
        <v>886</v>
      </c>
      <c r="G102" s="103" t="s">
        <v>814</v>
      </c>
      <c r="H102" s="103" t="s">
        <v>815</v>
      </c>
      <c r="I102" s="103">
        <v>0</v>
      </c>
      <c r="J102" s="103" t="s">
        <v>889</v>
      </c>
      <c r="K102" s="103">
        <v>0</v>
      </c>
      <c r="L102" s="103" t="s">
        <v>859</v>
      </c>
      <c r="M102" s="103">
        <v>1</v>
      </c>
      <c r="N102" s="103">
        <v>0</v>
      </c>
      <c r="O102" s="103">
        <v>4548800</v>
      </c>
      <c r="P102" s="393">
        <f t="shared" si="1"/>
        <v>4548800</v>
      </c>
      <c r="Q102" s="103">
        <f t="shared" si="2"/>
        <v>48</v>
      </c>
      <c r="R102" s="103">
        <v>36</v>
      </c>
      <c r="S102" s="103">
        <v>0.04</v>
      </c>
      <c r="T102" s="395">
        <v>1</v>
      </c>
      <c r="U102" s="103">
        <v>0</v>
      </c>
      <c r="V102" s="102">
        <v>15162.666666666666</v>
      </c>
      <c r="W102" s="102">
        <v>545855.99999999988</v>
      </c>
      <c r="X102" s="102">
        <v>0</v>
      </c>
      <c r="Y102" s="102">
        <v>0</v>
      </c>
      <c r="Z102" s="102">
        <v>0</v>
      </c>
      <c r="AA102" s="102">
        <v>0</v>
      </c>
      <c r="AB102" s="102">
        <v>181951.99999999997</v>
      </c>
      <c r="AC102" s="102">
        <v>181951.99999999997</v>
      </c>
      <c r="AD102" s="102">
        <v>181951.99999999997</v>
      </c>
      <c r="AE102" s="102">
        <v>0</v>
      </c>
      <c r="AF102" s="102">
        <v>0</v>
      </c>
      <c r="AG102" s="102">
        <v>0</v>
      </c>
      <c r="AH102" s="102">
        <v>0</v>
      </c>
      <c r="AI102" s="399">
        <v>0</v>
      </c>
      <c r="AJ102" s="399">
        <v>0</v>
      </c>
      <c r="AK102" s="399">
        <v>0</v>
      </c>
      <c r="AL102" s="399">
        <v>0</v>
      </c>
      <c r="AM102" s="399">
        <v>0</v>
      </c>
      <c r="AN102" s="399">
        <v>0</v>
      </c>
      <c r="AO102" s="399">
        <v>0</v>
      </c>
      <c r="AP102" s="399">
        <v>0</v>
      </c>
      <c r="AQ102" s="399">
        <v>0</v>
      </c>
      <c r="AR102" s="399">
        <v>0</v>
      </c>
      <c r="AS102" s="399">
        <v>0</v>
      </c>
      <c r="AT102" s="399">
        <v>0</v>
      </c>
      <c r="AU102" s="399">
        <v>0</v>
      </c>
      <c r="AV102" s="399">
        <v>0</v>
      </c>
      <c r="AW102" s="399">
        <v>0</v>
      </c>
      <c r="AX102" s="399">
        <v>0</v>
      </c>
      <c r="AY102" s="399">
        <v>0</v>
      </c>
      <c r="AZ102" s="399">
        <v>0</v>
      </c>
      <c r="BA102" s="399">
        <v>0</v>
      </c>
      <c r="BB102" s="399">
        <v>0</v>
      </c>
      <c r="BC102" s="399">
        <v>0</v>
      </c>
      <c r="BD102" s="399">
        <v>0</v>
      </c>
      <c r="BE102" s="399">
        <v>0</v>
      </c>
      <c r="BF102" s="399">
        <v>0</v>
      </c>
      <c r="BG102" s="399">
        <v>0</v>
      </c>
      <c r="BH102" s="399">
        <v>0</v>
      </c>
      <c r="BI102" s="399">
        <v>0</v>
      </c>
      <c r="BJ102" s="399">
        <v>0</v>
      </c>
      <c r="BK102" s="399">
        <v>0</v>
      </c>
      <c r="BL102" s="399">
        <v>0</v>
      </c>
      <c r="BM102" s="399">
        <v>0</v>
      </c>
      <c r="BN102" s="399">
        <v>0</v>
      </c>
      <c r="BO102" s="399">
        <v>0</v>
      </c>
      <c r="BP102" s="399">
        <v>0</v>
      </c>
      <c r="BQ102" s="399">
        <v>0</v>
      </c>
      <c r="BR102" s="399">
        <v>0</v>
      </c>
      <c r="BS102" s="399">
        <v>0</v>
      </c>
      <c r="BT102" s="399">
        <v>0</v>
      </c>
      <c r="BU102" s="399">
        <v>0</v>
      </c>
      <c r="BV102" s="399">
        <v>0</v>
      </c>
      <c r="BW102" s="399">
        <v>0</v>
      </c>
      <c r="BX102" s="399">
        <v>0</v>
      </c>
      <c r="BY102" s="399">
        <v>0</v>
      </c>
      <c r="BZ102" s="399">
        <v>0</v>
      </c>
      <c r="CA102" s="399">
        <v>0</v>
      </c>
      <c r="CB102" s="399">
        <v>0</v>
      </c>
      <c r="CC102" s="399">
        <v>0</v>
      </c>
      <c r="CD102" s="399">
        <v>0</v>
      </c>
      <c r="CE102" s="102">
        <v>15162.666666666666</v>
      </c>
      <c r="CF102" s="102">
        <v>15162.666666666666</v>
      </c>
      <c r="CG102" s="102">
        <v>15162.666666666666</v>
      </c>
      <c r="CH102" s="102">
        <v>15162.666666666666</v>
      </c>
      <c r="CI102" s="102">
        <v>15162.666666666666</v>
      </c>
      <c r="CJ102" s="102">
        <v>15162.666666666666</v>
      </c>
      <c r="CK102" s="102">
        <v>15162.666666666666</v>
      </c>
      <c r="CL102" s="102">
        <v>15162.666666666666</v>
      </c>
      <c r="CM102" s="102">
        <v>15162.666666666666</v>
      </c>
      <c r="CN102" s="102">
        <v>15162.666666666666</v>
      </c>
      <c r="CO102" s="102">
        <v>15162.666666666666</v>
      </c>
      <c r="CP102" s="102">
        <v>15162.666666666666</v>
      </c>
      <c r="CQ102" s="102">
        <v>15162.666666666666</v>
      </c>
      <c r="CR102" s="102">
        <v>15162.666666666666</v>
      </c>
      <c r="CS102" s="102">
        <v>15162.666666666666</v>
      </c>
      <c r="CT102" s="102">
        <v>15162.666666666666</v>
      </c>
      <c r="CU102" s="102">
        <v>15162.666666666666</v>
      </c>
      <c r="CV102" s="102">
        <v>15162.666666666666</v>
      </c>
      <c r="CW102" s="102">
        <v>15162.666666666666</v>
      </c>
      <c r="CX102" s="102">
        <v>15162.666666666666</v>
      </c>
      <c r="CY102" s="102">
        <v>15162.666666666666</v>
      </c>
      <c r="CZ102" s="102">
        <v>15162.666666666666</v>
      </c>
      <c r="DA102" s="102">
        <v>15162.666666666666</v>
      </c>
      <c r="DB102" s="102">
        <v>15162.666666666666</v>
      </c>
      <c r="DC102" s="102">
        <v>15162.666666666666</v>
      </c>
      <c r="DD102" s="102">
        <v>15162.666666666666</v>
      </c>
      <c r="DE102" s="102">
        <v>15162.666666666666</v>
      </c>
      <c r="DF102" s="102">
        <v>15162.666666666666</v>
      </c>
      <c r="DG102" s="102">
        <v>15162.666666666666</v>
      </c>
      <c r="DH102" s="102">
        <v>15162.666666666666</v>
      </c>
      <c r="DI102" s="102">
        <v>15162.666666666666</v>
      </c>
      <c r="DJ102" s="102">
        <v>15162.666666666666</v>
      </c>
      <c r="DK102" s="102">
        <v>15162.666666666666</v>
      </c>
      <c r="DL102" s="102">
        <v>15162.666666666666</v>
      </c>
      <c r="DM102" s="102">
        <v>15162.666666666666</v>
      </c>
      <c r="DN102" s="102">
        <v>15162.666666666666</v>
      </c>
      <c r="DO102" s="102">
        <v>0</v>
      </c>
      <c r="DP102" s="102">
        <v>0</v>
      </c>
      <c r="DQ102" s="102">
        <v>0</v>
      </c>
      <c r="DR102" s="102">
        <v>0</v>
      </c>
      <c r="DS102" s="102">
        <v>0</v>
      </c>
      <c r="DT102" s="102">
        <v>0</v>
      </c>
      <c r="DU102" s="102">
        <v>0</v>
      </c>
      <c r="DV102" s="102">
        <v>0</v>
      </c>
      <c r="DW102" s="102">
        <v>0</v>
      </c>
      <c r="DX102" s="102">
        <v>0</v>
      </c>
      <c r="DY102" s="102">
        <v>0</v>
      </c>
      <c r="DZ102" s="102">
        <v>0</v>
      </c>
      <c r="EA102" s="102">
        <v>0</v>
      </c>
      <c r="EB102" s="102">
        <v>0</v>
      </c>
      <c r="EC102" s="102">
        <v>0</v>
      </c>
      <c r="ED102" s="102">
        <v>0</v>
      </c>
      <c r="EE102" s="102">
        <v>0</v>
      </c>
      <c r="EF102" s="102">
        <v>0</v>
      </c>
      <c r="EG102" s="102">
        <v>0</v>
      </c>
      <c r="EH102" s="102">
        <v>0</v>
      </c>
      <c r="EI102" s="102">
        <v>0</v>
      </c>
      <c r="EJ102" s="102">
        <v>0</v>
      </c>
      <c r="EK102" s="102">
        <v>0</v>
      </c>
      <c r="EL102" s="102">
        <v>0</v>
      </c>
      <c r="EM102" s="102">
        <v>0</v>
      </c>
      <c r="EN102" s="102">
        <v>0</v>
      </c>
      <c r="EO102" s="102">
        <v>0</v>
      </c>
      <c r="EP102" s="102">
        <v>0</v>
      </c>
      <c r="EQ102" s="102">
        <v>0</v>
      </c>
      <c r="ER102" s="102">
        <v>0</v>
      </c>
      <c r="ES102" s="102">
        <v>0</v>
      </c>
      <c r="ET102" s="102">
        <v>0</v>
      </c>
      <c r="EU102" s="102">
        <v>0</v>
      </c>
      <c r="EV102" s="102">
        <v>0</v>
      </c>
      <c r="EW102" s="102">
        <v>0</v>
      </c>
      <c r="EX102" s="102">
        <v>0</v>
      </c>
      <c r="EY102" s="102">
        <v>0</v>
      </c>
      <c r="EZ102" s="102">
        <v>0</v>
      </c>
      <c r="FA102" s="102">
        <v>0</v>
      </c>
      <c r="FB102" s="102">
        <v>0</v>
      </c>
      <c r="FC102" s="102">
        <v>0</v>
      </c>
      <c r="FD102" s="102">
        <v>0</v>
      </c>
      <c r="FE102" s="102">
        <v>0</v>
      </c>
      <c r="FF102" s="102">
        <v>0</v>
      </c>
      <c r="FG102" s="102">
        <v>0</v>
      </c>
      <c r="FH102" s="102">
        <v>0</v>
      </c>
      <c r="FI102" s="102">
        <v>0</v>
      </c>
      <c r="FJ102" s="71">
        <v>0</v>
      </c>
    </row>
    <row r="103" spans="1:166" x14ac:dyDescent="0.3">
      <c r="A103" s="401" t="s">
        <v>894</v>
      </c>
      <c r="B103" s="103" t="s">
        <v>424</v>
      </c>
      <c r="C103" s="419" t="s">
        <v>926</v>
      </c>
      <c r="D103" s="419" t="s">
        <v>653</v>
      </c>
      <c r="E103" s="419" t="s">
        <v>860</v>
      </c>
      <c r="F103" s="103" t="s">
        <v>832</v>
      </c>
      <c r="G103" s="103" t="s">
        <v>833</v>
      </c>
      <c r="H103" s="103" t="s">
        <v>834</v>
      </c>
      <c r="I103" s="103">
        <v>0</v>
      </c>
      <c r="J103" s="103" t="s">
        <v>889</v>
      </c>
      <c r="K103" s="103">
        <v>0</v>
      </c>
      <c r="L103" s="103" t="s">
        <v>859</v>
      </c>
      <c r="M103" s="103">
        <v>1</v>
      </c>
      <c r="N103" s="103">
        <v>0</v>
      </c>
      <c r="O103" s="103">
        <v>6624450</v>
      </c>
      <c r="P103" s="393">
        <f t="shared" si="1"/>
        <v>6624450</v>
      </c>
      <c r="Q103" s="103">
        <f t="shared" si="2"/>
        <v>24</v>
      </c>
      <c r="R103" s="103">
        <v>60</v>
      </c>
      <c r="S103" s="103">
        <v>0.04</v>
      </c>
      <c r="T103" s="395">
        <v>1</v>
      </c>
      <c r="U103" s="103">
        <v>0</v>
      </c>
      <c r="V103" s="102">
        <v>22081.5</v>
      </c>
      <c r="W103" s="102">
        <v>1324890</v>
      </c>
      <c r="X103" s="102">
        <v>0</v>
      </c>
      <c r="Y103" s="102">
        <v>0</v>
      </c>
      <c r="Z103" s="102">
        <v>264978</v>
      </c>
      <c r="AA103" s="102">
        <v>264978</v>
      </c>
      <c r="AB103" s="102">
        <v>264978</v>
      </c>
      <c r="AC103" s="102">
        <v>264978</v>
      </c>
      <c r="AD103" s="102">
        <v>264978</v>
      </c>
      <c r="AE103" s="102">
        <v>0</v>
      </c>
      <c r="AF103" s="102">
        <v>0</v>
      </c>
      <c r="AG103" s="102">
        <v>0</v>
      </c>
      <c r="AH103" s="102">
        <v>0</v>
      </c>
      <c r="AI103" s="399">
        <v>0</v>
      </c>
      <c r="AJ103" s="399">
        <v>0</v>
      </c>
      <c r="AK103" s="399">
        <v>0</v>
      </c>
      <c r="AL103" s="399">
        <v>0</v>
      </c>
      <c r="AM103" s="399">
        <v>0</v>
      </c>
      <c r="AN103" s="399">
        <v>0</v>
      </c>
      <c r="AO103" s="399">
        <v>0</v>
      </c>
      <c r="AP103" s="399">
        <v>0</v>
      </c>
      <c r="AQ103" s="399">
        <v>0</v>
      </c>
      <c r="AR103" s="399">
        <v>0</v>
      </c>
      <c r="AS103" s="399">
        <v>0</v>
      </c>
      <c r="AT103" s="399">
        <v>0</v>
      </c>
      <c r="AU103" s="399">
        <v>0</v>
      </c>
      <c r="AV103" s="399">
        <v>0</v>
      </c>
      <c r="AW103" s="399">
        <v>0</v>
      </c>
      <c r="AX103" s="399">
        <v>0</v>
      </c>
      <c r="AY103" s="399">
        <v>0</v>
      </c>
      <c r="AZ103" s="399">
        <v>0</v>
      </c>
      <c r="BA103" s="399">
        <v>0</v>
      </c>
      <c r="BB103" s="399">
        <v>0</v>
      </c>
      <c r="BC103" s="399">
        <v>0</v>
      </c>
      <c r="BD103" s="399">
        <v>0</v>
      </c>
      <c r="BE103" s="399">
        <v>0</v>
      </c>
      <c r="BF103" s="399">
        <v>0</v>
      </c>
      <c r="BG103" s="102">
        <v>22081.5</v>
      </c>
      <c r="BH103" s="102">
        <v>22081.5</v>
      </c>
      <c r="BI103" s="102">
        <v>22081.5</v>
      </c>
      <c r="BJ103" s="102">
        <v>22081.5</v>
      </c>
      <c r="BK103" s="102">
        <v>22081.5</v>
      </c>
      <c r="BL103" s="102">
        <v>22081.5</v>
      </c>
      <c r="BM103" s="102">
        <v>22081.5</v>
      </c>
      <c r="BN103" s="102">
        <v>22081.5</v>
      </c>
      <c r="BO103" s="102">
        <v>22081.5</v>
      </c>
      <c r="BP103" s="102">
        <v>22081.5</v>
      </c>
      <c r="BQ103" s="102">
        <v>22081.5</v>
      </c>
      <c r="BR103" s="102">
        <v>22081.5</v>
      </c>
      <c r="BS103" s="102">
        <v>22081.5</v>
      </c>
      <c r="BT103" s="102">
        <v>22081.5</v>
      </c>
      <c r="BU103" s="102">
        <v>22081.5</v>
      </c>
      <c r="BV103" s="102">
        <v>22081.5</v>
      </c>
      <c r="BW103" s="102">
        <v>22081.5</v>
      </c>
      <c r="BX103" s="102">
        <v>22081.5</v>
      </c>
      <c r="BY103" s="102">
        <v>22081.5</v>
      </c>
      <c r="BZ103" s="102">
        <v>22081.5</v>
      </c>
      <c r="CA103" s="102">
        <v>22081.5</v>
      </c>
      <c r="CB103" s="102">
        <v>22081.5</v>
      </c>
      <c r="CC103" s="102">
        <v>22081.5</v>
      </c>
      <c r="CD103" s="102">
        <v>22081.5</v>
      </c>
      <c r="CE103" s="102">
        <v>22081.5</v>
      </c>
      <c r="CF103" s="102">
        <v>22081.5</v>
      </c>
      <c r="CG103" s="102">
        <v>22081.5</v>
      </c>
      <c r="CH103" s="102">
        <v>22081.5</v>
      </c>
      <c r="CI103" s="102">
        <v>22081.5</v>
      </c>
      <c r="CJ103" s="102">
        <v>22081.5</v>
      </c>
      <c r="CK103" s="102">
        <v>22081.5</v>
      </c>
      <c r="CL103" s="102">
        <v>22081.5</v>
      </c>
      <c r="CM103" s="102">
        <v>22081.5</v>
      </c>
      <c r="CN103" s="102">
        <v>22081.5</v>
      </c>
      <c r="CO103" s="102">
        <v>22081.5</v>
      </c>
      <c r="CP103" s="102">
        <v>22081.5</v>
      </c>
      <c r="CQ103" s="102">
        <v>22081.5</v>
      </c>
      <c r="CR103" s="102">
        <v>22081.5</v>
      </c>
      <c r="CS103" s="102">
        <v>22081.5</v>
      </c>
      <c r="CT103" s="102">
        <v>22081.5</v>
      </c>
      <c r="CU103" s="102">
        <v>22081.5</v>
      </c>
      <c r="CV103" s="102">
        <v>22081.5</v>
      </c>
      <c r="CW103" s="102">
        <v>22081.5</v>
      </c>
      <c r="CX103" s="102">
        <v>22081.5</v>
      </c>
      <c r="CY103" s="102">
        <v>22081.5</v>
      </c>
      <c r="CZ103" s="102">
        <v>22081.5</v>
      </c>
      <c r="DA103" s="102">
        <v>22081.5</v>
      </c>
      <c r="DB103" s="102">
        <v>22081.5</v>
      </c>
      <c r="DC103" s="102">
        <v>22081.5</v>
      </c>
      <c r="DD103" s="102">
        <v>22081.5</v>
      </c>
      <c r="DE103" s="102">
        <v>22081.5</v>
      </c>
      <c r="DF103" s="102">
        <v>22081.5</v>
      </c>
      <c r="DG103" s="102">
        <v>22081.5</v>
      </c>
      <c r="DH103" s="102">
        <v>22081.5</v>
      </c>
      <c r="DI103" s="102">
        <v>22081.5</v>
      </c>
      <c r="DJ103" s="102">
        <v>22081.5</v>
      </c>
      <c r="DK103" s="102">
        <v>22081.5</v>
      </c>
      <c r="DL103" s="102">
        <v>22081.5</v>
      </c>
      <c r="DM103" s="102">
        <v>22081.5</v>
      </c>
      <c r="DN103" s="102">
        <v>22081.5</v>
      </c>
      <c r="DO103" s="102">
        <v>0</v>
      </c>
      <c r="DP103" s="102">
        <v>0</v>
      </c>
      <c r="DQ103" s="102">
        <v>0</v>
      </c>
      <c r="DR103" s="102">
        <v>0</v>
      </c>
      <c r="DS103" s="102">
        <v>0</v>
      </c>
      <c r="DT103" s="102">
        <v>0</v>
      </c>
      <c r="DU103" s="102">
        <v>0</v>
      </c>
      <c r="DV103" s="102">
        <v>0</v>
      </c>
      <c r="DW103" s="102">
        <v>0</v>
      </c>
      <c r="DX103" s="102">
        <v>0</v>
      </c>
      <c r="DY103" s="102">
        <v>0</v>
      </c>
      <c r="DZ103" s="102">
        <v>0</v>
      </c>
      <c r="EA103" s="102">
        <v>0</v>
      </c>
      <c r="EB103" s="102">
        <v>0</v>
      </c>
      <c r="EC103" s="102">
        <v>0</v>
      </c>
      <c r="ED103" s="102">
        <v>0</v>
      </c>
      <c r="EE103" s="102">
        <v>0</v>
      </c>
      <c r="EF103" s="102">
        <v>0</v>
      </c>
      <c r="EG103" s="102">
        <v>0</v>
      </c>
      <c r="EH103" s="102">
        <v>0</v>
      </c>
      <c r="EI103" s="102">
        <v>0</v>
      </c>
      <c r="EJ103" s="102">
        <v>0</v>
      </c>
      <c r="EK103" s="102">
        <v>0</v>
      </c>
      <c r="EL103" s="102">
        <v>0</v>
      </c>
      <c r="EM103" s="102">
        <v>0</v>
      </c>
      <c r="EN103" s="102">
        <v>0</v>
      </c>
      <c r="EO103" s="102">
        <v>0</v>
      </c>
      <c r="EP103" s="102">
        <v>0</v>
      </c>
      <c r="EQ103" s="102">
        <v>0</v>
      </c>
      <c r="ER103" s="102">
        <v>0</v>
      </c>
      <c r="ES103" s="102">
        <v>0</v>
      </c>
      <c r="ET103" s="102">
        <v>0</v>
      </c>
      <c r="EU103" s="102">
        <v>0</v>
      </c>
      <c r="EV103" s="102">
        <v>0</v>
      </c>
      <c r="EW103" s="102">
        <v>0</v>
      </c>
      <c r="EX103" s="102">
        <v>0</v>
      </c>
      <c r="EY103" s="102">
        <v>0</v>
      </c>
      <c r="EZ103" s="102">
        <v>0</v>
      </c>
      <c r="FA103" s="102">
        <v>0</v>
      </c>
      <c r="FB103" s="102">
        <v>0</v>
      </c>
      <c r="FC103" s="102">
        <v>0</v>
      </c>
      <c r="FD103" s="102">
        <v>0</v>
      </c>
      <c r="FE103" s="102">
        <v>0</v>
      </c>
      <c r="FF103" s="102">
        <v>0</v>
      </c>
      <c r="FG103" s="102">
        <v>0</v>
      </c>
      <c r="FH103" s="102">
        <v>0</v>
      </c>
      <c r="FI103" s="102">
        <v>0</v>
      </c>
      <c r="FJ103" s="71">
        <v>0</v>
      </c>
    </row>
    <row r="104" spans="1:166" x14ac:dyDescent="0.3">
      <c r="A104" s="401" t="s">
        <v>895</v>
      </c>
      <c r="B104" s="103" t="s">
        <v>424</v>
      </c>
      <c r="C104" s="419" t="s">
        <v>925</v>
      </c>
      <c r="D104" s="419" t="s">
        <v>653</v>
      </c>
      <c r="E104" s="419" t="s">
        <v>860</v>
      </c>
      <c r="F104" s="103" t="s">
        <v>844</v>
      </c>
      <c r="G104" s="103" t="s">
        <v>887</v>
      </c>
      <c r="H104" s="103" t="s">
        <v>888</v>
      </c>
      <c r="I104" s="103">
        <v>0</v>
      </c>
      <c r="J104" s="103" t="s">
        <v>889</v>
      </c>
      <c r="K104" s="103">
        <v>0</v>
      </c>
      <c r="L104" s="103" t="s">
        <v>859</v>
      </c>
      <c r="M104" s="103">
        <v>1</v>
      </c>
      <c r="N104" s="103">
        <v>0</v>
      </c>
      <c r="O104" s="103">
        <v>5500000</v>
      </c>
      <c r="P104" s="393">
        <f t="shared" si="1"/>
        <v>5500000</v>
      </c>
      <c r="Q104" s="103">
        <f t="shared" si="2"/>
        <v>24</v>
      </c>
      <c r="R104" s="103">
        <v>60</v>
      </c>
      <c r="S104" s="103">
        <v>0.1</v>
      </c>
      <c r="T104" s="395">
        <v>1</v>
      </c>
      <c r="U104" s="103">
        <v>0</v>
      </c>
      <c r="V104" s="102">
        <v>45833.333333333336</v>
      </c>
      <c r="W104" s="102">
        <v>2749999.9999999995</v>
      </c>
      <c r="X104" s="102">
        <v>0</v>
      </c>
      <c r="Y104" s="102">
        <v>0</v>
      </c>
      <c r="Z104" s="102">
        <v>549999.99999999988</v>
      </c>
      <c r="AA104" s="102">
        <v>549999.99999999988</v>
      </c>
      <c r="AB104" s="102">
        <v>549999.99999999988</v>
      </c>
      <c r="AC104" s="102">
        <v>549999.99999999988</v>
      </c>
      <c r="AD104" s="102">
        <v>549999.99999999988</v>
      </c>
      <c r="AE104" s="102">
        <v>0</v>
      </c>
      <c r="AF104" s="102">
        <v>0</v>
      </c>
      <c r="AG104" s="102">
        <v>0</v>
      </c>
      <c r="AH104" s="102">
        <v>0</v>
      </c>
      <c r="AI104" s="399">
        <v>0</v>
      </c>
      <c r="AJ104" s="399">
        <v>0</v>
      </c>
      <c r="AK104" s="399">
        <v>0</v>
      </c>
      <c r="AL104" s="399">
        <v>0</v>
      </c>
      <c r="AM104" s="399">
        <v>0</v>
      </c>
      <c r="AN104" s="399">
        <v>0</v>
      </c>
      <c r="AO104" s="399">
        <v>0</v>
      </c>
      <c r="AP104" s="399">
        <v>0</v>
      </c>
      <c r="AQ104" s="399">
        <v>0</v>
      </c>
      <c r="AR104" s="399">
        <v>0</v>
      </c>
      <c r="AS104" s="399">
        <v>0</v>
      </c>
      <c r="AT104" s="399">
        <v>0</v>
      </c>
      <c r="AU104" s="399">
        <v>0</v>
      </c>
      <c r="AV104" s="399">
        <v>0</v>
      </c>
      <c r="AW104" s="399">
        <v>0</v>
      </c>
      <c r="AX104" s="399">
        <v>0</v>
      </c>
      <c r="AY104" s="399">
        <v>0</v>
      </c>
      <c r="AZ104" s="399">
        <v>0</v>
      </c>
      <c r="BA104" s="399">
        <v>0</v>
      </c>
      <c r="BB104" s="399">
        <v>0</v>
      </c>
      <c r="BC104" s="399">
        <v>0</v>
      </c>
      <c r="BD104" s="399">
        <v>0</v>
      </c>
      <c r="BE104" s="399">
        <v>0</v>
      </c>
      <c r="BF104" s="399">
        <v>0</v>
      </c>
      <c r="BG104" s="102">
        <v>45833.333333333336</v>
      </c>
      <c r="BH104" s="102">
        <v>45833.333333333336</v>
      </c>
      <c r="BI104" s="102">
        <v>45833.333333333336</v>
      </c>
      <c r="BJ104" s="102">
        <v>45833.333333333336</v>
      </c>
      <c r="BK104" s="102">
        <v>45833.333333333336</v>
      </c>
      <c r="BL104" s="102">
        <v>45833.333333333336</v>
      </c>
      <c r="BM104" s="102">
        <v>45833.333333333336</v>
      </c>
      <c r="BN104" s="102">
        <v>45833.333333333336</v>
      </c>
      <c r="BO104" s="102">
        <v>45833.333333333336</v>
      </c>
      <c r="BP104" s="102">
        <v>45833.333333333336</v>
      </c>
      <c r="BQ104" s="102">
        <v>45833.333333333336</v>
      </c>
      <c r="BR104" s="102">
        <v>45833.333333333336</v>
      </c>
      <c r="BS104" s="102">
        <v>45833.333333333336</v>
      </c>
      <c r="BT104" s="102">
        <v>45833.333333333336</v>
      </c>
      <c r="BU104" s="102">
        <v>45833.333333333336</v>
      </c>
      <c r="BV104" s="102">
        <v>45833.333333333336</v>
      </c>
      <c r="BW104" s="102">
        <v>45833.333333333336</v>
      </c>
      <c r="BX104" s="102">
        <v>45833.333333333336</v>
      </c>
      <c r="BY104" s="102">
        <v>45833.333333333336</v>
      </c>
      <c r="BZ104" s="102">
        <v>45833.333333333336</v>
      </c>
      <c r="CA104" s="102">
        <v>45833.333333333336</v>
      </c>
      <c r="CB104" s="102">
        <v>45833.333333333336</v>
      </c>
      <c r="CC104" s="102">
        <v>45833.333333333336</v>
      </c>
      <c r="CD104" s="102">
        <v>45833.333333333336</v>
      </c>
      <c r="CE104" s="102">
        <v>45833.333333333336</v>
      </c>
      <c r="CF104" s="102">
        <v>45833.333333333336</v>
      </c>
      <c r="CG104" s="102">
        <v>45833.333333333336</v>
      </c>
      <c r="CH104" s="102">
        <v>45833.333333333336</v>
      </c>
      <c r="CI104" s="102">
        <v>45833.333333333336</v>
      </c>
      <c r="CJ104" s="102">
        <v>45833.333333333336</v>
      </c>
      <c r="CK104" s="102">
        <v>45833.333333333336</v>
      </c>
      <c r="CL104" s="102">
        <v>45833.333333333336</v>
      </c>
      <c r="CM104" s="102">
        <v>45833.333333333336</v>
      </c>
      <c r="CN104" s="102">
        <v>45833.333333333336</v>
      </c>
      <c r="CO104" s="102">
        <v>45833.333333333336</v>
      </c>
      <c r="CP104" s="102">
        <v>45833.333333333336</v>
      </c>
      <c r="CQ104" s="102">
        <v>45833.333333333336</v>
      </c>
      <c r="CR104" s="102">
        <v>45833.333333333336</v>
      </c>
      <c r="CS104" s="102">
        <v>45833.333333333336</v>
      </c>
      <c r="CT104" s="102">
        <v>45833.333333333336</v>
      </c>
      <c r="CU104" s="102">
        <v>45833.333333333336</v>
      </c>
      <c r="CV104" s="102">
        <v>45833.333333333336</v>
      </c>
      <c r="CW104" s="102">
        <v>45833.333333333336</v>
      </c>
      <c r="CX104" s="102">
        <v>45833.333333333336</v>
      </c>
      <c r="CY104" s="102">
        <v>45833.333333333336</v>
      </c>
      <c r="CZ104" s="102">
        <v>45833.333333333336</v>
      </c>
      <c r="DA104" s="102">
        <v>45833.333333333336</v>
      </c>
      <c r="DB104" s="102">
        <v>45833.333333333336</v>
      </c>
      <c r="DC104" s="102">
        <v>45833.333333333336</v>
      </c>
      <c r="DD104" s="102">
        <v>45833.333333333336</v>
      </c>
      <c r="DE104" s="102">
        <v>45833.333333333336</v>
      </c>
      <c r="DF104" s="102">
        <v>45833.333333333336</v>
      </c>
      <c r="DG104" s="102">
        <v>45833.333333333336</v>
      </c>
      <c r="DH104" s="102">
        <v>45833.333333333336</v>
      </c>
      <c r="DI104" s="102">
        <v>45833.333333333336</v>
      </c>
      <c r="DJ104" s="102">
        <v>45833.333333333336</v>
      </c>
      <c r="DK104" s="102">
        <v>45833.333333333336</v>
      </c>
      <c r="DL104" s="102">
        <v>45833.333333333336</v>
      </c>
      <c r="DM104" s="102">
        <v>45833.333333333336</v>
      </c>
      <c r="DN104" s="102">
        <v>45833.333333333336</v>
      </c>
      <c r="DO104" s="102">
        <v>0</v>
      </c>
      <c r="DP104" s="102">
        <v>0</v>
      </c>
      <c r="DQ104" s="102">
        <v>0</v>
      </c>
      <c r="DR104" s="102">
        <v>0</v>
      </c>
      <c r="DS104" s="102">
        <v>0</v>
      </c>
      <c r="DT104" s="102">
        <v>0</v>
      </c>
      <c r="DU104" s="102">
        <v>0</v>
      </c>
      <c r="DV104" s="102">
        <v>0</v>
      </c>
      <c r="DW104" s="102">
        <v>0</v>
      </c>
      <c r="DX104" s="102">
        <v>0</v>
      </c>
      <c r="DY104" s="102">
        <v>0</v>
      </c>
      <c r="DZ104" s="102">
        <v>0</v>
      </c>
      <c r="EA104" s="102">
        <v>0</v>
      </c>
      <c r="EB104" s="102">
        <v>0</v>
      </c>
      <c r="EC104" s="102">
        <v>0</v>
      </c>
      <c r="ED104" s="102">
        <v>0</v>
      </c>
      <c r="EE104" s="102">
        <v>0</v>
      </c>
      <c r="EF104" s="102">
        <v>0</v>
      </c>
      <c r="EG104" s="102">
        <v>0</v>
      </c>
      <c r="EH104" s="102">
        <v>0</v>
      </c>
      <c r="EI104" s="102">
        <v>0</v>
      </c>
      <c r="EJ104" s="102">
        <v>0</v>
      </c>
      <c r="EK104" s="102">
        <v>0</v>
      </c>
      <c r="EL104" s="102">
        <v>0</v>
      </c>
      <c r="EM104" s="102">
        <v>0</v>
      </c>
      <c r="EN104" s="102">
        <v>0</v>
      </c>
      <c r="EO104" s="102">
        <v>0</v>
      </c>
      <c r="EP104" s="102">
        <v>0</v>
      </c>
      <c r="EQ104" s="102">
        <v>0</v>
      </c>
      <c r="ER104" s="102">
        <v>0</v>
      </c>
      <c r="ES104" s="102">
        <v>0</v>
      </c>
      <c r="ET104" s="102">
        <v>0</v>
      </c>
      <c r="EU104" s="102">
        <v>0</v>
      </c>
      <c r="EV104" s="102">
        <v>0</v>
      </c>
      <c r="EW104" s="102">
        <v>0</v>
      </c>
      <c r="EX104" s="102">
        <v>0</v>
      </c>
      <c r="EY104" s="102">
        <v>0</v>
      </c>
      <c r="EZ104" s="102">
        <v>0</v>
      </c>
      <c r="FA104" s="102">
        <v>0</v>
      </c>
      <c r="FB104" s="102">
        <v>0</v>
      </c>
      <c r="FC104" s="102">
        <v>0</v>
      </c>
      <c r="FD104" s="102">
        <v>0</v>
      </c>
      <c r="FE104" s="102">
        <v>0</v>
      </c>
      <c r="FF104" s="102">
        <v>0</v>
      </c>
      <c r="FG104" s="102">
        <v>0</v>
      </c>
      <c r="FH104" s="102">
        <v>0</v>
      </c>
      <c r="FI104" s="102">
        <v>0</v>
      </c>
      <c r="FJ104" s="71">
        <v>0</v>
      </c>
    </row>
    <row r="105" spans="1:166" x14ac:dyDescent="0.3">
      <c r="A105" s="401" t="s">
        <v>915</v>
      </c>
      <c r="B105" s="103" t="s">
        <v>424</v>
      </c>
      <c r="C105" s="419" t="s">
        <v>925</v>
      </c>
      <c r="D105" s="419" t="s">
        <v>653</v>
      </c>
      <c r="E105" s="419" t="s">
        <v>752</v>
      </c>
      <c r="F105" s="103" t="s">
        <v>896</v>
      </c>
      <c r="G105" s="103" t="s">
        <v>897</v>
      </c>
      <c r="H105" s="103" t="s">
        <v>898</v>
      </c>
      <c r="I105" s="103">
        <v>0</v>
      </c>
      <c r="J105" s="103" t="s">
        <v>889</v>
      </c>
      <c r="K105" s="103">
        <v>0</v>
      </c>
      <c r="L105" s="103" t="s">
        <v>914</v>
      </c>
      <c r="M105" s="103">
        <v>24</v>
      </c>
      <c r="N105" s="103">
        <v>0</v>
      </c>
      <c r="O105" s="103">
        <v>3000000</v>
      </c>
      <c r="P105" s="393">
        <f t="shared" si="1"/>
        <v>72000000</v>
      </c>
      <c r="Q105" s="103">
        <f t="shared" si="2"/>
        <v>24</v>
      </c>
      <c r="R105" s="103">
        <v>60</v>
      </c>
      <c r="S105" s="103">
        <v>0.12</v>
      </c>
      <c r="T105" s="395">
        <v>1</v>
      </c>
      <c r="U105" s="103">
        <v>0</v>
      </c>
      <c r="V105" s="102">
        <v>720000</v>
      </c>
      <c r="W105" s="102">
        <v>43200000</v>
      </c>
      <c r="X105" s="102">
        <v>0</v>
      </c>
      <c r="Y105" s="102">
        <v>0</v>
      </c>
      <c r="Z105" s="102">
        <v>8640000</v>
      </c>
      <c r="AA105" s="102">
        <v>8640000</v>
      </c>
      <c r="AB105" s="102">
        <v>8640000</v>
      </c>
      <c r="AC105" s="102">
        <v>8640000</v>
      </c>
      <c r="AD105" s="102">
        <v>8640000</v>
      </c>
      <c r="AE105" s="102">
        <v>0</v>
      </c>
      <c r="AF105" s="102">
        <v>0</v>
      </c>
      <c r="AG105" s="102">
        <v>0</v>
      </c>
      <c r="AH105" s="102">
        <v>0</v>
      </c>
      <c r="AI105" s="399">
        <v>0</v>
      </c>
      <c r="AJ105" s="399">
        <v>0</v>
      </c>
      <c r="AK105" s="399">
        <v>0</v>
      </c>
      <c r="AL105" s="399">
        <v>0</v>
      </c>
      <c r="AM105" s="399">
        <v>0</v>
      </c>
      <c r="AN105" s="399">
        <v>0</v>
      </c>
      <c r="AO105" s="399">
        <v>0</v>
      </c>
      <c r="AP105" s="399">
        <v>0</v>
      </c>
      <c r="AQ105" s="399">
        <v>0</v>
      </c>
      <c r="AR105" s="399">
        <v>0</v>
      </c>
      <c r="AS105" s="399">
        <v>0</v>
      </c>
      <c r="AT105" s="399">
        <v>0</v>
      </c>
      <c r="AU105" s="399">
        <v>0</v>
      </c>
      <c r="AV105" s="399">
        <v>0</v>
      </c>
      <c r="AW105" s="399">
        <v>0</v>
      </c>
      <c r="AX105" s="399">
        <v>0</v>
      </c>
      <c r="AY105" s="399">
        <v>0</v>
      </c>
      <c r="AZ105" s="399">
        <v>0</v>
      </c>
      <c r="BA105" s="399">
        <v>0</v>
      </c>
      <c r="BB105" s="399">
        <v>0</v>
      </c>
      <c r="BC105" s="399">
        <v>0</v>
      </c>
      <c r="BD105" s="399">
        <v>0</v>
      </c>
      <c r="BE105" s="399">
        <v>0</v>
      </c>
      <c r="BF105" s="399">
        <v>0</v>
      </c>
      <c r="BG105" s="102">
        <v>720000</v>
      </c>
      <c r="BH105" s="102">
        <v>720000</v>
      </c>
      <c r="BI105" s="102">
        <v>720000</v>
      </c>
      <c r="BJ105" s="102">
        <v>720000</v>
      </c>
      <c r="BK105" s="102">
        <v>720000</v>
      </c>
      <c r="BL105" s="102">
        <v>720000</v>
      </c>
      <c r="BM105" s="102">
        <v>720000</v>
      </c>
      <c r="BN105" s="102">
        <v>720000</v>
      </c>
      <c r="BO105" s="102">
        <v>720000</v>
      </c>
      <c r="BP105" s="102">
        <v>720000</v>
      </c>
      <c r="BQ105" s="102">
        <v>720000</v>
      </c>
      <c r="BR105" s="102">
        <v>720000</v>
      </c>
      <c r="BS105" s="102">
        <v>720000</v>
      </c>
      <c r="BT105" s="102">
        <v>720000</v>
      </c>
      <c r="BU105" s="102">
        <v>720000</v>
      </c>
      <c r="BV105" s="102">
        <v>720000</v>
      </c>
      <c r="BW105" s="102">
        <v>720000</v>
      </c>
      <c r="BX105" s="102">
        <v>720000</v>
      </c>
      <c r="BY105" s="102">
        <v>720000</v>
      </c>
      <c r="BZ105" s="102">
        <v>720000</v>
      </c>
      <c r="CA105" s="102">
        <v>720000</v>
      </c>
      <c r="CB105" s="102">
        <v>720000</v>
      </c>
      <c r="CC105" s="102">
        <v>720000</v>
      </c>
      <c r="CD105" s="102">
        <v>720000</v>
      </c>
      <c r="CE105" s="102">
        <v>720000</v>
      </c>
      <c r="CF105" s="102">
        <v>720000</v>
      </c>
      <c r="CG105" s="102">
        <v>720000</v>
      </c>
      <c r="CH105" s="102">
        <v>720000</v>
      </c>
      <c r="CI105" s="102">
        <v>720000</v>
      </c>
      <c r="CJ105" s="102">
        <v>720000</v>
      </c>
      <c r="CK105" s="102">
        <v>720000</v>
      </c>
      <c r="CL105" s="102">
        <v>720000</v>
      </c>
      <c r="CM105" s="102">
        <v>720000</v>
      </c>
      <c r="CN105" s="102">
        <v>720000</v>
      </c>
      <c r="CO105" s="102">
        <v>720000</v>
      </c>
      <c r="CP105" s="102">
        <v>720000</v>
      </c>
      <c r="CQ105" s="102">
        <v>720000</v>
      </c>
      <c r="CR105" s="102">
        <v>720000</v>
      </c>
      <c r="CS105" s="102">
        <v>720000</v>
      </c>
      <c r="CT105" s="102">
        <v>720000</v>
      </c>
      <c r="CU105" s="102">
        <v>720000</v>
      </c>
      <c r="CV105" s="102">
        <v>720000</v>
      </c>
      <c r="CW105" s="102">
        <v>720000</v>
      </c>
      <c r="CX105" s="102">
        <v>720000</v>
      </c>
      <c r="CY105" s="102">
        <v>720000</v>
      </c>
      <c r="CZ105" s="102">
        <v>720000</v>
      </c>
      <c r="DA105" s="102">
        <v>720000</v>
      </c>
      <c r="DB105" s="102">
        <v>720000</v>
      </c>
      <c r="DC105" s="102">
        <v>720000</v>
      </c>
      <c r="DD105" s="102">
        <v>720000</v>
      </c>
      <c r="DE105" s="102">
        <v>720000</v>
      </c>
      <c r="DF105" s="102">
        <v>720000</v>
      </c>
      <c r="DG105" s="102">
        <v>720000</v>
      </c>
      <c r="DH105" s="102">
        <v>720000</v>
      </c>
      <c r="DI105" s="102">
        <v>720000</v>
      </c>
      <c r="DJ105" s="102">
        <v>720000</v>
      </c>
      <c r="DK105" s="102">
        <v>720000</v>
      </c>
      <c r="DL105" s="102">
        <v>720000</v>
      </c>
      <c r="DM105" s="102">
        <v>720000</v>
      </c>
      <c r="DN105" s="102">
        <v>720000</v>
      </c>
      <c r="DO105" s="102">
        <v>0</v>
      </c>
      <c r="DP105" s="102">
        <v>0</v>
      </c>
      <c r="DQ105" s="102">
        <v>0</v>
      </c>
      <c r="DR105" s="102">
        <v>0</v>
      </c>
      <c r="DS105" s="102">
        <v>0</v>
      </c>
      <c r="DT105" s="102">
        <v>0</v>
      </c>
      <c r="DU105" s="102">
        <v>0</v>
      </c>
      <c r="DV105" s="102">
        <v>0</v>
      </c>
      <c r="DW105" s="102">
        <v>0</v>
      </c>
      <c r="DX105" s="102">
        <v>0</v>
      </c>
      <c r="DY105" s="102">
        <v>0</v>
      </c>
      <c r="DZ105" s="102">
        <v>0</v>
      </c>
      <c r="EA105" s="102">
        <v>0</v>
      </c>
      <c r="EB105" s="102">
        <v>0</v>
      </c>
      <c r="EC105" s="102">
        <v>0</v>
      </c>
      <c r="ED105" s="102">
        <v>0</v>
      </c>
      <c r="EE105" s="102">
        <v>0</v>
      </c>
      <c r="EF105" s="102">
        <v>0</v>
      </c>
      <c r="EG105" s="102">
        <v>0</v>
      </c>
      <c r="EH105" s="102">
        <v>0</v>
      </c>
      <c r="EI105" s="102">
        <v>0</v>
      </c>
      <c r="EJ105" s="102">
        <v>0</v>
      </c>
      <c r="EK105" s="102">
        <v>0</v>
      </c>
      <c r="EL105" s="102">
        <v>0</v>
      </c>
      <c r="EM105" s="102">
        <v>0</v>
      </c>
      <c r="EN105" s="102">
        <v>0</v>
      </c>
      <c r="EO105" s="102">
        <v>0</v>
      </c>
      <c r="EP105" s="102">
        <v>0</v>
      </c>
      <c r="EQ105" s="102">
        <v>0</v>
      </c>
      <c r="ER105" s="102">
        <v>0</v>
      </c>
      <c r="ES105" s="102">
        <v>0</v>
      </c>
      <c r="ET105" s="102">
        <v>0</v>
      </c>
      <c r="EU105" s="102">
        <v>0</v>
      </c>
      <c r="EV105" s="102">
        <v>0</v>
      </c>
      <c r="EW105" s="102">
        <v>0</v>
      </c>
      <c r="EX105" s="102">
        <v>0</v>
      </c>
      <c r="EY105" s="102">
        <v>0</v>
      </c>
      <c r="EZ105" s="102">
        <v>0</v>
      </c>
      <c r="FA105" s="102">
        <v>0</v>
      </c>
      <c r="FB105" s="102">
        <v>0</v>
      </c>
      <c r="FC105" s="102">
        <v>0</v>
      </c>
      <c r="FD105" s="102">
        <v>0</v>
      </c>
      <c r="FE105" s="102">
        <v>0</v>
      </c>
      <c r="FF105" s="102">
        <v>0</v>
      </c>
      <c r="FG105" s="102">
        <v>0</v>
      </c>
      <c r="FH105" s="102">
        <v>0</v>
      </c>
      <c r="FI105" s="102">
        <v>0</v>
      </c>
      <c r="FJ105" s="71">
        <v>0</v>
      </c>
    </row>
    <row r="106" spans="1:166" x14ac:dyDescent="0.3">
      <c r="A106" s="401" t="s">
        <v>916</v>
      </c>
      <c r="B106" s="103" t="s">
        <v>424</v>
      </c>
      <c r="C106" s="419" t="s">
        <v>925</v>
      </c>
      <c r="D106" s="419" t="s">
        <v>653</v>
      </c>
      <c r="E106" s="419" t="s">
        <v>752</v>
      </c>
      <c r="F106" s="103" t="s">
        <v>899</v>
      </c>
      <c r="G106" s="103" t="s">
        <v>900</v>
      </c>
      <c r="H106" s="103" t="s">
        <v>901</v>
      </c>
      <c r="I106" s="103">
        <v>0</v>
      </c>
      <c r="J106" s="103" t="s">
        <v>889</v>
      </c>
      <c r="K106" s="103">
        <v>0</v>
      </c>
      <c r="L106" s="103" t="s">
        <v>914</v>
      </c>
      <c r="M106" s="103">
        <v>8</v>
      </c>
      <c r="N106" s="103">
        <v>0</v>
      </c>
      <c r="O106" s="103">
        <v>1500000</v>
      </c>
      <c r="P106" s="393">
        <f t="shared" si="1"/>
        <v>12000000</v>
      </c>
      <c r="Q106" s="103">
        <f t="shared" si="2"/>
        <v>24</v>
      </c>
      <c r="R106" s="103">
        <v>60</v>
      </c>
      <c r="S106" s="103">
        <v>0.1</v>
      </c>
      <c r="T106" s="395">
        <v>1</v>
      </c>
      <c r="U106" s="103">
        <v>0</v>
      </c>
      <c r="V106" s="102">
        <v>100000</v>
      </c>
      <c r="W106" s="102">
        <v>6000000</v>
      </c>
      <c r="X106" s="102">
        <v>0</v>
      </c>
      <c r="Y106" s="102">
        <v>0</v>
      </c>
      <c r="Z106" s="102">
        <v>1200000</v>
      </c>
      <c r="AA106" s="102">
        <v>1200000</v>
      </c>
      <c r="AB106" s="102">
        <v>1200000</v>
      </c>
      <c r="AC106" s="102">
        <v>1200000</v>
      </c>
      <c r="AD106" s="102">
        <v>1200000</v>
      </c>
      <c r="AE106" s="102">
        <v>0</v>
      </c>
      <c r="AF106" s="102">
        <v>0</v>
      </c>
      <c r="AG106" s="102">
        <v>0</v>
      </c>
      <c r="AH106" s="102">
        <v>0</v>
      </c>
      <c r="AI106" s="399">
        <v>0</v>
      </c>
      <c r="AJ106" s="399">
        <v>0</v>
      </c>
      <c r="AK106" s="399">
        <v>0</v>
      </c>
      <c r="AL106" s="399">
        <v>0</v>
      </c>
      <c r="AM106" s="399">
        <v>0</v>
      </c>
      <c r="AN106" s="399">
        <v>0</v>
      </c>
      <c r="AO106" s="399">
        <v>0</v>
      </c>
      <c r="AP106" s="399">
        <v>0</v>
      </c>
      <c r="AQ106" s="399">
        <v>0</v>
      </c>
      <c r="AR106" s="399">
        <v>0</v>
      </c>
      <c r="AS106" s="399">
        <v>0</v>
      </c>
      <c r="AT106" s="399">
        <v>0</v>
      </c>
      <c r="AU106" s="399">
        <v>0</v>
      </c>
      <c r="AV106" s="399">
        <v>0</v>
      </c>
      <c r="AW106" s="399">
        <v>0</v>
      </c>
      <c r="AX106" s="399">
        <v>0</v>
      </c>
      <c r="AY106" s="399">
        <v>0</v>
      </c>
      <c r="AZ106" s="399">
        <v>0</v>
      </c>
      <c r="BA106" s="399">
        <v>0</v>
      </c>
      <c r="BB106" s="399">
        <v>0</v>
      </c>
      <c r="BC106" s="399">
        <v>0</v>
      </c>
      <c r="BD106" s="399">
        <v>0</v>
      </c>
      <c r="BE106" s="399">
        <v>0</v>
      </c>
      <c r="BF106" s="399">
        <v>0</v>
      </c>
      <c r="BG106" s="102">
        <v>100000</v>
      </c>
      <c r="BH106" s="102">
        <v>100000</v>
      </c>
      <c r="BI106" s="102">
        <v>100000</v>
      </c>
      <c r="BJ106" s="102">
        <v>100000</v>
      </c>
      <c r="BK106" s="102">
        <v>100000</v>
      </c>
      <c r="BL106" s="102">
        <v>100000</v>
      </c>
      <c r="BM106" s="102">
        <v>100000</v>
      </c>
      <c r="BN106" s="102">
        <v>100000</v>
      </c>
      <c r="BO106" s="102">
        <v>100000</v>
      </c>
      <c r="BP106" s="102">
        <v>100000</v>
      </c>
      <c r="BQ106" s="102">
        <v>100000</v>
      </c>
      <c r="BR106" s="102">
        <v>100000</v>
      </c>
      <c r="BS106" s="102">
        <v>100000</v>
      </c>
      <c r="BT106" s="102">
        <v>100000</v>
      </c>
      <c r="BU106" s="102">
        <v>100000</v>
      </c>
      <c r="BV106" s="102">
        <v>100000</v>
      </c>
      <c r="BW106" s="102">
        <v>100000</v>
      </c>
      <c r="BX106" s="102">
        <v>100000</v>
      </c>
      <c r="BY106" s="102">
        <v>100000</v>
      </c>
      <c r="BZ106" s="102">
        <v>100000</v>
      </c>
      <c r="CA106" s="102">
        <v>100000</v>
      </c>
      <c r="CB106" s="102">
        <v>100000</v>
      </c>
      <c r="CC106" s="102">
        <v>100000</v>
      </c>
      <c r="CD106" s="102">
        <v>100000</v>
      </c>
      <c r="CE106" s="102">
        <v>100000</v>
      </c>
      <c r="CF106" s="102">
        <v>100000</v>
      </c>
      <c r="CG106" s="102">
        <v>100000</v>
      </c>
      <c r="CH106" s="102">
        <v>100000</v>
      </c>
      <c r="CI106" s="102">
        <v>100000</v>
      </c>
      <c r="CJ106" s="102">
        <v>100000</v>
      </c>
      <c r="CK106" s="102">
        <v>100000</v>
      </c>
      <c r="CL106" s="102">
        <v>100000</v>
      </c>
      <c r="CM106" s="102">
        <v>100000</v>
      </c>
      <c r="CN106" s="102">
        <v>100000</v>
      </c>
      <c r="CO106" s="102">
        <v>100000</v>
      </c>
      <c r="CP106" s="102">
        <v>100000</v>
      </c>
      <c r="CQ106" s="102">
        <v>100000</v>
      </c>
      <c r="CR106" s="102">
        <v>100000</v>
      </c>
      <c r="CS106" s="102">
        <v>100000</v>
      </c>
      <c r="CT106" s="102">
        <v>100000</v>
      </c>
      <c r="CU106" s="102">
        <v>100000</v>
      </c>
      <c r="CV106" s="102">
        <v>100000</v>
      </c>
      <c r="CW106" s="102">
        <v>100000</v>
      </c>
      <c r="CX106" s="102">
        <v>100000</v>
      </c>
      <c r="CY106" s="102">
        <v>100000</v>
      </c>
      <c r="CZ106" s="102">
        <v>100000</v>
      </c>
      <c r="DA106" s="102">
        <v>100000</v>
      </c>
      <c r="DB106" s="102">
        <v>100000</v>
      </c>
      <c r="DC106" s="102">
        <v>100000</v>
      </c>
      <c r="DD106" s="102">
        <v>100000</v>
      </c>
      <c r="DE106" s="102">
        <v>100000</v>
      </c>
      <c r="DF106" s="102">
        <v>100000</v>
      </c>
      <c r="DG106" s="102">
        <v>100000</v>
      </c>
      <c r="DH106" s="102">
        <v>100000</v>
      </c>
      <c r="DI106" s="102">
        <v>100000</v>
      </c>
      <c r="DJ106" s="102">
        <v>100000</v>
      </c>
      <c r="DK106" s="102">
        <v>100000</v>
      </c>
      <c r="DL106" s="102">
        <v>100000</v>
      </c>
      <c r="DM106" s="102">
        <v>100000</v>
      </c>
      <c r="DN106" s="102">
        <v>100000</v>
      </c>
      <c r="DO106" s="102">
        <v>0</v>
      </c>
      <c r="DP106" s="102">
        <v>0</v>
      </c>
      <c r="DQ106" s="102">
        <v>0</v>
      </c>
      <c r="DR106" s="102">
        <v>0</v>
      </c>
      <c r="DS106" s="102">
        <v>0</v>
      </c>
      <c r="DT106" s="102">
        <v>0</v>
      </c>
      <c r="DU106" s="102">
        <v>0</v>
      </c>
      <c r="DV106" s="102">
        <v>0</v>
      </c>
      <c r="DW106" s="102">
        <v>0</v>
      </c>
      <c r="DX106" s="102">
        <v>0</v>
      </c>
      <c r="DY106" s="102">
        <v>0</v>
      </c>
      <c r="DZ106" s="102">
        <v>0</v>
      </c>
      <c r="EA106" s="102">
        <v>0</v>
      </c>
      <c r="EB106" s="102">
        <v>0</v>
      </c>
      <c r="EC106" s="102">
        <v>0</v>
      </c>
      <c r="ED106" s="102">
        <v>0</v>
      </c>
      <c r="EE106" s="102">
        <v>0</v>
      </c>
      <c r="EF106" s="102">
        <v>0</v>
      </c>
      <c r="EG106" s="102">
        <v>0</v>
      </c>
      <c r="EH106" s="102">
        <v>0</v>
      </c>
      <c r="EI106" s="102">
        <v>0</v>
      </c>
      <c r="EJ106" s="102">
        <v>0</v>
      </c>
      <c r="EK106" s="102">
        <v>0</v>
      </c>
      <c r="EL106" s="102">
        <v>0</v>
      </c>
      <c r="EM106" s="102">
        <v>0</v>
      </c>
      <c r="EN106" s="102">
        <v>0</v>
      </c>
      <c r="EO106" s="102">
        <v>0</v>
      </c>
      <c r="EP106" s="102">
        <v>0</v>
      </c>
      <c r="EQ106" s="102">
        <v>0</v>
      </c>
      <c r="ER106" s="102">
        <v>0</v>
      </c>
      <c r="ES106" s="102">
        <v>0</v>
      </c>
      <c r="ET106" s="102">
        <v>0</v>
      </c>
      <c r="EU106" s="102">
        <v>0</v>
      </c>
      <c r="EV106" s="102">
        <v>0</v>
      </c>
      <c r="EW106" s="102">
        <v>0</v>
      </c>
      <c r="EX106" s="102">
        <v>0</v>
      </c>
      <c r="EY106" s="102">
        <v>0</v>
      </c>
      <c r="EZ106" s="102">
        <v>0</v>
      </c>
      <c r="FA106" s="102">
        <v>0</v>
      </c>
      <c r="FB106" s="102">
        <v>0</v>
      </c>
      <c r="FC106" s="102">
        <v>0</v>
      </c>
      <c r="FD106" s="102">
        <v>0</v>
      </c>
      <c r="FE106" s="102">
        <v>0</v>
      </c>
      <c r="FF106" s="102">
        <v>0</v>
      </c>
      <c r="FG106" s="102">
        <v>0</v>
      </c>
      <c r="FH106" s="102">
        <v>0</v>
      </c>
      <c r="FI106" s="102">
        <v>0</v>
      </c>
      <c r="FJ106" s="71">
        <v>0</v>
      </c>
    </row>
    <row r="107" spans="1:166" x14ac:dyDescent="0.3">
      <c r="A107" s="401" t="s">
        <v>917</v>
      </c>
      <c r="B107" s="103" t="s">
        <v>424</v>
      </c>
      <c r="C107" s="419" t="s">
        <v>925</v>
      </c>
      <c r="D107" s="419" t="s">
        <v>653</v>
      </c>
      <c r="E107" s="419" t="s">
        <v>752</v>
      </c>
      <c r="F107" s="103" t="s">
        <v>902</v>
      </c>
      <c r="G107" s="103" t="s">
        <v>903</v>
      </c>
      <c r="H107" s="103" t="s">
        <v>904</v>
      </c>
      <c r="I107" s="103">
        <v>0</v>
      </c>
      <c r="J107" s="103" t="s">
        <v>889</v>
      </c>
      <c r="K107" s="103">
        <v>0</v>
      </c>
      <c r="L107" s="103" t="s">
        <v>914</v>
      </c>
      <c r="M107" s="103">
        <v>54</v>
      </c>
      <c r="N107" s="103">
        <v>0</v>
      </c>
      <c r="O107" s="103">
        <v>570000</v>
      </c>
      <c r="P107" s="393">
        <f t="shared" si="1"/>
        <v>30780000</v>
      </c>
      <c r="Q107" s="103">
        <f t="shared" si="2"/>
        <v>24</v>
      </c>
      <c r="R107" s="103">
        <v>60</v>
      </c>
      <c r="S107" s="103">
        <v>0.12</v>
      </c>
      <c r="T107" s="395">
        <v>1</v>
      </c>
      <c r="U107" s="103">
        <v>0</v>
      </c>
      <c r="V107" s="102">
        <v>307800</v>
      </c>
      <c r="W107" s="102">
        <v>18468000</v>
      </c>
      <c r="X107" s="102">
        <v>0</v>
      </c>
      <c r="Y107" s="102">
        <v>0</v>
      </c>
      <c r="Z107" s="102">
        <v>3693600</v>
      </c>
      <c r="AA107" s="102">
        <v>3693600</v>
      </c>
      <c r="AB107" s="102">
        <v>3693600</v>
      </c>
      <c r="AC107" s="102">
        <v>3693600</v>
      </c>
      <c r="AD107" s="102">
        <v>3693600</v>
      </c>
      <c r="AE107" s="102">
        <v>0</v>
      </c>
      <c r="AF107" s="102">
        <v>0</v>
      </c>
      <c r="AG107" s="102">
        <v>0</v>
      </c>
      <c r="AH107" s="102">
        <v>0</v>
      </c>
      <c r="AI107" s="399">
        <v>0</v>
      </c>
      <c r="AJ107" s="399">
        <v>0</v>
      </c>
      <c r="AK107" s="399">
        <v>0</v>
      </c>
      <c r="AL107" s="399">
        <v>0</v>
      </c>
      <c r="AM107" s="399">
        <v>0</v>
      </c>
      <c r="AN107" s="399">
        <v>0</v>
      </c>
      <c r="AO107" s="399">
        <v>0</v>
      </c>
      <c r="AP107" s="399">
        <v>0</v>
      </c>
      <c r="AQ107" s="399">
        <v>0</v>
      </c>
      <c r="AR107" s="399">
        <v>0</v>
      </c>
      <c r="AS107" s="399">
        <v>0</v>
      </c>
      <c r="AT107" s="399">
        <v>0</v>
      </c>
      <c r="AU107" s="399">
        <v>0</v>
      </c>
      <c r="AV107" s="399">
        <v>0</v>
      </c>
      <c r="AW107" s="399">
        <v>0</v>
      </c>
      <c r="AX107" s="399">
        <v>0</v>
      </c>
      <c r="AY107" s="399">
        <v>0</v>
      </c>
      <c r="AZ107" s="399">
        <v>0</v>
      </c>
      <c r="BA107" s="399">
        <v>0</v>
      </c>
      <c r="BB107" s="399">
        <v>0</v>
      </c>
      <c r="BC107" s="399">
        <v>0</v>
      </c>
      <c r="BD107" s="399">
        <v>0</v>
      </c>
      <c r="BE107" s="399">
        <v>0</v>
      </c>
      <c r="BF107" s="399">
        <v>0</v>
      </c>
      <c r="BG107" s="102">
        <v>307800</v>
      </c>
      <c r="BH107" s="102">
        <v>307800</v>
      </c>
      <c r="BI107" s="102">
        <v>307800</v>
      </c>
      <c r="BJ107" s="102">
        <v>307800</v>
      </c>
      <c r="BK107" s="102">
        <v>307800</v>
      </c>
      <c r="BL107" s="102">
        <v>307800</v>
      </c>
      <c r="BM107" s="102">
        <v>307800</v>
      </c>
      <c r="BN107" s="102">
        <v>307800</v>
      </c>
      <c r="BO107" s="102">
        <v>307800</v>
      </c>
      <c r="BP107" s="102">
        <v>307800</v>
      </c>
      <c r="BQ107" s="102">
        <v>307800</v>
      </c>
      <c r="BR107" s="102">
        <v>307800</v>
      </c>
      <c r="BS107" s="102">
        <v>307800</v>
      </c>
      <c r="BT107" s="102">
        <v>307800</v>
      </c>
      <c r="BU107" s="102">
        <v>307800</v>
      </c>
      <c r="BV107" s="102">
        <v>307800</v>
      </c>
      <c r="BW107" s="102">
        <v>307800</v>
      </c>
      <c r="BX107" s="102">
        <v>307800</v>
      </c>
      <c r="BY107" s="102">
        <v>307800</v>
      </c>
      <c r="BZ107" s="102">
        <v>307800</v>
      </c>
      <c r="CA107" s="102">
        <v>307800</v>
      </c>
      <c r="CB107" s="102">
        <v>307800</v>
      </c>
      <c r="CC107" s="102">
        <v>307800</v>
      </c>
      <c r="CD107" s="102">
        <v>307800</v>
      </c>
      <c r="CE107" s="102">
        <v>307800</v>
      </c>
      <c r="CF107" s="102">
        <v>307800</v>
      </c>
      <c r="CG107" s="102">
        <v>307800</v>
      </c>
      <c r="CH107" s="102">
        <v>307800</v>
      </c>
      <c r="CI107" s="102">
        <v>307800</v>
      </c>
      <c r="CJ107" s="102">
        <v>307800</v>
      </c>
      <c r="CK107" s="102">
        <v>307800</v>
      </c>
      <c r="CL107" s="102">
        <v>307800</v>
      </c>
      <c r="CM107" s="102">
        <v>307800</v>
      </c>
      <c r="CN107" s="102">
        <v>307800</v>
      </c>
      <c r="CO107" s="102">
        <v>307800</v>
      </c>
      <c r="CP107" s="102">
        <v>307800</v>
      </c>
      <c r="CQ107" s="102">
        <v>307800</v>
      </c>
      <c r="CR107" s="102">
        <v>307800</v>
      </c>
      <c r="CS107" s="102">
        <v>307800</v>
      </c>
      <c r="CT107" s="102">
        <v>307800</v>
      </c>
      <c r="CU107" s="102">
        <v>307800</v>
      </c>
      <c r="CV107" s="102">
        <v>307800</v>
      </c>
      <c r="CW107" s="102">
        <v>307800</v>
      </c>
      <c r="CX107" s="102">
        <v>307800</v>
      </c>
      <c r="CY107" s="102">
        <v>307800</v>
      </c>
      <c r="CZ107" s="102">
        <v>307800</v>
      </c>
      <c r="DA107" s="102">
        <v>307800</v>
      </c>
      <c r="DB107" s="102">
        <v>307800</v>
      </c>
      <c r="DC107" s="102">
        <v>307800</v>
      </c>
      <c r="DD107" s="102">
        <v>307800</v>
      </c>
      <c r="DE107" s="102">
        <v>307800</v>
      </c>
      <c r="DF107" s="102">
        <v>307800</v>
      </c>
      <c r="DG107" s="102">
        <v>307800</v>
      </c>
      <c r="DH107" s="102">
        <v>307800</v>
      </c>
      <c r="DI107" s="102">
        <v>307800</v>
      </c>
      <c r="DJ107" s="102">
        <v>307800</v>
      </c>
      <c r="DK107" s="102">
        <v>307800</v>
      </c>
      <c r="DL107" s="102">
        <v>307800</v>
      </c>
      <c r="DM107" s="102">
        <v>307800</v>
      </c>
      <c r="DN107" s="102">
        <v>307800</v>
      </c>
      <c r="DO107" s="102">
        <v>0</v>
      </c>
      <c r="DP107" s="102">
        <v>0</v>
      </c>
      <c r="DQ107" s="102">
        <v>0</v>
      </c>
      <c r="DR107" s="102">
        <v>0</v>
      </c>
      <c r="DS107" s="102">
        <v>0</v>
      </c>
      <c r="DT107" s="102">
        <v>0</v>
      </c>
      <c r="DU107" s="102">
        <v>0</v>
      </c>
      <c r="DV107" s="102">
        <v>0</v>
      </c>
      <c r="DW107" s="102">
        <v>0</v>
      </c>
      <c r="DX107" s="102">
        <v>0</v>
      </c>
      <c r="DY107" s="102">
        <v>0</v>
      </c>
      <c r="DZ107" s="102">
        <v>0</v>
      </c>
      <c r="EA107" s="102">
        <v>0</v>
      </c>
      <c r="EB107" s="102">
        <v>0</v>
      </c>
      <c r="EC107" s="102">
        <v>0</v>
      </c>
      <c r="ED107" s="102">
        <v>0</v>
      </c>
      <c r="EE107" s="102">
        <v>0</v>
      </c>
      <c r="EF107" s="102">
        <v>0</v>
      </c>
      <c r="EG107" s="102">
        <v>0</v>
      </c>
      <c r="EH107" s="102">
        <v>0</v>
      </c>
      <c r="EI107" s="102">
        <v>0</v>
      </c>
      <c r="EJ107" s="102">
        <v>0</v>
      </c>
      <c r="EK107" s="102">
        <v>0</v>
      </c>
      <c r="EL107" s="102">
        <v>0</v>
      </c>
      <c r="EM107" s="102">
        <v>0</v>
      </c>
      <c r="EN107" s="102">
        <v>0</v>
      </c>
      <c r="EO107" s="102">
        <v>0</v>
      </c>
      <c r="EP107" s="102">
        <v>0</v>
      </c>
      <c r="EQ107" s="102">
        <v>0</v>
      </c>
      <c r="ER107" s="102">
        <v>0</v>
      </c>
      <c r="ES107" s="102">
        <v>0</v>
      </c>
      <c r="ET107" s="102">
        <v>0</v>
      </c>
      <c r="EU107" s="102">
        <v>0</v>
      </c>
      <c r="EV107" s="102">
        <v>0</v>
      </c>
      <c r="EW107" s="102">
        <v>0</v>
      </c>
      <c r="EX107" s="102">
        <v>0</v>
      </c>
      <c r="EY107" s="102">
        <v>0</v>
      </c>
      <c r="EZ107" s="102">
        <v>0</v>
      </c>
      <c r="FA107" s="102">
        <v>0</v>
      </c>
      <c r="FB107" s="102">
        <v>0</v>
      </c>
      <c r="FC107" s="102">
        <v>0</v>
      </c>
      <c r="FD107" s="102">
        <v>0</v>
      </c>
      <c r="FE107" s="102">
        <v>0</v>
      </c>
      <c r="FF107" s="102">
        <v>0</v>
      </c>
      <c r="FG107" s="102">
        <v>0</v>
      </c>
      <c r="FH107" s="102">
        <v>0</v>
      </c>
      <c r="FI107" s="102">
        <v>0</v>
      </c>
      <c r="FJ107" s="71">
        <v>0</v>
      </c>
    </row>
    <row r="108" spans="1:166" x14ac:dyDescent="0.3">
      <c r="A108" s="401" t="s">
        <v>918</v>
      </c>
      <c r="B108" s="103" t="s">
        <v>424</v>
      </c>
      <c r="C108" s="419" t="s">
        <v>925</v>
      </c>
      <c r="D108" s="419" t="s">
        <v>653</v>
      </c>
      <c r="E108" s="419" t="s">
        <v>752</v>
      </c>
      <c r="F108" s="103" t="s">
        <v>905</v>
      </c>
      <c r="G108" s="103" t="s">
        <v>906</v>
      </c>
      <c r="H108" s="103" t="s">
        <v>907</v>
      </c>
      <c r="I108" s="103">
        <v>0</v>
      </c>
      <c r="J108" s="103" t="s">
        <v>889</v>
      </c>
      <c r="K108" s="103">
        <v>0</v>
      </c>
      <c r="L108" s="103" t="s">
        <v>914</v>
      </c>
      <c r="M108" s="103">
        <v>4</v>
      </c>
      <c r="N108" s="103">
        <v>0</v>
      </c>
      <c r="O108" s="103">
        <v>5000000</v>
      </c>
      <c r="P108" s="393">
        <f t="shared" si="1"/>
        <v>20000000</v>
      </c>
      <c r="Q108" s="103">
        <f t="shared" si="2"/>
        <v>24</v>
      </c>
      <c r="R108" s="103">
        <v>60</v>
      </c>
      <c r="S108" s="103">
        <v>0.12</v>
      </c>
      <c r="T108" s="395">
        <v>1</v>
      </c>
      <c r="U108" s="103">
        <v>0</v>
      </c>
      <c r="V108" s="102">
        <v>200000</v>
      </c>
      <c r="W108" s="102">
        <v>12000000</v>
      </c>
      <c r="X108" s="102">
        <v>0</v>
      </c>
      <c r="Y108" s="102">
        <v>0</v>
      </c>
      <c r="Z108" s="102">
        <v>2400000</v>
      </c>
      <c r="AA108" s="102">
        <v>2400000</v>
      </c>
      <c r="AB108" s="102">
        <v>2400000</v>
      </c>
      <c r="AC108" s="102">
        <v>2400000</v>
      </c>
      <c r="AD108" s="102">
        <v>2400000</v>
      </c>
      <c r="AE108" s="102">
        <v>0</v>
      </c>
      <c r="AF108" s="102">
        <v>0</v>
      </c>
      <c r="AG108" s="102">
        <v>0</v>
      </c>
      <c r="AH108" s="102">
        <v>0</v>
      </c>
      <c r="AI108" s="399">
        <v>0</v>
      </c>
      <c r="AJ108" s="399">
        <v>0</v>
      </c>
      <c r="AK108" s="399">
        <v>0</v>
      </c>
      <c r="AL108" s="399">
        <v>0</v>
      </c>
      <c r="AM108" s="399">
        <v>0</v>
      </c>
      <c r="AN108" s="399">
        <v>0</v>
      </c>
      <c r="AO108" s="399">
        <v>0</v>
      </c>
      <c r="AP108" s="399">
        <v>0</v>
      </c>
      <c r="AQ108" s="399">
        <v>0</v>
      </c>
      <c r="AR108" s="399">
        <v>0</v>
      </c>
      <c r="AS108" s="399">
        <v>0</v>
      </c>
      <c r="AT108" s="399">
        <v>0</v>
      </c>
      <c r="AU108" s="399">
        <v>0</v>
      </c>
      <c r="AV108" s="399">
        <v>0</v>
      </c>
      <c r="AW108" s="399">
        <v>0</v>
      </c>
      <c r="AX108" s="399">
        <v>0</v>
      </c>
      <c r="AY108" s="399">
        <v>0</v>
      </c>
      <c r="AZ108" s="399">
        <v>0</v>
      </c>
      <c r="BA108" s="399">
        <v>0</v>
      </c>
      <c r="BB108" s="399">
        <v>0</v>
      </c>
      <c r="BC108" s="399">
        <v>0</v>
      </c>
      <c r="BD108" s="399">
        <v>0</v>
      </c>
      <c r="BE108" s="399">
        <v>0</v>
      </c>
      <c r="BF108" s="399">
        <v>0</v>
      </c>
      <c r="BG108" s="102">
        <v>200000</v>
      </c>
      <c r="BH108" s="102">
        <v>200000</v>
      </c>
      <c r="BI108" s="102">
        <v>200000</v>
      </c>
      <c r="BJ108" s="102">
        <v>200000</v>
      </c>
      <c r="BK108" s="102">
        <v>200000</v>
      </c>
      <c r="BL108" s="102">
        <v>200000</v>
      </c>
      <c r="BM108" s="102">
        <v>200000</v>
      </c>
      <c r="BN108" s="102">
        <v>200000</v>
      </c>
      <c r="BO108" s="102">
        <v>200000</v>
      </c>
      <c r="BP108" s="102">
        <v>200000</v>
      </c>
      <c r="BQ108" s="102">
        <v>200000</v>
      </c>
      <c r="BR108" s="102">
        <v>200000</v>
      </c>
      <c r="BS108" s="102">
        <v>200000</v>
      </c>
      <c r="BT108" s="102">
        <v>200000</v>
      </c>
      <c r="BU108" s="102">
        <v>200000</v>
      </c>
      <c r="BV108" s="102">
        <v>200000</v>
      </c>
      <c r="BW108" s="102">
        <v>200000</v>
      </c>
      <c r="BX108" s="102">
        <v>200000</v>
      </c>
      <c r="BY108" s="102">
        <v>200000</v>
      </c>
      <c r="BZ108" s="102">
        <v>200000</v>
      </c>
      <c r="CA108" s="102">
        <v>200000</v>
      </c>
      <c r="CB108" s="102">
        <v>200000</v>
      </c>
      <c r="CC108" s="102">
        <v>200000</v>
      </c>
      <c r="CD108" s="102">
        <v>200000</v>
      </c>
      <c r="CE108" s="102">
        <v>200000</v>
      </c>
      <c r="CF108" s="102">
        <v>200000</v>
      </c>
      <c r="CG108" s="102">
        <v>200000</v>
      </c>
      <c r="CH108" s="102">
        <v>200000</v>
      </c>
      <c r="CI108" s="102">
        <v>200000</v>
      </c>
      <c r="CJ108" s="102">
        <v>200000</v>
      </c>
      <c r="CK108" s="102">
        <v>200000</v>
      </c>
      <c r="CL108" s="102">
        <v>200000</v>
      </c>
      <c r="CM108" s="102">
        <v>200000</v>
      </c>
      <c r="CN108" s="102">
        <v>200000</v>
      </c>
      <c r="CO108" s="102">
        <v>200000</v>
      </c>
      <c r="CP108" s="102">
        <v>200000</v>
      </c>
      <c r="CQ108" s="102">
        <v>200000</v>
      </c>
      <c r="CR108" s="102">
        <v>200000</v>
      </c>
      <c r="CS108" s="102">
        <v>200000</v>
      </c>
      <c r="CT108" s="102">
        <v>200000</v>
      </c>
      <c r="CU108" s="102">
        <v>200000</v>
      </c>
      <c r="CV108" s="102">
        <v>200000</v>
      </c>
      <c r="CW108" s="102">
        <v>200000</v>
      </c>
      <c r="CX108" s="102">
        <v>200000</v>
      </c>
      <c r="CY108" s="102">
        <v>200000</v>
      </c>
      <c r="CZ108" s="102">
        <v>200000</v>
      </c>
      <c r="DA108" s="102">
        <v>200000</v>
      </c>
      <c r="DB108" s="102">
        <v>200000</v>
      </c>
      <c r="DC108" s="102">
        <v>200000</v>
      </c>
      <c r="DD108" s="102">
        <v>200000</v>
      </c>
      <c r="DE108" s="102">
        <v>200000</v>
      </c>
      <c r="DF108" s="102">
        <v>200000</v>
      </c>
      <c r="DG108" s="102">
        <v>200000</v>
      </c>
      <c r="DH108" s="102">
        <v>200000</v>
      </c>
      <c r="DI108" s="102">
        <v>200000</v>
      </c>
      <c r="DJ108" s="102">
        <v>200000</v>
      </c>
      <c r="DK108" s="102">
        <v>200000</v>
      </c>
      <c r="DL108" s="102">
        <v>200000</v>
      </c>
      <c r="DM108" s="102">
        <v>200000</v>
      </c>
      <c r="DN108" s="102">
        <v>200000</v>
      </c>
      <c r="DO108" s="102">
        <v>0</v>
      </c>
      <c r="DP108" s="102">
        <v>0</v>
      </c>
      <c r="DQ108" s="102">
        <v>0</v>
      </c>
      <c r="DR108" s="102">
        <v>0</v>
      </c>
      <c r="DS108" s="102">
        <v>0</v>
      </c>
      <c r="DT108" s="102">
        <v>0</v>
      </c>
      <c r="DU108" s="102">
        <v>0</v>
      </c>
      <c r="DV108" s="102">
        <v>0</v>
      </c>
      <c r="DW108" s="102">
        <v>0</v>
      </c>
      <c r="DX108" s="102">
        <v>0</v>
      </c>
      <c r="DY108" s="102">
        <v>0</v>
      </c>
      <c r="DZ108" s="102">
        <v>0</v>
      </c>
      <c r="EA108" s="102">
        <v>0</v>
      </c>
      <c r="EB108" s="102">
        <v>0</v>
      </c>
      <c r="EC108" s="102">
        <v>0</v>
      </c>
      <c r="ED108" s="102">
        <v>0</v>
      </c>
      <c r="EE108" s="102">
        <v>0</v>
      </c>
      <c r="EF108" s="102">
        <v>0</v>
      </c>
      <c r="EG108" s="102">
        <v>0</v>
      </c>
      <c r="EH108" s="102">
        <v>0</v>
      </c>
      <c r="EI108" s="102">
        <v>0</v>
      </c>
      <c r="EJ108" s="102">
        <v>0</v>
      </c>
      <c r="EK108" s="102">
        <v>0</v>
      </c>
      <c r="EL108" s="102">
        <v>0</v>
      </c>
      <c r="EM108" s="102">
        <v>0</v>
      </c>
      <c r="EN108" s="102">
        <v>0</v>
      </c>
      <c r="EO108" s="102">
        <v>0</v>
      </c>
      <c r="EP108" s="102">
        <v>0</v>
      </c>
      <c r="EQ108" s="102">
        <v>0</v>
      </c>
      <c r="ER108" s="102">
        <v>0</v>
      </c>
      <c r="ES108" s="102">
        <v>0</v>
      </c>
      <c r="ET108" s="102">
        <v>0</v>
      </c>
      <c r="EU108" s="102">
        <v>0</v>
      </c>
      <c r="EV108" s="102">
        <v>0</v>
      </c>
      <c r="EW108" s="102">
        <v>0</v>
      </c>
      <c r="EX108" s="102">
        <v>0</v>
      </c>
      <c r="EY108" s="102">
        <v>0</v>
      </c>
      <c r="EZ108" s="102">
        <v>0</v>
      </c>
      <c r="FA108" s="102">
        <v>0</v>
      </c>
      <c r="FB108" s="102">
        <v>0</v>
      </c>
      <c r="FC108" s="102">
        <v>0</v>
      </c>
      <c r="FD108" s="102">
        <v>0</v>
      </c>
      <c r="FE108" s="102">
        <v>0</v>
      </c>
      <c r="FF108" s="102">
        <v>0</v>
      </c>
      <c r="FG108" s="102">
        <v>0</v>
      </c>
      <c r="FH108" s="102">
        <v>0</v>
      </c>
      <c r="FI108" s="102">
        <v>0</v>
      </c>
      <c r="FJ108" s="71">
        <v>0</v>
      </c>
    </row>
    <row r="109" spans="1:166" x14ac:dyDescent="0.3">
      <c r="A109" s="401" t="s">
        <v>919</v>
      </c>
      <c r="B109" s="103" t="s">
        <v>424</v>
      </c>
      <c r="C109" s="419" t="s">
        <v>925</v>
      </c>
      <c r="D109" s="419" t="s">
        <v>653</v>
      </c>
      <c r="E109" s="419" t="s">
        <v>752</v>
      </c>
      <c r="F109" s="103" t="s">
        <v>908</v>
      </c>
      <c r="G109" s="103" t="s">
        <v>909</v>
      </c>
      <c r="H109" s="103" t="s">
        <v>910</v>
      </c>
      <c r="I109" s="103">
        <v>0</v>
      </c>
      <c r="J109" s="103" t="s">
        <v>889</v>
      </c>
      <c r="K109" s="103">
        <v>0</v>
      </c>
      <c r="L109" s="103" t="s">
        <v>914</v>
      </c>
      <c r="M109" s="103">
        <v>27</v>
      </c>
      <c r="N109" s="103">
        <v>0</v>
      </c>
      <c r="O109" s="103">
        <v>165000</v>
      </c>
      <c r="P109" s="393">
        <f t="shared" si="1"/>
        <v>4455000</v>
      </c>
      <c r="Q109" s="103">
        <f t="shared" si="2"/>
        <v>24</v>
      </c>
      <c r="R109" s="103">
        <v>60</v>
      </c>
      <c r="S109" s="103">
        <v>0.1</v>
      </c>
      <c r="T109" s="395">
        <v>1</v>
      </c>
      <c r="U109" s="103">
        <v>0</v>
      </c>
      <c r="V109" s="102">
        <v>37125</v>
      </c>
      <c r="W109" s="102">
        <v>2227500</v>
      </c>
      <c r="X109" s="102">
        <v>0</v>
      </c>
      <c r="Y109" s="102">
        <v>0</v>
      </c>
      <c r="Z109" s="102">
        <v>445500</v>
      </c>
      <c r="AA109" s="102">
        <v>445500</v>
      </c>
      <c r="AB109" s="102">
        <v>445500</v>
      </c>
      <c r="AC109" s="102">
        <v>445500</v>
      </c>
      <c r="AD109" s="102">
        <v>445500</v>
      </c>
      <c r="AE109" s="102">
        <v>0</v>
      </c>
      <c r="AF109" s="102">
        <v>0</v>
      </c>
      <c r="AG109" s="102">
        <v>0</v>
      </c>
      <c r="AH109" s="102">
        <v>0</v>
      </c>
      <c r="AI109" s="399">
        <v>0</v>
      </c>
      <c r="AJ109" s="399">
        <v>0</v>
      </c>
      <c r="AK109" s="399">
        <v>0</v>
      </c>
      <c r="AL109" s="399">
        <v>0</v>
      </c>
      <c r="AM109" s="399">
        <v>0</v>
      </c>
      <c r="AN109" s="399">
        <v>0</v>
      </c>
      <c r="AO109" s="399">
        <v>0</v>
      </c>
      <c r="AP109" s="399">
        <v>0</v>
      </c>
      <c r="AQ109" s="399">
        <v>0</v>
      </c>
      <c r="AR109" s="399">
        <v>0</v>
      </c>
      <c r="AS109" s="399">
        <v>0</v>
      </c>
      <c r="AT109" s="399">
        <v>0</v>
      </c>
      <c r="AU109" s="399">
        <v>0</v>
      </c>
      <c r="AV109" s="399">
        <v>0</v>
      </c>
      <c r="AW109" s="399">
        <v>0</v>
      </c>
      <c r="AX109" s="399">
        <v>0</v>
      </c>
      <c r="AY109" s="399">
        <v>0</v>
      </c>
      <c r="AZ109" s="399">
        <v>0</v>
      </c>
      <c r="BA109" s="399">
        <v>0</v>
      </c>
      <c r="BB109" s="399">
        <v>0</v>
      </c>
      <c r="BC109" s="399">
        <v>0</v>
      </c>
      <c r="BD109" s="399">
        <v>0</v>
      </c>
      <c r="BE109" s="399">
        <v>0</v>
      </c>
      <c r="BF109" s="399">
        <v>0</v>
      </c>
      <c r="BG109" s="102">
        <v>37125</v>
      </c>
      <c r="BH109" s="102">
        <v>37125</v>
      </c>
      <c r="BI109" s="102">
        <v>37125</v>
      </c>
      <c r="BJ109" s="102">
        <v>37125</v>
      </c>
      <c r="BK109" s="102">
        <v>37125</v>
      </c>
      <c r="BL109" s="102">
        <v>37125</v>
      </c>
      <c r="BM109" s="102">
        <v>37125</v>
      </c>
      <c r="BN109" s="102">
        <v>37125</v>
      </c>
      <c r="BO109" s="102">
        <v>37125</v>
      </c>
      <c r="BP109" s="102">
        <v>37125</v>
      </c>
      <c r="BQ109" s="102">
        <v>37125</v>
      </c>
      <c r="BR109" s="102">
        <v>37125</v>
      </c>
      <c r="BS109" s="102">
        <v>37125</v>
      </c>
      <c r="BT109" s="102">
        <v>37125</v>
      </c>
      <c r="BU109" s="102">
        <v>37125</v>
      </c>
      <c r="BV109" s="102">
        <v>37125</v>
      </c>
      <c r="BW109" s="102">
        <v>37125</v>
      </c>
      <c r="BX109" s="102">
        <v>37125</v>
      </c>
      <c r="BY109" s="102">
        <v>37125</v>
      </c>
      <c r="BZ109" s="102">
        <v>37125</v>
      </c>
      <c r="CA109" s="102">
        <v>37125</v>
      </c>
      <c r="CB109" s="102">
        <v>37125</v>
      </c>
      <c r="CC109" s="102">
        <v>37125</v>
      </c>
      <c r="CD109" s="102">
        <v>37125</v>
      </c>
      <c r="CE109" s="102">
        <v>37125</v>
      </c>
      <c r="CF109" s="102">
        <v>37125</v>
      </c>
      <c r="CG109" s="102">
        <v>37125</v>
      </c>
      <c r="CH109" s="102">
        <v>37125</v>
      </c>
      <c r="CI109" s="102">
        <v>37125</v>
      </c>
      <c r="CJ109" s="102">
        <v>37125</v>
      </c>
      <c r="CK109" s="102">
        <v>37125</v>
      </c>
      <c r="CL109" s="102">
        <v>37125</v>
      </c>
      <c r="CM109" s="102">
        <v>37125</v>
      </c>
      <c r="CN109" s="102">
        <v>37125</v>
      </c>
      <c r="CO109" s="102">
        <v>37125</v>
      </c>
      <c r="CP109" s="102">
        <v>37125</v>
      </c>
      <c r="CQ109" s="102">
        <v>37125</v>
      </c>
      <c r="CR109" s="102">
        <v>37125</v>
      </c>
      <c r="CS109" s="102">
        <v>37125</v>
      </c>
      <c r="CT109" s="102">
        <v>37125</v>
      </c>
      <c r="CU109" s="102">
        <v>37125</v>
      </c>
      <c r="CV109" s="102">
        <v>37125</v>
      </c>
      <c r="CW109" s="102">
        <v>37125</v>
      </c>
      <c r="CX109" s="102">
        <v>37125</v>
      </c>
      <c r="CY109" s="102">
        <v>37125</v>
      </c>
      <c r="CZ109" s="102">
        <v>37125</v>
      </c>
      <c r="DA109" s="102">
        <v>37125</v>
      </c>
      <c r="DB109" s="102">
        <v>37125</v>
      </c>
      <c r="DC109" s="102">
        <v>37125</v>
      </c>
      <c r="DD109" s="102">
        <v>37125</v>
      </c>
      <c r="DE109" s="102">
        <v>37125</v>
      </c>
      <c r="DF109" s="102">
        <v>37125</v>
      </c>
      <c r="DG109" s="102">
        <v>37125</v>
      </c>
      <c r="DH109" s="102">
        <v>37125</v>
      </c>
      <c r="DI109" s="102">
        <v>37125</v>
      </c>
      <c r="DJ109" s="102">
        <v>37125</v>
      </c>
      <c r="DK109" s="102">
        <v>37125</v>
      </c>
      <c r="DL109" s="102">
        <v>37125</v>
      </c>
      <c r="DM109" s="102">
        <v>37125</v>
      </c>
      <c r="DN109" s="102">
        <v>37125</v>
      </c>
      <c r="DO109" s="102">
        <v>0</v>
      </c>
      <c r="DP109" s="102">
        <v>0</v>
      </c>
      <c r="DQ109" s="102">
        <v>0</v>
      </c>
      <c r="DR109" s="102">
        <v>0</v>
      </c>
      <c r="DS109" s="102">
        <v>0</v>
      </c>
      <c r="DT109" s="102">
        <v>0</v>
      </c>
      <c r="DU109" s="102">
        <v>0</v>
      </c>
      <c r="DV109" s="102">
        <v>0</v>
      </c>
      <c r="DW109" s="102">
        <v>0</v>
      </c>
      <c r="DX109" s="102">
        <v>0</v>
      </c>
      <c r="DY109" s="102">
        <v>0</v>
      </c>
      <c r="DZ109" s="102">
        <v>0</v>
      </c>
      <c r="EA109" s="102">
        <v>0</v>
      </c>
      <c r="EB109" s="102">
        <v>0</v>
      </c>
      <c r="EC109" s="102">
        <v>0</v>
      </c>
      <c r="ED109" s="102">
        <v>0</v>
      </c>
      <c r="EE109" s="102">
        <v>0</v>
      </c>
      <c r="EF109" s="102">
        <v>0</v>
      </c>
      <c r="EG109" s="102">
        <v>0</v>
      </c>
      <c r="EH109" s="102">
        <v>0</v>
      </c>
      <c r="EI109" s="102">
        <v>0</v>
      </c>
      <c r="EJ109" s="102">
        <v>0</v>
      </c>
      <c r="EK109" s="102">
        <v>0</v>
      </c>
      <c r="EL109" s="102">
        <v>0</v>
      </c>
      <c r="EM109" s="102">
        <v>0</v>
      </c>
      <c r="EN109" s="102">
        <v>0</v>
      </c>
      <c r="EO109" s="102">
        <v>0</v>
      </c>
      <c r="EP109" s="102">
        <v>0</v>
      </c>
      <c r="EQ109" s="102">
        <v>0</v>
      </c>
      <c r="ER109" s="102">
        <v>0</v>
      </c>
      <c r="ES109" s="102">
        <v>0</v>
      </c>
      <c r="ET109" s="102">
        <v>0</v>
      </c>
      <c r="EU109" s="102">
        <v>0</v>
      </c>
      <c r="EV109" s="102">
        <v>0</v>
      </c>
      <c r="EW109" s="102">
        <v>0</v>
      </c>
      <c r="EX109" s="102">
        <v>0</v>
      </c>
      <c r="EY109" s="102">
        <v>0</v>
      </c>
      <c r="EZ109" s="102">
        <v>0</v>
      </c>
      <c r="FA109" s="102">
        <v>0</v>
      </c>
      <c r="FB109" s="102">
        <v>0</v>
      </c>
      <c r="FC109" s="102">
        <v>0</v>
      </c>
      <c r="FD109" s="102">
        <v>0</v>
      </c>
      <c r="FE109" s="102">
        <v>0</v>
      </c>
      <c r="FF109" s="102">
        <v>0</v>
      </c>
      <c r="FG109" s="102">
        <v>0</v>
      </c>
      <c r="FH109" s="102">
        <v>0</v>
      </c>
      <c r="FI109" s="102">
        <v>0</v>
      </c>
      <c r="FJ109" s="71">
        <v>0</v>
      </c>
    </row>
    <row r="110" spans="1:166" x14ac:dyDescent="0.3">
      <c r="A110" s="401" t="s">
        <v>920</v>
      </c>
      <c r="B110" s="103" t="s">
        <v>424</v>
      </c>
      <c r="C110" s="419" t="s">
        <v>925</v>
      </c>
      <c r="D110" s="419" t="s">
        <v>723</v>
      </c>
      <c r="E110" s="419" t="s">
        <v>752</v>
      </c>
      <c r="F110" s="103" t="s">
        <v>911</v>
      </c>
      <c r="G110" s="103" t="s">
        <v>912</v>
      </c>
      <c r="H110" s="103" t="s">
        <v>913</v>
      </c>
      <c r="I110" s="103">
        <v>0</v>
      </c>
      <c r="J110" s="103" t="s">
        <v>889</v>
      </c>
      <c r="K110" s="103">
        <v>0</v>
      </c>
      <c r="L110" s="103" t="s">
        <v>724</v>
      </c>
      <c r="M110" s="103">
        <v>78</v>
      </c>
      <c r="N110" s="103">
        <v>0</v>
      </c>
      <c r="O110" s="103">
        <v>0</v>
      </c>
      <c r="P110" s="393">
        <v>0</v>
      </c>
      <c r="Q110" s="103">
        <f t="shared" si="2"/>
        <v>6</v>
      </c>
      <c r="R110" s="103">
        <v>78</v>
      </c>
      <c r="S110" s="103">
        <v>0.15384615384615385</v>
      </c>
      <c r="T110" s="395">
        <v>1</v>
      </c>
      <c r="U110" s="103">
        <v>0</v>
      </c>
      <c r="V110" s="102">
        <v>858000</v>
      </c>
      <c r="W110" s="102">
        <v>66924000</v>
      </c>
      <c r="X110" s="102">
        <v>5148000</v>
      </c>
      <c r="Y110" s="102">
        <v>10296000</v>
      </c>
      <c r="Z110" s="102">
        <v>10296000</v>
      </c>
      <c r="AA110" s="102">
        <v>10296000</v>
      </c>
      <c r="AB110" s="102">
        <v>10296000</v>
      </c>
      <c r="AC110" s="102">
        <v>10296000</v>
      </c>
      <c r="AD110" s="102">
        <v>10296000</v>
      </c>
      <c r="AE110" s="102">
        <v>0</v>
      </c>
      <c r="AF110" s="102">
        <v>0</v>
      </c>
      <c r="AG110" s="102">
        <v>0</v>
      </c>
      <c r="AH110" s="102">
        <v>0</v>
      </c>
      <c r="AI110" s="399">
        <v>0</v>
      </c>
      <c r="AJ110" s="399">
        <v>0</v>
      </c>
      <c r="AK110" s="399">
        <v>0</v>
      </c>
      <c r="AL110" s="399">
        <v>0</v>
      </c>
      <c r="AM110" s="399">
        <v>0</v>
      </c>
      <c r="AN110" s="399">
        <v>0</v>
      </c>
      <c r="AO110" s="102">
        <v>858000</v>
      </c>
      <c r="AP110" s="102">
        <v>858000</v>
      </c>
      <c r="AQ110" s="102">
        <v>858000</v>
      </c>
      <c r="AR110" s="102">
        <v>858000</v>
      </c>
      <c r="AS110" s="102">
        <v>858000</v>
      </c>
      <c r="AT110" s="102">
        <v>858000</v>
      </c>
      <c r="AU110" s="102">
        <v>858000</v>
      </c>
      <c r="AV110" s="102">
        <v>858000</v>
      </c>
      <c r="AW110" s="102">
        <v>858000</v>
      </c>
      <c r="AX110" s="102">
        <v>858000</v>
      </c>
      <c r="AY110" s="102">
        <v>858000</v>
      </c>
      <c r="AZ110" s="102">
        <v>858000</v>
      </c>
      <c r="BA110" s="102">
        <v>858000</v>
      </c>
      <c r="BB110" s="102">
        <v>858000</v>
      </c>
      <c r="BC110" s="102">
        <v>858000</v>
      </c>
      <c r="BD110" s="102">
        <v>858000</v>
      </c>
      <c r="BE110" s="102">
        <v>858000</v>
      </c>
      <c r="BF110" s="102">
        <v>858000</v>
      </c>
      <c r="BG110" s="102">
        <v>858000</v>
      </c>
      <c r="BH110" s="102">
        <v>858000</v>
      </c>
      <c r="BI110" s="102">
        <v>858000</v>
      </c>
      <c r="BJ110" s="102">
        <v>858000</v>
      </c>
      <c r="BK110" s="102">
        <v>858000</v>
      </c>
      <c r="BL110" s="102">
        <v>858000</v>
      </c>
      <c r="BM110" s="102">
        <v>858000</v>
      </c>
      <c r="BN110" s="102">
        <v>858000</v>
      </c>
      <c r="BO110" s="102">
        <v>858000</v>
      </c>
      <c r="BP110" s="102">
        <v>858000</v>
      </c>
      <c r="BQ110" s="102">
        <v>858000</v>
      </c>
      <c r="BR110" s="102">
        <v>858000</v>
      </c>
      <c r="BS110" s="102">
        <v>858000</v>
      </c>
      <c r="BT110" s="102">
        <v>858000</v>
      </c>
      <c r="BU110" s="102">
        <v>858000</v>
      </c>
      <c r="BV110" s="102">
        <v>858000</v>
      </c>
      <c r="BW110" s="102">
        <v>858000</v>
      </c>
      <c r="BX110" s="102">
        <v>858000</v>
      </c>
      <c r="BY110" s="102">
        <v>858000</v>
      </c>
      <c r="BZ110" s="102">
        <v>858000</v>
      </c>
      <c r="CA110" s="102">
        <v>858000</v>
      </c>
      <c r="CB110" s="102">
        <v>858000</v>
      </c>
      <c r="CC110" s="102">
        <v>858000</v>
      </c>
      <c r="CD110" s="102">
        <v>858000</v>
      </c>
      <c r="CE110" s="102">
        <v>858000</v>
      </c>
      <c r="CF110" s="102">
        <v>858000</v>
      </c>
      <c r="CG110" s="102">
        <v>858000</v>
      </c>
      <c r="CH110" s="102">
        <v>858000</v>
      </c>
      <c r="CI110" s="102">
        <v>858000</v>
      </c>
      <c r="CJ110" s="102">
        <v>858000</v>
      </c>
      <c r="CK110" s="102">
        <v>858000</v>
      </c>
      <c r="CL110" s="102">
        <v>858000</v>
      </c>
      <c r="CM110" s="102">
        <v>858000</v>
      </c>
      <c r="CN110" s="102">
        <v>858000</v>
      </c>
      <c r="CO110" s="102">
        <v>858000</v>
      </c>
      <c r="CP110" s="102">
        <v>858000</v>
      </c>
      <c r="CQ110" s="102">
        <v>858000</v>
      </c>
      <c r="CR110" s="102">
        <v>858000</v>
      </c>
      <c r="CS110" s="102">
        <v>858000</v>
      </c>
      <c r="CT110" s="102">
        <v>858000</v>
      </c>
      <c r="CU110" s="102">
        <v>858000</v>
      </c>
      <c r="CV110" s="102">
        <v>858000</v>
      </c>
      <c r="CW110" s="102">
        <v>858000</v>
      </c>
      <c r="CX110" s="102">
        <v>858000</v>
      </c>
      <c r="CY110" s="102">
        <v>858000</v>
      </c>
      <c r="CZ110" s="102">
        <v>858000</v>
      </c>
      <c r="DA110" s="102">
        <v>858000</v>
      </c>
      <c r="DB110" s="102">
        <v>858000</v>
      </c>
      <c r="DC110" s="102">
        <v>858000</v>
      </c>
      <c r="DD110" s="102">
        <v>858000</v>
      </c>
      <c r="DE110" s="102">
        <v>858000</v>
      </c>
      <c r="DF110" s="102">
        <v>858000</v>
      </c>
      <c r="DG110" s="102">
        <v>858000</v>
      </c>
      <c r="DH110" s="102">
        <v>858000</v>
      </c>
      <c r="DI110" s="102">
        <v>858000</v>
      </c>
      <c r="DJ110" s="102">
        <v>858000</v>
      </c>
      <c r="DK110" s="102">
        <v>858000</v>
      </c>
      <c r="DL110" s="102">
        <v>858000</v>
      </c>
      <c r="DM110" s="102">
        <v>858000</v>
      </c>
      <c r="DN110" s="102">
        <v>858000</v>
      </c>
      <c r="DO110" s="102">
        <v>0</v>
      </c>
      <c r="DP110" s="102">
        <v>0</v>
      </c>
      <c r="DQ110" s="102">
        <v>0</v>
      </c>
      <c r="DR110" s="102">
        <v>0</v>
      </c>
      <c r="DS110" s="102">
        <v>0</v>
      </c>
      <c r="DT110" s="102">
        <v>0</v>
      </c>
      <c r="DU110" s="102">
        <v>0</v>
      </c>
      <c r="DV110" s="102">
        <v>0</v>
      </c>
      <c r="DW110" s="102">
        <v>0</v>
      </c>
      <c r="DX110" s="102">
        <v>0</v>
      </c>
      <c r="DY110" s="102">
        <v>0</v>
      </c>
      <c r="DZ110" s="102">
        <v>0</v>
      </c>
      <c r="EA110" s="102">
        <v>0</v>
      </c>
      <c r="EB110" s="102">
        <v>0</v>
      </c>
      <c r="EC110" s="102">
        <v>0</v>
      </c>
      <c r="ED110" s="102">
        <v>0</v>
      </c>
      <c r="EE110" s="102">
        <v>0</v>
      </c>
      <c r="EF110" s="102">
        <v>0</v>
      </c>
      <c r="EG110" s="102">
        <v>0</v>
      </c>
      <c r="EH110" s="102">
        <v>0</v>
      </c>
      <c r="EI110" s="102">
        <v>0</v>
      </c>
      <c r="EJ110" s="102">
        <v>0</v>
      </c>
      <c r="EK110" s="102">
        <v>0</v>
      </c>
      <c r="EL110" s="102">
        <v>0</v>
      </c>
      <c r="EM110" s="102">
        <v>0</v>
      </c>
      <c r="EN110" s="102">
        <v>0</v>
      </c>
      <c r="EO110" s="102">
        <v>0</v>
      </c>
      <c r="EP110" s="102">
        <v>0</v>
      </c>
      <c r="EQ110" s="102">
        <v>0</v>
      </c>
      <c r="ER110" s="102">
        <v>0</v>
      </c>
      <c r="ES110" s="102">
        <v>0</v>
      </c>
      <c r="ET110" s="102">
        <v>0</v>
      </c>
      <c r="EU110" s="102">
        <v>0</v>
      </c>
      <c r="EV110" s="102">
        <v>0</v>
      </c>
      <c r="EW110" s="102">
        <v>0</v>
      </c>
      <c r="EX110" s="102">
        <v>0</v>
      </c>
      <c r="EY110" s="102">
        <v>0</v>
      </c>
      <c r="EZ110" s="102">
        <v>0</v>
      </c>
      <c r="FA110" s="102">
        <v>0</v>
      </c>
      <c r="FB110" s="102">
        <v>0</v>
      </c>
      <c r="FC110" s="102">
        <v>0</v>
      </c>
      <c r="FD110" s="102">
        <v>0</v>
      </c>
      <c r="FE110" s="102">
        <v>0</v>
      </c>
      <c r="FF110" s="102">
        <v>0</v>
      </c>
      <c r="FG110" s="102">
        <v>0</v>
      </c>
      <c r="FH110" s="102">
        <v>0</v>
      </c>
      <c r="FI110" s="102">
        <v>0</v>
      </c>
      <c r="FJ110" s="71">
        <v>0</v>
      </c>
    </row>
    <row r="111" spans="1:166" x14ac:dyDescent="0.3">
      <c r="A111" s="401" t="s">
        <v>919</v>
      </c>
      <c r="B111" s="103" t="s">
        <v>424</v>
      </c>
      <c r="C111" s="419" t="s">
        <v>925</v>
      </c>
      <c r="D111" s="419" t="s">
        <v>756</v>
      </c>
      <c r="E111" s="419" t="s">
        <v>924</v>
      </c>
      <c r="F111" s="103" t="s">
        <v>921</v>
      </c>
      <c r="G111" s="103" t="s">
        <v>922</v>
      </c>
      <c r="H111" s="103" t="s">
        <v>923</v>
      </c>
      <c r="I111" s="103">
        <v>0</v>
      </c>
      <c r="J111" s="103" t="s">
        <v>889</v>
      </c>
      <c r="K111" s="103">
        <v>0</v>
      </c>
      <c r="L111" s="103" t="s">
        <v>724</v>
      </c>
      <c r="M111" s="419">
        <v>72</v>
      </c>
      <c r="N111" s="103">
        <v>0</v>
      </c>
      <c r="O111" s="103">
        <v>0</v>
      </c>
      <c r="P111" s="393">
        <v>0</v>
      </c>
      <c r="Q111" s="103">
        <f t="shared" si="2"/>
        <v>12</v>
      </c>
      <c r="R111" s="419">
        <v>72</v>
      </c>
      <c r="S111" s="103">
        <v>0.16666666666666666</v>
      </c>
      <c r="T111" s="395">
        <v>1</v>
      </c>
      <c r="U111" s="103">
        <v>0</v>
      </c>
      <c r="V111" s="102">
        <v>3746666.6666666665</v>
      </c>
      <c r="W111" s="102">
        <v>269759999.99999994</v>
      </c>
      <c r="X111" s="102">
        <v>0</v>
      </c>
      <c r="Y111" s="102">
        <v>44959999.999999993</v>
      </c>
      <c r="Z111" s="102">
        <v>44959999.999999993</v>
      </c>
      <c r="AA111" s="102">
        <v>44959999.999999993</v>
      </c>
      <c r="AB111" s="102">
        <v>44959999.999999993</v>
      </c>
      <c r="AC111" s="102">
        <v>44959999.999999993</v>
      </c>
      <c r="AD111" s="102">
        <v>44959999.999999993</v>
      </c>
      <c r="AE111" s="102">
        <v>0</v>
      </c>
      <c r="AF111" s="102">
        <v>0</v>
      </c>
      <c r="AG111" s="102">
        <v>0</v>
      </c>
      <c r="AH111" s="102">
        <v>0</v>
      </c>
      <c r="AI111" s="399">
        <v>0</v>
      </c>
      <c r="AJ111" s="399">
        <v>0</v>
      </c>
      <c r="AK111" s="399">
        <v>0</v>
      </c>
      <c r="AL111" s="399">
        <v>0</v>
      </c>
      <c r="AM111" s="399">
        <v>0</v>
      </c>
      <c r="AN111" s="399">
        <v>0</v>
      </c>
      <c r="AO111" s="399">
        <v>0</v>
      </c>
      <c r="AP111" s="399">
        <v>0</v>
      </c>
      <c r="AQ111" s="399">
        <v>0</v>
      </c>
      <c r="AR111" s="399">
        <v>0</v>
      </c>
      <c r="AS111" s="399">
        <v>0</v>
      </c>
      <c r="AT111" s="399">
        <v>0</v>
      </c>
      <c r="AU111" s="102">
        <v>3746666.6666666665</v>
      </c>
      <c r="AV111" s="102">
        <v>3746666.6666666665</v>
      </c>
      <c r="AW111" s="102">
        <v>3746666.6666666665</v>
      </c>
      <c r="AX111" s="102">
        <v>3746666.6666666665</v>
      </c>
      <c r="AY111" s="102">
        <v>3746666.6666666665</v>
      </c>
      <c r="AZ111" s="102">
        <v>3746666.6666666665</v>
      </c>
      <c r="BA111" s="102">
        <v>3746666.6666666665</v>
      </c>
      <c r="BB111" s="102">
        <v>3746666.6666666665</v>
      </c>
      <c r="BC111" s="102">
        <v>3746666.6666666665</v>
      </c>
      <c r="BD111" s="102">
        <v>3746666.6666666665</v>
      </c>
      <c r="BE111" s="102">
        <v>3746666.6666666665</v>
      </c>
      <c r="BF111" s="102">
        <v>3746666.6666666665</v>
      </c>
      <c r="BG111" s="102">
        <v>3746666.6666666665</v>
      </c>
      <c r="BH111" s="102">
        <v>3746666.6666666665</v>
      </c>
      <c r="BI111" s="102">
        <v>3746666.6666666665</v>
      </c>
      <c r="BJ111" s="102">
        <v>3746666.6666666665</v>
      </c>
      <c r="BK111" s="102">
        <v>3746666.6666666665</v>
      </c>
      <c r="BL111" s="102">
        <v>3746666.6666666665</v>
      </c>
      <c r="BM111" s="102">
        <v>3746666.6666666665</v>
      </c>
      <c r="BN111" s="102">
        <v>3746666.6666666665</v>
      </c>
      <c r="BO111" s="102">
        <v>3746666.6666666665</v>
      </c>
      <c r="BP111" s="102">
        <v>3746666.6666666665</v>
      </c>
      <c r="BQ111" s="102">
        <v>3746666.6666666665</v>
      </c>
      <c r="BR111" s="102">
        <v>3746666.6666666665</v>
      </c>
      <c r="BS111" s="102">
        <v>3746666.6666666665</v>
      </c>
      <c r="BT111" s="102">
        <v>3746666.6666666665</v>
      </c>
      <c r="BU111" s="102">
        <v>3746666.6666666665</v>
      </c>
      <c r="BV111" s="102">
        <v>3746666.6666666665</v>
      </c>
      <c r="BW111" s="102">
        <v>3746666.6666666665</v>
      </c>
      <c r="BX111" s="102">
        <v>3746666.6666666665</v>
      </c>
      <c r="BY111" s="102">
        <v>3746666.6666666665</v>
      </c>
      <c r="BZ111" s="102">
        <v>3746666.6666666665</v>
      </c>
      <c r="CA111" s="102">
        <v>3746666.6666666665</v>
      </c>
      <c r="CB111" s="102">
        <v>3746666.6666666665</v>
      </c>
      <c r="CC111" s="102">
        <v>3746666.6666666665</v>
      </c>
      <c r="CD111" s="102">
        <v>3746666.6666666665</v>
      </c>
      <c r="CE111" s="102">
        <v>3746666.6666666665</v>
      </c>
      <c r="CF111" s="102">
        <v>3746666.6666666665</v>
      </c>
      <c r="CG111" s="102">
        <v>3746666.6666666665</v>
      </c>
      <c r="CH111" s="102">
        <v>3746666.6666666665</v>
      </c>
      <c r="CI111" s="102">
        <v>3746666.6666666665</v>
      </c>
      <c r="CJ111" s="102">
        <v>3746666.6666666665</v>
      </c>
      <c r="CK111" s="102">
        <v>3746666.6666666665</v>
      </c>
      <c r="CL111" s="102">
        <v>3746666.6666666665</v>
      </c>
      <c r="CM111" s="102">
        <v>3746666.6666666665</v>
      </c>
      <c r="CN111" s="102">
        <v>3746666.6666666665</v>
      </c>
      <c r="CO111" s="102">
        <v>3746666.6666666665</v>
      </c>
      <c r="CP111" s="102">
        <v>3746666.6666666665</v>
      </c>
      <c r="CQ111" s="102">
        <v>3746666.6666666665</v>
      </c>
      <c r="CR111" s="102">
        <v>3746666.6666666665</v>
      </c>
      <c r="CS111" s="102">
        <v>3746666.6666666665</v>
      </c>
      <c r="CT111" s="102">
        <v>3746666.6666666665</v>
      </c>
      <c r="CU111" s="102">
        <v>3746666.6666666665</v>
      </c>
      <c r="CV111" s="102">
        <v>3746666.6666666665</v>
      </c>
      <c r="CW111" s="102">
        <v>3746666.6666666665</v>
      </c>
      <c r="CX111" s="102">
        <v>3746666.6666666665</v>
      </c>
      <c r="CY111" s="102">
        <v>3746666.6666666665</v>
      </c>
      <c r="CZ111" s="102">
        <v>3746666.6666666665</v>
      </c>
      <c r="DA111" s="102">
        <v>3746666.6666666665</v>
      </c>
      <c r="DB111" s="102">
        <v>3746666.6666666665</v>
      </c>
      <c r="DC111" s="102">
        <v>3746666.6666666665</v>
      </c>
      <c r="DD111" s="102">
        <v>3746666.6666666665</v>
      </c>
      <c r="DE111" s="102">
        <v>3746666.6666666665</v>
      </c>
      <c r="DF111" s="102">
        <v>3746666.6666666665</v>
      </c>
      <c r="DG111" s="102">
        <v>3746666.6666666665</v>
      </c>
      <c r="DH111" s="102">
        <v>3746666.6666666665</v>
      </c>
      <c r="DI111" s="102">
        <v>3746666.6666666665</v>
      </c>
      <c r="DJ111" s="102">
        <v>3746666.6666666665</v>
      </c>
      <c r="DK111" s="102">
        <v>3746666.6666666665</v>
      </c>
      <c r="DL111" s="102">
        <v>3746666.6666666665</v>
      </c>
      <c r="DM111" s="102">
        <v>3746666.6666666665</v>
      </c>
      <c r="DN111" s="102">
        <v>3746666.6666666665</v>
      </c>
      <c r="DO111" s="102">
        <v>0</v>
      </c>
      <c r="DP111" s="102">
        <v>0</v>
      </c>
      <c r="DQ111" s="102">
        <v>0</v>
      </c>
      <c r="DR111" s="102">
        <v>0</v>
      </c>
      <c r="DS111" s="102">
        <v>0</v>
      </c>
      <c r="DT111" s="102">
        <v>0</v>
      </c>
      <c r="DU111" s="102">
        <v>0</v>
      </c>
      <c r="DV111" s="102">
        <v>0</v>
      </c>
      <c r="DW111" s="102">
        <v>0</v>
      </c>
      <c r="DX111" s="102">
        <v>0</v>
      </c>
      <c r="DY111" s="102">
        <v>0</v>
      </c>
      <c r="DZ111" s="102">
        <v>0</v>
      </c>
      <c r="EA111" s="102">
        <v>0</v>
      </c>
      <c r="EB111" s="102">
        <v>0</v>
      </c>
      <c r="EC111" s="102">
        <v>0</v>
      </c>
      <c r="ED111" s="102">
        <v>0</v>
      </c>
      <c r="EE111" s="102">
        <v>0</v>
      </c>
      <c r="EF111" s="102">
        <v>0</v>
      </c>
      <c r="EG111" s="102">
        <v>0</v>
      </c>
      <c r="EH111" s="102">
        <v>0</v>
      </c>
      <c r="EI111" s="102">
        <v>0</v>
      </c>
      <c r="EJ111" s="102">
        <v>0</v>
      </c>
      <c r="EK111" s="102">
        <v>0</v>
      </c>
      <c r="EL111" s="102">
        <v>0</v>
      </c>
      <c r="EM111" s="102">
        <v>0</v>
      </c>
      <c r="EN111" s="102">
        <v>0</v>
      </c>
      <c r="EO111" s="102">
        <v>0</v>
      </c>
      <c r="EP111" s="102">
        <v>0</v>
      </c>
      <c r="EQ111" s="102">
        <v>0</v>
      </c>
      <c r="ER111" s="102">
        <v>0</v>
      </c>
      <c r="ES111" s="102">
        <v>0</v>
      </c>
      <c r="ET111" s="102">
        <v>0</v>
      </c>
      <c r="EU111" s="102">
        <v>0</v>
      </c>
      <c r="EV111" s="102">
        <v>0</v>
      </c>
      <c r="EW111" s="102">
        <v>0</v>
      </c>
      <c r="EX111" s="102">
        <v>0</v>
      </c>
      <c r="EY111" s="102">
        <v>0</v>
      </c>
      <c r="EZ111" s="102">
        <v>0</v>
      </c>
      <c r="FA111" s="102">
        <v>0</v>
      </c>
      <c r="FB111" s="102">
        <v>0</v>
      </c>
      <c r="FC111" s="102">
        <v>0</v>
      </c>
      <c r="FD111" s="102">
        <v>0</v>
      </c>
      <c r="FE111" s="102">
        <v>0</v>
      </c>
      <c r="FF111" s="102">
        <v>0</v>
      </c>
      <c r="FG111" s="102">
        <v>0</v>
      </c>
      <c r="FH111" s="102">
        <v>0</v>
      </c>
      <c r="FI111" s="102">
        <v>0</v>
      </c>
      <c r="FJ111" s="71">
        <v>0</v>
      </c>
    </row>
    <row r="112" spans="1:166" ht="17.25" thickBot="1" x14ac:dyDescent="0.35">
      <c r="A112" s="448" t="s">
        <v>1013</v>
      </c>
      <c r="B112" s="403" t="s">
        <v>424</v>
      </c>
      <c r="C112" s="421" t="s">
        <v>925</v>
      </c>
      <c r="D112" s="421" t="s">
        <v>279</v>
      </c>
      <c r="E112" s="421" t="s">
        <v>314</v>
      </c>
      <c r="F112" s="421" t="s">
        <v>1012</v>
      </c>
      <c r="G112" s="403">
        <v>0</v>
      </c>
      <c r="H112" s="403">
        <v>0</v>
      </c>
      <c r="I112" s="403">
        <v>0</v>
      </c>
      <c r="J112" s="421" t="s">
        <v>1011</v>
      </c>
      <c r="K112" s="403">
        <v>0</v>
      </c>
      <c r="L112" s="403">
        <v>0</v>
      </c>
      <c r="M112" s="421">
        <v>1</v>
      </c>
      <c r="N112" s="403">
        <v>0</v>
      </c>
      <c r="O112" s="421">
        <v>945000000</v>
      </c>
      <c r="P112" s="405">
        <f t="shared" si="1"/>
        <v>945000000</v>
      </c>
      <c r="Q112" s="403">
        <v>0</v>
      </c>
      <c r="R112" s="403">
        <v>0</v>
      </c>
      <c r="S112" s="403">
        <v>0</v>
      </c>
      <c r="T112" s="406">
        <v>1</v>
      </c>
      <c r="U112" s="403">
        <v>0</v>
      </c>
      <c r="V112" s="404">
        <v>0</v>
      </c>
      <c r="W112" s="404">
        <v>0</v>
      </c>
      <c r="X112" s="404">
        <v>0</v>
      </c>
      <c r="Y112" s="404">
        <v>0</v>
      </c>
      <c r="Z112" s="404">
        <v>0</v>
      </c>
      <c r="AA112" s="404">
        <v>0</v>
      </c>
      <c r="AB112" s="404">
        <v>0</v>
      </c>
      <c r="AC112" s="404">
        <v>0</v>
      </c>
      <c r="AD112" s="404">
        <v>0</v>
      </c>
      <c r="AE112" s="404">
        <v>0</v>
      </c>
      <c r="AF112" s="404">
        <v>0</v>
      </c>
      <c r="AG112" s="404">
        <v>0</v>
      </c>
      <c r="AH112" s="404">
        <v>0</v>
      </c>
      <c r="AI112" s="404">
        <v>0</v>
      </c>
      <c r="AJ112" s="404">
        <v>0</v>
      </c>
      <c r="AK112" s="404">
        <v>0</v>
      </c>
      <c r="AL112" s="404">
        <v>0</v>
      </c>
      <c r="AM112" s="404">
        <v>0</v>
      </c>
      <c r="AN112" s="404">
        <v>0</v>
      </c>
      <c r="AO112" s="404">
        <v>0</v>
      </c>
      <c r="AP112" s="404">
        <v>0</v>
      </c>
      <c r="AQ112" s="404">
        <v>0</v>
      </c>
      <c r="AR112" s="404">
        <v>0</v>
      </c>
      <c r="AS112" s="404">
        <v>0</v>
      </c>
      <c r="AT112" s="404">
        <v>0</v>
      </c>
      <c r="AU112" s="404">
        <v>0</v>
      </c>
      <c r="AV112" s="404">
        <v>0</v>
      </c>
      <c r="AW112" s="404">
        <v>0</v>
      </c>
      <c r="AX112" s="404">
        <v>0</v>
      </c>
      <c r="AY112" s="404">
        <v>0</v>
      </c>
      <c r="AZ112" s="404">
        <v>0</v>
      </c>
      <c r="BA112" s="404">
        <v>0</v>
      </c>
      <c r="BB112" s="404">
        <v>0</v>
      </c>
      <c r="BC112" s="404">
        <v>0</v>
      </c>
      <c r="BD112" s="404">
        <v>0</v>
      </c>
      <c r="BE112" s="404">
        <v>0</v>
      </c>
      <c r="BF112" s="404">
        <v>0</v>
      </c>
      <c r="BG112" s="404">
        <v>0</v>
      </c>
      <c r="BH112" s="404">
        <v>0</v>
      </c>
      <c r="BI112" s="404">
        <v>0</v>
      </c>
      <c r="BJ112" s="404">
        <v>0</v>
      </c>
      <c r="BK112" s="404">
        <v>0</v>
      </c>
      <c r="BL112" s="404">
        <v>0</v>
      </c>
      <c r="BM112" s="404">
        <v>0</v>
      </c>
      <c r="BN112" s="404">
        <v>0</v>
      </c>
      <c r="BO112" s="404">
        <v>0</v>
      </c>
      <c r="BP112" s="404">
        <v>0</v>
      </c>
      <c r="BQ112" s="404">
        <v>0</v>
      </c>
      <c r="BR112" s="404">
        <v>0</v>
      </c>
      <c r="BS112" s="404">
        <v>0</v>
      </c>
      <c r="BT112" s="404">
        <v>0</v>
      </c>
      <c r="BU112" s="404">
        <v>0</v>
      </c>
      <c r="BV112" s="404">
        <v>0</v>
      </c>
      <c r="BW112" s="404">
        <v>0</v>
      </c>
      <c r="BX112" s="404">
        <v>0</v>
      </c>
      <c r="BY112" s="404">
        <v>0</v>
      </c>
      <c r="BZ112" s="404">
        <v>0</v>
      </c>
      <c r="CA112" s="404">
        <v>0</v>
      </c>
      <c r="CB112" s="404">
        <v>0</v>
      </c>
      <c r="CC112" s="404">
        <v>0</v>
      </c>
      <c r="CD112" s="404">
        <v>0</v>
      </c>
      <c r="CE112" s="404">
        <v>0</v>
      </c>
      <c r="CF112" s="404">
        <v>0</v>
      </c>
      <c r="CG112" s="404">
        <v>0</v>
      </c>
      <c r="CH112" s="404">
        <v>0</v>
      </c>
      <c r="CI112" s="404">
        <v>0</v>
      </c>
      <c r="CJ112" s="404">
        <v>0</v>
      </c>
      <c r="CK112" s="404">
        <v>0</v>
      </c>
      <c r="CL112" s="404">
        <v>0</v>
      </c>
      <c r="CM112" s="404">
        <v>0</v>
      </c>
      <c r="CN112" s="404">
        <v>0</v>
      </c>
      <c r="CO112" s="404">
        <v>0</v>
      </c>
      <c r="CP112" s="404">
        <v>0</v>
      </c>
      <c r="CQ112" s="404">
        <v>0</v>
      </c>
      <c r="CR112" s="404">
        <v>0</v>
      </c>
      <c r="CS112" s="404">
        <v>0</v>
      </c>
      <c r="CT112" s="404">
        <v>0</v>
      </c>
      <c r="CU112" s="404">
        <v>0</v>
      </c>
      <c r="CV112" s="404">
        <v>0</v>
      </c>
      <c r="CW112" s="404">
        <v>0</v>
      </c>
      <c r="CX112" s="404">
        <v>0</v>
      </c>
      <c r="CY112" s="404">
        <v>0</v>
      </c>
      <c r="CZ112" s="404">
        <v>0</v>
      </c>
      <c r="DA112" s="404">
        <v>0</v>
      </c>
      <c r="DB112" s="404">
        <v>0</v>
      </c>
      <c r="DC112" s="404">
        <v>0</v>
      </c>
      <c r="DD112" s="404">
        <v>0</v>
      </c>
      <c r="DE112" s="404">
        <v>0</v>
      </c>
      <c r="DF112" s="404">
        <v>0</v>
      </c>
      <c r="DG112" s="404">
        <v>0</v>
      </c>
      <c r="DH112" s="404">
        <v>0</v>
      </c>
      <c r="DI112" s="404">
        <v>0</v>
      </c>
      <c r="DJ112" s="404">
        <v>0</v>
      </c>
      <c r="DK112" s="404">
        <v>0</v>
      </c>
      <c r="DL112" s="404">
        <v>0</v>
      </c>
      <c r="DM112" s="404">
        <v>0</v>
      </c>
      <c r="DN112" s="404">
        <v>0</v>
      </c>
      <c r="DO112" s="404">
        <v>0</v>
      </c>
      <c r="DP112" s="404">
        <v>0</v>
      </c>
      <c r="DQ112" s="404">
        <v>0</v>
      </c>
      <c r="DR112" s="404">
        <v>0</v>
      </c>
      <c r="DS112" s="404">
        <v>0</v>
      </c>
      <c r="DT112" s="404">
        <v>0</v>
      </c>
      <c r="DU112" s="404">
        <v>0</v>
      </c>
      <c r="DV112" s="404">
        <v>0</v>
      </c>
      <c r="DW112" s="404">
        <v>0</v>
      </c>
      <c r="DX112" s="404">
        <v>0</v>
      </c>
      <c r="DY112" s="404">
        <v>0</v>
      </c>
      <c r="DZ112" s="404">
        <v>0</v>
      </c>
      <c r="EA112" s="404">
        <v>0</v>
      </c>
      <c r="EB112" s="404">
        <v>0</v>
      </c>
      <c r="EC112" s="404">
        <v>0</v>
      </c>
      <c r="ED112" s="404">
        <v>0</v>
      </c>
      <c r="EE112" s="404">
        <v>0</v>
      </c>
      <c r="EF112" s="404">
        <v>0</v>
      </c>
      <c r="EG112" s="404">
        <v>0</v>
      </c>
      <c r="EH112" s="404">
        <v>0</v>
      </c>
      <c r="EI112" s="404">
        <v>0</v>
      </c>
      <c r="EJ112" s="404">
        <v>0</v>
      </c>
      <c r="EK112" s="404">
        <v>0</v>
      </c>
      <c r="EL112" s="404">
        <v>0</v>
      </c>
      <c r="EM112" s="404">
        <v>0</v>
      </c>
      <c r="EN112" s="404">
        <v>0</v>
      </c>
      <c r="EO112" s="404">
        <v>0</v>
      </c>
      <c r="EP112" s="404">
        <v>0</v>
      </c>
      <c r="EQ112" s="404">
        <v>0</v>
      </c>
      <c r="ER112" s="404">
        <v>0</v>
      </c>
      <c r="ES112" s="404">
        <v>0</v>
      </c>
      <c r="ET112" s="404">
        <v>0</v>
      </c>
      <c r="EU112" s="404">
        <v>0</v>
      </c>
      <c r="EV112" s="404">
        <v>0</v>
      </c>
      <c r="EW112" s="404">
        <v>0</v>
      </c>
      <c r="EX112" s="404">
        <v>0</v>
      </c>
      <c r="EY112" s="404">
        <v>0</v>
      </c>
      <c r="EZ112" s="404">
        <v>0</v>
      </c>
      <c r="FA112" s="404">
        <v>0</v>
      </c>
      <c r="FB112" s="404">
        <v>0</v>
      </c>
      <c r="FC112" s="404">
        <v>0</v>
      </c>
      <c r="FD112" s="404">
        <v>0</v>
      </c>
      <c r="FE112" s="404">
        <v>0</v>
      </c>
      <c r="FF112" s="404">
        <v>0</v>
      </c>
      <c r="FG112" s="404">
        <v>0</v>
      </c>
      <c r="FH112" s="404">
        <v>0</v>
      </c>
      <c r="FI112" s="404">
        <v>0</v>
      </c>
      <c r="FJ112" s="72">
        <v>0</v>
      </c>
    </row>
  </sheetData>
  <autoFilter ref="A4:FJ111" xr:uid="{AE88D55B-713A-467F-9BF5-6EA615D9BB74}"/>
  <phoneticPr fontId="1" type="noConversion"/>
  <conditionalFormatting sqref="T5:U5 Q26:S37 Q7:R7 Q9:R9 Q11:R11 Q13:R13 Q15:R15 Q17:R17 Q19:R19 Q21:R21 Q23:R23 Q25:R25 A5:R5 C6:O21 K22:M31 C22:J37 K32:O36 L38 C38:E39 F39 L39:M41 J38:J41 O21:O31 K37:M37 O37:O41 N37:N38 C40:C49 D42:E49 U6:U37 T6:T55 A6:B72 A104:A110 B105:D110 C111:D111 A112 D112 P6:P112">
    <cfRule type="expression" dxfId="64" priority="40">
      <formula>OR($D5="MA",$D5="운영")</formula>
    </cfRule>
  </conditionalFormatting>
  <conditionalFormatting sqref="Q6:R6 Q8:R8 Q10:R10 Q12:R12 Q14:R14 Q16:R16 Q18:R18 Q20:R20 Q22:R22 Q24:R24">
    <cfRule type="expression" dxfId="63" priority="29">
      <formula>OR($D6="MA",$D6="운영")</formula>
    </cfRule>
  </conditionalFormatting>
  <conditionalFormatting sqref="D40:F40">
    <cfRule type="expression" dxfId="62" priority="28">
      <formula>OR($D40="MA",$D40="운영")</formula>
    </cfRule>
  </conditionalFormatting>
  <conditionalFormatting sqref="D41:F41">
    <cfRule type="expression" dxfId="61" priority="27">
      <formula>OR($D41="MA",$D41="운영")</formula>
    </cfRule>
  </conditionalFormatting>
  <conditionalFormatting sqref="C50:E50">
    <cfRule type="expression" dxfId="60" priority="26">
      <formula>OR($D50="MA",$D50="운영")</formula>
    </cfRule>
  </conditionalFormatting>
  <conditionalFormatting sqref="C51:E55">
    <cfRule type="expression" dxfId="59" priority="25">
      <formula>OR($D51="MA",$D51="운영")</formula>
    </cfRule>
  </conditionalFormatting>
  <conditionalFormatting sqref="E58 E60">
    <cfRule type="expression" dxfId="58" priority="18">
      <formula>OR($D58="MA",$D58="운영")</formula>
    </cfRule>
  </conditionalFormatting>
  <conditionalFormatting sqref="C73:E73">
    <cfRule type="expression" dxfId="57" priority="13">
      <formula>OR($D73="MA",$D73="운영")</formula>
    </cfRule>
  </conditionalFormatting>
  <conditionalFormatting sqref="C56:E56">
    <cfRule type="expression" dxfId="56" priority="22">
      <formula>OR($D56="MA",$D56="운영")</formula>
    </cfRule>
  </conditionalFormatting>
  <conditionalFormatting sqref="T56:T73">
    <cfRule type="expression" dxfId="55" priority="21">
      <formula>OR($D56="MA",$D56="운영")</formula>
    </cfRule>
  </conditionalFormatting>
  <conditionalFormatting sqref="C58:D58 C60:D60">
    <cfRule type="expression" dxfId="54" priority="20">
      <formula>OR($D58="MA",$D58="운영")</formula>
    </cfRule>
  </conditionalFormatting>
  <conditionalFormatting sqref="C57:E57 C59:E59">
    <cfRule type="expression" dxfId="53" priority="19">
      <formula>OR($D57="MA",$D57="운영")</formula>
    </cfRule>
  </conditionalFormatting>
  <conditionalFormatting sqref="T99:T111">
    <cfRule type="expression" dxfId="52" priority="8">
      <formula>OR($D99="MA",$D99="운영")</formula>
    </cfRule>
  </conditionalFormatting>
  <conditionalFormatting sqref="F65 C61:E72">
    <cfRule type="expression" dxfId="51" priority="16">
      <formula>OR($D61="MA",$D61="운영")</formula>
    </cfRule>
  </conditionalFormatting>
  <conditionalFormatting sqref="E106 E108 E110 E112">
    <cfRule type="expression" dxfId="50" priority="5">
      <formula>OR($D106="MA",$D106="운영")</formula>
    </cfRule>
  </conditionalFormatting>
  <conditionalFormatting sqref="A73:B73">
    <cfRule type="expression" dxfId="49" priority="14">
      <formula>OR($D73="MA",$D73="운영")</formula>
    </cfRule>
  </conditionalFormatting>
  <conditionalFormatting sqref="C74:E104 E105 E107 E109 E111">
    <cfRule type="expression" dxfId="48" priority="9">
      <formula>OR($D74="MA",$D74="운영")</formula>
    </cfRule>
  </conditionalFormatting>
  <conditionalFormatting sqref="T74:T98">
    <cfRule type="expression" dxfId="47" priority="11">
      <formula>OR($D74="MA",$D74="운영")</formula>
    </cfRule>
  </conditionalFormatting>
  <conditionalFormatting sqref="A74:B103 B104">
    <cfRule type="expression" dxfId="46" priority="10">
      <formula>OR($D74="MA",$D74="운영")</formula>
    </cfRule>
  </conditionalFormatting>
  <conditionalFormatting sqref="A111:B111">
    <cfRule type="expression" dxfId="45" priority="4">
      <formula>OR($D111="MA",$D111="운영")</formula>
    </cfRule>
  </conditionalFormatting>
  <conditionalFormatting sqref="C112">
    <cfRule type="expression" dxfId="44" priority="3">
      <formula>OR($D112="MA",$D112="운영")</formula>
    </cfRule>
  </conditionalFormatting>
  <conditionalFormatting sqref="B112">
    <cfRule type="expression" dxfId="43" priority="2">
      <formula>OR($D112="MA",$D112="운영")</formula>
    </cfRule>
  </conditionalFormatting>
  <conditionalFormatting sqref="T112">
    <cfRule type="expression" dxfId="42" priority="1">
      <formula>OR($D112="MA",$D112="운영")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8681" r:id="rId4" name="OptionButton2">
          <controlPr defaultSize="0" autoFill="0" autoLine="0" r:id="rId5">
            <anchor moveWithCells="1">
              <from>
                <xdr:col>5</xdr:col>
                <xdr:colOff>1304925</xdr:colOff>
                <xdr:row>0</xdr:row>
                <xdr:rowOff>0</xdr:rowOff>
              </from>
              <to>
                <xdr:col>6</xdr:col>
                <xdr:colOff>523875</xdr:colOff>
                <xdr:row>0</xdr:row>
                <xdr:rowOff>247650</xdr:rowOff>
              </to>
            </anchor>
          </controlPr>
        </control>
      </mc:Choice>
      <mc:Fallback>
        <control shapeId="28681" r:id="rId4" name="OptionButton2"/>
      </mc:Fallback>
    </mc:AlternateContent>
    <mc:AlternateContent xmlns:mc="http://schemas.openxmlformats.org/markup-compatibility/2006">
      <mc:Choice Requires="x14">
        <control shapeId="28680" r:id="rId6" name="OptionButton1">
          <controlPr defaultSize="0" disabled="1" autoFill="0" autoLine="0" r:id="rId7">
            <anchor moveWithCells="1">
              <from>
                <xdr:col>4</xdr:col>
                <xdr:colOff>400050</xdr:colOff>
                <xdr:row>0</xdr:row>
                <xdr:rowOff>38100</xdr:rowOff>
              </from>
              <to>
                <xdr:col>5</xdr:col>
                <xdr:colOff>885825</xdr:colOff>
                <xdr:row>1</xdr:row>
                <xdr:rowOff>28575</xdr:rowOff>
              </to>
            </anchor>
          </controlPr>
        </control>
      </mc:Choice>
      <mc:Fallback>
        <control shapeId="28680" r:id="rId6" name="OptionButton1"/>
      </mc:Fallback>
    </mc:AlternateContent>
    <mc:AlternateContent xmlns:mc="http://schemas.openxmlformats.org/markup-compatibility/2006">
      <mc:Choice Requires="x14">
        <control shapeId="28673" r:id="rId8" name="cmd_CS구축">
          <controlPr defaultSize="0" autoFill="0" autoLine="0" r:id="rId9">
            <anchor moveWithCells="1">
              <from>
                <xdr:col>2</xdr:col>
                <xdr:colOff>257175</xdr:colOff>
                <xdr:row>0</xdr:row>
                <xdr:rowOff>19050</xdr:rowOff>
              </from>
              <to>
                <xdr:col>4</xdr:col>
                <xdr:colOff>0</xdr:colOff>
                <xdr:row>1</xdr:row>
                <xdr:rowOff>9525</xdr:rowOff>
              </to>
            </anchor>
          </controlPr>
        </control>
      </mc:Choice>
      <mc:Fallback>
        <control shapeId="28673" r:id="rId8" name="cmd_CS구축"/>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2_Sheet">
    <tabColor theme="9" tint="0.39997558519241921"/>
  </sheetPr>
  <dimension ref="A1:FJ41"/>
  <sheetViews>
    <sheetView showGridLines="0" topLeftCell="E1" zoomScale="70" zoomScaleNormal="70" workbookViewId="0">
      <selection activeCell="E1" sqref="A1:XFD1"/>
    </sheetView>
  </sheetViews>
  <sheetFormatPr defaultRowHeight="16.5" x14ac:dyDescent="0.3"/>
  <cols>
    <col min="1" max="1" width="7.625" bestFit="1" customWidth="1"/>
    <col min="2" max="2" width="10.875" bestFit="1" customWidth="1"/>
    <col min="3" max="4" width="7.625" customWidth="1"/>
    <col min="5" max="5" width="16.5" bestFit="1" customWidth="1"/>
    <col min="6" max="6" width="23.875" bestFit="1" customWidth="1"/>
    <col min="7" max="7" width="35" bestFit="1" customWidth="1"/>
    <col min="8" max="8" width="35.75" customWidth="1"/>
    <col min="9" max="9" width="18.5" hidden="1" customWidth="1"/>
    <col min="10" max="10" width="13" bestFit="1" customWidth="1"/>
    <col min="11" max="11" width="11.25" hidden="1" customWidth="1"/>
    <col min="12" max="12" width="11" bestFit="1" customWidth="1"/>
    <col min="13" max="13" width="11.25" bestFit="1" customWidth="1"/>
    <col min="14" max="14" width="16.25" hidden="1" customWidth="1"/>
    <col min="15" max="16" width="11.75" bestFit="1" customWidth="1"/>
    <col min="17" max="17" width="10" customWidth="1"/>
    <col min="18" max="18" width="9.625" customWidth="1"/>
    <col min="19" max="19" width="14" customWidth="1"/>
    <col min="20" max="20" width="15.5" customWidth="1"/>
    <col min="21" max="21" width="9.125" bestFit="1" customWidth="1"/>
    <col min="22" max="22" width="10.5" bestFit="1" customWidth="1"/>
    <col min="23" max="23" width="14.5" bestFit="1" customWidth="1"/>
    <col min="24" max="25" width="13.25" bestFit="1" customWidth="1"/>
    <col min="26" max="26" width="17.75" bestFit="1" customWidth="1"/>
    <col min="27" max="30" width="13.25" bestFit="1" customWidth="1"/>
    <col min="31" max="32" width="11.75" bestFit="1" customWidth="1"/>
    <col min="33" max="34" width="13.25" bestFit="1" customWidth="1"/>
    <col min="35" max="44" width="11.75" bestFit="1" customWidth="1"/>
    <col min="45" max="118" width="10.5" bestFit="1" customWidth="1"/>
    <col min="119" max="142" width="10.625" bestFit="1" customWidth="1"/>
    <col min="143" max="166" width="11.75" bestFit="1" customWidth="1"/>
  </cols>
  <sheetData>
    <row r="1" spans="1:166" ht="21.75" customHeight="1" thickBot="1" x14ac:dyDescent="0.35"/>
    <row r="2" spans="1:166" s="4" customFormat="1" ht="30" customHeight="1" thickBot="1" x14ac:dyDescent="0.35">
      <c r="A2" s="114" t="s">
        <v>333</v>
      </c>
      <c r="P2" s="56">
        <v>0</v>
      </c>
      <c r="W2" s="57">
        <v>8010407407.7495346</v>
      </c>
      <c r="X2" s="58">
        <v>1567793933.1642201</v>
      </c>
      <c r="Y2" s="58">
        <v>1171858581.9518387</v>
      </c>
      <c r="Z2" s="58">
        <v>1054150978.5266949</v>
      </c>
      <c r="AA2" s="58">
        <v>1054150978.5266949</v>
      </c>
      <c r="AB2" s="58">
        <v>1054150978.5266949</v>
      </c>
      <c r="AC2" s="58">
        <v>1054150978.5266949</v>
      </c>
      <c r="AD2" s="58">
        <v>1054150978.5266949</v>
      </c>
      <c r="AE2" s="58">
        <v>0</v>
      </c>
      <c r="AF2" s="58">
        <v>0</v>
      </c>
      <c r="AG2" s="58">
        <v>0</v>
      </c>
      <c r="AH2" s="58">
        <v>0</v>
      </c>
      <c r="AI2" s="59">
        <v>198011348.2964803</v>
      </c>
      <c r="AJ2" s="59">
        <v>143209939.46314692</v>
      </c>
      <c r="AK2" s="59">
        <v>131318382.12252194</v>
      </c>
      <c r="AL2" s="59">
        <v>129441982.12252194</v>
      </c>
      <c r="AM2" s="59">
        <v>129441982.12252194</v>
      </c>
      <c r="AN2" s="59">
        <v>129441982.12252194</v>
      </c>
      <c r="AO2" s="59">
        <v>129441982.12252194</v>
      </c>
      <c r="AP2" s="59">
        <v>129441982.12252194</v>
      </c>
      <c r="AQ2" s="59">
        <v>129441982.12252194</v>
      </c>
      <c r="AR2" s="59">
        <v>129441982.12252194</v>
      </c>
      <c r="AS2" s="59">
        <v>94580194.212208629</v>
      </c>
      <c r="AT2" s="59">
        <v>94580194.212208629</v>
      </c>
      <c r="AU2" s="58">
        <v>98571548.495986551</v>
      </c>
      <c r="AV2" s="58">
        <v>98571548.495986551</v>
      </c>
      <c r="AW2" s="58">
        <v>98371548.495986551</v>
      </c>
      <c r="AX2" s="58">
        <v>97371548.495986551</v>
      </c>
      <c r="AY2" s="58">
        <v>97371548.495986551</v>
      </c>
      <c r="AZ2" s="58">
        <v>97371548.495986551</v>
      </c>
      <c r="BA2" s="58">
        <v>97371548.495986551</v>
      </c>
      <c r="BB2" s="58">
        <v>97371548.495986551</v>
      </c>
      <c r="BC2" s="58">
        <v>97371548.495986551</v>
      </c>
      <c r="BD2" s="58">
        <v>97371548.495986551</v>
      </c>
      <c r="BE2" s="58">
        <v>97371548.495986551</v>
      </c>
      <c r="BF2" s="58">
        <v>97371548.495986551</v>
      </c>
      <c r="BG2" s="59">
        <v>87845914.877224594</v>
      </c>
      <c r="BH2" s="59">
        <v>87845914.877224594</v>
      </c>
      <c r="BI2" s="59">
        <v>87845914.877224594</v>
      </c>
      <c r="BJ2" s="59">
        <v>87845914.877224594</v>
      </c>
      <c r="BK2" s="59">
        <v>87845914.877224594</v>
      </c>
      <c r="BL2" s="59">
        <v>87845914.877224594</v>
      </c>
      <c r="BM2" s="59">
        <v>87845914.877224594</v>
      </c>
      <c r="BN2" s="59">
        <v>87845914.877224594</v>
      </c>
      <c r="BO2" s="59">
        <v>87845914.877224594</v>
      </c>
      <c r="BP2" s="59">
        <v>87845914.877224594</v>
      </c>
      <c r="BQ2" s="59">
        <v>87845914.877224594</v>
      </c>
      <c r="BR2" s="59">
        <v>87845914.877224594</v>
      </c>
      <c r="BS2" s="58">
        <v>87845914.877224594</v>
      </c>
      <c r="BT2" s="58">
        <v>87845914.877224594</v>
      </c>
      <c r="BU2" s="58">
        <v>87845914.877224594</v>
      </c>
      <c r="BV2" s="58">
        <v>87845914.877224594</v>
      </c>
      <c r="BW2" s="58">
        <v>87845914.877224594</v>
      </c>
      <c r="BX2" s="58">
        <v>87845914.877224594</v>
      </c>
      <c r="BY2" s="58">
        <v>87845914.877224594</v>
      </c>
      <c r="BZ2" s="58">
        <v>87845914.877224594</v>
      </c>
      <c r="CA2" s="58">
        <v>87845914.877224594</v>
      </c>
      <c r="CB2" s="58">
        <v>87845914.877224594</v>
      </c>
      <c r="CC2" s="58">
        <v>87845914.877224594</v>
      </c>
      <c r="CD2" s="58">
        <v>87845914.877224594</v>
      </c>
      <c r="CE2" s="59">
        <v>87845914.877224594</v>
      </c>
      <c r="CF2" s="59">
        <v>87845914.877224594</v>
      </c>
      <c r="CG2" s="59">
        <v>87845914.877224594</v>
      </c>
      <c r="CH2" s="59">
        <v>87845914.877224594</v>
      </c>
      <c r="CI2" s="59">
        <v>87845914.877224594</v>
      </c>
      <c r="CJ2" s="59">
        <v>87845914.877224594</v>
      </c>
      <c r="CK2" s="59">
        <v>87845914.877224594</v>
      </c>
      <c r="CL2" s="59">
        <v>87845914.877224594</v>
      </c>
      <c r="CM2" s="59">
        <v>87845914.877224594</v>
      </c>
      <c r="CN2" s="59">
        <v>87845914.877224594</v>
      </c>
      <c r="CO2" s="59">
        <v>87845914.877224594</v>
      </c>
      <c r="CP2" s="59">
        <v>87845914.877224594</v>
      </c>
      <c r="CQ2" s="58">
        <v>87845914.877224594</v>
      </c>
      <c r="CR2" s="58">
        <v>87845914.877224594</v>
      </c>
      <c r="CS2" s="58">
        <v>87845914.877224594</v>
      </c>
      <c r="CT2" s="58">
        <v>87845914.877224594</v>
      </c>
      <c r="CU2" s="58">
        <v>87845914.877224594</v>
      </c>
      <c r="CV2" s="58">
        <v>87845914.877224594</v>
      </c>
      <c r="CW2" s="58">
        <v>87845914.877224594</v>
      </c>
      <c r="CX2" s="58">
        <v>87845914.877224594</v>
      </c>
      <c r="CY2" s="58">
        <v>87845914.877224594</v>
      </c>
      <c r="CZ2" s="58">
        <v>87845914.877224594</v>
      </c>
      <c r="DA2" s="58">
        <v>87845914.877224594</v>
      </c>
      <c r="DB2" s="58">
        <v>87845914.877224594</v>
      </c>
      <c r="DC2" s="59">
        <v>87845914.877224594</v>
      </c>
      <c r="DD2" s="59">
        <v>87845914.877224594</v>
      </c>
      <c r="DE2" s="59">
        <v>87845914.877224594</v>
      </c>
      <c r="DF2" s="59">
        <v>87845914.877224594</v>
      </c>
      <c r="DG2" s="59">
        <v>87845914.877224594</v>
      </c>
      <c r="DH2" s="59">
        <v>87845914.877224594</v>
      </c>
      <c r="DI2" s="59">
        <v>87845914.877224594</v>
      </c>
      <c r="DJ2" s="59">
        <v>87845914.877224594</v>
      </c>
      <c r="DK2" s="59">
        <v>87845914.877224594</v>
      </c>
      <c r="DL2" s="59">
        <v>87845914.877224594</v>
      </c>
      <c r="DM2" s="59">
        <v>87845914.877224594</v>
      </c>
      <c r="DN2" s="59">
        <v>87845914.877224594</v>
      </c>
      <c r="DO2" s="58">
        <v>0</v>
      </c>
      <c r="DP2" s="58">
        <v>0</v>
      </c>
      <c r="DQ2" s="58">
        <v>0</v>
      </c>
      <c r="DR2" s="58">
        <v>0</v>
      </c>
      <c r="DS2" s="58">
        <v>0</v>
      </c>
      <c r="DT2" s="58">
        <v>0</v>
      </c>
      <c r="DU2" s="58">
        <v>0</v>
      </c>
      <c r="DV2" s="58">
        <v>0</v>
      </c>
      <c r="DW2" s="58">
        <v>0</v>
      </c>
      <c r="DX2" s="58">
        <v>0</v>
      </c>
      <c r="DY2" s="58">
        <v>0</v>
      </c>
      <c r="DZ2" s="58">
        <v>0</v>
      </c>
      <c r="EA2" s="59">
        <v>0</v>
      </c>
      <c r="EB2" s="59">
        <v>0</v>
      </c>
      <c r="EC2" s="59">
        <v>0</v>
      </c>
      <c r="ED2" s="59">
        <v>0</v>
      </c>
      <c r="EE2" s="59">
        <v>0</v>
      </c>
      <c r="EF2" s="59">
        <v>0</v>
      </c>
      <c r="EG2" s="59">
        <v>0</v>
      </c>
      <c r="EH2" s="59">
        <v>0</v>
      </c>
      <c r="EI2" s="59">
        <v>0</v>
      </c>
      <c r="EJ2" s="59">
        <v>0</v>
      </c>
      <c r="EK2" s="59">
        <v>0</v>
      </c>
      <c r="EL2" s="59">
        <v>0</v>
      </c>
      <c r="EM2" s="58">
        <v>0</v>
      </c>
      <c r="EN2" s="58">
        <v>0</v>
      </c>
      <c r="EO2" s="58">
        <v>0</v>
      </c>
      <c r="EP2" s="58">
        <v>0</v>
      </c>
      <c r="EQ2" s="58">
        <v>0</v>
      </c>
      <c r="ER2" s="58">
        <v>0</v>
      </c>
      <c r="ES2" s="58">
        <v>0</v>
      </c>
      <c r="ET2" s="58">
        <v>0</v>
      </c>
      <c r="EU2" s="58">
        <v>0</v>
      </c>
      <c r="EV2" s="58">
        <v>0</v>
      </c>
      <c r="EW2" s="58">
        <v>0</v>
      </c>
      <c r="EX2" s="58">
        <v>0</v>
      </c>
      <c r="EY2" s="59">
        <v>0</v>
      </c>
      <c r="EZ2" s="59">
        <v>0</v>
      </c>
      <c r="FA2" s="59">
        <v>0</v>
      </c>
      <c r="FB2" s="59">
        <v>0</v>
      </c>
      <c r="FC2" s="59">
        <v>0</v>
      </c>
      <c r="FD2" s="59">
        <v>0</v>
      </c>
      <c r="FE2" s="59">
        <v>0</v>
      </c>
      <c r="FF2" s="59">
        <v>0</v>
      </c>
      <c r="FG2" s="59">
        <v>0</v>
      </c>
      <c r="FH2" s="59">
        <v>0</v>
      </c>
      <c r="FI2" s="59">
        <v>0</v>
      </c>
      <c r="FJ2" s="60">
        <v>0</v>
      </c>
    </row>
    <row r="3" spans="1:166" ht="8.4499999999999993" customHeight="1" thickBot="1" x14ac:dyDescent="0.35"/>
    <row r="4" spans="1:166" s="1" customFormat="1" ht="23.25" customHeight="1" x14ac:dyDescent="0.3">
      <c r="A4" s="149" t="s">
        <v>0</v>
      </c>
      <c r="B4" s="150" t="s">
        <v>1</v>
      </c>
      <c r="C4" s="150" t="s">
        <v>2</v>
      </c>
      <c r="D4" s="150" t="s">
        <v>3</v>
      </c>
      <c r="E4" s="150" t="s">
        <v>4</v>
      </c>
      <c r="F4" s="151" t="s">
        <v>148</v>
      </c>
      <c r="G4" s="151" t="s">
        <v>149</v>
      </c>
      <c r="H4" s="151" t="s">
        <v>150</v>
      </c>
      <c r="I4" s="151" t="s">
        <v>151</v>
      </c>
      <c r="J4" s="151" t="s">
        <v>5</v>
      </c>
      <c r="K4" s="151" t="s">
        <v>154</v>
      </c>
      <c r="L4" s="151" t="s">
        <v>6</v>
      </c>
      <c r="M4" s="151" t="s">
        <v>7</v>
      </c>
      <c r="N4" s="151"/>
      <c r="O4" s="150" t="s">
        <v>9</v>
      </c>
      <c r="P4" s="150" t="s">
        <v>10</v>
      </c>
      <c r="Q4" s="150" t="s">
        <v>286</v>
      </c>
      <c r="R4" s="150" t="s">
        <v>285</v>
      </c>
      <c r="S4" s="150" t="s">
        <v>155</v>
      </c>
      <c r="T4" s="150" t="s">
        <v>42</v>
      </c>
      <c r="U4" s="151" t="s">
        <v>16</v>
      </c>
      <c r="V4" s="151" t="s">
        <v>287</v>
      </c>
      <c r="W4" s="151" t="s">
        <v>290</v>
      </c>
      <c r="X4" s="151" t="s">
        <v>41</v>
      </c>
      <c r="Y4" s="151" t="s">
        <v>139</v>
      </c>
      <c r="Z4" s="151" t="s">
        <v>140</v>
      </c>
      <c r="AA4" s="151" t="s">
        <v>141</v>
      </c>
      <c r="AB4" s="151" t="s">
        <v>142</v>
      </c>
      <c r="AC4" s="151" t="s">
        <v>143</v>
      </c>
      <c r="AD4" s="151" t="s">
        <v>144</v>
      </c>
      <c r="AE4" s="151" t="s">
        <v>145</v>
      </c>
      <c r="AF4" s="151" t="s">
        <v>146</v>
      </c>
      <c r="AG4" s="151" t="s">
        <v>147</v>
      </c>
      <c r="AH4" s="151" t="s">
        <v>183</v>
      </c>
      <c r="AI4" s="153" t="s">
        <v>17</v>
      </c>
      <c r="AJ4" s="153" t="s">
        <v>18</v>
      </c>
      <c r="AK4" s="153" t="s">
        <v>19</v>
      </c>
      <c r="AL4" s="153" t="s">
        <v>20</v>
      </c>
      <c r="AM4" s="153" t="s">
        <v>21</v>
      </c>
      <c r="AN4" s="153" t="s">
        <v>22</v>
      </c>
      <c r="AO4" s="153" t="s">
        <v>23</v>
      </c>
      <c r="AP4" s="153" t="s">
        <v>24</v>
      </c>
      <c r="AQ4" s="153" t="s">
        <v>25</v>
      </c>
      <c r="AR4" s="153" t="s">
        <v>26</v>
      </c>
      <c r="AS4" s="153" t="s">
        <v>27</v>
      </c>
      <c r="AT4" s="153" t="s">
        <v>28</v>
      </c>
      <c r="AU4" s="151" t="s">
        <v>29</v>
      </c>
      <c r="AV4" s="151" t="s">
        <v>30</v>
      </c>
      <c r="AW4" s="151" t="s">
        <v>31</v>
      </c>
      <c r="AX4" s="151" t="s">
        <v>32</v>
      </c>
      <c r="AY4" s="151" t="s">
        <v>33</v>
      </c>
      <c r="AZ4" s="151" t="s">
        <v>34</v>
      </c>
      <c r="BA4" s="151" t="s">
        <v>35</v>
      </c>
      <c r="BB4" s="151" t="s">
        <v>36</v>
      </c>
      <c r="BC4" s="151" t="s">
        <v>37</v>
      </c>
      <c r="BD4" s="151" t="s">
        <v>38</v>
      </c>
      <c r="BE4" s="151" t="s">
        <v>39</v>
      </c>
      <c r="BF4" s="151" t="s">
        <v>40</v>
      </c>
      <c r="BG4" s="153" t="s">
        <v>43</v>
      </c>
      <c r="BH4" s="153" t="s">
        <v>44</v>
      </c>
      <c r="BI4" s="153" t="s">
        <v>45</v>
      </c>
      <c r="BJ4" s="153" t="s">
        <v>46</v>
      </c>
      <c r="BK4" s="153" t="s">
        <v>47</v>
      </c>
      <c r="BL4" s="153" t="s">
        <v>48</v>
      </c>
      <c r="BM4" s="153" t="s">
        <v>49</v>
      </c>
      <c r="BN4" s="153" t="s">
        <v>50</v>
      </c>
      <c r="BO4" s="153" t="s">
        <v>51</v>
      </c>
      <c r="BP4" s="153" t="s">
        <v>52</v>
      </c>
      <c r="BQ4" s="153" t="s">
        <v>53</v>
      </c>
      <c r="BR4" s="153" t="s">
        <v>54</v>
      </c>
      <c r="BS4" s="151" t="s">
        <v>55</v>
      </c>
      <c r="BT4" s="151" t="s">
        <v>56</v>
      </c>
      <c r="BU4" s="151" t="s">
        <v>57</v>
      </c>
      <c r="BV4" s="151" t="s">
        <v>58</v>
      </c>
      <c r="BW4" s="151" t="s">
        <v>59</v>
      </c>
      <c r="BX4" s="151" t="s">
        <v>60</v>
      </c>
      <c r="BY4" s="151" t="s">
        <v>61</v>
      </c>
      <c r="BZ4" s="151" t="s">
        <v>62</v>
      </c>
      <c r="CA4" s="151" t="s">
        <v>63</v>
      </c>
      <c r="CB4" s="151" t="s">
        <v>64</v>
      </c>
      <c r="CC4" s="151" t="s">
        <v>65</v>
      </c>
      <c r="CD4" s="151" t="s">
        <v>66</v>
      </c>
      <c r="CE4" s="153" t="s">
        <v>67</v>
      </c>
      <c r="CF4" s="153" t="s">
        <v>68</v>
      </c>
      <c r="CG4" s="153" t="s">
        <v>69</v>
      </c>
      <c r="CH4" s="153" t="s">
        <v>70</v>
      </c>
      <c r="CI4" s="153" t="s">
        <v>71</v>
      </c>
      <c r="CJ4" s="153" t="s">
        <v>72</v>
      </c>
      <c r="CK4" s="153" t="s">
        <v>73</v>
      </c>
      <c r="CL4" s="153" t="s">
        <v>74</v>
      </c>
      <c r="CM4" s="153" t="s">
        <v>75</v>
      </c>
      <c r="CN4" s="153" t="s">
        <v>76</v>
      </c>
      <c r="CO4" s="153" t="s">
        <v>77</v>
      </c>
      <c r="CP4" s="153" t="s">
        <v>78</v>
      </c>
      <c r="CQ4" s="151" t="s">
        <v>79</v>
      </c>
      <c r="CR4" s="151" t="s">
        <v>80</v>
      </c>
      <c r="CS4" s="151" t="s">
        <v>81</v>
      </c>
      <c r="CT4" s="151" t="s">
        <v>82</v>
      </c>
      <c r="CU4" s="151" t="s">
        <v>83</v>
      </c>
      <c r="CV4" s="151" t="s">
        <v>84</v>
      </c>
      <c r="CW4" s="151" t="s">
        <v>85</v>
      </c>
      <c r="CX4" s="151" t="s">
        <v>86</v>
      </c>
      <c r="CY4" s="151" t="s">
        <v>87</v>
      </c>
      <c r="CZ4" s="151" t="s">
        <v>88</v>
      </c>
      <c r="DA4" s="151" t="s">
        <v>89</v>
      </c>
      <c r="DB4" s="151" t="s">
        <v>90</v>
      </c>
      <c r="DC4" s="153" t="s">
        <v>91</v>
      </c>
      <c r="DD4" s="153" t="s">
        <v>92</v>
      </c>
      <c r="DE4" s="153" t="s">
        <v>93</v>
      </c>
      <c r="DF4" s="153" t="s">
        <v>94</v>
      </c>
      <c r="DG4" s="153" t="s">
        <v>95</v>
      </c>
      <c r="DH4" s="153" t="s">
        <v>96</v>
      </c>
      <c r="DI4" s="153" t="s">
        <v>97</v>
      </c>
      <c r="DJ4" s="153" t="s">
        <v>98</v>
      </c>
      <c r="DK4" s="153" t="s">
        <v>99</v>
      </c>
      <c r="DL4" s="153" t="s">
        <v>100</v>
      </c>
      <c r="DM4" s="153" t="s">
        <v>101</v>
      </c>
      <c r="DN4" s="153" t="s">
        <v>102</v>
      </c>
      <c r="DO4" s="151" t="s">
        <v>103</v>
      </c>
      <c r="DP4" s="151" t="s">
        <v>104</v>
      </c>
      <c r="DQ4" s="151" t="s">
        <v>105</v>
      </c>
      <c r="DR4" s="151" t="s">
        <v>106</v>
      </c>
      <c r="DS4" s="151" t="s">
        <v>107</v>
      </c>
      <c r="DT4" s="151" t="s">
        <v>108</v>
      </c>
      <c r="DU4" s="151" t="s">
        <v>109</v>
      </c>
      <c r="DV4" s="151" t="s">
        <v>110</v>
      </c>
      <c r="DW4" s="151" t="s">
        <v>111</v>
      </c>
      <c r="DX4" s="151" t="s">
        <v>112</v>
      </c>
      <c r="DY4" s="151" t="s">
        <v>113</v>
      </c>
      <c r="DZ4" s="151" t="s">
        <v>114</v>
      </c>
      <c r="EA4" s="153" t="s">
        <v>115</v>
      </c>
      <c r="EB4" s="153" t="s">
        <v>116</v>
      </c>
      <c r="EC4" s="153" t="s">
        <v>117</v>
      </c>
      <c r="ED4" s="153" t="s">
        <v>118</v>
      </c>
      <c r="EE4" s="153" t="s">
        <v>119</v>
      </c>
      <c r="EF4" s="153" t="s">
        <v>120</v>
      </c>
      <c r="EG4" s="153" t="s">
        <v>121</v>
      </c>
      <c r="EH4" s="153" t="s">
        <v>122</v>
      </c>
      <c r="EI4" s="153" t="s">
        <v>123</v>
      </c>
      <c r="EJ4" s="153" t="s">
        <v>124</v>
      </c>
      <c r="EK4" s="153" t="s">
        <v>125</v>
      </c>
      <c r="EL4" s="153" t="s">
        <v>126</v>
      </c>
      <c r="EM4" s="151" t="s">
        <v>127</v>
      </c>
      <c r="EN4" s="151" t="s">
        <v>128</v>
      </c>
      <c r="EO4" s="151" t="s">
        <v>129</v>
      </c>
      <c r="EP4" s="151" t="s">
        <v>130</v>
      </c>
      <c r="EQ4" s="151" t="s">
        <v>131</v>
      </c>
      <c r="ER4" s="151" t="s">
        <v>132</v>
      </c>
      <c r="ES4" s="151" t="s">
        <v>133</v>
      </c>
      <c r="ET4" s="151" t="s">
        <v>134</v>
      </c>
      <c r="EU4" s="151" t="s">
        <v>135</v>
      </c>
      <c r="EV4" s="151" t="s">
        <v>136</v>
      </c>
      <c r="EW4" s="151" t="s">
        <v>137</v>
      </c>
      <c r="EX4" s="151" t="s">
        <v>138</v>
      </c>
      <c r="EY4" s="153" t="s">
        <v>170</v>
      </c>
      <c r="EZ4" s="153" t="s">
        <v>171</v>
      </c>
      <c r="FA4" s="153" t="s">
        <v>172</v>
      </c>
      <c r="FB4" s="153" t="s">
        <v>173</v>
      </c>
      <c r="FC4" s="153" t="s">
        <v>174</v>
      </c>
      <c r="FD4" s="153" t="s">
        <v>175</v>
      </c>
      <c r="FE4" s="153" t="s">
        <v>176</v>
      </c>
      <c r="FF4" s="153" t="s">
        <v>177</v>
      </c>
      <c r="FG4" s="153" t="s">
        <v>178</v>
      </c>
      <c r="FH4" s="153" t="s">
        <v>179</v>
      </c>
      <c r="FI4" s="153" t="s">
        <v>180</v>
      </c>
      <c r="FJ4" s="31" t="s">
        <v>181</v>
      </c>
    </row>
    <row r="5" spans="1:166" x14ac:dyDescent="0.3">
      <c r="A5" s="400" t="s">
        <v>291</v>
      </c>
      <c r="B5" s="101" t="s">
        <v>336</v>
      </c>
      <c r="C5" s="101" t="s">
        <v>288</v>
      </c>
      <c r="D5" s="101" t="s">
        <v>975</v>
      </c>
      <c r="E5" s="101" t="s">
        <v>589</v>
      </c>
      <c r="F5" s="101" t="s">
        <v>950</v>
      </c>
      <c r="G5" s="101" t="s">
        <v>949</v>
      </c>
      <c r="H5" s="101">
        <v>0</v>
      </c>
      <c r="I5" s="101">
        <v>0</v>
      </c>
      <c r="J5" s="101" t="s">
        <v>284</v>
      </c>
      <c r="K5" s="101">
        <v>0</v>
      </c>
      <c r="L5" s="101" t="s">
        <v>194</v>
      </c>
      <c r="M5" s="427">
        <v>4</v>
      </c>
      <c r="N5" s="100">
        <v>0</v>
      </c>
      <c r="O5" s="396">
        <v>0</v>
      </c>
      <c r="P5" s="396">
        <v>0</v>
      </c>
      <c r="Q5" s="100">
        <v>0</v>
      </c>
      <c r="R5" s="100">
        <v>10</v>
      </c>
      <c r="S5" s="397">
        <v>1</v>
      </c>
      <c r="T5" s="428">
        <v>1</v>
      </c>
      <c r="U5" s="101">
        <v>0</v>
      </c>
      <c r="V5" s="100">
        <v>800000</v>
      </c>
      <c r="W5" s="100">
        <v>8000000</v>
      </c>
      <c r="X5" s="100">
        <v>8000000</v>
      </c>
      <c r="Y5" s="100">
        <v>0</v>
      </c>
      <c r="Z5" s="100">
        <v>0</v>
      </c>
      <c r="AA5" s="100">
        <v>0</v>
      </c>
      <c r="AB5" s="100">
        <v>0</v>
      </c>
      <c r="AC5" s="100">
        <v>0</v>
      </c>
      <c r="AD5" s="100">
        <v>0</v>
      </c>
      <c r="AE5" s="100">
        <v>0</v>
      </c>
      <c r="AF5" s="100">
        <v>0</v>
      </c>
      <c r="AG5" s="100">
        <v>0</v>
      </c>
      <c r="AH5" s="100">
        <v>0</v>
      </c>
      <c r="AI5" s="100">
        <v>800000</v>
      </c>
      <c r="AJ5" s="100">
        <v>800000</v>
      </c>
      <c r="AK5" s="100">
        <v>800000</v>
      </c>
      <c r="AL5" s="100">
        <v>800000</v>
      </c>
      <c r="AM5" s="100">
        <v>800000</v>
      </c>
      <c r="AN5" s="100">
        <v>800000</v>
      </c>
      <c r="AO5" s="100">
        <v>800000</v>
      </c>
      <c r="AP5" s="100">
        <v>800000</v>
      </c>
      <c r="AQ5" s="100">
        <v>800000</v>
      </c>
      <c r="AR5" s="100">
        <v>800000</v>
      </c>
      <c r="AS5" s="100">
        <v>0</v>
      </c>
      <c r="AT5" s="100">
        <v>0</v>
      </c>
      <c r="AU5" s="100">
        <v>0</v>
      </c>
      <c r="AV5" s="100">
        <v>0</v>
      </c>
      <c r="AW5" s="100">
        <v>0</v>
      </c>
      <c r="AX5" s="100">
        <v>0</v>
      </c>
      <c r="AY5" s="100">
        <v>0</v>
      </c>
      <c r="AZ5" s="100">
        <v>0</v>
      </c>
      <c r="BA5" s="100">
        <v>0</v>
      </c>
      <c r="BB5" s="100">
        <v>0</v>
      </c>
      <c r="BC5" s="100">
        <v>0</v>
      </c>
      <c r="BD5" s="100">
        <v>0</v>
      </c>
      <c r="BE5" s="100">
        <v>0</v>
      </c>
      <c r="BF5" s="100">
        <v>0</v>
      </c>
      <c r="BG5" s="100">
        <v>0</v>
      </c>
      <c r="BH5" s="100">
        <v>0</v>
      </c>
      <c r="BI5" s="100">
        <v>0</v>
      </c>
      <c r="BJ5" s="100">
        <v>0</v>
      </c>
      <c r="BK5" s="100">
        <v>0</v>
      </c>
      <c r="BL5" s="100">
        <v>0</v>
      </c>
      <c r="BM5" s="100">
        <v>0</v>
      </c>
      <c r="BN5" s="100">
        <v>0</v>
      </c>
      <c r="BO5" s="100">
        <v>0</v>
      </c>
      <c r="BP5" s="100">
        <v>0</v>
      </c>
      <c r="BQ5" s="100">
        <v>0</v>
      </c>
      <c r="BR5" s="100">
        <v>0</v>
      </c>
      <c r="BS5" s="100">
        <v>0</v>
      </c>
      <c r="BT5" s="100">
        <v>0</v>
      </c>
      <c r="BU5" s="100">
        <v>0</v>
      </c>
      <c r="BV5" s="100">
        <v>0</v>
      </c>
      <c r="BW5" s="100">
        <v>0</v>
      </c>
      <c r="BX5" s="100">
        <v>0</v>
      </c>
      <c r="BY5" s="100">
        <v>0</v>
      </c>
      <c r="BZ5" s="100">
        <v>0</v>
      </c>
      <c r="CA5" s="100">
        <v>0</v>
      </c>
      <c r="CB5" s="100">
        <v>0</v>
      </c>
      <c r="CC5" s="100">
        <v>0</v>
      </c>
      <c r="CD5" s="100">
        <v>0</v>
      </c>
      <c r="CE5" s="100">
        <v>0</v>
      </c>
      <c r="CF5" s="100">
        <v>0</v>
      </c>
      <c r="CG5" s="100">
        <v>0</v>
      </c>
      <c r="CH5" s="100">
        <v>0</v>
      </c>
      <c r="CI5" s="100">
        <v>0</v>
      </c>
      <c r="CJ5" s="100">
        <v>0</v>
      </c>
      <c r="CK5" s="100">
        <v>0</v>
      </c>
      <c r="CL5" s="100">
        <v>0</v>
      </c>
      <c r="CM5" s="100">
        <v>0</v>
      </c>
      <c r="CN5" s="100">
        <v>0</v>
      </c>
      <c r="CO5" s="100">
        <v>0</v>
      </c>
      <c r="CP5" s="100">
        <v>0</v>
      </c>
      <c r="CQ5" s="100">
        <v>0</v>
      </c>
      <c r="CR5" s="100">
        <v>0</v>
      </c>
      <c r="CS5" s="100">
        <v>0</v>
      </c>
      <c r="CT5" s="100">
        <v>0</v>
      </c>
      <c r="CU5" s="100">
        <v>0</v>
      </c>
      <c r="CV5" s="100">
        <v>0</v>
      </c>
      <c r="CW5" s="100">
        <v>0</v>
      </c>
      <c r="CX5" s="100">
        <v>0</v>
      </c>
      <c r="CY5" s="100">
        <v>0</v>
      </c>
      <c r="CZ5" s="100">
        <v>0</v>
      </c>
      <c r="DA5" s="100">
        <v>0</v>
      </c>
      <c r="DB5" s="100">
        <v>0</v>
      </c>
      <c r="DC5" s="100">
        <v>0</v>
      </c>
      <c r="DD5" s="100">
        <v>0</v>
      </c>
      <c r="DE5" s="100">
        <v>0</v>
      </c>
      <c r="DF5" s="100">
        <v>0</v>
      </c>
      <c r="DG5" s="100">
        <v>0</v>
      </c>
      <c r="DH5" s="100">
        <v>0</v>
      </c>
      <c r="DI5" s="100">
        <v>0</v>
      </c>
      <c r="DJ5" s="100">
        <v>0</v>
      </c>
      <c r="DK5" s="100">
        <v>0</v>
      </c>
      <c r="DL5" s="100">
        <v>0</v>
      </c>
      <c r="DM5" s="100">
        <v>0</v>
      </c>
      <c r="DN5" s="100">
        <v>0</v>
      </c>
      <c r="DO5" s="100">
        <v>0</v>
      </c>
      <c r="DP5" s="100">
        <v>0</v>
      </c>
      <c r="DQ5" s="100">
        <v>0</v>
      </c>
      <c r="DR5" s="100">
        <v>0</v>
      </c>
      <c r="DS5" s="100">
        <v>0</v>
      </c>
      <c r="DT5" s="100">
        <v>0</v>
      </c>
      <c r="DU5" s="100">
        <v>0</v>
      </c>
      <c r="DV5" s="100">
        <v>0</v>
      </c>
      <c r="DW5" s="100">
        <v>0</v>
      </c>
      <c r="DX5" s="100">
        <v>0</v>
      </c>
      <c r="DY5" s="100">
        <v>0</v>
      </c>
      <c r="DZ5" s="100">
        <v>0</v>
      </c>
      <c r="EA5" s="100">
        <v>0</v>
      </c>
      <c r="EB5" s="100">
        <v>0</v>
      </c>
      <c r="EC5" s="100">
        <v>0</v>
      </c>
      <c r="ED5" s="100">
        <v>0</v>
      </c>
      <c r="EE5" s="100">
        <v>0</v>
      </c>
      <c r="EF5" s="100">
        <v>0</v>
      </c>
      <c r="EG5" s="100">
        <v>0</v>
      </c>
      <c r="EH5" s="100">
        <v>0</v>
      </c>
      <c r="EI5" s="100">
        <v>0</v>
      </c>
      <c r="EJ5" s="100">
        <v>0</v>
      </c>
      <c r="EK5" s="100">
        <v>0</v>
      </c>
      <c r="EL5" s="100">
        <v>0</v>
      </c>
      <c r="EM5" s="100">
        <v>0</v>
      </c>
      <c r="EN5" s="100">
        <v>0</v>
      </c>
      <c r="EO5" s="100">
        <v>0</v>
      </c>
      <c r="EP5" s="100">
        <v>0</v>
      </c>
      <c r="EQ5" s="100">
        <v>0</v>
      </c>
      <c r="ER5" s="100">
        <v>0</v>
      </c>
      <c r="ES5" s="100">
        <v>0</v>
      </c>
      <c r="ET5" s="100">
        <v>0</v>
      </c>
      <c r="EU5" s="100">
        <v>0</v>
      </c>
      <c r="EV5" s="100">
        <v>0</v>
      </c>
      <c r="EW5" s="100">
        <v>0</v>
      </c>
      <c r="EX5" s="100">
        <v>0</v>
      </c>
      <c r="EY5" s="100">
        <v>0</v>
      </c>
      <c r="EZ5" s="100">
        <v>0</v>
      </c>
      <c r="FA5" s="100">
        <v>0</v>
      </c>
      <c r="FB5" s="100">
        <v>0</v>
      </c>
      <c r="FC5" s="100">
        <v>0</v>
      </c>
      <c r="FD5" s="100">
        <v>0</v>
      </c>
      <c r="FE5" s="100">
        <v>0</v>
      </c>
      <c r="FF5" s="100">
        <v>0</v>
      </c>
      <c r="FG5" s="100">
        <v>0</v>
      </c>
      <c r="FH5" s="100">
        <v>0</v>
      </c>
      <c r="FI5" s="100">
        <v>0</v>
      </c>
      <c r="FJ5" s="70">
        <v>0</v>
      </c>
    </row>
    <row r="6" spans="1:166" x14ac:dyDescent="0.3">
      <c r="A6" s="401" t="s">
        <v>292</v>
      </c>
      <c r="B6" s="103" t="s">
        <v>336</v>
      </c>
      <c r="C6" s="103" t="s">
        <v>288</v>
      </c>
      <c r="D6" s="103" t="s">
        <v>975</v>
      </c>
      <c r="E6" s="103" t="s">
        <v>589</v>
      </c>
      <c r="F6" s="103" t="s">
        <v>950</v>
      </c>
      <c r="G6" s="103" t="s">
        <v>947</v>
      </c>
      <c r="H6" s="103">
        <v>0</v>
      </c>
      <c r="I6" s="103">
        <v>0</v>
      </c>
      <c r="J6" s="103" t="s">
        <v>284</v>
      </c>
      <c r="K6" s="103">
        <v>0</v>
      </c>
      <c r="L6" s="103" t="s">
        <v>194</v>
      </c>
      <c r="M6" s="425">
        <v>1</v>
      </c>
      <c r="N6" s="102">
        <v>0</v>
      </c>
      <c r="O6" s="393">
        <v>0</v>
      </c>
      <c r="P6" s="393">
        <v>0</v>
      </c>
      <c r="Q6" s="102">
        <v>0</v>
      </c>
      <c r="R6" s="102">
        <v>14</v>
      </c>
      <c r="S6" s="394">
        <v>1</v>
      </c>
      <c r="T6" s="426">
        <v>1</v>
      </c>
      <c r="U6" s="103">
        <v>0</v>
      </c>
      <c r="V6" s="102">
        <v>200000</v>
      </c>
      <c r="W6" s="102">
        <v>2800000</v>
      </c>
      <c r="X6" s="102">
        <v>2400000</v>
      </c>
      <c r="Y6" s="102">
        <v>400000</v>
      </c>
      <c r="Z6" s="102">
        <v>0</v>
      </c>
      <c r="AA6" s="102">
        <v>0</v>
      </c>
      <c r="AB6" s="102">
        <v>0</v>
      </c>
      <c r="AC6" s="102">
        <v>0</v>
      </c>
      <c r="AD6" s="102">
        <v>0</v>
      </c>
      <c r="AE6" s="102">
        <v>0</v>
      </c>
      <c r="AF6" s="102">
        <v>0</v>
      </c>
      <c r="AG6" s="102">
        <v>0</v>
      </c>
      <c r="AH6" s="102">
        <v>0</v>
      </c>
      <c r="AI6" s="102">
        <v>200000</v>
      </c>
      <c r="AJ6" s="102">
        <v>200000</v>
      </c>
      <c r="AK6" s="102">
        <v>200000</v>
      </c>
      <c r="AL6" s="102">
        <v>200000</v>
      </c>
      <c r="AM6" s="102">
        <v>200000</v>
      </c>
      <c r="AN6" s="102">
        <v>200000</v>
      </c>
      <c r="AO6" s="102">
        <v>200000</v>
      </c>
      <c r="AP6" s="102">
        <v>200000</v>
      </c>
      <c r="AQ6" s="102">
        <v>200000</v>
      </c>
      <c r="AR6" s="102">
        <v>200000</v>
      </c>
      <c r="AS6" s="102">
        <v>200000</v>
      </c>
      <c r="AT6" s="102">
        <v>200000</v>
      </c>
      <c r="AU6" s="102">
        <v>200000</v>
      </c>
      <c r="AV6" s="102">
        <v>200000</v>
      </c>
      <c r="AW6" s="102">
        <v>0</v>
      </c>
      <c r="AX6" s="102">
        <v>0</v>
      </c>
      <c r="AY6" s="102">
        <v>0</v>
      </c>
      <c r="AZ6" s="102">
        <v>0</v>
      </c>
      <c r="BA6" s="102">
        <v>0</v>
      </c>
      <c r="BB6" s="102">
        <v>0</v>
      </c>
      <c r="BC6" s="102">
        <v>0</v>
      </c>
      <c r="BD6" s="102">
        <v>0</v>
      </c>
      <c r="BE6" s="102">
        <v>0</v>
      </c>
      <c r="BF6" s="102">
        <v>0</v>
      </c>
      <c r="BG6" s="102">
        <v>0</v>
      </c>
      <c r="BH6" s="102">
        <v>0</v>
      </c>
      <c r="BI6" s="102">
        <v>0</v>
      </c>
      <c r="BJ6" s="102">
        <v>0</v>
      </c>
      <c r="BK6" s="102">
        <v>0</v>
      </c>
      <c r="BL6" s="102">
        <v>0</v>
      </c>
      <c r="BM6" s="102">
        <v>0</v>
      </c>
      <c r="BN6" s="102">
        <v>0</v>
      </c>
      <c r="BO6" s="102">
        <v>0</v>
      </c>
      <c r="BP6" s="102">
        <v>0</v>
      </c>
      <c r="BQ6" s="102">
        <v>0</v>
      </c>
      <c r="BR6" s="102">
        <v>0</v>
      </c>
      <c r="BS6" s="102">
        <v>0</v>
      </c>
      <c r="BT6" s="102">
        <v>0</v>
      </c>
      <c r="BU6" s="102">
        <v>0</v>
      </c>
      <c r="BV6" s="102">
        <v>0</v>
      </c>
      <c r="BW6" s="102">
        <v>0</v>
      </c>
      <c r="BX6" s="102">
        <v>0</v>
      </c>
      <c r="BY6" s="102">
        <v>0</v>
      </c>
      <c r="BZ6" s="102">
        <v>0</v>
      </c>
      <c r="CA6" s="102">
        <v>0</v>
      </c>
      <c r="CB6" s="102">
        <v>0</v>
      </c>
      <c r="CC6" s="102">
        <v>0</v>
      </c>
      <c r="CD6" s="102">
        <v>0</v>
      </c>
      <c r="CE6" s="102">
        <v>0</v>
      </c>
      <c r="CF6" s="102">
        <v>0</v>
      </c>
      <c r="CG6" s="102">
        <v>0</v>
      </c>
      <c r="CH6" s="102">
        <v>0</v>
      </c>
      <c r="CI6" s="102">
        <v>0</v>
      </c>
      <c r="CJ6" s="102">
        <v>0</v>
      </c>
      <c r="CK6" s="102">
        <v>0</v>
      </c>
      <c r="CL6" s="102">
        <v>0</v>
      </c>
      <c r="CM6" s="102">
        <v>0</v>
      </c>
      <c r="CN6" s="102">
        <v>0</v>
      </c>
      <c r="CO6" s="102">
        <v>0</v>
      </c>
      <c r="CP6" s="102">
        <v>0</v>
      </c>
      <c r="CQ6" s="102">
        <v>0</v>
      </c>
      <c r="CR6" s="102">
        <v>0</v>
      </c>
      <c r="CS6" s="102">
        <v>0</v>
      </c>
      <c r="CT6" s="102">
        <v>0</v>
      </c>
      <c r="CU6" s="102">
        <v>0</v>
      </c>
      <c r="CV6" s="102">
        <v>0</v>
      </c>
      <c r="CW6" s="102">
        <v>0</v>
      </c>
      <c r="CX6" s="102">
        <v>0</v>
      </c>
      <c r="CY6" s="102">
        <v>0</v>
      </c>
      <c r="CZ6" s="102">
        <v>0</v>
      </c>
      <c r="DA6" s="102">
        <v>0</v>
      </c>
      <c r="DB6" s="102">
        <v>0</v>
      </c>
      <c r="DC6" s="102">
        <v>0</v>
      </c>
      <c r="DD6" s="102">
        <v>0</v>
      </c>
      <c r="DE6" s="102">
        <v>0</v>
      </c>
      <c r="DF6" s="102">
        <v>0</v>
      </c>
      <c r="DG6" s="102">
        <v>0</v>
      </c>
      <c r="DH6" s="102">
        <v>0</v>
      </c>
      <c r="DI6" s="102">
        <v>0</v>
      </c>
      <c r="DJ6" s="102">
        <v>0</v>
      </c>
      <c r="DK6" s="102">
        <v>0</v>
      </c>
      <c r="DL6" s="102">
        <v>0</v>
      </c>
      <c r="DM6" s="102">
        <v>0</v>
      </c>
      <c r="DN6" s="102">
        <v>0</v>
      </c>
      <c r="DO6" s="102">
        <v>0</v>
      </c>
      <c r="DP6" s="102">
        <v>0</v>
      </c>
      <c r="DQ6" s="102">
        <v>0</v>
      </c>
      <c r="DR6" s="102">
        <v>0</v>
      </c>
      <c r="DS6" s="102">
        <v>0</v>
      </c>
      <c r="DT6" s="102">
        <v>0</v>
      </c>
      <c r="DU6" s="102">
        <v>0</v>
      </c>
      <c r="DV6" s="102">
        <v>0</v>
      </c>
      <c r="DW6" s="102">
        <v>0</v>
      </c>
      <c r="DX6" s="102">
        <v>0</v>
      </c>
      <c r="DY6" s="102">
        <v>0</v>
      </c>
      <c r="DZ6" s="102">
        <v>0</v>
      </c>
      <c r="EA6" s="102">
        <v>0</v>
      </c>
      <c r="EB6" s="102">
        <v>0</v>
      </c>
      <c r="EC6" s="102">
        <v>0</v>
      </c>
      <c r="ED6" s="102">
        <v>0</v>
      </c>
      <c r="EE6" s="102">
        <v>0</v>
      </c>
      <c r="EF6" s="102">
        <v>0</v>
      </c>
      <c r="EG6" s="102">
        <v>0</v>
      </c>
      <c r="EH6" s="102">
        <v>0</v>
      </c>
      <c r="EI6" s="102">
        <v>0</v>
      </c>
      <c r="EJ6" s="102">
        <v>0</v>
      </c>
      <c r="EK6" s="102">
        <v>0</v>
      </c>
      <c r="EL6" s="102">
        <v>0</v>
      </c>
      <c r="EM6" s="102">
        <v>0</v>
      </c>
      <c r="EN6" s="102">
        <v>0</v>
      </c>
      <c r="EO6" s="102">
        <v>0</v>
      </c>
      <c r="EP6" s="102">
        <v>0</v>
      </c>
      <c r="EQ6" s="102">
        <v>0</v>
      </c>
      <c r="ER6" s="102">
        <v>0</v>
      </c>
      <c r="ES6" s="102">
        <v>0</v>
      </c>
      <c r="ET6" s="102">
        <v>0</v>
      </c>
      <c r="EU6" s="102">
        <v>0</v>
      </c>
      <c r="EV6" s="102">
        <v>0</v>
      </c>
      <c r="EW6" s="102">
        <v>0</v>
      </c>
      <c r="EX6" s="102">
        <v>0</v>
      </c>
      <c r="EY6" s="102">
        <v>0</v>
      </c>
      <c r="EZ6" s="102">
        <v>0</v>
      </c>
      <c r="FA6" s="102">
        <v>0</v>
      </c>
      <c r="FB6" s="102">
        <v>0</v>
      </c>
      <c r="FC6" s="102">
        <v>0</v>
      </c>
      <c r="FD6" s="102">
        <v>0</v>
      </c>
      <c r="FE6" s="102">
        <v>0</v>
      </c>
      <c r="FF6" s="102">
        <v>0</v>
      </c>
      <c r="FG6" s="102">
        <v>0</v>
      </c>
      <c r="FH6" s="102">
        <v>0</v>
      </c>
      <c r="FI6" s="102">
        <v>0</v>
      </c>
      <c r="FJ6" s="71">
        <v>0</v>
      </c>
    </row>
    <row r="7" spans="1:166" x14ac:dyDescent="0.3">
      <c r="A7" s="401" t="s">
        <v>293</v>
      </c>
      <c r="B7" s="103" t="s">
        <v>336</v>
      </c>
      <c r="C7" s="103" t="s">
        <v>288</v>
      </c>
      <c r="D7" s="103" t="s">
        <v>975</v>
      </c>
      <c r="E7" s="103" t="s">
        <v>589</v>
      </c>
      <c r="F7" s="103" t="s">
        <v>950</v>
      </c>
      <c r="G7" s="103" t="s">
        <v>948</v>
      </c>
      <c r="H7" s="103">
        <v>0</v>
      </c>
      <c r="I7" s="103">
        <v>0</v>
      </c>
      <c r="J7" s="103" t="s">
        <v>284</v>
      </c>
      <c r="K7" s="103">
        <v>0</v>
      </c>
      <c r="L7" s="103" t="s">
        <v>194</v>
      </c>
      <c r="M7" s="425">
        <v>4</v>
      </c>
      <c r="N7" s="102">
        <v>0</v>
      </c>
      <c r="O7" s="393">
        <v>0</v>
      </c>
      <c r="P7" s="393">
        <v>0</v>
      </c>
      <c r="Q7" s="102">
        <v>0</v>
      </c>
      <c r="R7" s="102">
        <v>84</v>
      </c>
      <c r="S7" s="394">
        <v>1</v>
      </c>
      <c r="T7" s="426">
        <v>1</v>
      </c>
      <c r="U7" s="103">
        <v>0</v>
      </c>
      <c r="V7" s="102">
        <v>800000</v>
      </c>
      <c r="W7" s="102">
        <v>67200000</v>
      </c>
      <c r="X7" s="102">
        <v>9600000</v>
      </c>
      <c r="Y7" s="102">
        <v>9600000</v>
      </c>
      <c r="Z7" s="102">
        <v>9600000</v>
      </c>
      <c r="AA7" s="102">
        <v>9600000</v>
      </c>
      <c r="AB7" s="102">
        <v>9600000</v>
      </c>
      <c r="AC7" s="102">
        <v>9600000</v>
      </c>
      <c r="AD7" s="102">
        <v>9600000</v>
      </c>
      <c r="AE7" s="102">
        <v>0</v>
      </c>
      <c r="AF7" s="102">
        <v>0</v>
      </c>
      <c r="AG7" s="102">
        <v>0</v>
      </c>
      <c r="AH7" s="102">
        <v>0</v>
      </c>
      <c r="AI7" s="102">
        <v>800000</v>
      </c>
      <c r="AJ7" s="102">
        <v>800000</v>
      </c>
      <c r="AK7" s="102">
        <v>800000</v>
      </c>
      <c r="AL7" s="102">
        <v>800000</v>
      </c>
      <c r="AM7" s="102">
        <v>800000</v>
      </c>
      <c r="AN7" s="102">
        <v>800000</v>
      </c>
      <c r="AO7" s="102">
        <v>800000</v>
      </c>
      <c r="AP7" s="102">
        <v>800000</v>
      </c>
      <c r="AQ7" s="102">
        <v>800000</v>
      </c>
      <c r="AR7" s="102">
        <v>800000</v>
      </c>
      <c r="AS7" s="102">
        <v>800000</v>
      </c>
      <c r="AT7" s="102">
        <v>800000</v>
      </c>
      <c r="AU7" s="102">
        <v>800000</v>
      </c>
      <c r="AV7" s="102">
        <v>800000</v>
      </c>
      <c r="AW7" s="102">
        <v>800000</v>
      </c>
      <c r="AX7" s="102">
        <v>800000</v>
      </c>
      <c r="AY7" s="102">
        <v>800000</v>
      </c>
      <c r="AZ7" s="102">
        <v>800000</v>
      </c>
      <c r="BA7" s="102">
        <v>800000</v>
      </c>
      <c r="BB7" s="102">
        <v>800000</v>
      </c>
      <c r="BC7" s="102">
        <v>800000</v>
      </c>
      <c r="BD7" s="102">
        <v>800000</v>
      </c>
      <c r="BE7" s="102">
        <v>800000</v>
      </c>
      <c r="BF7" s="102">
        <v>800000</v>
      </c>
      <c r="BG7" s="102">
        <v>800000</v>
      </c>
      <c r="BH7" s="102">
        <v>800000</v>
      </c>
      <c r="BI7" s="102">
        <v>800000</v>
      </c>
      <c r="BJ7" s="102">
        <v>800000</v>
      </c>
      <c r="BK7" s="102">
        <v>800000</v>
      </c>
      <c r="BL7" s="102">
        <v>800000</v>
      </c>
      <c r="BM7" s="102">
        <v>800000</v>
      </c>
      <c r="BN7" s="102">
        <v>800000</v>
      </c>
      <c r="BO7" s="102">
        <v>800000</v>
      </c>
      <c r="BP7" s="102">
        <v>800000</v>
      </c>
      <c r="BQ7" s="102">
        <v>800000</v>
      </c>
      <c r="BR7" s="102">
        <v>800000</v>
      </c>
      <c r="BS7" s="102">
        <v>800000</v>
      </c>
      <c r="BT7" s="102">
        <v>800000</v>
      </c>
      <c r="BU7" s="102">
        <v>800000</v>
      </c>
      <c r="BV7" s="102">
        <v>800000</v>
      </c>
      <c r="BW7" s="102">
        <v>800000</v>
      </c>
      <c r="BX7" s="102">
        <v>800000</v>
      </c>
      <c r="BY7" s="102">
        <v>800000</v>
      </c>
      <c r="BZ7" s="102">
        <v>800000</v>
      </c>
      <c r="CA7" s="102">
        <v>800000</v>
      </c>
      <c r="CB7" s="102">
        <v>800000</v>
      </c>
      <c r="CC7" s="102">
        <v>800000</v>
      </c>
      <c r="CD7" s="102">
        <v>800000</v>
      </c>
      <c r="CE7" s="102">
        <v>800000</v>
      </c>
      <c r="CF7" s="102">
        <v>800000</v>
      </c>
      <c r="CG7" s="102">
        <v>800000</v>
      </c>
      <c r="CH7" s="102">
        <v>800000</v>
      </c>
      <c r="CI7" s="102">
        <v>800000</v>
      </c>
      <c r="CJ7" s="102">
        <v>800000</v>
      </c>
      <c r="CK7" s="102">
        <v>800000</v>
      </c>
      <c r="CL7" s="102">
        <v>800000</v>
      </c>
      <c r="CM7" s="102">
        <v>800000</v>
      </c>
      <c r="CN7" s="102">
        <v>800000</v>
      </c>
      <c r="CO7" s="102">
        <v>800000</v>
      </c>
      <c r="CP7" s="102">
        <v>800000</v>
      </c>
      <c r="CQ7" s="102">
        <v>800000</v>
      </c>
      <c r="CR7" s="102">
        <v>800000</v>
      </c>
      <c r="CS7" s="102">
        <v>800000</v>
      </c>
      <c r="CT7" s="102">
        <v>800000</v>
      </c>
      <c r="CU7" s="102">
        <v>800000</v>
      </c>
      <c r="CV7" s="102">
        <v>800000</v>
      </c>
      <c r="CW7" s="102">
        <v>800000</v>
      </c>
      <c r="CX7" s="102">
        <v>800000</v>
      </c>
      <c r="CY7" s="102">
        <v>800000</v>
      </c>
      <c r="CZ7" s="102">
        <v>800000</v>
      </c>
      <c r="DA7" s="102">
        <v>800000</v>
      </c>
      <c r="DB7" s="102">
        <v>800000</v>
      </c>
      <c r="DC7" s="102">
        <v>800000</v>
      </c>
      <c r="DD7" s="102">
        <v>800000</v>
      </c>
      <c r="DE7" s="102">
        <v>800000</v>
      </c>
      <c r="DF7" s="102">
        <v>800000</v>
      </c>
      <c r="DG7" s="102">
        <v>800000</v>
      </c>
      <c r="DH7" s="102">
        <v>800000</v>
      </c>
      <c r="DI7" s="102">
        <v>800000</v>
      </c>
      <c r="DJ7" s="102">
        <v>800000</v>
      </c>
      <c r="DK7" s="102">
        <v>800000</v>
      </c>
      <c r="DL7" s="102">
        <v>800000</v>
      </c>
      <c r="DM7" s="102">
        <v>800000</v>
      </c>
      <c r="DN7" s="102">
        <v>800000</v>
      </c>
      <c r="DO7" s="102">
        <v>0</v>
      </c>
      <c r="DP7" s="102">
        <v>0</v>
      </c>
      <c r="DQ7" s="102">
        <v>0</v>
      </c>
      <c r="DR7" s="102">
        <v>0</v>
      </c>
      <c r="DS7" s="102">
        <v>0</v>
      </c>
      <c r="DT7" s="102">
        <v>0</v>
      </c>
      <c r="DU7" s="102">
        <v>0</v>
      </c>
      <c r="DV7" s="102">
        <v>0</v>
      </c>
      <c r="DW7" s="102">
        <v>0</v>
      </c>
      <c r="DX7" s="102">
        <v>0</v>
      </c>
      <c r="DY7" s="102">
        <v>0</v>
      </c>
      <c r="DZ7" s="102">
        <v>0</v>
      </c>
      <c r="EA7" s="102">
        <v>0</v>
      </c>
      <c r="EB7" s="102">
        <v>0</v>
      </c>
      <c r="EC7" s="102">
        <v>0</v>
      </c>
      <c r="ED7" s="102">
        <v>0</v>
      </c>
      <c r="EE7" s="102">
        <v>0</v>
      </c>
      <c r="EF7" s="102">
        <v>0</v>
      </c>
      <c r="EG7" s="102">
        <v>0</v>
      </c>
      <c r="EH7" s="102">
        <v>0</v>
      </c>
      <c r="EI7" s="102">
        <v>0</v>
      </c>
      <c r="EJ7" s="102">
        <v>0</v>
      </c>
      <c r="EK7" s="102">
        <v>0</v>
      </c>
      <c r="EL7" s="102">
        <v>0</v>
      </c>
      <c r="EM7" s="102">
        <v>0</v>
      </c>
      <c r="EN7" s="102">
        <v>0</v>
      </c>
      <c r="EO7" s="102">
        <v>0</v>
      </c>
      <c r="EP7" s="102">
        <v>0</v>
      </c>
      <c r="EQ7" s="102">
        <v>0</v>
      </c>
      <c r="ER7" s="102">
        <v>0</v>
      </c>
      <c r="ES7" s="102">
        <v>0</v>
      </c>
      <c r="ET7" s="102">
        <v>0</v>
      </c>
      <c r="EU7" s="102">
        <v>0</v>
      </c>
      <c r="EV7" s="102">
        <v>0</v>
      </c>
      <c r="EW7" s="102">
        <v>0</v>
      </c>
      <c r="EX7" s="102">
        <v>0</v>
      </c>
      <c r="EY7" s="102">
        <v>0</v>
      </c>
      <c r="EZ7" s="102">
        <v>0</v>
      </c>
      <c r="FA7" s="102">
        <v>0</v>
      </c>
      <c r="FB7" s="102">
        <v>0</v>
      </c>
      <c r="FC7" s="102">
        <v>0</v>
      </c>
      <c r="FD7" s="102">
        <v>0</v>
      </c>
      <c r="FE7" s="102">
        <v>0</v>
      </c>
      <c r="FF7" s="102">
        <v>0</v>
      </c>
      <c r="FG7" s="102">
        <v>0</v>
      </c>
      <c r="FH7" s="102">
        <v>0</v>
      </c>
      <c r="FI7" s="102">
        <v>0</v>
      </c>
      <c r="FJ7" s="71">
        <v>0</v>
      </c>
    </row>
    <row r="8" spans="1:166" x14ac:dyDescent="0.3">
      <c r="A8" s="401" t="s">
        <v>294</v>
      </c>
      <c r="B8" s="103" t="s">
        <v>336</v>
      </c>
      <c r="C8" s="103" t="s">
        <v>288</v>
      </c>
      <c r="D8" s="103" t="s">
        <v>975</v>
      </c>
      <c r="E8" s="103" t="s">
        <v>589</v>
      </c>
      <c r="F8" s="103" t="s">
        <v>951</v>
      </c>
      <c r="G8" s="103" t="s">
        <v>946</v>
      </c>
      <c r="H8" s="103">
        <v>0</v>
      </c>
      <c r="I8" s="103">
        <v>0</v>
      </c>
      <c r="J8" s="103" t="s">
        <v>284</v>
      </c>
      <c r="K8" s="103">
        <v>0</v>
      </c>
      <c r="L8" s="103" t="s">
        <v>304</v>
      </c>
      <c r="M8" s="425">
        <v>1</v>
      </c>
      <c r="N8" s="102">
        <v>0</v>
      </c>
      <c r="O8" s="393">
        <v>0</v>
      </c>
      <c r="P8" s="393">
        <v>0</v>
      </c>
      <c r="Q8" s="102">
        <v>0</v>
      </c>
      <c r="R8" s="102">
        <v>10</v>
      </c>
      <c r="S8" s="394">
        <v>1</v>
      </c>
      <c r="T8" s="426">
        <v>1</v>
      </c>
      <c r="U8" s="103">
        <v>0</v>
      </c>
      <c r="V8" s="102">
        <v>300000</v>
      </c>
      <c r="W8" s="102">
        <v>3000000</v>
      </c>
      <c r="X8" s="102">
        <v>3000000</v>
      </c>
      <c r="Y8" s="102">
        <v>0</v>
      </c>
      <c r="Z8" s="102">
        <v>0</v>
      </c>
      <c r="AA8" s="102">
        <v>0</v>
      </c>
      <c r="AB8" s="102">
        <v>0</v>
      </c>
      <c r="AC8" s="102">
        <v>0</v>
      </c>
      <c r="AD8" s="102">
        <v>0</v>
      </c>
      <c r="AE8" s="102">
        <v>0</v>
      </c>
      <c r="AF8" s="102">
        <v>0</v>
      </c>
      <c r="AG8" s="102">
        <v>0</v>
      </c>
      <c r="AH8" s="102">
        <v>0</v>
      </c>
      <c r="AI8" s="102">
        <v>300000</v>
      </c>
      <c r="AJ8" s="102">
        <v>300000</v>
      </c>
      <c r="AK8" s="102">
        <v>300000</v>
      </c>
      <c r="AL8" s="102">
        <v>300000</v>
      </c>
      <c r="AM8" s="102">
        <v>300000</v>
      </c>
      <c r="AN8" s="102">
        <v>300000</v>
      </c>
      <c r="AO8" s="102">
        <v>300000</v>
      </c>
      <c r="AP8" s="102">
        <v>300000</v>
      </c>
      <c r="AQ8" s="102">
        <v>300000</v>
      </c>
      <c r="AR8" s="102">
        <v>300000</v>
      </c>
      <c r="AS8" s="102">
        <v>0</v>
      </c>
      <c r="AT8" s="102">
        <v>0</v>
      </c>
      <c r="AU8" s="102">
        <v>0</v>
      </c>
      <c r="AV8" s="102">
        <v>0</v>
      </c>
      <c r="AW8" s="102">
        <v>0</v>
      </c>
      <c r="AX8" s="102">
        <v>0</v>
      </c>
      <c r="AY8" s="102">
        <v>0</v>
      </c>
      <c r="AZ8" s="102">
        <v>0</v>
      </c>
      <c r="BA8" s="102">
        <v>0</v>
      </c>
      <c r="BB8" s="102">
        <v>0</v>
      </c>
      <c r="BC8" s="102">
        <v>0</v>
      </c>
      <c r="BD8" s="102">
        <v>0</v>
      </c>
      <c r="BE8" s="102">
        <v>0</v>
      </c>
      <c r="BF8" s="102">
        <v>0</v>
      </c>
      <c r="BG8" s="102">
        <v>0</v>
      </c>
      <c r="BH8" s="102">
        <v>0</v>
      </c>
      <c r="BI8" s="102">
        <v>0</v>
      </c>
      <c r="BJ8" s="102">
        <v>0</v>
      </c>
      <c r="BK8" s="102">
        <v>0</v>
      </c>
      <c r="BL8" s="102">
        <v>0</v>
      </c>
      <c r="BM8" s="102">
        <v>0</v>
      </c>
      <c r="BN8" s="102">
        <v>0</v>
      </c>
      <c r="BO8" s="102">
        <v>0</v>
      </c>
      <c r="BP8" s="102">
        <v>0</v>
      </c>
      <c r="BQ8" s="102">
        <v>0</v>
      </c>
      <c r="BR8" s="102">
        <v>0</v>
      </c>
      <c r="BS8" s="102">
        <v>0</v>
      </c>
      <c r="BT8" s="102">
        <v>0</v>
      </c>
      <c r="BU8" s="102">
        <v>0</v>
      </c>
      <c r="BV8" s="102">
        <v>0</v>
      </c>
      <c r="BW8" s="102">
        <v>0</v>
      </c>
      <c r="BX8" s="102">
        <v>0</v>
      </c>
      <c r="BY8" s="102">
        <v>0</v>
      </c>
      <c r="BZ8" s="102">
        <v>0</v>
      </c>
      <c r="CA8" s="102">
        <v>0</v>
      </c>
      <c r="CB8" s="102">
        <v>0</v>
      </c>
      <c r="CC8" s="102">
        <v>0</v>
      </c>
      <c r="CD8" s="102">
        <v>0</v>
      </c>
      <c r="CE8" s="102">
        <v>0</v>
      </c>
      <c r="CF8" s="102">
        <v>0</v>
      </c>
      <c r="CG8" s="102">
        <v>0</v>
      </c>
      <c r="CH8" s="102">
        <v>0</v>
      </c>
      <c r="CI8" s="102">
        <v>0</v>
      </c>
      <c r="CJ8" s="102">
        <v>0</v>
      </c>
      <c r="CK8" s="102">
        <v>0</v>
      </c>
      <c r="CL8" s="102">
        <v>0</v>
      </c>
      <c r="CM8" s="102">
        <v>0</v>
      </c>
      <c r="CN8" s="102">
        <v>0</v>
      </c>
      <c r="CO8" s="102">
        <v>0</v>
      </c>
      <c r="CP8" s="102">
        <v>0</v>
      </c>
      <c r="CQ8" s="102">
        <v>0</v>
      </c>
      <c r="CR8" s="102">
        <v>0</v>
      </c>
      <c r="CS8" s="102">
        <v>0</v>
      </c>
      <c r="CT8" s="102">
        <v>0</v>
      </c>
      <c r="CU8" s="102">
        <v>0</v>
      </c>
      <c r="CV8" s="102">
        <v>0</v>
      </c>
      <c r="CW8" s="102">
        <v>0</v>
      </c>
      <c r="CX8" s="102">
        <v>0</v>
      </c>
      <c r="CY8" s="102">
        <v>0</v>
      </c>
      <c r="CZ8" s="102">
        <v>0</v>
      </c>
      <c r="DA8" s="102">
        <v>0</v>
      </c>
      <c r="DB8" s="102">
        <v>0</v>
      </c>
      <c r="DC8" s="102">
        <v>0</v>
      </c>
      <c r="DD8" s="102">
        <v>0</v>
      </c>
      <c r="DE8" s="102">
        <v>0</v>
      </c>
      <c r="DF8" s="102">
        <v>0</v>
      </c>
      <c r="DG8" s="102">
        <v>0</v>
      </c>
      <c r="DH8" s="102">
        <v>0</v>
      </c>
      <c r="DI8" s="102">
        <v>0</v>
      </c>
      <c r="DJ8" s="102">
        <v>0</v>
      </c>
      <c r="DK8" s="102">
        <v>0</v>
      </c>
      <c r="DL8" s="102">
        <v>0</v>
      </c>
      <c r="DM8" s="102">
        <v>0</v>
      </c>
      <c r="DN8" s="102">
        <v>0</v>
      </c>
      <c r="DO8" s="102">
        <v>0</v>
      </c>
      <c r="DP8" s="102">
        <v>0</v>
      </c>
      <c r="DQ8" s="102">
        <v>0</v>
      </c>
      <c r="DR8" s="102">
        <v>0</v>
      </c>
      <c r="DS8" s="102">
        <v>0</v>
      </c>
      <c r="DT8" s="102">
        <v>0</v>
      </c>
      <c r="DU8" s="102">
        <v>0</v>
      </c>
      <c r="DV8" s="102">
        <v>0</v>
      </c>
      <c r="DW8" s="102">
        <v>0</v>
      </c>
      <c r="DX8" s="102">
        <v>0</v>
      </c>
      <c r="DY8" s="102">
        <v>0</v>
      </c>
      <c r="DZ8" s="102">
        <v>0</v>
      </c>
      <c r="EA8" s="102">
        <v>0</v>
      </c>
      <c r="EB8" s="102">
        <v>0</v>
      </c>
      <c r="EC8" s="102">
        <v>0</v>
      </c>
      <c r="ED8" s="102">
        <v>0</v>
      </c>
      <c r="EE8" s="102">
        <v>0</v>
      </c>
      <c r="EF8" s="102">
        <v>0</v>
      </c>
      <c r="EG8" s="102">
        <v>0</v>
      </c>
      <c r="EH8" s="102">
        <v>0</v>
      </c>
      <c r="EI8" s="102">
        <v>0</v>
      </c>
      <c r="EJ8" s="102">
        <v>0</v>
      </c>
      <c r="EK8" s="102">
        <v>0</v>
      </c>
      <c r="EL8" s="102">
        <v>0</v>
      </c>
      <c r="EM8" s="102">
        <v>0</v>
      </c>
      <c r="EN8" s="102">
        <v>0</v>
      </c>
      <c r="EO8" s="102">
        <v>0</v>
      </c>
      <c r="EP8" s="102">
        <v>0</v>
      </c>
      <c r="EQ8" s="102">
        <v>0</v>
      </c>
      <c r="ER8" s="102">
        <v>0</v>
      </c>
      <c r="ES8" s="102">
        <v>0</v>
      </c>
      <c r="ET8" s="102">
        <v>0</v>
      </c>
      <c r="EU8" s="102">
        <v>0</v>
      </c>
      <c r="EV8" s="102">
        <v>0</v>
      </c>
      <c r="EW8" s="102">
        <v>0</v>
      </c>
      <c r="EX8" s="102">
        <v>0</v>
      </c>
      <c r="EY8" s="102">
        <v>0</v>
      </c>
      <c r="EZ8" s="102">
        <v>0</v>
      </c>
      <c r="FA8" s="102">
        <v>0</v>
      </c>
      <c r="FB8" s="102">
        <v>0</v>
      </c>
      <c r="FC8" s="102">
        <v>0</v>
      </c>
      <c r="FD8" s="102">
        <v>0</v>
      </c>
      <c r="FE8" s="102">
        <v>0</v>
      </c>
      <c r="FF8" s="102">
        <v>0</v>
      </c>
      <c r="FG8" s="102">
        <v>0</v>
      </c>
      <c r="FH8" s="102">
        <v>0</v>
      </c>
      <c r="FI8" s="102">
        <v>0</v>
      </c>
      <c r="FJ8" s="71">
        <v>0</v>
      </c>
    </row>
    <row r="9" spans="1:166" x14ac:dyDescent="0.3">
      <c r="A9" s="401" t="s">
        <v>295</v>
      </c>
      <c r="B9" s="103" t="s">
        <v>336</v>
      </c>
      <c r="C9" s="103" t="s">
        <v>288</v>
      </c>
      <c r="D9" s="103" t="s">
        <v>975</v>
      </c>
      <c r="E9" s="103" t="s">
        <v>589</v>
      </c>
      <c r="F9" s="103" t="s">
        <v>952</v>
      </c>
      <c r="G9" s="103">
        <v>0</v>
      </c>
      <c r="H9" s="103">
        <v>0</v>
      </c>
      <c r="I9" s="103">
        <v>0</v>
      </c>
      <c r="J9" s="103" t="s">
        <v>284</v>
      </c>
      <c r="K9" s="103">
        <v>0</v>
      </c>
      <c r="L9" s="103" t="s">
        <v>304</v>
      </c>
      <c r="M9" s="425">
        <v>1</v>
      </c>
      <c r="N9" s="102">
        <v>0</v>
      </c>
      <c r="O9" s="393">
        <v>0</v>
      </c>
      <c r="P9" s="393">
        <v>0</v>
      </c>
      <c r="Q9" s="102">
        <v>0</v>
      </c>
      <c r="R9" s="102">
        <v>10</v>
      </c>
      <c r="S9" s="394">
        <v>1</v>
      </c>
      <c r="T9" s="426">
        <v>1</v>
      </c>
      <c r="U9" s="103">
        <v>0</v>
      </c>
      <c r="V9" s="102">
        <v>1000000</v>
      </c>
      <c r="W9" s="102">
        <v>10000000</v>
      </c>
      <c r="X9" s="102">
        <v>10000000</v>
      </c>
      <c r="Y9" s="102">
        <v>0</v>
      </c>
      <c r="Z9" s="102">
        <v>0</v>
      </c>
      <c r="AA9" s="102">
        <v>0</v>
      </c>
      <c r="AB9" s="102">
        <v>0</v>
      </c>
      <c r="AC9" s="102">
        <v>0</v>
      </c>
      <c r="AD9" s="102">
        <v>0</v>
      </c>
      <c r="AE9" s="102">
        <v>0</v>
      </c>
      <c r="AF9" s="102">
        <v>0</v>
      </c>
      <c r="AG9" s="102">
        <v>0</v>
      </c>
      <c r="AH9" s="102">
        <v>0</v>
      </c>
      <c r="AI9" s="102">
        <v>1000000</v>
      </c>
      <c r="AJ9" s="102">
        <v>1000000</v>
      </c>
      <c r="AK9" s="102">
        <v>1000000</v>
      </c>
      <c r="AL9" s="102">
        <v>1000000</v>
      </c>
      <c r="AM9" s="102">
        <v>1000000</v>
      </c>
      <c r="AN9" s="102">
        <v>1000000</v>
      </c>
      <c r="AO9" s="102">
        <v>1000000</v>
      </c>
      <c r="AP9" s="102">
        <v>1000000</v>
      </c>
      <c r="AQ9" s="102">
        <v>1000000</v>
      </c>
      <c r="AR9" s="102">
        <v>1000000</v>
      </c>
      <c r="AS9" s="102">
        <v>0</v>
      </c>
      <c r="AT9" s="102">
        <v>0</v>
      </c>
      <c r="AU9" s="102">
        <v>0</v>
      </c>
      <c r="AV9" s="102">
        <v>0</v>
      </c>
      <c r="AW9" s="102">
        <v>0</v>
      </c>
      <c r="AX9" s="102">
        <v>0</v>
      </c>
      <c r="AY9" s="102">
        <v>0</v>
      </c>
      <c r="AZ9" s="102">
        <v>0</v>
      </c>
      <c r="BA9" s="102">
        <v>0</v>
      </c>
      <c r="BB9" s="102">
        <v>0</v>
      </c>
      <c r="BC9" s="102">
        <v>0</v>
      </c>
      <c r="BD9" s="102">
        <v>0</v>
      </c>
      <c r="BE9" s="102">
        <v>0</v>
      </c>
      <c r="BF9" s="102">
        <v>0</v>
      </c>
      <c r="BG9" s="102">
        <v>0</v>
      </c>
      <c r="BH9" s="102">
        <v>0</v>
      </c>
      <c r="BI9" s="102">
        <v>0</v>
      </c>
      <c r="BJ9" s="102">
        <v>0</v>
      </c>
      <c r="BK9" s="102">
        <v>0</v>
      </c>
      <c r="BL9" s="102">
        <v>0</v>
      </c>
      <c r="BM9" s="102">
        <v>0</v>
      </c>
      <c r="BN9" s="102">
        <v>0</v>
      </c>
      <c r="BO9" s="102">
        <v>0</v>
      </c>
      <c r="BP9" s="102">
        <v>0</v>
      </c>
      <c r="BQ9" s="102">
        <v>0</v>
      </c>
      <c r="BR9" s="102">
        <v>0</v>
      </c>
      <c r="BS9" s="102">
        <v>0</v>
      </c>
      <c r="BT9" s="102">
        <v>0</v>
      </c>
      <c r="BU9" s="102">
        <v>0</v>
      </c>
      <c r="BV9" s="102">
        <v>0</v>
      </c>
      <c r="BW9" s="102">
        <v>0</v>
      </c>
      <c r="BX9" s="102">
        <v>0</v>
      </c>
      <c r="BY9" s="102">
        <v>0</v>
      </c>
      <c r="BZ9" s="102">
        <v>0</v>
      </c>
      <c r="CA9" s="102">
        <v>0</v>
      </c>
      <c r="CB9" s="102">
        <v>0</v>
      </c>
      <c r="CC9" s="102">
        <v>0</v>
      </c>
      <c r="CD9" s="102">
        <v>0</v>
      </c>
      <c r="CE9" s="102">
        <v>0</v>
      </c>
      <c r="CF9" s="102">
        <v>0</v>
      </c>
      <c r="CG9" s="102">
        <v>0</v>
      </c>
      <c r="CH9" s="102">
        <v>0</v>
      </c>
      <c r="CI9" s="102">
        <v>0</v>
      </c>
      <c r="CJ9" s="102">
        <v>0</v>
      </c>
      <c r="CK9" s="102">
        <v>0</v>
      </c>
      <c r="CL9" s="102">
        <v>0</v>
      </c>
      <c r="CM9" s="102">
        <v>0</v>
      </c>
      <c r="CN9" s="102">
        <v>0</v>
      </c>
      <c r="CO9" s="102">
        <v>0</v>
      </c>
      <c r="CP9" s="102">
        <v>0</v>
      </c>
      <c r="CQ9" s="102">
        <v>0</v>
      </c>
      <c r="CR9" s="102">
        <v>0</v>
      </c>
      <c r="CS9" s="102">
        <v>0</v>
      </c>
      <c r="CT9" s="102">
        <v>0</v>
      </c>
      <c r="CU9" s="102">
        <v>0</v>
      </c>
      <c r="CV9" s="102">
        <v>0</v>
      </c>
      <c r="CW9" s="102">
        <v>0</v>
      </c>
      <c r="CX9" s="102">
        <v>0</v>
      </c>
      <c r="CY9" s="102">
        <v>0</v>
      </c>
      <c r="CZ9" s="102">
        <v>0</v>
      </c>
      <c r="DA9" s="102">
        <v>0</v>
      </c>
      <c r="DB9" s="102">
        <v>0</v>
      </c>
      <c r="DC9" s="102">
        <v>0</v>
      </c>
      <c r="DD9" s="102">
        <v>0</v>
      </c>
      <c r="DE9" s="102">
        <v>0</v>
      </c>
      <c r="DF9" s="102">
        <v>0</v>
      </c>
      <c r="DG9" s="102">
        <v>0</v>
      </c>
      <c r="DH9" s="102">
        <v>0</v>
      </c>
      <c r="DI9" s="102">
        <v>0</v>
      </c>
      <c r="DJ9" s="102">
        <v>0</v>
      </c>
      <c r="DK9" s="102">
        <v>0</v>
      </c>
      <c r="DL9" s="102">
        <v>0</v>
      </c>
      <c r="DM9" s="102">
        <v>0</v>
      </c>
      <c r="DN9" s="102">
        <v>0</v>
      </c>
      <c r="DO9" s="102">
        <v>0</v>
      </c>
      <c r="DP9" s="102">
        <v>0</v>
      </c>
      <c r="DQ9" s="102">
        <v>0</v>
      </c>
      <c r="DR9" s="102">
        <v>0</v>
      </c>
      <c r="DS9" s="102">
        <v>0</v>
      </c>
      <c r="DT9" s="102">
        <v>0</v>
      </c>
      <c r="DU9" s="102">
        <v>0</v>
      </c>
      <c r="DV9" s="102">
        <v>0</v>
      </c>
      <c r="DW9" s="102">
        <v>0</v>
      </c>
      <c r="DX9" s="102">
        <v>0</v>
      </c>
      <c r="DY9" s="102">
        <v>0</v>
      </c>
      <c r="DZ9" s="102">
        <v>0</v>
      </c>
      <c r="EA9" s="102">
        <v>0</v>
      </c>
      <c r="EB9" s="102">
        <v>0</v>
      </c>
      <c r="EC9" s="102">
        <v>0</v>
      </c>
      <c r="ED9" s="102">
        <v>0</v>
      </c>
      <c r="EE9" s="102">
        <v>0</v>
      </c>
      <c r="EF9" s="102">
        <v>0</v>
      </c>
      <c r="EG9" s="102">
        <v>0</v>
      </c>
      <c r="EH9" s="102">
        <v>0</v>
      </c>
      <c r="EI9" s="102">
        <v>0</v>
      </c>
      <c r="EJ9" s="102">
        <v>0</v>
      </c>
      <c r="EK9" s="102">
        <v>0</v>
      </c>
      <c r="EL9" s="102">
        <v>0</v>
      </c>
      <c r="EM9" s="102">
        <v>0</v>
      </c>
      <c r="EN9" s="102">
        <v>0</v>
      </c>
      <c r="EO9" s="102">
        <v>0</v>
      </c>
      <c r="EP9" s="102">
        <v>0</v>
      </c>
      <c r="EQ9" s="102">
        <v>0</v>
      </c>
      <c r="ER9" s="102">
        <v>0</v>
      </c>
      <c r="ES9" s="102">
        <v>0</v>
      </c>
      <c r="ET9" s="102">
        <v>0</v>
      </c>
      <c r="EU9" s="102">
        <v>0</v>
      </c>
      <c r="EV9" s="102">
        <v>0</v>
      </c>
      <c r="EW9" s="102">
        <v>0</v>
      </c>
      <c r="EX9" s="102">
        <v>0</v>
      </c>
      <c r="EY9" s="102">
        <v>0</v>
      </c>
      <c r="EZ9" s="102">
        <v>0</v>
      </c>
      <c r="FA9" s="102">
        <v>0</v>
      </c>
      <c r="FB9" s="102">
        <v>0</v>
      </c>
      <c r="FC9" s="102">
        <v>0</v>
      </c>
      <c r="FD9" s="102">
        <v>0</v>
      </c>
      <c r="FE9" s="102">
        <v>0</v>
      </c>
      <c r="FF9" s="102">
        <v>0</v>
      </c>
      <c r="FG9" s="102">
        <v>0</v>
      </c>
      <c r="FH9" s="102">
        <v>0</v>
      </c>
      <c r="FI9" s="102">
        <v>0</v>
      </c>
      <c r="FJ9" s="71">
        <v>0</v>
      </c>
    </row>
    <row r="10" spans="1:166" x14ac:dyDescent="0.3">
      <c r="A10" s="401" t="s">
        <v>296</v>
      </c>
      <c r="B10" s="103" t="s">
        <v>336</v>
      </c>
      <c r="C10" s="103" t="s">
        <v>288</v>
      </c>
      <c r="D10" s="103" t="s">
        <v>975</v>
      </c>
      <c r="E10" s="103" t="s">
        <v>589</v>
      </c>
      <c r="F10" s="103" t="s">
        <v>953</v>
      </c>
      <c r="G10" s="103" t="s">
        <v>954</v>
      </c>
      <c r="H10" s="103">
        <v>0</v>
      </c>
      <c r="I10" s="103">
        <v>0</v>
      </c>
      <c r="J10" s="103" t="s">
        <v>284</v>
      </c>
      <c r="K10" s="103">
        <v>0</v>
      </c>
      <c r="L10" s="103" t="s">
        <v>304</v>
      </c>
      <c r="M10" s="425">
        <v>1</v>
      </c>
      <c r="N10" s="102">
        <v>0</v>
      </c>
      <c r="O10" s="393">
        <v>0</v>
      </c>
      <c r="P10" s="393">
        <v>0</v>
      </c>
      <c r="Q10" s="102">
        <v>0</v>
      </c>
      <c r="R10" s="102">
        <v>10</v>
      </c>
      <c r="S10" s="394">
        <v>1</v>
      </c>
      <c r="T10" s="426">
        <v>1</v>
      </c>
      <c r="U10" s="103">
        <v>0</v>
      </c>
      <c r="V10" s="102">
        <v>500000</v>
      </c>
      <c r="W10" s="102">
        <v>5000000</v>
      </c>
      <c r="X10" s="102">
        <v>5000000</v>
      </c>
      <c r="Y10" s="102">
        <v>0</v>
      </c>
      <c r="Z10" s="102">
        <v>0</v>
      </c>
      <c r="AA10" s="102">
        <v>0</v>
      </c>
      <c r="AB10" s="102">
        <v>0</v>
      </c>
      <c r="AC10" s="102">
        <v>0</v>
      </c>
      <c r="AD10" s="102">
        <v>0</v>
      </c>
      <c r="AE10" s="102">
        <v>0</v>
      </c>
      <c r="AF10" s="102">
        <v>0</v>
      </c>
      <c r="AG10" s="102">
        <v>0</v>
      </c>
      <c r="AH10" s="102">
        <v>0</v>
      </c>
      <c r="AI10" s="102">
        <v>500000</v>
      </c>
      <c r="AJ10" s="102">
        <v>500000</v>
      </c>
      <c r="AK10" s="102">
        <v>500000</v>
      </c>
      <c r="AL10" s="102">
        <v>500000</v>
      </c>
      <c r="AM10" s="102">
        <v>500000</v>
      </c>
      <c r="AN10" s="102">
        <v>500000</v>
      </c>
      <c r="AO10" s="102">
        <v>500000</v>
      </c>
      <c r="AP10" s="102">
        <v>500000</v>
      </c>
      <c r="AQ10" s="102">
        <v>500000</v>
      </c>
      <c r="AR10" s="102">
        <v>500000</v>
      </c>
      <c r="AS10" s="102">
        <v>0</v>
      </c>
      <c r="AT10" s="102">
        <v>0</v>
      </c>
      <c r="AU10" s="102">
        <v>0</v>
      </c>
      <c r="AV10" s="102">
        <v>0</v>
      </c>
      <c r="AW10" s="102">
        <v>0</v>
      </c>
      <c r="AX10" s="102">
        <v>0</v>
      </c>
      <c r="AY10" s="102">
        <v>0</v>
      </c>
      <c r="AZ10" s="102">
        <v>0</v>
      </c>
      <c r="BA10" s="102">
        <v>0</v>
      </c>
      <c r="BB10" s="102">
        <v>0</v>
      </c>
      <c r="BC10" s="102">
        <v>0</v>
      </c>
      <c r="BD10" s="102">
        <v>0</v>
      </c>
      <c r="BE10" s="102">
        <v>0</v>
      </c>
      <c r="BF10" s="102">
        <v>0</v>
      </c>
      <c r="BG10" s="102">
        <v>0</v>
      </c>
      <c r="BH10" s="102">
        <v>0</v>
      </c>
      <c r="BI10" s="102">
        <v>0</v>
      </c>
      <c r="BJ10" s="102">
        <v>0</v>
      </c>
      <c r="BK10" s="102">
        <v>0</v>
      </c>
      <c r="BL10" s="102">
        <v>0</v>
      </c>
      <c r="BM10" s="102">
        <v>0</v>
      </c>
      <c r="BN10" s="102">
        <v>0</v>
      </c>
      <c r="BO10" s="102">
        <v>0</v>
      </c>
      <c r="BP10" s="102">
        <v>0</v>
      </c>
      <c r="BQ10" s="102">
        <v>0</v>
      </c>
      <c r="BR10" s="102">
        <v>0</v>
      </c>
      <c r="BS10" s="102">
        <v>0</v>
      </c>
      <c r="BT10" s="102">
        <v>0</v>
      </c>
      <c r="BU10" s="102">
        <v>0</v>
      </c>
      <c r="BV10" s="102">
        <v>0</v>
      </c>
      <c r="BW10" s="102">
        <v>0</v>
      </c>
      <c r="BX10" s="102">
        <v>0</v>
      </c>
      <c r="BY10" s="102">
        <v>0</v>
      </c>
      <c r="BZ10" s="102">
        <v>0</v>
      </c>
      <c r="CA10" s="102">
        <v>0</v>
      </c>
      <c r="CB10" s="102">
        <v>0</v>
      </c>
      <c r="CC10" s="102">
        <v>0</v>
      </c>
      <c r="CD10" s="102">
        <v>0</v>
      </c>
      <c r="CE10" s="102">
        <v>0</v>
      </c>
      <c r="CF10" s="102">
        <v>0</v>
      </c>
      <c r="CG10" s="102">
        <v>0</v>
      </c>
      <c r="CH10" s="102">
        <v>0</v>
      </c>
      <c r="CI10" s="102">
        <v>0</v>
      </c>
      <c r="CJ10" s="102">
        <v>0</v>
      </c>
      <c r="CK10" s="102">
        <v>0</v>
      </c>
      <c r="CL10" s="102">
        <v>0</v>
      </c>
      <c r="CM10" s="102">
        <v>0</v>
      </c>
      <c r="CN10" s="102">
        <v>0</v>
      </c>
      <c r="CO10" s="102">
        <v>0</v>
      </c>
      <c r="CP10" s="102">
        <v>0</v>
      </c>
      <c r="CQ10" s="102">
        <v>0</v>
      </c>
      <c r="CR10" s="102">
        <v>0</v>
      </c>
      <c r="CS10" s="102">
        <v>0</v>
      </c>
      <c r="CT10" s="102">
        <v>0</v>
      </c>
      <c r="CU10" s="102">
        <v>0</v>
      </c>
      <c r="CV10" s="102">
        <v>0</v>
      </c>
      <c r="CW10" s="102">
        <v>0</v>
      </c>
      <c r="CX10" s="102">
        <v>0</v>
      </c>
      <c r="CY10" s="102">
        <v>0</v>
      </c>
      <c r="CZ10" s="102">
        <v>0</v>
      </c>
      <c r="DA10" s="102">
        <v>0</v>
      </c>
      <c r="DB10" s="102">
        <v>0</v>
      </c>
      <c r="DC10" s="102">
        <v>0</v>
      </c>
      <c r="DD10" s="102">
        <v>0</v>
      </c>
      <c r="DE10" s="102">
        <v>0</v>
      </c>
      <c r="DF10" s="102">
        <v>0</v>
      </c>
      <c r="DG10" s="102">
        <v>0</v>
      </c>
      <c r="DH10" s="102">
        <v>0</v>
      </c>
      <c r="DI10" s="102">
        <v>0</v>
      </c>
      <c r="DJ10" s="102">
        <v>0</v>
      </c>
      <c r="DK10" s="102">
        <v>0</v>
      </c>
      <c r="DL10" s="102">
        <v>0</v>
      </c>
      <c r="DM10" s="102">
        <v>0</v>
      </c>
      <c r="DN10" s="102">
        <v>0</v>
      </c>
      <c r="DO10" s="102">
        <v>0</v>
      </c>
      <c r="DP10" s="102">
        <v>0</v>
      </c>
      <c r="DQ10" s="102">
        <v>0</v>
      </c>
      <c r="DR10" s="102">
        <v>0</v>
      </c>
      <c r="DS10" s="102">
        <v>0</v>
      </c>
      <c r="DT10" s="102">
        <v>0</v>
      </c>
      <c r="DU10" s="102">
        <v>0</v>
      </c>
      <c r="DV10" s="102">
        <v>0</v>
      </c>
      <c r="DW10" s="102">
        <v>0</v>
      </c>
      <c r="DX10" s="102">
        <v>0</v>
      </c>
      <c r="DY10" s="102">
        <v>0</v>
      </c>
      <c r="DZ10" s="102">
        <v>0</v>
      </c>
      <c r="EA10" s="102">
        <v>0</v>
      </c>
      <c r="EB10" s="102">
        <v>0</v>
      </c>
      <c r="EC10" s="102">
        <v>0</v>
      </c>
      <c r="ED10" s="102">
        <v>0</v>
      </c>
      <c r="EE10" s="102">
        <v>0</v>
      </c>
      <c r="EF10" s="102">
        <v>0</v>
      </c>
      <c r="EG10" s="102">
        <v>0</v>
      </c>
      <c r="EH10" s="102">
        <v>0</v>
      </c>
      <c r="EI10" s="102">
        <v>0</v>
      </c>
      <c r="EJ10" s="102">
        <v>0</v>
      </c>
      <c r="EK10" s="102">
        <v>0</v>
      </c>
      <c r="EL10" s="102">
        <v>0</v>
      </c>
      <c r="EM10" s="102">
        <v>0</v>
      </c>
      <c r="EN10" s="102">
        <v>0</v>
      </c>
      <c r="EO10" s="102">
        <v>0</v>
      </c>
      <c r="EP10" s="102">
        <v>0</v>
      </c>
      <c r="EQ10" s="102">
        <v>0</v>
      </c>
      <c r="ER10" s="102">
        <v>0</v>
      </c>
      <c r="ES10" s="102">
        <v>0</v>
      </c>
      <c r="ET10" s="102">
        <v>0</v>
      </c>
      <c r="EU10" s="102">
        <v>0</v>
      </c>
      <c r="EV10" s="102">
        <v>0</v>
      </c>
      <c r="EW10" s="102">
        <v>0</v>
      </c>
      <c r="EX10" s="102">
        <v>0</v>
      </c>
      <c r="EY10" s="102">
        <v>0</v>
      </c>
      <c r="EZ10" s="102">
        <v>0</v>
      </c>
      <c r="FA10" s="102">
        <v>0</v>
      </c>
      <c r="FB10" s="102">
        <v>0</v>
      </c>
      <c r="FC10" s="102">
        <v>0</v>
      </c>
      <c r="FD10" s="102">
        <v>0</v>
      </c>
      <c r="FE10" s="102">
        <v>0</v>
      </c>
      <c r="FF10" s="102">
        <v>0</v>
      </c>
      <c r="FG10" s="102">
        <v>0</v>
      </c>
      <c r="FH10" s="102">
        <v>0</v>
      </c>
      <c r="FI10" s="102">
        <v>0</v>
      </c>
      <c r="FJ10" s="71">
        <v>0</v>
      </c>
    </row>
    <row r="11" spans="1:166" x14ac:dyDescent="0.3">
      <c r="A11" s="401" t="s">
        <v>297</v>
      </c>
      <c r="B11" s="103" t="s">
        <v>336</v>
      </c>
      <c r="C11" s="103" t="s">
        <v>288</v>
      </c>
      <c r="D11" s="103" t="s">
        <v>975</v>
      </c>
      <c r="E11" s="103" t="s">
        <v>589</v>
      </c>
      <c r="F11" s="103" t="s">
        <v>953</v>
      </c>
      <c r="G11" s="103" t="s">
        <v>955</v>
      </c>
      <c r="H11" s="103">
        <v>0</v>
      </c>
      <c r="I11" s="103">
        <v>0</v>
      </c>
      <c r="J11" s="103" t="s">
        <v>284</v>
      </c>
      <c r="K11" s="103">
        <v>0</v>
      </c>
      <c r="L11" s="103" t="s">
        <v>304</v>
      </c>
      <c r="M11" s="425">
        <v>1</v>
      </c>
      <c r="N11" s="102">
        <v>0</v>
      </c>
      <c r="O11" s="393">
        <v>0</v>
      </c>
      <c r="P11" s="393">
        <v>0</v>
      </c>
      <c r="Q11" s="102">
        <v>0</v>
      </c>
      <c r="R11" s="102">
        <v>84</v>
      </c>
      <c r="S11" s="394">
        <v>1</v>
      </c>
      <c r="T11" s="426">
        <v>1</v>
      </c>
      <c r="U11" s="103">
        <v>0</v>
      </c>
      <c r="V11" s="102">
        <v>100000</v>
      </c>
      <c r="W11" s="102">
        <v>8400000</v>
      </c>
      <c r="X11" s="102">
        <v>1200000</v>
      </c>
      <c r="Y11" s="102">
        <v>1200000</v>
      </c>
      <c r="Z11" s="102">
        <v>1200000</v>
      </c>
      <c r="AA11" s="102">
        <v>1200000</v>
      </c>
      <c r="AB11" s="102">
        <v>1200000</v>
      </c>
      <c r="AC11" s="102">
        <v>1200000</v>
      </c>
      <c r="AD11" s="102">
        <v>1200000</v>
      </c>
      <c r="AE11" s="102">
        <v>0</v>
      </c>
      <c r="AF11" s="102">
        <v>0</v>
      </c>
      <c r="AG11" s="102">
        <v>0</v>
      </c>
      <c r="AH11" s="102">
        <v>0</v>
      </c>
      <c r="AI11" s="102">
        <v>100000</v>
      </c>
      <c r="AJ11" s="102">
        <v>100000</v>
      </c>
      <c r="AK11" s="102">
        <v>100000</v>
      </c>
      <c r="AL11" s="102">
        <v>100000</v>
      </c>
      <c r="AM11" s="102">
        <v>100000</v>
      </c>
      <c r="AN11" s="102">
        <v>100000</v>
      </c>
      <c r="AO11" s="102">
        <v>100000</v>
      </c>
      <c r="AP11" s="102">
        <v>100000</v>
      </c>
      <c r="AQ11" s="102">
        <v>100000</v>
      </c>
      <c r="AR11" s="102">
        <v>100000</v>
      </c>
      <c r="AS11" s="102">
        <v>100000</v>
      </c>
      <c r="AT11" s="102">
        <v>100000</v>
      </c>
      <c r="AU11" s="102">
        <v>100000</v>
      </c>
      <c r="AV11" s="102">
        <v>100000</v>
      </c>
      <c r="AW11" s="102">
        <v>100000</v>
      </c>
      <c r="AX11" s="102">
        <v>100000</v>
      </c>
      <c r="AY11" s="102">
        <v>100000</v>
      </c>
      <c r="AZ11" s="102">
        <v>100000</v>
      </c>
      <c r="BA11" s="102">
        <v>100000</v>
      </c>
      <c r="BB11" s="102">
        <v>100000</v>
      </c>
      <c r="BC11" s="102">
        <v>100000</v>
      </c>
      <c r="BD11" s="102">
        <v>100000</v>
      </c>
      <c r="BE11" s="102">
        <v>100000</v>
      </c>
      <c r="BF11" s="102">
        <v>100000</v>
      </c>
      <c r="BG11" s="102">
        <v>100000</v>
      </c>
      <c r="BH11" s="102">
        <v>100000</v>
      </c>
      <c r="BI11" s="102">
        <v>100000</v>
      </c>
      <c r="BJ11" s="102">
        <v>100000</v>
      </c>
      <c r="BK11" s="102">
        <v>100000</v>
      </c>
      <c r="BL11" s="102">
        <v>100000</v>
      </c>
      <c r="BM11" s="102">
        <v>100000</v>
      </c>
      <c r="BN11" s="102">
        <v>100000</v>
      </c>
      <c r="BO11" s="102">
        <v>100000</v>
      </c>
      <c r="BP11" s="102">
        <v>100000</v>
      </c>
      <c r="BQ11" s="102">
        <v>100000</v>
      </c>
      <c r="BR11" s="102">
        <v>100000</v>
      </c>
      <c r="BS11" s="102">
        <v>100000</v>
      </c>
      <c r="BT11" s="102">
        <v>100000</v>
      </c>
      <c r="BU11" s="102">
        <v>100000</v>
      </c>
      <c r="BV11" s="102">
        <v>100000</v>
      </c>
      <c r="BW11" s="102">
        <v>100000</v>
      </c>
      <c r="BX11" s="102">
        <v>100000</v>
      </c>
      <c r="BY11" s="102">
        <v>100000</v>
      </c>
      <c r="BZ11" s="102">
        <v>100000</v>
      </c>
      <c r="CA11" s="102">
        <v>100000</v>
      </c>
      <c r="CB11" s="102">
        <v>100000</v>
      </c>
      <c r="CC11" s="102">
        <v>100000</v>
      </c>
      <c r="CD11" s="102">
        <v>100000</v>
      </c>
      <c r="CE11" s="102">
        <v>100000</v>
      </c>
      <c r="CF11" s="102">
        <v>100000</v>
      </c>
      <c r="CG11" s="102">
        <v>100000</v>
      </c>
      <c r="CH11" s="102">
        <v>100000</v>
      </c>
      <c r="CI11" s="102">
        <v>100000</v>
      </c>
      <c r="CJ11" s="102">
        <v>100000</v>
      </c>
      <c r="CK11" s="102">
        <v>100000</v>
      </c>
      <c r="CL11" s="102">
        <v>100000</v>
      </c>
      <c r="CM11" s="102">
        <v>100000</v>
      </c>
      <c r="CN11" s="102">
        <v>100000</v>
      </c>
      <c r="CO11" s="102">
        <v>100000</v>
      </c>
      <c r="CP11" s="102">
        <v>100000</v>
      </c>
      <c r="CQ11" s="102">
        <v>100000</v>
      </c>
      <c r="CR11" s="102">
        <v>100000</v>
      </c>
      <c r="CS11" s="102">
        <v>100000</v>
      </c>
      <c r="CT11" s="102">
        <v>100000</v>
      </c>
      <c r="CU11" s="102">
        <v>100000</v>
      </c>
      <c r="CV11" s="102">
        <v>100000</v>
      </c>
      <c r="CW11" s="102">
        <v>100000</v>
      </c>
      <c r="CX11" s="102">
        <v>100000</v>
      </c>
      <c r="CY11" s="102">
        <v>100000</v>
      </c>
      <c r="CZ11" s="102">
        <v>100000</v>
      </c>
      <c r="DA11" s="102">
        <v>100000</v>
      </c>
      <c r="DB11" s="102">
        <v>100000</v>
      </c>
      <c r="DC11" s="102">
        <v>100000</v>
      </c>
      <c r="DD11" s="102">
        <v>100000</v>
      </c>
      <c r="DE11" s="102">
        <v>100000</v>
      </c>
      <c r="DF11" s="102">
        <v>100000</v>
      </c>
      <c r="DG11" s="102">
        <v>100000</v>
      </c>
      <c r="DH11" s="102">
        <v>100000</v>
      </c>
      <c r="DI11" s="102">
        <v>100000</v>
      </c>
      <c r="DJ11" s="102">
        <v>100000</v>
      </c>
      <c r="DK11" s="102">
        <v>100000</v>
      </c>
      <c r="DL11" s="102">
        <v>100000</v>
      </c>
      <c r="DM11" s="102">
        <v>100000</v>
      </c>
      <c r="DN11" s="102">
        <v>100000</v>
      </c>
      <c r="DO11" s="102">
        <v>0</v>
      </c>
      <c r="DP11" s="102">
        <v>0</v>
      </c>
      <c r="DQ11" s="102">
        <v>0</v>
      </c>
      <c r="DR11" s="102">
        <v>0</v>
      </c>
      <c r="DS11" s="102">
        <v>0</v>
      </c>
      <c r="DT11" s="102">
        <v>0</v>
      </c>
      <c r="DU11" s="102">
        <v>0</v>
      </c>
      <c r="DV11" s="102">
        <v>0</v>
      </c>
      <c r="DW11" s="102">
        <v>0</v>
      </c>
      <c r="DX11" s="102">
        <v>0</v>
      </c>
      <c r="DY11" s="102">
        <v>0</v>
      </c>
      <c r="DZ11" s="102">
        <v>0</v>
      </c>
      <c r="EA11" s="102">
        <v>0</v>
      </c>
      <c r="EB11" s="102">
        <v>0</v>
      </c>
      <c r="EC11" s="102">
        <v>0</v>
      </c>
      <c r="ED11" s="102">
        <v>0</v>
      </c>
      <c r="EE11" s="102">
        <v>0</v>
      </c>
      <c r="EF11" s="102">
        <v>0</v>
      </c>
      <c r="EG11" s="102">
        <v>0</v>
      </c>
      <c r="EH11" s="102">
        <v>0</v>
      </c>
      <c r="EI11" s="102">
        <v>0</v>
      </c>
      <c r="EJ11" s="102">
        <v>0</v>
      </c>
      <c r="EK11" s="102">
        <v>0</v>
      </c>
      <c r="EL11" s="102">
        <v>0</v>
      </c>
      <c r="EM11" s="102">
        <v>0</v>
      </c>
      <c r="EN11" s="102">
        <v>0</v>
      </c>
      <c r="EO11" s="102">
        <v>0</v>
      </c>
      <c r="EP11" s="102">
        <v>0</v>
      </c>
      <c r="EQ11" s="102">
        <v>0</v>
      </c>
      <c r="ER11" s="102">
        <v>0</v>
      </c>
      <c r="ES11" s="102">
        <v>0</v>
      </c>
      <c r="ET11" s="102">
        <v>0</v>
      </c>
      <c r="EU11" s="102">
        <v>0</v>
      </c>
      <c r="EV11" s="102">
        <v>0</v>
      </c>
      <c r="EW11" s="102">
        <v>0</v>
      </c>
      <c r="EX11" s="102">
        <v>0</v>
      </c>
      <c r="EY11" s="102">
        <v>0</v>
      </c>
      <c r="EZ11" s="102">
        <v>0</v>
      </c>
      <c r="FA11" s="102">
        <v>0</v>
      </c>
      <c r="FB11" s="102">
        <v>0</v>
      </c>
      <c r="FC11" s="102">
        <v>0</v>
      </c>
      <c r="FD11" s="102">
        <v>0</v>
      </c>
      <c r="FE11" s="102">
        <v>0</v>
      </c>
      <c r="FF11" s="102">
        <v>0</v>
      </c>
      <c r="FG11" s="102">
        <v>0</v>
      </c>
      <c r="FH11" s="102">
        <v>0</v>
      </c>
      <c r="FI11" s="102">
        <v>0</v>
      </c>
      <c r="FJ11" s="71">
        <v>0</v>
      </c>
    </row>
    <row r="12" spans="1:166" x14ac:dyDescent="0.3">
      <c r="A12" s="401" t="s">
        <v>298</v>
      </c>
      <c r="B12" s="103" t="s">
        <v>336</v>
      </c>
      <c r="C12" s="103" t="s">
        <v>288</v>
      </c>
      <c r="D12" s="103" t="s">
        <v>975</v>
      </c>
      <c r="E12" s="103" t="s">
        <v>589</v>
      </c>
      <c r="F12" s="103" t="s">
        <v>953</v>
      </c>
      <c r="G12" s="103" t="s">
        <v>956</v>
      </c>
      <c r="H12" s="103">
        <v>0</v>
      </c>
      <c r="I12" s="103">
        <v>0</v>
      </c>
      <c r="J12" s="103" t="s">
        <v>284</v>
      </c>
      <c r="K12" s="103">
        <v>0</v>
      </c>
      <c r="L12" s="103" t="s">
        <v>304</v>
      </c>
      <c r="M12" s="425">
        <v>1</v>
      </c>
      <c r="N12" s="102">
        <v>0</v>
      </c>
      <c r="O12" s="393">
        <v>0</v>
      </c>
      <c r="P12" s="393">
        <v>0</v>
      </c>
      <c r="Q12" s="102">
        <v>0</v>
      </c>
      <c r="R12" s="102">
        <v>10</v>
      </c>
      <c r="S12" s="394">
        <v>1</v>
      </c>
      <c r="T12" s="426">
        <v>1</v>
      </c>
      <c r="U12" s="103">
        <v>0</v>
      </c>
      <c r="V12" s="102">
        <v>1150000</v>
      </c>
      <c r="W12" s="102">
        <v>11500000</v>
      </c>
      <c r="X12" s="102">
        <v>11500000</v>
      </c>
      <c r="Y12" s="102">
        <v>0</v>
      </c>
      <c r="Z12" s="102">
        <v>0</v>
      </c>
      <c r="AA12" s="102">
        <v>0</v>
      </c>
      <c r="AB12" s="102">
        <v>0</v>
      </c>
      <c r="AC12" s="102">
        <v>0</v>
      </c>
      <c r="AD12" s="102">
        <v>0</v>
      </c>
      <c r="AE12" s="102">
        <v>0</v>
      </c>
      <c r="AF12" s="102">
        <v>0</v>
      </c>
      <c r="AG12" s="102">
        <v>0</v>
      </c>
      <c r="AH12" s="102">
        <v>0</v>
      </c>
      <c r="AI12" s="102">
        <v>1150000</v>
      </c>
      <c r="AJ12" s="102">
        <v>1150000</v>
      </c>
      <c r="AK12" s="102">
        <v>1150000</v>
      </c>
      <c r="AL12" s="102">
        <v>1150000</v>
      </c>
      <c r="AM12" s="102">
        <v>1150000</v>
      </c>
      <c r="AN12" s="102">
        <v>1150000</v>
      </c>
      <c r="AO12" s="102">
        <v>1150000</v>
      </c>
      <c r="AP12" s="102">
        <v>1150000</v>
      </c>
      <c r="AQ12" s="102">
        <v>1150000</v>
      </c>
      <c r="AR12" s="102">
        <v>1150000</v>
      </c>
      <c r="AS12" s="102">
        <v>0</v>
      </c>
      <c r="AT12" s="102">
        <v>0</v>
      </c>
      <c r="AU12" s="102">
        <v>0</v>
      </c>
      <c r="AV12" s="102">
        <v>0</v>
      </c>
      <c r="AW12" s="102">
        <v>0</v>
      </c>
      <c r="AX12" s="102">
        <v>0</v>
      </c>
      <c r="AY12" s="102">
        <v>0</v>
      </c>
      <c r="AZ12" s="102">
        <v>0</v>
      </c>
      <c r="BA12" s="102">
        <v>0</v>
      </c>
      <c r="BB12" s="102">
        <v>0</v>
      </c>
      <c r="BC12" s="102">
        <v>0</v>
      </c>
      <c r="BD12" s="102">
        <v>0</v>
      </c>
      <c r="BE12" s="102">
        <v>0</v>
      </c>
      <c r="BF12" s="102">
        <v>0</v>
      </c>
      <c r="BG12" s="102">
        <v>0</v>
      </c>
      <c r="BH12" s="102">
        <v>0</v>
      </c>
      <c r="BI12" s="102">
        <v>0</v>
      </c>
      <c r="BJ12" s="102">
        <v>0</v>
      </c>
      <c r="BK12" s="102">
        <v>0</v>
      </c>
      <c r="BL12" s="102">
        <v>0</v>
      </c>
      <c r="BM12" s="102">
        <v>0</v>
      </c>
      <c r="BN12" s="102">
        <v>0</v>
      </c>
      <c r="BO12" s="102">
        <v>0</v>
      </c>
      <c r="BP12" s="102">
        <v>0</v>
      </c>
      <c r="BQ12" s="102">
        <v>0</v>
      </c>
      <c r="BR12" s="102">
        <v>0</v>
      </c>
      <c r="BS12" s="102">
        <v>0</v>
      </c>
      <c r="BT12" s="102">
        <v>0</v>
      </c>
      <c r="BU12" s="102">
        <v>0</v>
      </c>
      <c r="BV12" s="102">
        <v>0</v>
      </c>
      <c r="BW12" s="102">
        <v>0</v>
      </c>
      <c r="BX12" s="102">
        <v>0</v>
      </c>
      <c r="BY12" s="102">
        <v>0</v>
      </c>
      <c r="BZ12" s="102">
        <v>0</v>
      </c>
      <c r="CA12" s="102">
        <v>0</v>
      </c>
      <c r="CB12" s="102">
        <v>0</v>
      </c>
      <c r="CC12" s="102">
        <v>0</v>
      </c>
      <c r="CD12" s="102">
        <v>0</v>
      </c>
      <c r="CE12" s="102">
        <v>0</v>
      </c>
      <c r="CF12" s="102">
        <v>0</v>
      </c>
      <c r="CG12" s="102">
        <v>0</v>
      </c>
      <c r="CH12" s="102">
        <v>0</v>
      </c>
      <c r="CI12" s="102">
        <v>0</v>
      </c>
      <c r="CJ12" s="102">
        <v>0</v>
      </c>
      <c r="CK12" s="102">
        <v>0</v>
      </c>
      <c r="CL12" s="102">
        <v>0</v>
      </c>
      <c r="CM12" s="102">
        <v>0</v>
      </c>
      <c r="CN12" s="102">
        <v>0</v>
      </c>
      <c r="CO12" s="102">
        <v>0</v>
      </c>
      <c r="CP12" s="102">
        <v>0</v>
      </c>
      <c r="CQ12" s="102">
        <v>0</v>
      </c>
      <c r="CR12" s="102">
        <v>0</v>
      </c>
      <c r="CS12" s="102">
        <v>0</v>
      </c>
      <c r="CT12" s="102">
        <v>0</v>
      </c>
      <c r="CU12" s="102">
        <v>0</v>
      </c>
      <c r="CV12" s="102">
        <v>0</v>
      </c>
      <c r="CW12" s="102">
        <v>0</v>
      </c>
      <c r="CX12" s="102">
        <v>0</v>
      </c>
      <c r="CY12" s="102">
        <v>0</v>
      </c>
      <c r="CZ12" s="102">
        <v>0</v>
      </c>
      <c r="DA12" s="102">
        <v>0</v>
      </c>
      <c r="DB12" s="102">
        <v>0</v>
      </c>
      <c r="DC12" s="102">
        <v>0</v>
      </c>
      <c r="DD12" s="102">
        <v>0</v>
      </c>
      <c r="DE12" s="102">
        <v>0</v>
      </c>
      <c r="DF12" s="102">
        <v>0</v>
      </c>
      <c r="DG12" s="102">
        <v>0</v>
      </c>
      <c r="DH12" s="102">
        <v>0</v>
      </c>
      <c r="DI12" s="102">
        <v>0</v>
      </c>
      <c r="DJ12" s="102">
        <v>0</v>
      </c>
      <c r="DK12" s="102">
        <v>0</v>
      </c>
      <c r="DL12" s="102">
        <v>0</v>
      </c>
      <c r="DM12" s="102">
        <v>0</v>
      </c>
      <c r="DN12" s="102">
        <v>0</v>
      </c>
      <c r="DO12" s="102">
        <v>0</v>
      </c>
      <c r="DP12" s="102">
        <v>0</v>
      </c>
      <c r="DQ12" s="102">
        <v>0</v>
      </c>
      <c r="DR12" s="102">
        <v>0</v>
      </c>
      <c r="DS12" s="102">
        <v>0</v>
      </c>
      <c r="DT12" s="102">
        <v>0</v>
      </c>
      <c r="DU12" s="102">
        <v>0</v>
      </c>
      <c r="DV12" s="102">
        <v>0</v>
      </c>
      <c r="DW12" s="102">
        <v>0</v>
      </c>
      <c r="DX12" s="102">
        <v>0</v>
      </c>
      <c r="DY12" s="102">
        <v>0</v>
      </c>
      <c r="DZ12" s="102">
        <v>0</v>
      </c>
      <c r="EA12" s="102">
        <v>0</v>
      </c>
      <c r="EB12" s="102">
        <v>0</v>
      </c>
      <c r="EC12" s="102">
        <v>0</v>
      </c>
      <c r="ED12" s="102">
        <v>0</v>
      </c>
      <c r="EE12" s="102">
        <v>0</v>
      </c>
      <c r="EF12" s="102">
        <v>0</v>
      </c>
      <c r="EG12" s="102">
        <v>0</v>
      </c>
      <c r="EH12" s="102">
        <v>0</v>
      </c>
      <c r="EI12" s="102">
        <v>0</v>
      </c>
      <c r="EJ12" s="102">
        <v>0</v>
      </c>
      <c r="EK12" s="102">
        <v>0</v>
      </c>
      <c r="EL12" s="102">
        <v>0</v>
      </c>
      <c r="EM12" s="102">
        <v>0</v>
      </c>
      <c r="EN12" s="102">
        <v>0</v>
      </c>
      <c r="EO12" s="102">
        <v>0</v>
      </c>
      <c r="EP12" s="102">
        <v>0</v>
      </c>
      <c r="EQ12" s="102">
        <v>0</v>
      </c>
      <c r="ER12" s="102">
        <v>0</v>
      </c>
      <c r="ES12" s="102">
        <v>0</v>
      </c>
      <c r="ET12" s="102">
        <v>0</v>
      </c>
      <c r="EU12" s="102">
        <v>0</v>
      </c>
      <c r="EV12" s="102">
        <v>0</v>
      </c>
      <c r="EW12" s="102">
        <v>0</v>
      </c>
      <c r="EX12" s="102">
        <v>0</v>
      </c>
      <c r="EY12" s="102">
        <v>0</v>
      </c>
      <c r="EZ12" s="102">
        <v>0</v>
      </c>
      <c r="FA12" s="102">
        <v>0</v>
      </c>
      <c r="FB12" s="102">
        <v>0</v>
      </c>
      <c r="FC12" s="102">
        <v>0</v>
      </c>
      <c r="FD12" s="102">
        <v>0</v>
      </c>
      <c r="FE12" s="102">
        <v>0</v>
      </c>
      <c r="FF12" s="102">
        <v>0</v>
      </c>
      <c r="FG12" s="102">
        <v>0</v>
      </c>
      <c r="FH12" s="102">
        <v>0</v>
      </c>
      <c r="FI12" s="102">
        <v>0</v>
      </c>
      <c r="FJ12" s="71">
        <v>0</v>
      </c>
    </row>
    <row r="13" spans="1:166" x14ac:dyDescent="0.3">
      <c r="A13" s="401" t="s">
        <v>299</v>
      </c>
      <c r="B13" s="103" t="s">
        <v>336</v>
      </c>
      <c r="C13" s="103" t="s">
        <v>288</v>
      </c>
      <c r="D13" s="103" t="s">
        <v>975</v>
      </c>
      <c r="E13" s="103" t="s">
        <v>589</v>
      </c>
      <c r="F13" s="103" t="s">
        <v>953</v>
      </c>
      <c r="G13" s="103" t="s">
        <v>957</v>
      </c>
      <c r="H13" s="103">
        <v>0</v>
      </c>
      <c r="I13" s="103">
        <v>0</v>
      </c>
      <c r="J13" s="103" t="s">
        <v>284</v>
      </c>
      <c r="K13" s="103">
        <v>0</v>
      </c>
      <c r="L13" s="103" t="s">
        <v>304</v>
      </c>
      <c r="M13" s="425">
        <v>1</v>
      </c>
      <c r="N13" s="102">
        <v>0</v>
      </c>
      <c r="O13" s="393">
        <v>0</v>
      </c>
      <c r="P13" s="393">
        <v>0</v>
      </c>
      <c r="Q13" s="102">
        <v>0</v>
      </c>
      <c r="R13" s="102">
        <v>10</v>
      </c>
      <c r="S13" s="394">
        <v>1</v>
      </c>
      <c r="T13" s="426">
        <v>1</v>
      </c>
      <c r="U13" s="103">
        <v>0</v>
      </c>
      <c r="V13" s="102">
        <v>320000</v>
      </c>
      <c r="W13" s="102">
        <v>3200000</v>
      </c>
      <c r="X13" s="102">
        <v>3200000</v>
      </c>
      <c r="Y13" s="102">
        <v>0</v>
      </c>
      <c r="Z13" s="102">
        <v>0</v>
      </c>
      <c r="AA13" s="102">
        <v>0</v>
      </c>
      <c r="AB13" s="102">
        <v>0</v>
      </c>
      <c r="AC13" s="102">
        <v>0</v>
      </c>
      <c r="AD13" s="102">
        <v>0</v>
      </c>
      <c r="AE13" s="102">
        <v>0</v>
      </c>
      <c r="AF13" s="102">
        <v>0</v>
      </c>
      <c r="AG13" s="102">
        <v>0</v>
      </c>
      <c r="AH13" s="102">
        <v>0</v>
      </c>
      <c r="AI13" s="102">
        <v>320000</v>
      </c>
      <c r="AJ13" s="102">
        <v>320000</v>
      </c>
      <c r="AK13" s="102">
        <v>320000</v>
      </c>
      <c r="AL13" s="102">
        <v>320000</v>
      </c>
      <c r="AM13" s="102">
        <v>320000</v>
      </c>
      <c r="AN13" s="102">
        <v>320000</v>
      </c>
      <c r="AO13" s="102">
        <v>320000</v>
      </c>
      <c r="AP13" s="102">
        <v>320000</v>
      </c>
      <c r="AQ13" s="102">
        <v>320000</v>
      </c>
      <c r="AR13" s="102">
        <v>320000</v>
      </c>
      <c r="AS13" s="102">
        <v>0</v>
      </c>
      <c r="AT13" s="102">
        <v>0</v>
      </c>
      <c r="AU13" s="102">
        <v>0</v>
      </c>
      <c r="AV13" s="102">
        <v>0</v>
      </c>
      <c r="AW13" s="102">
        <v>0</v>
      </c>
      <c r="AX13" s="102">
        <v>0</v>
      </c>
      <c r="AY13" s="102">
        <v>0</v>
      </c>
      <c r="AZ13" s="102">
        <v>0</v>
      </c>
      <c r="BA13" s="102">
        <v>0</v>
      </c>
      <c r="BB13" s="102">
        <v>0</v>
      </c>
      <c r="BC13" s="102">
        <v>0</v>
      </c>
      <c r="BD13" s="102">
        <v>0</v>
      </c>
      <c r="BE13" s="102">
        <v>0</v>
      </c>
      <c r="BF13" s="102">
        <v>0</v>
      </c>
      <c r="BG13" s="102">
        <v>0</v>
      </c>
      <c r="BH13" s="102">
        <v>0</v>
      </c>
      <c r="BI13" s="102">
        <v>0</v>
      </c>
      <c r="BJ13" s="102">
        <v>0</v>
      </c>
      <c r="BK13" s="102">
        <v>0</v>
      </c>
      <c r="BL13" s="102">
        <v>0</v>
      </c>
      <c r="BM13" s="102">
        <v>0</v>
      </c>
      <c r="BN13" s="102">
        <v>0</v>
      </c>
      <c r="BO13" s="102">
        <v>0</v>
      </c>
      <c r="BP13" s="102">
        <v>0</v>
      </c>
      <c r="BQ13" s="102">
        <v>0</v>
      </c>
      <c r="BR13" s="102">
        <v>0</v>
      </c>
      <c r="BS13" s="102">
        <v>0</v>
      </c>
      <c r="BT13" s="102">
        <v>0</v>
      </c>
      <c r="BU13" s="102">
        <v>0</v>
      </c>
      <c r="BV13" s="102">
        <v>0</v>
      </c>
      <c r="BW13" s="102">
        <v>0</v>
      </c>
      <c r="BX13" s="102">
        <v>0</v>
      </c>
      <c r="BY13" s="102">
        <v>0</v>
      </c>
      <c r="BZ13" s="102">
        <v>0</v>
      </c>
      <c r="CA13" s="102">
        <v>0</v>
      </c>
      <c r="CB13" s="102">
        <v>0</v>
      </c>
      <c r="CC13" s="102">
        <v>0</v>
      </c>
      <c r="CD13" s="102">
        <v>0</v>
      </c>
      <c r="CE13" s="102">
        <v>0</v>
      </c>
      <c r="CF13" s="102">
        <v>0</v>
      </c>
      <c r="CG13" s="102">
        <v>0</v>
      </c>
      <c r="CH13" s="102">
        <v>0</v>
      </c>
      <c r="CI13" s="102">
        <v>0</v>
      </c>
      <c r="CJ13" s="102">
        <v>0</v>
      </c>
      <c r="CK13" s="102">
        <v>0</v>
      </c>
      <c r="CL13" s="102">
        <v>0</v>
      </c>
      <c r="CM13" s="102">
        <v>0</v>
      </c>
      <c r="CN13" s="102">
        <v>0</v>
      </c>
      <c r="CO13" s="102">
        <v>0</v>
      </c>
      <c r="CP13" s="102">
        <v>0</v>
      </c>
      <c r="CQ13" s="102">
        <v>0</v>
      </c>
      <c r="CR13" s="102">
        <v>0</v>
      </c>
      <c r="CS13" s="102">
        <v>0</v>
      </c>
      <c r="CT13" s="102">
        <v>0</v>
      </c>
      <c r="CU13" s="102">
        <v>0</v>
      </c>
      <c r="CV13" s="102">
        <v>0</v>
      </c>
      <c r="CW13" s="102">
        <v>0</v>
      </c>
      <c r="CX13" s="102">
        <v>0</v>
      </c>
      <c r="CY13" s="102">
        <v>0</v>
      </c>
      <c r="CZ13" s="102">
        <v>0</v>
      </c>
      <c r="DA13" s="102">
        <v>0</v>
      </c>
      <c r="DB13" s="102">
        <v>0</v>
      </c>
      <c r="DC13" s="102">
        <v>0</v>
      </c>
      <c r="DD13" s="102">
        <v>0</v>
      </c>
      <c r="DE13" s="102">
        <v>0</v>
      </c>
      <c r="DF13" s="102">
        <v>0</v>
      </c>
      <c r="DG13" s="102">
        <v>0</v>
      </c>
      <c r="DH13" s="102">
        <v>0</v>
      </c>
      <c r="DI13" s="102">
        <v>0</v>
      </c>
      <c r="DJ13" s="102">
        <v>0</v>
      </c>
      <c r="DK13" s="102">
        <v>0</v>
      </c>
      <c r="DL13" s="102">
        <v>0</v>
      </c>
      <c r="DM13" s="102">
        <v>0</v>
      </c>
      <c r="DN13" s="102">
        <v>0</v>
      </c>
      <c r="DO13" s="102">
        <v>0</v>
      </c>
      <c r="DP13" s="102">
        <v>0</v>
      </c>
      <c r="DQ13" s="102">
        <v>0</v>
      </c>
      <c r="DR13" s="102">
        <v>0</v>
      </c>
      <c r="DS13" s="102">
        <v>0</v>
      </c>
      <c r="DT13" s="102">
        <v>0</v>
      </c>
      <c r="DU13" s="102">
        <v>0</v>
      </c>
      <c r="DV13" s="102">
        <v>0</v>
      </c>
      <c r="DW13" s="102">
        <v>0</v>
      </c>
      <c r="DX13" s="102">
        <v>0</v>
      </c>
      <c r="DY13" s="102">
        <v>0</v>
      </c>
      <c r="DZ13" s="102">
        <v>0</v>
      </c>
      <c r="EA13" s="102">
        <v>0</v>
      </c>
      <c r="EB13" s="102">
        <v>0</v>
      </c>
      <c r="EC13" s="102">
        <v>0</v>
      </c>
      <c r="ED13" s="102">
        <v>0</v>
      </c>
      <c r="EE13" s="102">
        <v>0</v>
      </c>
      <c r="EF13" s="102">
        <v>0</v>
      </c>
      <c r="EG13" s="102">
        <v>0</v>
      </c>
      <c r="EH13" s="102">
        <v>0</v>
      </c>
      <c r="EI13" s="102">
        <v>0</v>
      </c>
      <c r="EJ13" s="102">
        <v>0</v>
      </c>
      <c r="EK13" s="102">
        <v>0</v>
      </c>
      <c r="EL13" s="102">
        <v>0</v>
      </c>
      <c r="EM13" s="102">
        <v>0</v>
      </c>
      <c r="EN13" s="102">
        <v>0</v>
      </c>
      <c r="EO13" s="102">
        <v>0</v>
      </c>
      <c r="EP13" s="102">
        <v>0</v>
      </c>
      <c r="EQ13" s="102">
        <v>0</v>
      </c>
      <c r="ER13" s="102">
        <v>0</v>
      </c>
      <c r="ES13" s="102">
        <v>0</v>
      </c>
      <c r="ET13" s="102">
        <v>0</v>
      </c>
      <c r="EU13" s="102">
        <v>0</v>
      </c>
      <c r="EV13" s="102">
        <v>0</v>
      </c>
      <c r="EW13" s="102">
        <v>0</v>
      </c>
      <c r="EX13" s="102">
        <v>0</v>
      </c>
      <c r="EY13" s="102">
        <v>0</v>
      </c>
      <c r="EZ13" s="102">
        <v>0</v>
      </c>
      <c r="FA13" s="102">
        <v>0</v>
      </c>
      <c r="FB13" s="102">
        <v>0</v>
      </c>
      <c r="FC13" s="102">
        <v>0</v>
      </c>
      <c r="FD13" s="102">
        <v>0</v>
      </c>
      <c r="FE13" s="102">
        <v>0</v>
      </c>
      <c r="FF13" s="102">
        <v>0</v>
      </c>
      <c r="FG13" s="102">
        <v>0</v>
      </c>
      <c r="FH13" s="102">
        <v>0</v>
      </c>
      <c r="FI13" s="102">
        <v>0</v>
      </c>
      <c r="FJ13" s="71">
        <v>0</v>
      </c>
    </row>
    <row r="14" spans="1:166" x14ac:dyDescent="0.3">
      <c r="A14" s="401" t="s">
        <v>300</v>
      </c>
      <c r="B14" s="103" t="s">
        <v>336</v>
      </c>
      <c r="C14" s="103" t="s">
        <v>288</v>
      </c>
      <c r="D14" s="103" t="s">
        <v>975</v>
      </c>
      <c r="E14" s="103" t="s">
        <v>589</v>
      </c>
      <c r="F14" s="103" t="s">
        <v>958</v>
      </c>
      <c r="G14" s="103" t="s">
        <v>279</v>
      </c>
      <c r="H14" s="103">
        <v>0</v>
      </c>
      <c r="I14" s="103">
        <v>0</v>
      </c>
      <c r="J14" s="103" t="s">
        <v>284</v>
      </c>
      <c r="K14" s="103">
        <v>0</v>
      </c>
      <c r="L14" s="103" t="s">
        <v>304</v>
      </c>
      <c r="M14" s="425">
        <v>1</v>
      </c>
      <c r="N14" s="102">
        <v>0</v>
      </c>
      <c r="O14" s="393">
        <v>0</v>
      </c>
      <c r="P14" s="393">
        <v>0</v>
      </c>
      <c r="Q14" s="102">
        <v>0</v>
      </c>
      <c r="R14" s="102">
        <v>3</v>
      </c>
      <c r="S14" s="394">
        <v>1</v>
      </c>
      <c r="T14" s="426">
        <v>1</v>
      </c>
      <c r="U14" s="103">
        <v>0</v>
      </c>
      <c r="V14" s="102">
        <v>1000000</v>
      </c>
      <c r="W14" s="102">
        <v>3000000</v>
      </c>
      <c r="X14" s="102">
        <v>3000000</v>
      </c>
      <c r="Y14" s="102">
        <v>0</v>
      </c>
      <c r="Z14" s="102">
        <v>0</v>
      </c>
      <c r="AA14" s="102">
        <v>0</v>
      </c>
      <c r="AB14" s="102">
        <v>0</v>
      </c>
      <c r="AC14" s="102">
        <v>0</v>
      </c>
      <c r="AD14" s="102">
        <v>0</v>
      </c>
      <c r="AE14" s="102">
        <v>0</v>
      </c>
      <c r="AF14" s="102">
        <v>0</v>
      </c>
      <c r="AG14" s="102">
        <v>0</v>
      </c>
      <c r="AH14" s="102">
        <v>0</v>
      </c>
      <c r="AI14" s="102">
        <v>1000000</v>
      </c>
      <c r="AJ14" s="102">
        <v>1000000</v>
      </c>
      <c r="AK14" s="102">
        <v>1000000</v>
      </c>
      <c r="AL14" s="102">
        <v>0</v>
      </c>
      <c r="AM14" s="102">
        <v>0</v>
      </c>
      <c r="AN14" s="102">
        <v>0</v>
      </c>
      <c r="AO14" s="102">
        <v>0</v>
      </c>
      <c r="AP14" s="102">
        <v>0</v>
      </c>
      <c r="AQ14" s="102">
        <v>0</v>
      </c>
      <c r="AR14" s="102">
        <v>0</v>
      </c>
      <c r="AS14" s="102">
        <v>0</v>
      </c>
      <c r="AT14" s="102">
        <v>0</v>
      </c>
      <c r="AU14" s="102">
        <v>0</v>
      </c>
      <c r="AV14" s="102">
        <v>0</v>
      </c>
      <c r="AW14" s="102">
        <v>0</v>
      </c>
      <c r="AX14" s="102">
        <v>0</v>
      </c>
      <c r="AY14" s="102">
        <v>0</v>
      </c>
      <c r="AZ14" s="102">
        <v>0</v>
      </c>
      <c r="BA14" s="102">
        <v>0</v>
      </c>
      <c r="BB14" s="102">
        <v>0</v>
      </c>
      <c r="BC14" s="102">
        <v>0</v>
      </c>
      <c r="BD14" s="102">
        <v>0</v>
      </c>
      <c r="BE14" s="102">
        <v>0</v>
      </c>
      <c r="BF14" s="102">
        <v>0</v>
      </c>
      <c r="BG14" s="102">
        <v>0</v>
      </c>
      <c r="BH14" s="102">
        <v>0</v>
      </c>
      <c r="BI14" s="102">
        <v>0</v>
      </c>
      <c r="BJ14" s="102">
        <v>0</v>
      </c>
      <c r="BK14" s="102">
        <v>0</v>
      </c>
      <c r="BL14" s="102">
        <v>0</v>
      </c>
      <c r="BM14" s="102">
        <v>0</v>
      </c>
      <c r="BN14" s="102">
        <v>0</v>
      </c>
      <c r="BO14" s="102">
        <v>0</v>
      </c>
      <c r="BP14" s="102">
        <v>0</v>
      </c>
      <c r="BQ14" s="102">
        <v>0</v>
      </c>
      <c r="BR14" s="102">
        <v>0</v>
      </c>
      <c r="BS14" s="102">
        <v>0</v>
      </c>
      <c r="BT14" s="102">
        <v>0</v>
      </c>
      <c r="BU14" s="102">
        <v>0</v>
      </c>
      <c r="BV14" s="102">
        <v>0</v>
      </c>
      <c r="BW14" s="102">
        <v>0</v>
      </c>
      <c r="BX14" s="102">
        <v>0</v>
      </c>
      <c r="BY14" s="102">
        <v>0</v>
      </c>
      <c r="BZ14" s="102">
        <v>0</v>
      </c>
      <c r="CA14" s="102">
        <v>0</v>
      </c>
      <c r="CB14" s="102">
        <v>0</v>
      </c>
      <c r="CC14" s="102">
        <v>0</v>
      </c>
      <c r="CD14" s="102">
        <v>0</v>
      </c>
      <c r="CE14" s="102">
        <v>0</v>
      </c>
      <c r="CF14" s="102">
        <v>0</v>
      </c>
      <c r="CG14" s="102">
        <v>0</v>
      </c>
      <c r="CH14" s="102">
        <v>0</v>
      </c>
      <c r="CI14" s="102">
        <v>0</v>
      </c>
      <c r="CJ14" s="102">
        <v>0</v>
      </c>
      <c r="CK14" s="102">
        <v>0</v>
      </c>
      <c r="CL14" s="102">
        <v>0</v>
      </c>
      <c r="CM14" s="102">
        <v>0</v>
      </c>
      <c r="CN14" s="102">
        <v>0</v>
      </c>
      <c r="CO14" s="102">
        <v>0</v>
      </c>
      <c r="CP14" s="102">
        <v>0</v>
      </c>
      <c r="CQ14" s="102">
        <v>0</v>
      </c>
      <c r="CR14" s="102">
        <v>0</v>
      </c>
      <c r="CS14" s="102">
        <v>0</v>
      </c>
      <c r="CT14" s="102">
        <v>0</v>
      </c>
      <c r="CU14" s="102">
        <v>0</v>
      </c>
      <c r="CV14" s="102">
        <v>0</v>
      </c>
      <c r="CW14" s="102">
        <v>0</v>
      </c>
      <c r="CX14" s="102">
        <v>0</v>
      </c>
      <c r="CY14" s="102">
        <v>0</v>
      </c>
      <c r="CZ14" s="102">
        <v>0</v>
      </c>
      <c r="DA14" s="102">
        <v>0</v>
      </c>
      <c r="DB14" s="102">
        <v>0</v>
      </c>
      <c r="DC14" s="102">
        <v>0</v>
      </c>
      <c r="DD14" s="102">
        <v>0</v>
      </c>
      <c r="DE14" s="102">
        <v>0</v>
      </c>
      <c r="DF14" s="102">
        <v>0</v>
      </c>
      <c r="DG14" s="102">
        <v>0</v>
      </c>
      <c r="DH14" s="102">
        <v>0</v>
      </c>
      <c r="DI14" s="102">
        <v>0</v>
      </c>
      <c r="DJ14" s="102">
        <v>0</v>
      </c>
      <c r="DK14" s="102">
        <v>0</v>
      </c>
      <c r="DL14" s="102">
        <v>0</v>
      </c>
      <c r="DM14" s="102">
        <v>0</v>
      </c>
      <c r="DN14" s="102">
        <v>0</v>
      </c>
      <c r="DO14" s="102">
        <v>0</v>
      </c>
      <c r="DP14" s="102">
        <v>0</v>
      </c>
      <c r="DQ14" s="102">
        <v>0</v>
      </c>
      <c r="DR14" s="102">
        <v>0</v>
      </c>
      <c r="DS14" s="102">
        <v>0</v>
      </c>
      <c r="DT14" s="102">
        <v>0</v>
      </c>
      <c r="DU14" s="102">
        <v>0</v>
      </c>
      <c r="DV14" s="102">
        <v>0</v>
      </c>
      <c r="DW14" s="102">
        <v>0</v>
      </c>
      <c r="DX14" s="102">
        <v>0</v>
      </c>
      <c r="DY14" s="102">
        <v>0</v>
      </c>
      <c r="DZ14" s="102">
        <v>0</v>
      </c>
      <c r="EA14" s="102">
        <v>0</v>
      </c>
      <c r="EB14" s="102">
        <v>0</v>
      </c>
      <c r="EC14" s="102">
        <v>0</v>
      </c>
      <c r="ED14" s="102">
        <v>0</v>
      </c>
      <c r="EE14" s="102">
        <v>0</v>
      </c>
      <c r="EF14" s="102">
        <v>0</v>
      </c>
      <c r="EG14" s="102">
        <v>0</v>
      </c>
      <c r="EH14" s="102">
        <v>0</v>
      </c>
      <c r="EI14" s="102">
        <v>0</v>
      </c>
      <c r="EJ14" s="102">
        <v>0</v>
      </c>
      <c r="EK14" s="102">
        <v>0</v>
      </c>
      <c r="EL14" s="102">
        <v>0</v>
      </c>
      <c r="EM14" s="102">
        <v>0</v>
      </c>
      <c r="EN14" s="102">
        <v>0</v>
      </c>
      <c r="EO14" s="102">
        <v>0</v>
      </c>
      <c r="EP14" s="102">
        <v>0</v>
      </c>
      <c r="EQ14" s="102">
        <v>0</v>
      </c>
      <c r="ER14" s="102">
        <v>0</v>
      </c>
      <c r="ES14" s="102">
        <v>0</v>
      </c>
      <c r="ET14" s="102">
        <v>0</v>
      </c>
      <c r="EU14" s="102">
        <v>0</v>
      </c>
      <c r="EV14" s="102">
        <v>0</v>
      </c>
      <c r="EW14" s="102">
        <v>0</v>
      </c>
      <c r="EX14" s="102">
        <v>0</v>
      </c>
      <c r="EY14" s="102">
        <v>0</v>
      </c>
      <c r="EZ14" s="102">
        <v>0</v>
      </c>
      <c r="FA14" s="102">
        <v>0</v>
      </c>
      <c r="FB14" s="102">
        <v>0</v>
      </c>
      <c r="FC14" s="102">
        <v>0</v>
      </c>
      <c r="FD14" s="102">
        <v>0</v>
      </c>
      <c r="FE14" s="102">
        <v>0</v>
      </c>
      <c r="FF14" s="102">
        <v>0</v>
      </c>
      <c r="FG14" s="102">
        <v>0</v>
      </c>
      <c r="FH14" s="102">
        <v>0</v>
      </c>
      <c r="FI14" s="102">
        <v>0</v>
      </c>
      <c r="FJ14" s="71">
        <v>0</v>
      </c>
    </row>
    <row r="15" spans="1:166" x14ac:dyDescent="0.3">
      <c r="A15" s="401" t="s">
        <v>301</v>
      </c>
      <c r="B15" s="103" t="s">
        <v>336</v>
      </c>
      <c r="C15" s="103" t="s">
        <v>288</v>
      </c>
      <c r="D15" s="103" t="s">
        <v>975</v>
      </c>
      <c r="E15" s="103" t="s">
        <v>589</v>
      </c>
      <c r="F15" s="103" t="s">
        <v>958</v>
      </c>
      <c r="G15" s="103" t="s">
        <v>959</v>
      </c>
      <c r="H15" s="103">
        <v>0</v>
      </c>
      <c r="I15" s="103">
        <v>0</v>
      </c>
      <c r="J15" s="103" t="s">
        <v>284</v>
      </c>
      <c r="K15" s="103">
        <v>0</v>
      </c>
      <c r="L15" s="103" t="s">
        <v>304</v>
      </c>
      <c r="M15" s="425">
        <v>1</v>
      </c>
      <c r="N15" s="102">
        <v>0</v>
      </c>
      <c r="O15" s="393">
        <v>0</v>
      </c>
      <c r="P15" s="393">
        <v>0</v>
      </c>
      <c r="Q15" s="102">
        <v>0</v>
      </c>
      <c r="R15" s="102">
        <v>15</v>
      </c>
      <c r="S15" s="394">
        <v>1</v>
      </c>
      <c r="T15" s="426">
        <v>1</v>
      </c>
      <c r="U15" s="103">
        <v>0</v>
      </c>
      <c r="V15" s="102">
        <v>1000000</v>
      </c>
      <c r="W15" s="102">
        <v>15000000</v>
      </c>
      <c r="X15" s="102">
        <v>12000000</v>
      </c>
      <c r="Y15" s="102">
        <v>3000000</v>
      </c>
      <c r="Z15" s="102">
        <v>0</v>
      </c>
      <c r="AA15" s="102">
        <v>0</v>
      </c>
      <c r="AB15" s="102">
        <v>0</v>
      </c>
      <c r="AC15" s="102">
        <v>0</v>
      </c>
      <c r="AD15" s="102">
        <v>0</v>
      </c>
      <c r="AE15" s="102">
        <v>0</v>
      </c>
      <c r="AF15" s="102">
        <v>0</v>
      </c>
      <c r="AG15" s="102">
        <v>0</v>
      </c>
      <c r="AH15" s="102">
        <v>0</v>
      </c>
      <c r="AI15" s="102">
        <v>1000000</v>
      </c>
      <c r="AJ15" s="102">
        <v>1000000</v>
      </c>
      <c r="AK15" s="102">
        <v>1000000</v>
      </c>
      <c r="AL15" s="102">
        <v>1000000</v>
      </c>
      <c r="AM15" s="102">
        <v>1000000</v>
      </c>
      <c r="AN15" s="102">
        <v>1000000</v>
      </c>
      <c r="AO15" s="102">
        <v>1000000</v>
      </c>
      <c r="AP15" s="102">
        <v>1000000</v>
      </c>
      <c r="AQ15" s="102">
        <v>1000000</v>
      </c>
      <c r="AR15" s="102">
        <v>1000000</v>
      </c>
      <c r="AS15" s="102">
        <v>1000000</v>
      </c>
      <c r="AT15" s="102">
        <v>1000000</v>
      </c>
      <c r="AU15" s="102">
        <v>1000000</v>
      </c>
      <c r="AV15" s="102">
        <v>1000000</v>
      </c>
      <c r="AW15" s="102">
        <v>1000000</v>
      </c>
      <c r="AX15" s="102">
        <v>0</v>
      </c>
      <c r="AY15" s="102">
        <v>0</v>
      </c>
      <c r="AZ15" s="102">
        <v>0</v>
      </c>
      <c r="BA15" s="102">
        <v>0</v>
      </c>
      <c r="BB15" s="102">
        <v>0</v>
      </c>
      <c r="BC15" s="102">
        <v>0</v>
      </c>
      <c r="BD15" s="102">
        <v>0</v>
      </c>
      <c r="BE15" s="102">
        <v>0</v>
      </c>
      <c r="BF15" s="102">
        <v>0</v>
      </c>
      <c r="BG15" s="102">
        <v>0</v>
      </c>
      <c r="BH15" s="102">
        <v>0</v>
      </c>
      <c r="BI15" s="102">
        <v>0</v>
      </c>
      <c r="BJ15" s="102">
        <v>0</v>
      </c>
      <c r="BK15" s="102">
        <v>0</v>
      </c>
      <c r="BL15" s="102">
        <v>0</v>
      </c>
      <c r="BM15" s="102">
        <v>0</v>
      </c>
      <c r="BN15" s="102">
        <v>0</v>
      </c>
      <c r="BO15" s="102">
        <v>0</v>
      </c>
      <c r="BP15" s="102">
        <v>0</v>
      </c>
      <c r="BQ15" s="102">
        <v>0</v>
      </c>
      <c r="BR15" s="102">
        <v>0</v>
      </c>
      <c r="BS15" s="102">
        <v>0</v>
      </c>
      <c r="BT15" s="102">
        <v>0</v>
      </c>
      <c r="BU15" s="102">
        <v>0</v>
      </c>
      <c r="BV15" s="102">
        <v>0</v>
      </c>
      <c r="BW15" s="102">
        <v>0</v>
      </c>
      <c r="BX15" s="102">
        <v>0</v>
      </c>
      <c r="BY15" s="102">
        <v>0</v>
      </c>
      <c r="BZ15" s="102">
        <v>0</v>
      </c>
      <c r="CA15" s="102">
        <v>0</v>
      </c>
      <c r="CB15" s="102">
        <v>0</v>
      </c>
      <c r="CC15" s="102">
        <v>0</v>
      </c>
      <c r="CD15" s="102">
        <v>0</v>
      </c>
      <c r="CE15" s="102">
        <v>0</v>
      </c>
      <c r="CF15" s="102">
        <v>0</v>
      </c>
      <c r="CG15" s="102">
        <v>0</v>
      </c>
      <c r="CH15" s="102">
        <v>0</v>
      </c>
      <c r="CI15" s="102">
        <v>0</v>
      </c>
      <c r="CJ15" s="102">
        <v>0</v>
      </c>
      <c r="CK15" s="102">
        <v>0</v>
      </c>
      <c r="CL15" s="102">
        <v>0</v>
      </c>
      <c r="CM15" s="102">
        <v>0</v>
      </c>
      <c r="CN15" s="102">
        <v>0</v>
      </c>
      <c r="CO15" s="102">
        <v>0</v>
      </c>
      <c r="CP15" s="102">
        <v>0</v>
      </c>
      <c r="CQ15" s="102">
        <v>0</v>
      </c>
      <c r="CR15" s="102">
        <v>0</v>
      </c>
      <c r="CS15" s="102">
        <v>0</v>
      </c>
      <c r="CT15" s="102">
        <v>0</v>
      </c>
      <c r="CU15" s="102">
        <v>0</v>
      </c>
      <c r="CV15" s="102">
        <v>0</v>
      </c>
      <c r="CW15" s="102">
        <v>0</v>
      </c>
      <c r="CX15" s="102">
        <v>0</v>
      </c>
      <c r="CY15" s="102">
        <v>0</v>
      </c>
      <c r="CZ15" s="102">
        <v>0</v>
      </c>
      <c r="DA15" s="102">
        <v>0</v>
      </c>
      <c r="DB15" s="102">
        <v>0</v>
      </c>
      <c r="DC15" s="102">
        <v>0</v>
      </c>
      <c r="DD15" s="102">
        <v>0</v>
      </c>
      <c r="DE15" s="102">
        <v>0</v>
      </c>
      <c r="DF15" s="102">
        <v>0</v>
      </c>
      <c r="DG15" s="102">
        <v>0</v>
      </c>
      <c r="DH15" s="102">
        <v>0</v>
      </c>
      <c r="DI15" s="102">
        <v>0</v>
      </c>
      <c r="DJ15" s="102">
        <v>0</v>
      </c>
      <c r="DK15" s="102">
        <v>0</v>
      </c>
      <c r="DL15" s="102">
        <v>0</v>
      </c>
      <c r="DM15" s="102">
        <v>0</v>
      </c>
      <c r="DN15" s="102">
        <v>0</v>
      </c>
      <c r="DO15" s="102">
        <v>0</v>
      </c>
      <c r="DP15" s="102">
        <v>0</v>
      </c>
      <c r="DQ15" s="102">
        <v>0</v>
      </c>
      <c r="DR15" s="102">
        <v>0</v>
      </c>
      <c r="DS15" s="102">
        <v>0</v>
      </c>
      <c r="DT15" s="102">
        <v>0</v>
      </c>
      <c r="DU15" s="102">
        <v>0</v>
      </c>
      <c r="DV15" s="102">
        <v>0</v>
      </c>
      <c r="DW15" s="102">
        <v>0</v>
      </c>
      <c r="DX15" s="102">
        <v>0</v>
      </c>
      <c r="DY15" s="102">
        <v>0</v>
      </c>
      <c r="DZ15" s="102">
        <v>0</v>
      </c>
      <c r="EA15" s="102">
        <v>0</v>
      </c>
      <c r="EB15" s="102">
        <v>0</v>
      </c>
      <c r="EC15" s="102">
        <v>0</v>
      </c>
      <c r="ED15" s="102">
        <v>0</v>
      </c>
      <c r="EE15" s="102">
        <v>0</v>
      </c>
      <c r="EF15" s="102">
        <v>0</v>
      </c>
      <c r="EG15" s="102">
        <v>0</v>
      </c>
      <c r="EH15" s="102">
        <v>0</v>
      </c>
      <c r="EI15" s="102">
        <v>0</v>
      </c>
      <c r="EJ15" s="102">
        <v>0</v>
      </c>
      <c r="EK15" s="102">
        <v>0</v>
      </c>
      <c r="EL15" s="102">
        <v>0</v>
      </c>
      <c r="EM15" s="102">
        <v>0</v>
      </c>
      <c r="EN15" s="102">
        <v>0</v>
      </c>
      <c r="EO15" s="102">
        <v>0</v>
      </c>
      <c r="EP15" s="102">
        <v>0</v>
      </c>
      <c r="EQ15" s="102">
        <v>0</v>
      </c>
      <c r="ER15" s="102">
        <v>0</v>
      </c>
      <c r="ES15" s="102">
        <v>0</v>
      </c>
      <c r="ET15" s="102">
        <v>0</v>
      </c>
      <c r="EU15" s="102">
        <v>0</v>
      </c>
      <c r="EV15" s="102">
        <v>0</v>
      </c>
      <c r="EW15" s="102">
        <v>0</v>
      </c>
      <c r="EX15" s="102">
        <v>0</v>
      </c>
      <c r="EY15" s="102">
        <v>0</v>
      </c>
      <c r="EZ15" s="102">
        <v>0</v>
      </c>
      <c r="FA15" s="102">
        <v>0</v>
      </c>
      <c r="FB15" s="102">
        <v>0</v>
      </c>
      <c r="FC15" s="102">
        <v>0</v>
      </c>
      <c r="FD15" s="102">
        <v>0</v>
      </c>
      <c r="FE15" s="102">
        <v>0</v>
      </c>
      <c r="FF15" s="102">
        <v>0</v>
      </c>
      <c r="FG15" s="102">
        <v>0</v>
      </c>
      <c r="FH15" s="102">
        <v>0</v>
      </c>
      <c r="FI15" s="102">
        <v>0</v>
      </c>
      <c r="FJ15" s="71">
        <v>0</v>
      </c>
    </row>
    <row r="16" spans="1:166" x14ac:dyDescent="0.3">
      <c r="A16" s="401" t="s">
        <v>302</v>
      </c>
      <c r="B16" s="103" t="s">
        <v>336</v>
      </c>
      <c r="C16" s="103" t="s">
        <v>288</v>
      </c>
      <c r="D16" s="103" t="s">
        <v>975</v>
      </c>
      <c r="E16" s="103" t="s">
        <v>589</v>
      </c>
      <c r="F16" s="103" t="s">
        <v>960</v>
      </c>
      <c r="G16" s="103" t="s">
        <v>279</v>
      </c>
      <c r="H16" s="103">
        <v>0</v>
      </c>
      <c r="I16" s="103">
        <v>0</v>
      </c>
      <c r="J16" s="103" t="s">
        <v>284</v>
      </c>
      <c r="K16" s="103">
        <v>0</v>
      </c>
      <c r="L16" s="103" t="s">
        <v>304</v>
      </c>
      <c r="M16" s="425">
        <v>1</v>
      </c>
      <c r="N16" s="102">
        <v>0</v>
      </c>
      <c r="O16" s="393">
        <v>0</v>
      </c>
      <c r="P16" s="393">
        <v>0</v>
      </c>
      <c r="Q16" s="102">
        <v>0</v>
      </c>
      <c r="R16" s="102">
        <v>2</v>
      </c>
      <c r="S16" s="394">
        <v>1</v>
      </c>
      <c r="T16" s="426">
        <v>1</v>
      </c>
      <c r="U16" s="103">
        <v>0</v>
      </c>
      <c r="V16" s="102">
        <v>1000000</v>
      </c>
      <c r="W16" s="102">
        <v>2000000</v>
      </c>
      <c r="X16" s="102">
        <v>2000000</v>
      </c>
      <c r="Y16" s="102">
        <v>0</v>
      </c>
      <c r="Z16" s="102">
        <v>0</v>
      </c>
      <c r="AA16" s="102">
        <v>0</v>
      </c>
      <c r="AB16" s="102">
        <v>0</v>
      </c>
      <c r="AC16" s="102">
        <v>0</v>
      </c>
      <c r="AD16" s="102">
        <v>0</v>
      </c>
      <c r="AE16" s="102">
        <v>0</v>
      </c>
      <c r="AF16" s="102">
        <v>0</v>
      </c>
      <c r="AG16" s="102">
        <v>0</v>
      </c>
      <c r="AH16" s="102">
        <v>0</v>
      </c>
      <c r="AI16" s="102">
        <v>1000000</v>
      </c>
      <c r="AJ16" s="102">
        <v>1000000</v>
      </c>
      <c r="AK16" s="102">
        <v>0</v>
      </c>
      <c r="AL16" s="102">
        <v>0</v>
      </c>
      <c r="AM16" s="102">
        <v>0</v>
      </c>
      <c r="AN16" s="102">
        <v>0</v>
      </c>
      <c r="AO16" s="102">
        <v>0</v>
      </c>
      <c r="AP16" s="102">
        <v>0</v>
      </c>
      <c r="AQ16" s="102">
        <v>0</v>
      </c>
      <c r="AR16" s="102">
        <v>0</v>
      </c>
      <c r="AS16" s="102">
        <v>0</v>
      </c>
      <c r="AT16" s="102">
        <v>0</v>
      </c>
      <c r="AU16" s="102">
        <v>0</v>
      </c>
      <c r="AV16" s="102">
        <v>0</v>
      </c>
      <c r="AW16" s="102">
        <v>0</v>
      </c>
      <c r="AX16" s="102">
        <v>0</v>
      </c>
      <c r="AY16" s="102">
        <v>0</v>
      </c>
      <c r="AZ16" s="102">
        <v>0</v>
      </c>
      <c r="BA16" s="102">
        <v>0</v>
      </c>
      <c r="BB16" s="102">
        <v>0</v>
      </c>
      <c r="BC16" s="102">
        <v>0</v>
      </c>
      <c r="BD16" s="102">
        <v>0</v>
      </c>
      <c r="BE16" s="102">
        <v>0</v>
      </c>
      <c r="BF16" s="102">
        <v>0</v>
      </c>
      <c r="BG16" s="102">
        <v>0</v>
      </c>
      <c r="BH16" s="102">
        <v>0</v>
      </c>
      <c r="BI16" s="102">
        <v>0</v>
      </c>
      <c r="BJ16" s="102">
        <v>0</v>
      </c>
      <c r="BK16" s="102">
        <v>0</v>
      </c>
      <c r="BL16" s="102">
        <v>0</v>
      </c>
      <c r="BM16" s="102">
        <v>0</v>
      </c>
      <c r="BN16" s="102">
        <v>0</v>
      </c>
      <c r="BO16" s="102">
        <v>0</v>
      </c>
      <c r="BP16" s="102">
        <v>0</v>
      </c>
      <c r="BQ16" s="102">
        <v>0</v>
      </c>
      <c r="BR16" s="102">
        <v>0</v>
      </c>
      <c r="BS16" s="102">
        <v>0</v>
      </c>
      <c r="BT16" s="102">
        <v>0</v>
      </c>
      <c r="BU16" s="102">
        <v>0</v>
      </c>
      <c r="BV16" s="102">
        <v>0</v>
      </c>
      <c r="BW16" s="102">
        <v>0</v>
      </c>
      <c r="BX16" s="102">
        <v>0</v>
      </c>
      <c r="BY16" s="102">
        <v>0</v>
      </c>
      <c r="BZ16" s="102">
        <v>0</v>
      </c>
      <c r="CA16" s="102">
        <v>0</v>
      </c>
      <c r="CB16" s="102">
        <v>0</v>
      </c>
      <c r="CC16" s="102">
        <v>0</v>
      </c>
      <c r="CD16" s="102">
        <v>0</v>
      </c>
      <c r="CE16" s="102">
        <v>0</v>
      </c>
      <c r="CF16" s="102">
        <v>0</v>
      </c>
      <c r="CG16" s="102">
        <v>0</v>
      </c>
      <c r="CH16" s="102">
        <v>0</v>
      </c>
      <c r="CI16" s="102">
        <v>0</v>
      </c>
      <c r="CJ16" s="102">
        <v>0</v>
      </c>
      <c r="CK16" s="102">
        <v>0</v>
      </c>
      <c r="CL16" s="102">
        <v>0</v>
      </c>
      <c r="CM16" s="102">
        <v>0</v>
      </c>
      <c r="CN16" s="102">
        <v>0</v>
      </c>
      <c r="CO16" s="102">
        <v>0</v>
      </c>
      <c r="CP16" s="102">
        <v>0</v>
      </c>
      <c r="CQ16" s="102">
        <v>0</v>
      </c>
      <c r="CR16" s="102">
        <v>0</v>
      </c>
      <c r="CS16" s="102">
        <v>0</v>
      </c>
      <c r="CT16" s="102">
        <v>0</v>
      </c>
      <c r="CU16" s="102">
        <v>0</v>
      </c>
      <c r="CV16" s="102">
        <v>0</v>
      </c>
      <c r="CW16" s="102">
        <v>0</v>
      </c>
      <c r="CX16" s="102">
        <v>0</v>
      </c>
      <c r="CY16" s="102">
        <v>0</v>
      </c>
      <c r="CZ16" s="102">
        <v>0</v>
      </c>
      <c r="DA16" s="102">
        <v>0</v>
      </c>
      <c r="DB16" s="102">
        <v>0</v>
      </c>
      <c r="DC16" s="102">
        <v>0</v>
      </c>
      <c r="DD16" s="102">
        <v>0</v>
      </c>
      <c r="DE16" s="102">
        <v>0</v>
      </c>
      <c r="DF16" s="102">
        <v>0</v>
      </c>
      <c r="DG16" s="102">
        <v>0</v>
      </c>
      <c r="DH16" s="102">
        <v>0</v>
      </c>
      <c r="DI16" s="102">
        <v>0</v>
      </c>
      <c r="DJ16" s="102">
        <v>0</v>
      </c>
      <c r="DK16" s="102">
        <v>0</v>
      </c>
      <c r="DL16" s="102">
        <v>0</v>
      </c>
      <c r="DM16" s="102">
        <v>0</v>
      </c>
      <c r="DN16" s="102">
        <v>0</v>
      </c>
      <c r="DO16" s="102">
        <v>0</v>
      </c>
      <c r="DP16" s="102">
        <v>0</v>
      </c>
      <c r="DQ16" s="102">
        <v>0</v>
      </c>
      <c r="DR16" s="102">
        <v>0</v>
      </c>
      <c r="DS16" s="102">
        <v>0</v>
      </c>
      <c r="DT16" s="102">
        <v>0</v>
      </c>
      <c r="DU16" s="102">
        <v>0</v>
      </c>
      <c r="DV16" s="102">
        <v>0</v>
      </c>
      <c r="DW16" s="102">
        <v>0</v>
      </c>
      <c r="DX16" s="102">
        <v>0</v>
      </c>
      <c r="DY16" s="102">
        <v>0</v>
      </c>
      <c r="DZ16" s="102">
        <v>0</v>
      </c>
      <c r="EA16" s="102">
        <v>0</v>
      </c>
      <c r="EB16" s="102">
        <v>0</v>
      </c>
      <c r="EC16" s="102">
        <v>0</v>
      </c>
      <c r="ED16" s="102">
        <v>0</v>
      </c>
      <c r="EE16" s="102">
        <v>0</v>
      </c>
      <c r="EF16" s="102">
        <v>0</v>
      </c>
      <c r="EG16" s="102">
        <v>0</v>
      </c>
      <c r="EH16" s="102">
        <v>0</v>
      </c>
      <c r="EI16" s="102">
        <v>0</v>
      </c>
      <c r="EJ16" s="102">
        <v>0</v>
      </c>
      <c r="EK16" s="102">
        <v>0</v>
      </c>
      <c r="EL16" s="102">
        <v>0</v>
      </c>
      <c r="EM16" s="102">
        <v>0</v>
      </c>
      <c r="EN16" s="102">
        <v>0</v>
      </c>
      <c r="EO16" s="102">
        <v>0</v>
      </c>
      <c r="EP16" s="102">
        <v>0</v>
      </c>
      <c r="EQ16" s="102">
        <v>0</v>
      </c>
      <c r="ER16" s="102">
        <v>0</v>
      </c>
      <c r="ES16" s="102">
        <v>0</v>
      </c>
      <c r="ET16" s="102">
        <v>0</v>
      </c>
      <c r="EU16" s="102">
        <v>0</v>
      </c>
      <c r="EV16" s="102">
        <v>0</v>
      </c>
      <c r="EW16" s="102">
        <v>0</v>
      </c>
      <c r="EX16" s="102">
        <v>0</v>
      </c>
      <c r="EY16" s="102">
        <v>0</v>
      </c>
      <c r="EZ16" s="102">
        <v>0</v>
      </c>
      <c r="FA16" s="102">
        <v>0</v>
      </c>
      <c r="FB16" s="102">
        <v>0</v>
      </c>
      <c r="FC16" s="102">
        <v>0</v>
      </c>
      <c r="FD16" s="102">
        <v>0</v>
      </c>
      <c r="FE16" s="102">
        <v>0</v>
      </c>
      <c r="FF16" s="102">
        <v>0</v>
      </c>
      <c r="FG16" s="102">
        <v>0</v>
      </c>
      <c r="FH16" s="102">
        <v>0</v>
      </c>
      <c r="FI16" s="102">
        <v>0</v>
      </c>
      <c r="FJ16" s="71">
        <v>0</v>
      </c>
    </row>
    <row r="17" spans="1:166" x14ac:dyDescent="0.3">
      <c r="A17" s="401" t="s">
        <v>303</v>
      </c>
      <c r="B17" s="103" t="s">
        <v>336</v>
      </c>
      <c r="C17" s="103" t="s">
        <v>288</v>
      </c>
      <c r="D17" s="103" t="s">
        <v>975</v>
      </c>
      <c r="E17" s="103" t="s">
        <v>589</v>
      </c>
      <c r="F17" s="103" t="s">
        <v>960</v>
      </c>
      <c r="G17" s="103" t="s">
        <v>959</v>
      </c>
      <c r="H17" s="103">
        <v>0</v>
      </c>
      <c r="I17" s="103">
        <v>0</v>
      </c>
      <c r="J17" s="103" t="s">
        <v>284</v>
      </c>
      <c r="K17" s="103">
        <v>0</v>
      </c>
      <c r="L17" s="103" t="s">
        <v>304</v>
      </c>
      <c r="M17" s="425">
        <v>1</v>
      </c>
      <c r="N17" s="102">
        <v>0</v>
      </c>
      <c r="O17" s="393">
        <v>0</v>
      </c>
      <c r="P17" s="393">
        <v>0</v>
      </c>
      <c r="Q17" s="102">
        <v>0</v>
      </c>
      <c r="R17" s="102">
        <v>12</v>
      </c>
      <c r="S17" s="394">
        <v>1</v>
      </c>
      <c r="T17" s="426">
        <v>1</v>
      </c>
      <c r="U17" s="103">
        <v>0</v>
      </c>
      <c r="V17" s="102">
        <v>1000000</v>
      </c>
      <c r="W17" s="102">
        <v>12000000</v>
      </c>
      <c r="X17" s="102">
        <v>12000000</v>
      </c>
      <c r="Y17" s="102">
        <v>0</v>
      </c>
      <c r="Z17" s="102">
        <v>0</v>
      </c>
      <c r="AA17" s="102">
        <v>0</v>
      </c>
      <c r="AB17" s="102">
        <v>0</v>
      </c>
      <c r="AC17" s="102">
        <v>0</v>
      </c>
      <c r="AD17" s="102">
        <v>0</v>
      </c>
      <c r="AE17" s="102">
        <v>0</v>
      </c>
      <c r="AF17" s="102">
        <v>0</v>
      </c>
      <c r="AG17" s="102">
        <v>0</v>
      </c>
      <c r="AH17" s="102">
        <v>0</v>
      </c>
      <c r="AI17" s="102">
        <v>1000000</v>
      </c>
      <c r="AJ17" s="102">
        <v>1000000</v>
      </c>
      <c r="AK17" s="102">
        <v>1000000</v>
      </c>
      <c r="AL17" s="102">
        <v>1000000</v>
      </c>
      <c r="AM17" s="102">
        <v>1000000</v>
      </c>
      <c r="AN17" s="102">
        <v>1000000</v>
      </c>
      <c r="AO17" s="102">
        <v>1000000</v>
      </c>
      <c r="AP17" s="102">
        <v>1000000</v>
      </c>
      <c r="AQ17" s="102">
        <v>1000000</v>
      </c>
      <c r="AR17" s="102">
        <v>1000000</v>
      </c>
      <c r="AS17" s="102">
        <v>1000000</v>
      </c>
      <c r="AT17" s="102">
        <v>1000000</v>
      </c>
      <c r="AU17" s="102">
        <v>0</v>
      </c>
      <c r="AV17" s="102">
        <v>0</v>
      </c>
      <c r="AW17" s="102">
        <v>0</v>
      </c>
      <c r="AX17" s="102">
        <v>0</v>
      </c>
      <c r="AY17" s="102">
        <v>0</v>
      </c>
      <c r="AZ17" s="102">
        <v>0</v>
      </c>
      <c r="BA17" s="102">
        <v>0</v>
      </c>
      <c r="BB17" s="102">
        <v>0</v>
      </c>
      <c r="BC17" s="102">
        <v>0</v>
      </c>
      <c r="BD17" s="102">
        <v>0</v>
      </c>
      <c r="BE17" s="102">
        <v>0</v>
      </c>
      <c r="BF17" s="102">
        <v>0</v>
      </c>
      <c r="BG17" s="102">
        <v>0</v>
      </c>
      <c r="BH17" s="102">
        <v>0</v>
      </c>
      <c r="BI17" s="102">
        <v>0</v>
      </c>
      <c r="BJ17" s="102">
        <v>0</v>
      </c>
      <c r="BK17" s="102">
        <v>0</v>
      </c>
      <c r="BL17" s="102">
        <v>0</v>
      </c>
      <c r="BM17" s="102">
        <v>0</v>
      </c>
      <c r="BN17" s="102">
        <v>0</v>
      </c>
      <c r="BO17" s="102">
        <v>0</v>
      </c>
      <c r="BP17" s="102">
        <v>0</v>
      </c>
      <c r="BQ17" s="102">
        <v>0</v>
      </c>
      <c r="BR17" s="102">
        <v>0</v>
      </c>
      <c r="BS17" s="102">
        <v>0</v>
      </c>
      <c r="BT17" s="102">
        <v>0</v>
      </c>
      <c r="BU17" s="102">
        <v>0</v>
      </c>
      <c r="BV17" s="102">
        <v>0</v>
      </c>
      <c r="BW17" s="102">
        <v>0</v>
      </c>
      <c r="BX17" s="102">
        <v>0</v>
      </c>
      <c r="BY17" s="102">
        <v>0</v>
      </c>
      <c r="BZ17" s="102">
        <v>0</v>
      </c>
      <c r="CA17" s="102">
        <v>0</v>
      </c>
      <c r="CB17" s="102">
        <v>0</v>
      </c>
      <c r="CC17" s="102">
        <v>0</v>
      </c>
      <c r="CD17" s="102">
        <v>0</v>
      </c>
      <c r="CE17" s="102">
        <v>0</v>
      </c>
      <c r="CF17" s="102">
        <v>0</v>
      </c>
      <c r="CG17" s="102">
        <v>0</v>
      </c>
      <c r="CH17" s="102">
        <v>0</v>
      </c>
      <c r="CI17" s="102">
        <v>0</v>
      </c>
      <c r="CJ17" s="102">
        <v>0</v>
      </c>
      <c r="CK17" s="102">
        <v>0</v>
      </c>
      <c r="CL17" s="102">
        <v>0</v>
      </c>
      <c r="CM17" s="102">
        <v>0</v>
      </c>
      <c r="CN17" s="102">
        <v>0</v>
      </c>
      <c r="CO17" s="102">
        <v>0</v>
      </c>
      <c r="CP17" s="102">
        <v>0</v>
      </c>
      <c r="CQ17" s="102">
        <v>0</v>
      </c>
      <c r="CR17" s="102">
        <v>0</v>
      </c>
      <c r="CS17" s="102">
        <v>0</v>
      </c>
      <c r="CT17" s="102">
        <v>0</v>
      </c>
      <c r="CU17" s="102">
        <v>0</v>
      </c>
      <c r="CV17" s="102">
        <v>0</v>
      </c>
      <c r="CW17" s="102">
        <v>0</v>
      </c>
      <c r="CX17" s="102">
        <v>0</v>
      </c>
      <c r="CY17" s="102">
        <v>0</v>
      </c>
      <c r="CZ17" s="102">
        <v>0</v>
      </c>
      <c r="DA17" s="102">
        <v>0</v>
      </c>
      <c r="DB17" s="102">
        <v>0</v>
      </c>
      <c r="DC17" s="102">
        <v>0</v>
      </c>
      <c r="DD17" s="102">
        <v>0</v>
      </c>
      <c r="DE17" s="102">
        <v>0</v>
      </c>
      <c r="DF17" s="102">
        <v>0</v>
      </c>
      <c r="DG17" s="102">
        <v>0</v>
      </c>
      <c r="DH17" s="102">
        <v>0</v>
      </c>
      <c r="DI17" s="102">
        <v>0</v>
      </c>
      <c r="DJ17" s="102">
        <v>0</v>
      </c>
      <c r="DK17" s="102">
        <v>0</v>
      </c>
      <c r="DL17" s="102">
        <v>0</v>
      </c>
      <c r="DM17" s="102">
        <v>0</v>
      </c>
      <c r="DN17" s="102">
        <v>0</v>
      </c>
      <c r="DO17" s="102">
        <v>0</v>
      </c>
      <c r="DP17" s="102">
        <v>0</v>
      </c>
      <c r="DQ17" s="102">
        <v>0</v>
      </c>
      <c r="DR17" s="102">
        <v>0</v>
      </c>
      <c r="DS17" s="102">
        <v>0</v>
      </c>
      <c r="DT17" s="102">
        <v>0</v>
      </c>
      <c r="DU17" s="102">
        <v>0</v>
      </c>
      <c r="DV17" s="102">
        <v>0</v>
      </c>
      <c r="DW17" s="102">
        <v>0</v>
      </c>
      <c r="DX17" s="102">
        <v>0</v>
      </c>
      <c r="DY17" s="102">
        <v>0</v>
      </c>
      <c r="DZ17" s="102">
        <v>0</v>
      </c>
      <c r="EA17" s="102">
        <v>0</v>
      </c>
      <c r="EB17" s="102">
        <v>0</v>
      </c>
      <c r="EC17" s="102">
        <v>0</v>
      </c>
      <c r="ED17" s="102">
        <v>0</v>
      </c>
      <c r="EE17" s="102">
        <v>0</v>
      </c>
      <c r="EF17" s="102">
        <v>0</v>
      </c>
      <c r="EG17" s="102">
        <v>0</v>
      </c>
      <c r="EH17" s="102">
        <v>0</v>
      </c>
      <c r="EI17" s="102">
        <v>0</v>
      </c>
      <c r="EJ17" s="102">
        <v>0</v>
      </c>
      <c r="EK17" s="102">
        <v>0</v>
      </c>
      <c r="EL17" s="102">
        <v>0</v>
      </c>
      <c r="EM17" s="102">
        <v>0</v>
      </c>
      <c r="EN17" s="102">
        <v>0</v>
      </c>
      <c r="EO17" s="102">
        <v>0</v>
      </c>
      <c r="EP17" s="102">
        <v>0</v>
      </c>
      <c r="EQ17" s="102">
        <v>0</v>
      </c>
      <c r="ER17" s="102">
        <v>0</v>
      </c>
      <c r="ES17" s="102">
        <v>0</v>
      </c>
      <c r="ET17" s="102">
        <v>0</v>
      </c>
      <c r="EU17" s="102">
        <v>0</v>
      </c>
      <c r="EV17" s="102">
        <v>0</v>
      </c>
      <c r="EW17" s="102">
        <v>0</v>
      </c>
      <c r="EX17" s="102">
        <v>0</v>
      </c>
      <c r="EY17" s="102">
        <v>0</v>
      </c>
      <c r="EZ17" s="102">
        <v>0</v>
      </c>
      <c r="FA17" s="102">
        <v>0</v>
      </c>
      <c r="FB17" s="102">
        <v>0</v>
      </c>
      <c r="FC17" s="102">
        <v>0</v>
      </c>
      <c r="FD17" s="102">
        <v>0</v>
      </c>
      <c r="FE17" s="102">
        <v>0</v>
      </c>
      <c r="FF17" s="102">
        <v>0</v>
      </c>
      <c r="FG17" s="102">
        <v>0</v>
      </c>
      <c r="FH17" s="102">
        <v>0</v>
      </c>
      <c r="FI17" s="102">
        <v>0</v>
      </c>
      <c r="FJ17" s="71">
        <v>0</v>
      </c>
    </row>
    <row r="18" spans="1:166" x14ac:dyDescent="0.3">
      <c r="A18" s="401" t="s">
        <v>962</v>
      </c>
      <c r="B18" s="103" t="s">
        <v>336</v>
      </c>
      <c r="C18" s="103" t="s">
        <v>288</v>
      </c>
      <c r="D18" s="103" t="s">
        <v>975</v>
      </c>
      <c r="E18" s="103" t="s">
        <v>589</v>
      </c>
      <c r="F18" s="419" t="s">
        <v>961</v>
      </c>
      <c r="G18" s="103" t="s">
        <v>279</v>
      </c>
      <c r="H18" s="103">
        <v>0</v>
      </c>
      <c r="I18" s="103">
        <v>0</v>
      </c>
      <c r="J18" s="103" t="s">
        <v>284</v>
      </c>
      <c r="K18" s="103">
        <v>0</v>
      </c>
      <c r="L18" s="103" t="s">
        <v>304</v>
      </c>
      <c r="M18" s="425">
        <v>1</v>
      </c>
      <c r="N18" s="103">
        <v>0</v>
      </c>
      <c r="O18" s="393">
        <v>0</v>
      </c>
      <c r="P18" s="393">
        <v>0</v>
      </c>
      <c r="Q18" s="102">
        <v>0</v>
      </c>
      <c r="R18" s="420">
        <v>10</v>
      </c>
      <c r="S18" s="394">
        <v>1</v>
      </c>
      <c r="T18" s="426">
        <v>1</v>
      </c>
      <c r="U18" s="103">
        <v>0</v>
      </c>
      <c r="V18" s="102">
        <v>200000</v>
      </c>
      <c r="W18" s="102">
        <v>2000000</v>
      </c>
      <c r="X18" s="102">
        <v>2000000</v>
      </c>
      <c r="Y18" s="102">
        <v>0</v>
      </c>
      <c r="Z18" s="102">
        <v>0</v>
      </c>
      <c r="AA18" s="102">
        <v>0</v>
      </c>
      <c r="AB18" s="102">
        <v>0</v>
      </c>
      <c r="AC18" s="102">
        <v>0</v>
      </c>
      <c r="AD18" s="102">
        <v>0</v>
      </c>
      <c r="AE18" s="102">
        <v>0</v>
      </c>
      <c r="AF18" s="102">
        <v>0</v>
      </c>
      <c r="AG18" s="102">
        <v>0</v>
      </c>
      <c r="AH18" s="102">
        <v>0</v>
      </c>
      <c r="AI18" s="102">
        <v>200000</v>
      </c>
      <c r="AJ18" s="102">
        <v>200000</v>
      </c>
      <c r="AK18" s="102">
        <v>200000</v>
      </c>
      <c r="AL18" s="102">
        <v>200000</v>
      </c>
      <c r="AM18" s="102">
        <v>200000</v>
      </c>
      <c r="AN18" s="102">
        <v>200000</v>
      </c>
      <c r="AO18" s="102">
        <v>200000</v>
      </c>
      <c r="AP18" s="102">
        <v>200000</v>
      </c>
      <c r="AQ18" s="102">
        <v>200000</v>
      </c>
      <c r="AR18" s="102">
        <v>200000</v>
      </c>
      <c r="AS18" s="102">
        <v>0</v>
      </c>
      <c r="AT18" s="102">
        <v>0</v>
      </c>
      <c r="AU18" s="102">
        <v>0</v>
      </c>
      <c r="AV18" s="102">
        <v>0</v>
      </c>
      <c r="AW18" s="102">
        <v>0</v>
      </c>
      <c r="AX18" s="102">
        <v>0</v>
      </c>
      <c r="AY18" s="102">
        <v>0</v>
      </c>
      <c r="AZ18" s="102">
        <v>0</v>
      </c>
      <c r="BA18" s="102">
        <v>0</v>
      </c>
      <c r="BB18" s="102">
        <v>0</v>
      </c>
      <c r="BC18" s="102">
        <v>0</v>
      </c>
      <c r="BD18" s="102">
        <v>0</v>
      </c>
      <c r="BE18" s="102">
        <v>0</v>
      </c>
      <c r="BF18" s="102">
        <v>0</v>
      </c>
      <c r="BG18" s="102">
        <v>0</v>
      </c>
      <c r="BH18" s="102">
        <v>0</v>
      </c>
      <c r="BI18" s="102">
        <v>0</v>
      </c>
      <c r="BJ18" s="102">
        <v>0</v>
      </c>
      <c r="BK18" s="102">
        <v>0</v>
      </c>
      <c r="BL18" s="102">
        <v>0</v>
      </c>
      <c r="BM18" s="102">
        <v>0</v>
      </c>
      <c r="BN18" s="102">
        <v>0</v>
      </c>
      <c r="BO18" s="102">
        <v>0</v>
      </c>
      <c r="BP18" s="102">
        <v>0</v>
      </c>
      <c r="BQ18" s="102">
        <v>0</v>
      </c>
      <c r="BR18" s="102">
        <v>0</v>
      </c>
      <c r="BS18" s="102">
        <v>0</v>
      </c>
      <c r="BT18" s="102">
        <v>0</v>
      </c>
      <c r="BU18" s="102">
        <v>0</v>
      </c>
      <c r="BV18" s="102">
        <v>0</v>
      </c>
      <c r="BW18" s="102">
        <v>0</v>
      </c>
      <c r="BX18" s="102">
        <v>0</v>
      </c>
      <c r="BY18" s="102">
        <v>0</v>
      </c>
      <c r="BZ18" s="102">
        <v>0</v>
      </c>
      <c r="CA18" s="102">
        <v>0</v>
      </c>
      <c r="CB18" s="102">
        <v>0</v>
      </c>
      <c r="CC18" s="102">
        <v>0</v>
      </c>
      <c r="CD18" s="102">
        <v>0</v>
      </c>
      <c r="CE18" s="102">
        <v>0</v>
      </c>
      <c r="CF18" s="102">
        <v>0</v>
      </c>
      <c r="CG18" s="102">
        <v>0</v>
      </c>
      <c r="CH18" s="102">
        <v>0</v>
      </c>
      <c r="CI18" s="102">
        <v>0</v>
      </c>
      <c r="CJ18" s="102">
        <v>0</v>
      </c>
      <c r="CK18" s="102">
        <v>0</v>
      </c>
      <c r="CL18" s="102">
        <v>0</v>
      </c>
      <c r="CM18" s="102">
        <v>0</v>
      </c>
      <c r="CN18" s="102">
        <v>0</v>
      </c>
      <c r="CO18" s="102">
        <v>0</v>
      </c>
      <c r="CP18" s="102">
        <v>0</v>
      </c>
      <c r="CQ18" s="102">
        <v>0</v>
      </c>
      <c r="CR18" s="102">
        <v>0</v>
      </c>
      <c r="CS18" s="102">
        <v>0</v>
      </c>
      <c r="CT18" s="102">
        <v>0</v>
      </c>
      <c r="CU18" s="102">
        <v>0</v>
      </c>
      <c r="CV18" s="102">
        <v>0</v>
      </c>
      <c r="CW18" s="102">
        <v>0</v>
      </c>
      <c r="CX18" s="102">
        <v>0</v>
      </c>
      <c r="CY18" s="102">
        <v>0</v>
      </c>
      <c r="CZ18" s="102">
        <v>0</v>
      </c>
      <c r="DA18" s="102">
        <v>0</v>
      </c>
      <c r="DB18" s="102">
        <v>0</v>
      </c>
      <c r="DC18" s="102">
        <v>0</v>
      </c>
      <c r="DD18" s="102">
        <v>0</v>
      </c>
      <c r="DE18" s="102">
        <v>0</v>
      </c>
      <c r="DF18" s="102">
        <v>0</v>
      </c>
      <c r="DG18" s="102">
        <v>0</v>
      </c>
      <c r="DH18" s="102">
        <v>0</v>
      </c>
      <c r="DI18" s="102">
        <v>0</v>
      </c>
      <c r="DJ18" s="102">
        <v>0</v>
      </c>
      <c r="DK18" s="102">
        <v>0</v>
      </c>
      <c r="DL18" s="102">
        <v>0</v>
      </c>
      <c r="DM18" s="102">
        <v>0</v>
      </c>
      <c r="DN18" s="102">
        <v>0</v>
      </c>
      <c r="DO18" s="102">
        <v>0</v>
      </c>
      <c r="DP18" s="102">
        <v>0</v>
      </c>
      <c r="DQ18" s="102">
        <v>0</v>
      </c>
      <c r="DR18" s="102">
        <v>0</v>
      </c>
      <c r="DS18" s="102">
        <v>0</v>
      </c>
      <c r="DT18" s="102">
        <v>0</v>
      </c>
      <c r="DU18" s="102">
        <v>0</v>
      </c>
      <c r="DV18" s="102">
        <v>0</v>
      </c>
      <c r="DW18" s="102">
        <v>0</v>
      </c>
      <c r="DX18" s="102">
        <v>0</v>
      </c>
      <c r="DY18" s="102">
        <v>0</v>
      </c>
      <c r="DZ18" s="102">
        <v>0</v>
      </c>
      <c r="EA18" s="102">
        <v>0</v>
      </c>
      <c r="EB18" s="102">
        <v>0</v>
      </c>
      <c r="EC18" s="102">
        <v>0</v>
      </c>
      <c r="ED18" s="102">
        <v>0</v>
      </c>
      <c r="EE18" s="102">
        <v>0</v>
      </c>
      <c r="EF18" s="102">
        <v>0</v>
      </c>
      <c r="EG18" s="102">
        <v>0</v>
      </c>
      <c r="EH18" s="102">
        <v>0</v>
      </c>
      <c r="EI18" s="102">
        <v>0</v>
      </c>
      <c r="EJ18" s="102">
        <v>0</v>
      </c>
      <c r="EK18" s="102">
        <v>0</v>
      </c>
      <c r="EL18" s="102">
        <v>0</v>
      </c>
      <c r="EM18" s="102">
        <v>0</v>
      </c>
      <c r="EN18" s="102">
        <v>0</v>
      </c>
      <c r="EO18" s="102">
        <v>0</v>
      </c>
      <c r="EP18" s="102">
        <v>0</v>
      </c>
      <c r="EQ18" s="102">
        <v>0</v>
      </c>
      <c r="ER18" s="102">
        <v>0</v>
      </c>
      <c r="ES18" s="102">
        <v>0</v>
      </c>
      <c r="ET18" s="102">
        <v>0</v>
      </c>
      <c r="EU18" s="102">
        <v>0</v>
      </c>
      <c r="EV18" s="102">
        <v>0</v>
      </c>
      <c r="EW18" s="102">
        <v>0</v>
      </c>
      <c r="EX18" s="102">
        <v>0</v>
      </c>
      <c r="EY18" s="102">
        <v>0</v>
      </c>
      <c r="EZ18" s="102">
        <v>0</v>
      </c>
      <c r="FA18" s="102">
        <v>0</v>
      </c>
      <c r="FB18" s="102">
        <v>0</v>
      </c>
      <c r="FC18" s="102">
        <v>0</v>
      </c>
      <c r="FD18" s="102">
        <v>0</v>
      </c>
      <c r="FE18" s="102">
        <v>0</v>
      </c>
      <c r="FF18" s="102">
        <v>0</v>
      </c>
      <c r="FG18" s="102">
        <v>0</v>
      </c>
      <c r="FH18" s="102">
        <v>0</v>
      </c>
      <c r="FI18" s="102">
        <v>0</v>
      </c>
      <c r="FJ18" s="71">
        <v>0</v>
      </c>
    </row>
    <row r="19" spans="1:166" x14ac:dyDescent="0.3">
      <c r="A19" s="401" t="s">
        <v>963</v>
      </c>
      <c r="B19" s="103" t="s">
        <v>336</v>
      </c>
      <c r="C19" s="103" t="s">
        <v>288</v>
      </c>
      <c r="D19" s="103" t="s">
        <v>975</v>
      </c>
      <c r="E19" s="103" t="s">
        <v>589</v>
      </c>
      <c r="F19" s="419" t="s">
        <v>961</v>
      </c>
      <c r="G19" s="103" t="s">
        <v>959</v>
      </c>
      <c r="H19" s="103">
        <v>0</v>
      </c>
      <c r="I19" s="103">
        <v>0</v>
      </c>
      <c r="J19" s="103" t="s">
        <v>284</v>
      </c>
      <c r="K19" s="103">
        <v>0</v>
      </c>
      <c r="L19" s="103" t="s">
        <v>304</v>
      </c>
      <c r="M19" s="425">
        <v>1</v>
      </c>
      <c r="N19" s="103">
        <v>0</v>
      </c>
      <c r="O19" s="393">
        <v>0</v>
      </c>
      <c r="P19" s="393">
        <v>0</v>
      </c>
      <c r="Q19" s="102">
        <v>0</v>
      </c>
      <c r="R19" s="420">
        <v>84</v>
      </c>
      <c r="S19" s="394">
        <v>1</v>
      </c>
      <c r="T19" s="426">
        <v>1</v>
      </c>
      <c r="U19" s="103">
        <v>0</v>
      </c>
      <c r="V19" s="102">
        <v>200000</v>
      </c>
      <c r="W19" s="102">
        <v>16800000</v>
      </c>
      <c r="X19" s="102">
        <v>2400000</v>
      </c>
      <c r="Y19" s="102">
        <v>2400000</v>
      </c>
      <c r="Z19" s="102">
        <v>2400000</v>
      </c>
      <c r="AA19" s="102">
        <v>2400000</v>
      </c>
      <c r="AB19" s="102">
        <v>2400000</v>
      </c>
      <c r="AC19" s="102">
        <v>2400000</v>
      </c>
      <c r="AD19" s="102">
        <v>2400000</v>
      </c>
      <c r="AE19" s="102">
        <v>0</v>
      </c>
      <c r="AF19" s="102">
        <v>0</v>
      </c>
      <c r="AG19" s="102">
        <v>0</v>
      </c>
      <c r="AH19" s="102">
        <v>0</v>
      </c>
      <c r="AI19" s="102">
        <v>200000</v>
      </c>
      <c r="AJ19" s="102">
        <v>200000</v>
      </c>
      <c r="AK19" s="102">
        <v>200000</v>
      </c>
      <c r="AL19" s="102">
        <v>200000</v>
      </c>
      <c r="AM19" s="102">
        <v>200000</v>
      </c>
      <c r="AN19" s="102">
        <v>200000</v>
      </c>
      <c r="AO19" s="102">
        <v>200000</v>
      </c>
      <c r="AP19" s="102">
        <v>200000</v>
      </c>
      <c r="AQ19" s="102">
        <v>200000</v>
      </c>
      <c r="AR19" s="102">
        <v>200000</v>
      </c>
      <c r="AS19" s="102">
        <v>200000</v>
      </c>
      <c r="AT19" s="102">
        <v>200000</v>
      </c>
      <c r="AU19" s="102">
        <v>200000</v>
      </c>
      <c r="AV19" s="102">
        <v>200000</v>
      </c>
      <c r="AW19" s="102">
        <v>200000</v>
      </c>
      <c r="AX19" s="102">
        <v>200000</v>
      </c>
      <c r="AY19" s="102">
        <v>200000</v>
      </c>
      <c r="AZ19" s="102">
        <v>200000</v>
      </c>
      <c r="BA19" s="102">
        <v>200000</v>
      </c>
      <c r="BB19" s="102">
        <v>200000</v>
      </c>
      <c r="BC19" s="102">
        <v>200000</v>
      </c>
      <c r="BD19" s="102">
        <v>200000</v>
      </c>
      <c r="BE19" s="102">
        <v>200000</v>
      </c>
      <c r="BF19" s="102">
        <v>200000</v>
      </c>
      <c r="BG19" s="102">
        <v>200000</v>
      </c>
      <c r="BH19" s="102">
        <v>200000</v>
      </c>
      <c r="BI19" s="102">
        <v>200000</v>
      </c>
      <c r="BJ19" s="102">
        <v>200000</v>
      </c>
      <c r="BK19" s="102">
        <v>200000</v>
      </c>
      <c r="BL19" s="102">
        <v>200000</v>
      </c>
      <c r="BM19" s="102">
        <v>200000</v>
      </c>
      <c r="BN19" s="102">
        <v>200000</v>
      </c>
      <c r="BO19" s="102">
        <v>200000</v>
      </c>
      <c r="BP19" s="102">
        <v>200000</v>
      </c>
      <c r="BQ19" s="102">
        <v>200000</v>
      </c>
      <c r="BR19" s="102">
        <v>200000</v>
      </c>
      <c r="BS19" s="102">
        <v>200000</v>
      </c>
      <c r="BT19" s="102">
        <v>200000</v>
      </c>
      <c r="BU19" s="102">
        <v>200000</v>
      </c>
      <c r="BV19" s="102">
        <v>200000</v>
      </c>
      <c r="BW19" s="102">
        <v>200000</v>
      </c>
      <c r="BX19" s="102">
        <v>200000</v>
      </c>
      <c r="BY19" s="102">
        <v>200000</v>
      </c>
      <c r="BZ19" s="102">
        <v>200000</v>
      </c>
      <c r="CA19" s="102">
        <v>200000</v>
      </c>
      <c r="CB19" s="102">
        <v>200000</v>
      </c>
      <c r="CC19" s="102">
        <v>200000</v>
      </c>
      <c r="CD19" s="102">
        <v>200000</v>
      </c>
      <c r="CE19" s="102">
        <v>200000</v>
      </c>
      <c r="CF19" s="102">
        <v>200000</v>
      </c>
      <c r="CG19" s="102">
        <v>200000</v>
      </c>
      <c r="CH19" s="102">
        <v>200000</v>
      </c>
      <c r="CI19" s="102">
        <v>200000</v>
      </c>
      <c r="CJ19" s="102">
        <v>200000</v>
      </c>
      <c r="CK19" s="102">
        <v>200000</v>
      </c>
      <c r="CL19" s="102">
        <v>200000</v>
      </c>
      <c r="CM19" s="102">
        <v>200000</v>
      </c>
      <c r="CN19" s="102">
        <v>200000</v>
      </c>
      <c r="CO19" s="102">
        <v>200000</v>
      </c>
      <c r="CP19" s="102">
        <v>200000</v>
      </c>
      <c r="CQ19" s="102">
        <v>200000</v>
      </c>
      <c r="CR19" s="102">
        <v>200000</v>
      </c>
      <c r="CS19" s="102">
        <v>200000</v>
      </c>
      <c r="CT19" s="102">
        <v>200000</v>
      </c>
      <c r="CU19" s="102">
        <v>200000</v>
      </c>
      <c r="CV19" s="102">
        <v>200000</v>
      </c>
      <c r="CW19" s="102">
        <v>200000</v>
      </c>
      <c r="CX19" s="102">
        <v>200000</v>
      </c>
      <c r="CY19" s="102">
        <v>200000</v>
      </c>
      <c r="CZ19" s="102">
        <v>200000</v>
      </c>
      <c r="DA19" s="102">
        <v>200000</v>
      </c>
      <c r="DB19" s="102">
        <v>200000</v>
      </c>
      <c r="DC19" s="102">
        <v>200000</v>
      </c>
      <c r="DD19" s="102">
        <v>200000</v>
      </c>
      <c r="DE19" s="102">
        <v>200000</v>
      </c>
      <c r="DF19" s="102">
        <v>200000</v>
      </c>
      <c r="DG19" s="102">
        <v>200000</v>
      </c>
      <c r="DH19" s="102">
        <v>200000</v>
      </c>
      <c r="DI19" s="102">
        <v>200000</v>
      </c>
      <c r="DJ19" s="102">
        <v>200000</v>
      </c>
      <c r="DK19" s="102">
        <v>200000</v>
      </c>
      <c r="DL19" s="102">
        <v>200000</v>
      </c>
      <c r="DM19" s="102">
        <v>200000</v>
      </c>
      <c r="DN19" s="102">
        <v>200000</v>
      </c>
      <c r="DO19" s="102">
        <v>0</v>
      </c>
      <c r="DP19" s="102">
        <v>0</v>
      </c>
      <c r="DQ19" s="102">
        <v>0</v>
      </c>
      <c r="DR19" s="102">
        <v>0</v>
      </c>
      <c r="DS19" s="102">
        <v>0</v>
      </c>
      <c r="DT19" s="102">
        <v>0</v>
      </c>
      <c r="DU19" s="102">
        <v>0</v>
      </c>
      <c r="DV19" s="102">
        <v>0</v>
      </c>
      <c r="DW19" s="102">
        <v>0</v>
      </c>
      <c r="DX19" s="102">
        <v>0</v>
      </c>
      <c r="DY19" s="102">
        <v>0</v>
      </c>
      <c r="DZ19" s="102">
        <v>0</v>
      </c>
      <c r="EA19" s="102">
        <v>0</v>
      </c>
      <c r="EB19" s="102">
        <v>0</v>
      </c>
      <c r="EC19" s="102">
        <v>0</v>
      </c>
      <c r="ED19" s="102">
        <v>0</v>
      </c>
      <c r="EE19" s="102">
        <v>0</v>
      </c>
      <c r="EF19" s="102">
        <v>0</v>
      </c>
      <c r="EG19" s="102">
        <v>0</v>
      </c>
      <c r="EH19" s="102">
        <v>0</v>
      </c>
      <c r="EI19" s="102">
        <v>0</v>
      </c>
      <c r="EJ19" s="102">
        <v>0</v>
      </c>
      <c r="EK19" s="102">
        <v>0</v>
      </c>
      <c r="EL19" s="102">
        <v>0</v>
      </c>
      <c r="EM19" s="102">
        <v>0</v>
      </c>
      <c r="EN19" s="102">
        <v>0</v>
      </c>
      <c r="EO19" s="102">
        <v>0</v>
      </c>
      <c r="EP19" s="102">
        <v>0</v>
      </c>
      <c r="EQ19" s="102">
        <v>0</v>
      </c>
      <c r="ER19" s="102">
        <v>0</v>
      </c>
      <c r="ES19" s="102">
        <v>0</v>
      </c>
      <c r="ET19" s="102">
        <v>0</v>
      </c>
      <c r="EU19" s="102">
        <v>0</v>
      </c>
      <c r="EV19" s="102">
        <v>0</v>
      </c>
      <c r="EW19" s="102">
        <v>0</v>
      </c>
      <c r="EX19" s="102">
        <v>0</v>
      </c>
      <c r="EY19" s="102">
        <v>0</v>
      </c>
      <c r="EZ19" s="102">
        <v>0</v>
      </c>
      <c r="FA19" s="102">
        <v>0</v>
      </c>
      <c r="FB19" s="102">
        <v>0</v>
      </c>
      <c r="FC19" s="102">
        <v>0</v>
      </c>
      <c r="FD19" s="102">
        <v>0</v>
      </c>
      <c r="FE19" s="102">
        <v>0</v>
      </c>
      <c r="FF19" s="102">
        <v>0</v>
      </c>
      <c r="FG19" s="102">
        <v>0</v>
      </c>
      <c r="FH19" s="102">
        <v>0</v>
      </c>
      <c r="FI19" s="102">
        <v>0</v>
      </c>
      <c r="FJ19" s="71">
        <v>0</v>
      </c>
    </row>
    <row r="20" spans="1:166" x14ac:dyDescent="0.3">
      <c r="A20" s="401" t="s">
        <v>967</v>
      </c>
      <c r="B20" s="103" t="s">
        <v>336</v>
      </c>
      <c r="C20" s="103" t="s">
        <v>288</v>
      </c>
      <c r="D20" s="103" t="s">
        <v>975</v>
      </c>
      <c r="E20" s="103" t="s">
        <v>589</v>
      </c>
      <c r="F20" s="419" t="s">
        <v>999</v>
      </c>
      <c r="G20" s="103">
        <v>0</v>
      </c>
      <c r="H20" s="103">
        <v>0</v>
      </c>
      <c r="I20" s="103">
        <v>0</v>
      </c>
      <c r="J20" s="103" t="s">
        <v>284</v>
      </c>
      <c r="K20" s="103">
        <v>0</v>
      </c>
      <c r="L20" s="103" t="s">
        <v>304</v>
      </c>
      <c r="M20" s="425">
        <v>1</v>
      </c>
      <c r="N20" s="103">
        <v>0</v>
      </c>
      <c r="O20" s="393">
        <v>0</v>
      </c>
      <c r="P20" s="393">
        <v>0</v>
      </c>
      <c r="Q20" s="102">
        <v>0</v>
      </c>
      <c r="R20" s="420">
        <v>1</v>
      </c>
      <c r="S20" s="394">
        <v>1</v>
      </c>
      <c r="T20" s="426">
        <v>1</v>
      </c>
      <c r="U20" s="103">
        <v>0</v>
      </c>
      <c r="V20" s="102">
        <v>23450000</v>
      </c>
      <c r="W20" s="102">
        <v>23450000</v>
      </c>
      <c r="X20" s="102">
        <v>23450000</v>
      </c>
      <c r="Y20" s="102">
        <v>0</v>
      </c>
      <c r="Z20" s="102">
        <v>0</v>
      </c>
      <c r="AA20" s="102">
        <v>0</v>
      </c>
      <c r="AB20" s="102">
        <v>0</v>
      </c>
      <c r="AC20" s="102">
        <v>0</v>
      </c>
      <c r="AD20" s="102">
        <v>0</v>
      </c>
      <c r="AE20" s="102">
        <v>0</v>
      </c>
      <c r="AF20" s="102">
        <v>0</v>
      </c>
      <c r="AG20" s="102">
        <v>0</v>
      </c>
      <c r="AH20" s="102">
        <v>0</v>
      </c>
      <c r="AI20" s="102">
        <v>23450000</v>
      </c>
      <c r="AJ20" s="102">
        <v>0</v>
      </c>
      <c r="AK20" s="102">
        <v>0</v>
      </c>
      <c r="AL20" s="102">
        <v>0</v>
      </c>
      <c r="AM20" s="102">
        <v>0</v>
      </c>
      <c r="AN20" s="102">
        <v>0</v>
      </c>
      <c r="AO20" s="102">
        <v>0</v>
      </c>
      <c r="AP20" s="102">
        <v>0</v>
      </c>
      <c r="AQ20" s="102">
        <v>0</v>
      </c>
      <c r="AR20" s="102">
        <v>0</v>
      </c>
      <c r="AS20" s="102">
        <v>0</v>
      </c>
      <c r="AT20" s="102">
        <v>0</v>
      </c>
      <c r="AU20" s="102">
        <v>0</v>
      </c>
      <c r="AV20" s="102">
        <v>0</v>
      </c>
      <c r="AW20" s="102">
        <v>0</v>
      </c>
      <c r="AX20" s="102">
        <v>0</v>
      </c>
      <c r="AY20" s="102">
        <v>0</v>
      </c>
      <c r="AZ20" s="102">
        <v>0</v>
      </c>
      <c r="BA20" s="102">
        <v>0</v>
      </c>
      <c r="BB20" s="102">
        <v>0</v>
      </c>
      <c r="BC20" s="102">
        <v>0</v>
      </c>
      <c r="BD20" s="102">
        <v>0</v>
      </c>
      <c r="BE20" s="102">
        <v>0</v>
      </c>
      <c r="BF20" s="102">
        <v>0</v>
      </c>
      <c r="BG20" s="102">
        <v>0</v>
      </c>
      <c r="BH20" s="102">
        <v>0</v>
      </c>
      <c r="BI20" s="102">
        <v>0</v>
      </c>
      <c r="BJ20" s="102">
        <v>0</v>
      </c>
      <c r="BK20" s="102">
        <v>0</v>
      </c>
      <c r="BL20" s="102">
        <v>0</v>
      </c>
      <c r="BM20" s="102">
        <v>0</v>
      </c>
      <c r="BN20" s="102">
        <v>0</v>
      </c>
      <c r="BO20" s="102">
        <v>0</v>
      </c>
      <c r="BP20" s="102">
        <v>0</v>
      </c>
      <c r="BQ20" s="102">
        <v>0</v>
      </c>
      <c r="BR20" s="102">
        <v>0</v>
      </c>
      <c r="BS20" s="102">
        <v>0</v>
      </c>
      <c r="BT20" s="102">
        <v>0</v>
      </c>
      <c r="BU20" s="102">
        <v>0</v>
      </c>
      <c r="BV20" s="102">
        <v>0</v>
      </c>
      <c r="BW20" s="102">
        <v>0</v>
      </c>
      <c r="BX20" s="102">
        <v>0</v>
      </c>
      <c r="BY20" s="102">
        <v>0</v>
      </c>
      <c r="BZ20" s="102">
        <v>0</v>
      </c>
      <c r="CA20" s="102">
        <v>0</v>
      </c>
      <c r="CB20" s="102">
        <v>0</v>
      </c>
      <c r="CC20" s="102">
        <v>0</v>
      </c>
      <c r="CD20" s="102">
        <v>0</v>
      </c>
      <c r="CE20" s="102">
        <v>0</v>
      </c>
      <c r="CF20" s="102">
        <v>0</v>
      </c>
      <c r="CG20" s="102">
        <v>0</v>
      </c>
      <c r="CH20" s="102">
        <v>0</v>
      </c>
      <c r="CI20" s="102">
        <v>0</v>
      </c>
      <c r="CJ20" s="102">
        <v>0</v>
      </c>
      <c r="CK20" s="102">
        <v>0</v>
      </c>
      <c r="CL20" s="102">
        <v>0</v>
      </c>
      <c r="CM20" s="102">
        <v>0</v>
      </c>
      <c r="CN20" s="102">
        <v>0</v>
      </c>
      <c r="CO20" s="102">
        <v>0</v>
      </c>
      <c r="CP20" s="102">
        <v>0</v>
      </c>
      <c r="CQ20" s="102">
        <v>0</v>
      </c>
      <c r="CR20" s="102">
        <v>0</v>
      </c>
      <c r="CS20" s="102">
        <v>0</v>
      </c>
      <c r="CT20" s="102">
        <v>0</v>
      </c>
      <c r="CU20" s="102">
        <v>0</v>
      </c>
      <c r="CV20" s="102">
        <v>0</v>
      </c>
      <c r="CW20" s="102">
        <v>0</v>
      </c>
      <c r="CX20" s="102">
        <v>0</v>
      </c>
      <c r="CY20" s="102">
        <v>0</v>
      </c>
      <c r="CZ20" s="102">
        <v>0</v>
      </c>
      <c r="DA20" s="102">
        <v>0</v>
      </c>
      <c r="DB20" s="102">
        <v>0</v>
      </c>
      <c r="DC20" s="102">
        <v>0</v>
      </c>
      <c r="DD20" s="102">
        <v>0</v>
      </c>
      <c r="DE20" s="102">
        <v>0</v>
      </c>
      <c r="DF20" s="102">
        <v>0</v>
      </c>
      <c r="DG20" s="102">
        <v>0</v>
      </c>
      <c r="DH20" s="102">
        <v>0</v>
      </c>
      <c r="DI20" s="102">
        <v>0</v>
      </c>
      <c r="DJ20" s="102">
        <v>0</v>
      </c>
      <c r="DK20" s="102">
        <v>0</v>
      </c>
      <c r="DL20" s="102">
        <v>0</v>
      </c>
      <c r="DM20" s="102">
        <v>0</v>
      </c>
      <c r="DN20" s="102">
        <v>0</v>
      </c>
      <c r="DO20" s="102">
        <v>0</v>
      </c>
      <c r="DP20" s="102">
        <v>0</v>
      </c>
      <c r="DQ20" s="102">
        <v>0</v>
      </c>
      <c r="DR20" s="102">
        <v>0</v>
      </c>
      <c r="DS20" s="102">
        <v>0</v>
      </c>
      <c r="DT20" s="102">
        <v>0</v>
      </c>
      <c r="DU20" s="102">
        <v>0</v>
      </c>
      <c r="DV20" s="102">
        <v>0</v>
      </c>
      <c r="DW20" s="102">
        <v>0</v>
      </c>
      <c r="DX20" s="102">
        <v>0</v>
      </c>
      <c r="DY20" s="102">
        <v>0</v>
      </c>
      <c r="DZ20" s="102">
        <v>0</v>
      </c>
      <c r="EA20" s="102">
        <v>0</v>
      </c>
      <c r="EB20" s="102">
        <v>0</v>
      </c>
      <c r="EC20" s="102">
        <v>0</v>
      </c>
      <c r="ED20" s="102">
        <v>0</v>
      </c>
      <c r="EE20" s="102">
        <v>0</v>
      </c>
      <c r="EF20" s="102">
        <v>0</v>
      </c>
      <c r="EG20" s="102">
        <v>0</v>
      </c>
      <c r="EH20" s="102">
        <v>0</v>
      </c>
      <c r="EI20" s="102">
        <v>0</v>
      </c>
      <c r="EJ20" s="102">
        <v>0</v>
      </c>
      <c r="EK20" s="102">
        <v>0</v>
      </c>
      <c r="EL20" s="102">
        <v>0</v>
      </c>
      <c r="EM20" s="102">
        <v>0</v>
      </c>
      <c r="EN20" s="102">
        <v>0</v>
      </c>
      <c r="EO20" s="102">
        <v>0</v>
      </c>
      <c r="EP20" s="102">
        <v>0</v>
      </c>
      <c r="EQ20" s="102">
        <v>0</v>
      </c>
      <c r="ER20" s="102">
        <v>0</v>
      </c>
      <c r="ES20" s="102">
        <v>0</v>
      </c>
      <c r="ET20" s="102">
        <v>0</v>
      </c>
      <c r="EU20" s="102">
        <v>0</v>
      </c>
      <c r="EV20" s="102">
        <v>0</v>
      </c>
      <c r="EW20" s="102">
        <v>0</v>
      </c>
      <c r="EX20" s="102">
        <v>0</v>
      </c>
      <c r="EY20" s="102">
        <v>0</v>
      </c>
      <c r="EZ20" s="102">
        <v>0</v>
      </c>
      <c r="FA20" s="102">
        <v>0</v>
      </c>
      <c r="FB20" s="102">
        <v>0</v>
      </c>
      <c r="FC20" s="102">
        <v>0</v>
      </c>
      <c r="FD20" s="102">
        <v>0</v>
      </c>
      <c r="FE20" s="102">
        <v>0</v>
      </c>
      <c r="FF20" s="102">
        <v>0</v>
      </c>
      <c r="FG20" s="102">
        <v>0</v>
      </c>
      <c r="FH20" s="102">
        <v>0</v>
      </c>
      <c r="FI20" s="102">
        <v>0</v>
      </c>
      <c r="FJ20" s="71">
        <v>0</v>
      </c>
    </row>
    <row r="21" spans="1:166" x14ac:dyDescent="0.3">
      <c r="A21" s="401" t="s">
        <v>968</v>
      </c>
      <c r="B21" s="103" t="s">
        <v>336</v>
      </c>
      <c r="C21" s="103" t="s">
        <v>288</v>
      </c>
      <c r="D21" s="103" t="s">
        <v>975</v>
      </c>
      <c r="E21" s="432" t="s">
        <v>590</v>
      </c>
      <c r="F21" s="432" t="s">
        <v>281</v>
      </c>
      <c r="G21" s="432" t="s">
        <v>964</v>
      </c>
      <c r="H21" s="103">
        <v>0</v>
      </c>
      <c r="I21" s="103">
        <v>0</v>
      </c>
      <c r="J21" s="103" t="s">
        <v>284</v>
      </c>
      <c r="K21" s="103">
        <v>0</v>
      </c>
      <c r="L21" s="103" t="s">
        <v>304</v>
      </c>
      <c r="M21" s="425">
        <v>1</v>
      </c>
      <c r="N21" s="103">
        <v>0</v>
      </c>
      <c r="O21" s="393">
        <v>0</v>
      </c>
      <c r="P21" s="393">
        <v>0</v>
      </c>
      <c r="Q21" s="420">
        <v>0</v>
      </c>
      <c r="R21" s="420">
        <v>3</v>
      </c>
      <c r="S21" s="394">
        <v>1</v>
      </c>
      <c r="T21" s="426">
        <v>1</v>
      </c>
      <c r="U21" s="103">
        <v>0</v>
      </c>
      <c r="V21" s="102">
        <v>876400</v>
      </c>
      <c r="W21" s="102">
        <v>2629200</v>
      </c>
      <c r="X21" s="102">
        <v>2629200</v>
      </c>
      <c r="Y21" s="102">
        <v>0</v>
      </c>
      <c r="Z21" s="102">
        <v>0</v>
      </c>
      <c r="AA21" s="102">
        <v>0</v>
      </c>
      <c r="AB21" s="102">
        <v>0</v>
      </c>
      <c r="AC21" s="102">
        <v>0</v>
      </c>
      <c r="AD21" s="102">
        <v>0</v>
      </c>
      <c r="AE21" s="102">
        <v>0</v>
      </c>
      <c r="AF21" s="102">
        <v>0</v>
      </c>
      <c r="AG21" s="102">
        <v>0</v>
      </c>
      <c r="AH21" s="102">
        <v>0</v>
      </c>
      <c r="AI21" s="102">
        <v>876400</v>
      </c>
      <c r="AJ21" s="102">
        <v>876400</v>
      </c>
      <c r="AK21" s="102">
        <v>876400</v>
      </c>
      <c r="AL21" s="102">
        <v>0</v>
      </c>
      <c r="AM21" s="102">
        <v>0</v>
      </c>
      <c r="AN21" s="102">
        <v>0</v>
      </c>
      <c r="AO21" s="102">
        <v>0</v>
      </c>
      <c r="AP21" s="102">
        <v>0</v>
      </c>
      <c r="AQ21" s="102">
        <v>0</v>
      </c>
      <c r="AR21" s="102">
        <v>0</v>
      </c>
      <c r="AS21" s="102">
        <v>0</v>
      </c>
      <c r="AT21" s="102">
        <v>0</v>
      </c>
      <c r="AU21" s="102">
        <v>0</v>
      </c>
      <c r="AV21" s="102">
        <v>0</v>
      </c>
      <c r="AW21" s="102">
        <v>0</v>
      </c>
      <c r="AX21" s="102">
        <v>0</v>
      </c>
      <c r="AY21" s="102">
        <v>0</v>
      </c>
      <c r="AZ21" s="102">
        <v>0</v>
      </c>
      <c r="BA21" s="102">
        <v>0</v>
      </c>
      <c r="BB21" s="102">
        <v>0</v>
      </c>
      <c r="BC21" s="102">
        <v>0</v>
      </c>
      <c r="BD21" s="102">
        <v>0</v>
      </c>
      <c r="BE21" s="102">
        <v>0</v>
      </c>
      <c r="BF21" s="102">
        <v>0</v>
      </c>
      <c r="BG21" s="102">
        <v>0</v>
      </c>
      <c r="BH21" s="102">
        <v>0</v>
      </c>
      <c r="BI21" s="102">
        <v>0</v>
      </c>
      <c r="BJ21" s="102">
        <v>0</v>
      </c>
      <c r="BK21" s="102">
        <v>0</v>
      </c>
      <c r="BL21" s="102">
        <v>0</v>
      </c>
      <c r="BM21" s="102">
        <v>0</v>
      </c>
      <c r="BN21" s="102">
        <v>0</v>
      </c>
      <c r="BO21" s="102">
        <v>0</v>
      </c>
      <c r="BP21" s="102">
        <v>0</v>
      </c>
      <c r="BQ21" s="102">
        <v>0</v>
      </c>
      <c r="BR21" s="102">
        <v>0</v>
      </c>
      <c r="BS21" s="102">
        <v>0</v>
      </c>
      <c r="BT21" s="102">
        <v>0</v>
      </c>
      <c r="BU21" s="102">
        <v>0</v>
      </c>
      <c r="BV21" s="102">
        <v>0</v>
      </c>
      <c r="BW21" s="102">
        <v>0</v>
      </c>
      <c r="BX21" s="102">
        <v>0</v>
      </c>
      <c r="BY21" s="102">
        <v>0</v>
      </c>
      <c r="BZ21" s="102">
        <v>0</v>
      </c>
      <c r="CA21" s="102">
        <v>0</v>
      </c>
      <c r="CB21" s="102">
        <v>0</v>
      </c>
      <c r="CC21" s="102">
        <v>0</v>
      </c>
      <c r="CD21" s="102">
        <v>0</v>
      </c>
      <c r="CE21" s="102">
        <v>0</v>
      </c>
      <c r="CF21" s="102">
        <v>0</v>
      </c>
      <c r="CG21" s="102">
        <v>0</v>
      </c>
      <c r="CH21" s="102">
        <v>0</v>
      </c>
      <c r="CI21" s="102">
        <v>0</v>
      </c>
      <c r="CJ21" s="102">
        <v>0</v>
      </c>
      <c r="CK21" s="102">
        <v>0</v>
      </c>
      <c r="CL21" s="102">
        <v>0</v>
      </c>
      <c r="CM21" s="102">
        <v>0</v>
      </c>
      <c r="CN21" s="102">
        <v>0</v>
      </c>
      <c r="CO21" s="102">
        <v>0</v>
      </c>
      <c r="CP21" s="102">
        <v>0</v>
      </c>
      <c r="CQ21" s="102">
        <v>0</v>
      </c>
      <c r="CR21" s="102">
        <v>0</v>
      </c>
      <c r="CS21" s="102">
        <v>0</v>
      </c>
      <c r="CT21" s="102">
        <v>0</v>
      </c>
      <c r="CU21" s="102">
        <v>0</v>
      </c>
      <c r="CV21" s="102">
        <v>0</v>
      </c>
      <c r="CW21" s="102">
        <v>0</v>
      </c>
      <c r="CX21" s="102">
        <v>0</v>
      </c>
      <c r="CY21" s="102">
        <v>0</v>
      </c>
      <c r="CZ21" s="102">
        <v>0</v>
      </c>
      <c r="DA21" s="102">
        <v>0</v>
      </c>
      <c r="DB21" s="102">
        <v>0</v>
      </c>
      <c r="DC21" s="102">
        <v>0</v>
      </c>
      <c r="DD21" s="102">
        <v>0</v>
      </c>
      <c r="DE21" s="102">
        <v>0</v>
      </c>
      <c r="DF21" s="102">
        <v>0</v>
      </c>
      <c r="DG21" s="102">
        <v>0</v>
      </c>
      <c r="DH21" s="102">
        <v>0</v>
      </c>
      <c r="DI21" s="102">
        <v>0</v>
      </c>
      <c r="DJ21" s="102">
        <v>0</v>
      </c>
      <c r="DK21" s="102">
        <v>0</v>
      </c>
      <c r="DL21" s="102">
        <v>0</v>
      </c>
      <c r="DM21" s="102">
        <v>0</v>
      </c>
      <c r="DN21" s="102">
        <v>0</v>
      </c>
      <c r="DO21" s="102">
        <v>0</v>
      </c>
      <c r="DP21" s="102">
        <v>0</v>
      </c>
      <c r="DQ21" s="102">
        <v>0</v>
      </c>
      <c r="DR21" s="102">
        <v>0</v>
      </c>
      <c r="DS21" s="102">
        <v>0</v>
      </c>
      <c r="DT21" s="102">
        <v>0</v>
      </c>
      <c r="DU21" s="102">
        <v>0</v>
      </c>
      <c r="DV21" s="102">
        <v>0</v>
      </c>
      <c r="DW21" s="102">
        <v>0</v>
      </c>
      <c r="DX21" s="102">
        <v>0</v>
      </c>
      <c r="DY21" s="102">
        <v>0</v>
      </c>
      <c r="DZ21" s="102">
        <v>0</v>
      </c>
      <c r="EA21" s="102">
        <v>0</v>
      </c>
      <c r="EB21" s="102">
        <v>0</v>
      </c>
      <c r="EC21" s="102">
        <v>0</v>
      </c>
      <c r="ED21" s="102">
        <v>0</v>
      </c>
      <c r="EE21" s="102">
        <v>0</v>
      </c>
      <c r="EF21" s="102">
        <v>0</v>
      </c>
      <c r="EG21" s="102">
        <v>0</v>
      </c>
      <c r="EH21" s="102">
        <v>0</v>
      </c>
      <c r="EI21" s="102">
        <v>0</v>
      </c>
      <c r="EJ21" s="102">
        <v>0</v>
      </c>
      <c r="EK21" s="102">
        <v>0</v>
      </c>
      <c r="EL21" s="102">
        <v>0</v>
      </c>
      <c r="EM21" s="102">
        <v>0</v>
      </c>
      <c r="EN21" s="102">
        <v>0</v>
      </c>
      <c r="EO21" s="102">
        <v>0</v>
      </c>
      <c r="EP21" s="102">
        <v>0</v>
      </c>
      <c r="EQ21" s="102">
        <v>0</v>
      </c>
      <c r="ER21" s="102">
        <v>0</v>
      </c>
      <c r="ES21" s="102">
        <v>0</v>
      </c>
      <c r="ET21" s="102">
        <v>0</v>
      </c>
      <c r="EU21" s="102">
        <v>0</v>
      </c>
      <c r="EV21" s="102">
        <v>0</v>
      </c>
      <c r="EW21" s="102">
        <v>0</v>
      </c>
      <c r="EX21" s="102">
        <v>0</v>
      </c>
      <c r="EY21" s="102">
        <v>0</v>
      </c>
      <c r="EZ21" s="102">
        <v>0</v>
      </c>
      <c r="FA21" s="102">
        <v>0</v>
      </c>
      <c r="FB21" s="102">
        <v>0</v>
      </c>
      <c r="FC21" s="102">
        <v>0</v>
      </c>
      <c r="FD21" s="102">
        <v>0</v>
      </c>
      <c r="FE21" s="102">
        <v>0</v>
      </c>
      <c r="FF21" s="102">
        <v>0</v>
      </c>
      <c r="FG21" s="102">
        <v>0</v>
      </c>
      <c r="FH21" s="102">
        <v>0</v>
      </c>
      <c r="FI21" s="102">
        <v>0</v>
      </c>
      <c r="FJ21" s="71">
        <v>0</v>
      </c>
    </row>
    <row r="22" spans="1:166" x14ac:dyDescent="0.3">
      <c r="A22" s="401" t="s">
        <v>969</v>
      </c>
      <c r="B22" s="103" t="s">
        <v>336</v>
      </c>
      <c r="C22" s="103" t="s">
        <v>288</v>
      </c>
      <c r="D22" s="103" t="s">
        <v>975</v>
      </c>
      <c r="E22" s="432" t="s">
        <v>590</v>
      </c>
      <c r="F22" s="432" t="s">
        <v>281</v>
      </c>
      <c r="G22" s="432" t="s">
        <v>444</v>
      </c>
      <c r="H22" s="103">
        <v>0</v>
      </c>
      <c r="I22" s="103">
        <v>0</v>
      </c>
      <c r="J22" s="103" t="s">
        <v>284</v>
      </c>
      <c r="K22" s="103">
        <v>0</v>
      </c>
      <c r="L22" s="103" t="s">
        <v>304</v>
      </c>
      <c r="M22" s="425">
        <v>1</v>
      </c>
      <c r="N22" s="103">
        <v>0</v>
      </c>
      <c r="O22" s="103">
        <v>0</v>
      </c>
      <c r="P22" s="393">
        <v>0</v>
      </c>
      <c r="Q22" s="420">
        <v>0</v>
      </c>
      <c r="R22" s="420">
        <v>84</v>
      </c>
      <c r="S22" s="394">
        <v>1</v>
      </c>
      <c r="T22" s="426">
        <v>1</v>
      </c>
      <c r="U22" s="103">
        <v>0</v>
      </c>
      <c r="V22" s="102">
        <v>3703257.1428571427</v>
      </c>
      <c r="W22" s="102">
        <v>311073599.99999994</v>
      </c>
      <c r="X22" s="102">
        <v>44439085.714285709</v>
      </c>
      <c r="Y22" s="102">
        <v>44439085.714285709</v>
      </c>
      <c r="Z22" s="102">
        <v>44439085.714285709</v>
      </c>
      <c r="AA22" s="102">
        <v>44439085.714285709</v>
      </c>
      <c r="AB22" s="102">
        <v>44439085.714285709</v>
      </c>
      <c r="AC22" s="102">
        <v>44439085.714285709</v>
      </c>
      <c r="AD22" s="102">
        <v>44439085.714285709</v>
      </c>
      <c r="AE22" s="102">
        <v>0</v>
      </c>
      <c r="AF22" s="102">
        <v>0</v>
      </c>
      <c r="AG22" s="102">
        <v>0</v>
      </c>
      <c r="AH22" s="102">
        <v>0</v>
      </c>
      <c r="AI22" s="102">
        <v>3703257.1428571427</v>
      </c>
      <c r="AJ22" s="102">
        <v>3703257.1428571427</v>
      </c>
      <c r="AK22" s="102">
        <v>3703257.1428571427</v>
      </c>
      <c r="AL22" s="102">
        <v>3703257.1428571427</v>
      </c>
      <c r="AM22" s="102">
        <v>3703257.1428571427</v>
      </c>
      <c r="AN22" s="102">
        <v>3703257.1428571427</v>
      </c>
      <c r="AO22" s="102">
        <v>3703257.1428571427</v>
      </c>
      <c r="AP22" s="102">
        <v>3703257.1428571427</v>
      </c>
      <c r="AQ22" s="102">
        <v>3703257.1428571427</v>
      </c>
      <c r="AR22" s="102">
        <v>3703257.1428571427</v>
      </c>
      <c r="AS22" s="102">
        <v>3703257.1428571427</v>
      </c>
      <c r="AT22" s="102">
        <v>3703257.1428571427</v>
      </c>
      <c r="AU22" s="102">
        <v>3703257.1428571427</v>
      </c>
      <c r="AV22" s="102">
        <v>3703257.1428571427</v>
      </c>
      <c r="AW22" s="102">
        <v>3703257.1428571427</v>
      </c>
      <c r="AX22" s="102">
        <v>3703257.1428571427</v>
      </c>
      <c r="AY22" s="102">
        <v>3703257.1428571427</v>
      </c>
      <c r="AZ22" s="102">
        <v>3703257.1428571427</v>
      </c>
      <c r="BA22" s="102">
        <v>3703257.1428571427</v>
      </c>
      <c r="BB22" s="102">
        <v>3703257.1428571427</v>
      </c>
      <c r="BC22" s="102">
        <v>3703257.1428571427</v>
      </c>
      <c r="BD22" s="102">
        <v>3703257.1428571427</v>
      </c>
      <c r="BE22" s="102">
        <v>3703257.1428571427</v>
      </c>
      <c r="BF22" s="102">
        <v>3703257.1428571427</v>
      </c>
      <c r="BG22" s="102">
        <v>3703257.1428571427</v>
      </c>
      <c r="BH22" s="102">
        <v>3703257.1428571427</v>
      </c>
      <c r="BI22" s="102">
        <v>3703257.1428571427</v>
      </c>
      <c r="BJ22" s="102">
        <v>3703257.1428571427</v>
      </c>
      <c r="BK22" s="102">
        <v>3703257.1428571427</v>
      </c>
      <c r="BL22" s="102">
        <v>3703257.1428571427</v>
      </c>
      <c r="BM22" s="102">
        <v>3703257.1428571427</v>
      </c>
      <c r="BN22" s="102">
        <v>3703257.1428571427</v>
      </c>
      <c r="BO22" s="102">
        <v>3703257.1428571427</v>
      </c>
      <c r="BP22" s="102">
        <v>3703257.1428571427</v>
      </c>
      <c r="BQ22" s="102">
        <v>3703257.1428571427</v>
      </c>
      <c r="BR22" s="102">
        <v>3703257.1428571427</v>
      </c>
      <c r="BS22" s="102">
        <v>3703257.1428571427</v>
      </c>
      <c r="BT22" s="102">
        <v>3703257.1428571427</v>
      </c>
      <c r="BU22" s="102">
        <v>3703257.1428571427</v>
      </c>
      <c r="BV22" s="102">
        <v>3703257.1428571427</v>
      </c>
      <c r="BW22" s="102">
        <v>3703257.1428571427</v>
      </c>
      <c r="BX22" s="102">
        <v>3703257.1428571427</v>
      </c>
      <c r="BY22" s="102">
        <v>3703257.1428571427</v>
      </c>
      <c r="BZ22" s="102">
        <v>3703257.1428571427</v>
      </c>
      <c r="CA22" s="102">
        <v>3703257.1428571427</v>
      </c>
      <c r="CB22" s="102">
        <v>3703257.1428571427</v>
      </c>
      <c r="CC22" s="102">
        <v>3703257.1428571427</v>
      </c>
      <c r="CD22" s="102">
        <v>3703257.1428571427</v>
      </c>
      <c r="CE22" s="102">
        <v>3703257.1428571427</v>
      </c>
      <c r="CF22" s="102">
        <v>3703257.1428571427</v>
      </c>
      <c r="CG22" s="102">
        <v>3703257.1428571427</v>
      </c>
      <c r="CH22" s="102">
        <v>3703257.1428571427</v>
      </c>
      <c r="CI22" s="102">
        <v>3703257.1428571427</v>
      </c>
      <c r="CJ22" s="102">
        <v>3703257.1428571427</v>
      </c>
      <c r="CK22" s="102">
        <v>3703257.1428571427</v>
      </c>
      <c r="CL22" s="102">
        <v>3703257.1428571427</v>
      </c>
      <c r="CM22" s="102">
        <v>3703257.1428571427</v>
      </c>
      <c r="CN22" s="102">
        <v>3703257.1428571427</v>
      </c>
      <c r="CO22" s="102">
        <v>3703257.1428571427</v>
      </c>
      <c r="CP22" s="102">
        <v>3703257.1428571427</v>
      </c>
      <c r="CQ22" s="102">
        <v>3703257.1428571427</v>
      </c>
      <c r="CR22" s="102">
        <v>3703257.1428571427</v>
      </c>
      <c r="CS22" s="102">
        <v>3703257.1428571427</v>
      </c>
      <c r="CT22" s="102">
        <v>3703257.1428571427</v>
      </c>
      <c r="CU22" s="102">
        <v>3703257.1428571427</v>
      </c>
      <c r="CV22" s="102">
        <v>3703257.1428571427</v>
      </c>
      <c r="CW22" s="102">
        <v>3703257.1428571427</v>
      </c>
      <c r="CX22" s="102">
        <v>3703257.1428571427</v>
      </c>
      <c r="CY22" s="102">
        <v>3703257.1428571427</v>
      </c>
      <c r="CZ22" s="102">
        <v>3703257.1428571427</v>
      </c>
      <c r="DA22" s="102">
        <v>3703257.1428571427</v>
      </c>
      <c r="DB22" s="102">
        <v>3703257.1428571427</v>
      </c>
      <c r="DC22" s="102">
        <v>3703257.1428571427</v>
      </c>
      <c r="DD22" s="102">
        <v>3703257.1428571427</v>
      </c>
      <c r="DE22" s="102">
        <v>3703257.1428571427</v>
      </c>
      <c r="DF22" s="102">
        <v>3703257.1428571427</v>
      </c>
      <c r="DG22" s="102">
        <v>3703257.1428571427</v>
      </c>
      <c r="DH22" s="102">
        <v>3703257.1428571427</v>
      </c>
      <c r="DI22" s="102">
        <v>3703257.1428571427</v>
      </c>
      <c r="DJ22" s="102">
        <v>3703257.1428571427</v>
      </c>
      <c r="DK22" s="102">
        <v>3703257.1428571427</v>
      </c>
      <c r="DL22" s="102">
        <v>3703257.1428571427</v>
      </c>
      <c r="DM22" s="102">
        <v>3703257.1428571427</v>
      </c>
      <c r="DN22" s="102">
        <v>3703257.1428571427</v>
      </c>
      <c r="DO22" s="102">
        <v>0</v>
      </c>
      <c r="DP22" s="102">
        <v>0</v>
      </c>
      <c r="DQ22" s="102">
        <v>0</v>
      </c>
      <c r="DR22" s="102">
        <v>0</v>
      </c>
      <c r="DS22" s="102">
        <v>0</v>
      </c>
      <c r="DT22" s="102">
        <v>0</v>
      </c>
      <c r="DU22" s="102">
        <v>0</v>
      </c>
      <c r="DV22" s="102">
        <v>0</v>
      </c>
      <c r="DW22" s="102">
        <v>0</v>
      </c>
      <c r="DX22" s="102">
        <v>0</v>
      </c>
      <c r="DY22" s="102">
        <v>0</v>
      </c>
      <c r="DZ22" s="102">
        <v>0</v>
      </c>
      <c r="EA22" s="102">
        <v>0</v>
      </c>
      <c r="EB22" s="102">
        <v>0</v>
      </c>
      <c r="EC22" s="102">
        <v>0</v>
      </c>
      <c r="ED22" s="102">
        <v>0</v>
      </c>
      <c r="EE22" s="102">
        <v>0</v>
      </c>
      <c r="EF22" s="102">
        <v>0</v>
      </c>
      <c r="EG22" s="102">
        <v>0</v>
      </c>
      <c r="EH22" s="102">
        <v>0</v>
      </c>
      <c r="EI22" s="102">
        <v>0</v>
      </c>
      <c r="EJ22" s="102">
        <v>0</v>
      </c>
      <c r="EK22" s="102">
        <v>0</v>
      </c>
      <c r="EL22" s="102">
        <v>0</v>
      </c>
      <c r="EM22" s="102">
        <v>0</v>
      </c>
      <c r="EN22" s="102">
        <v>0</v>
      </c>
      <c r="EO22" s="102">
        <v>0</v>
      </c>
      <c r="EP22" s="102">
        <v>0</v>
      </c>
      <c r="EQ22" s="102">
        <v>0</v>
      </c>
      <c r="ER22" s="102">
        <v>0</v>
      </c>
      <c r="ES22" s="102">
        <v>0</v>
      </c>
      <c r="ET22" s="102">
        <v>0</v>
      </c>
      <c r="EU22" s="102">
        <v>0</v>
      </c>
      <c r="EV22" s="102">
        <v>0</v>
      </c>
      <c r="EW22" s="102">
        <v>0</v>
      </c>
      <c r="EX22" s="102">
        <v>0</v>
      </c>
      <c r="EY22" s="102">
        <v>0</v>
      </c>
      <c r="EZ22" s="102">
        <v>0</v>
      </c>
      <c r="FA22" s="102">
        <v>0</v>
      </c>
      <c r="FB22" s="102">
        <v>0</v>
      </c>
      <c r="FC22" s="102">
        <v>0</v>
      </c>
      <c r="FD22" s="102">
        <v>0</v>
      </c>
      <c r="FE22" s="102">
        <v>0</v>
      </c>
      <c r="FF22" s="102">
        <v>0</v>
      </c>
      <c r="FG22" s="102">
        <v>0</v>
      </c>
      <c r="FH22" s="102">
        <v>0</v>
      </c>
      <c r="FI22" s="102">
        <v>0</v>
      </c>
      <c r="FJ22" s="71">
        <v>0</v>
      </c>
    </row>
    <row r="23" spans="1:166" x14ac:dyDescent="0.3">
      <c r="A23" s="401" t="s">
        <v>970</v>
      </c>
      <c r="B23" s="103" t="s">
        <v>336</v>
      </c>
      <c r="C23" s="103" t="s">
        <v>288</v>
      </c>
      <c r="D23" s="103" t="s">
        <v>975</v>
      </c>
      <c r="E23" s="432" t="s">
        <v>590</v>
      </c>
      <c r="F23" s="432" t="s">
        <v>282</v>
      </c>
      <c r="G23" s="432" t="s">
        <v>965</v>
      </c>
      <c r="H23" s="103">
        <v>0</v>
      </c>
      <c r="I23" s="103">
        <v>0</v>
      </c>
      <c r="J23" s="103" t="s">
        <v>284</v>
      </c>
      <c r="K23" s="103">
        <v>0</v>
      </c>
      <c r="L23" s="103" t="s">
        <v>304</v>
      </c>
      <c r="M23" s="425">
        <v>1</v>
      </c>
      <c r="N23" s="103">
        <v>0</v>
      </c>
      <c r="O23" s="103">
        <v>0</v>
      </c>
      <c r="P23" s="393">
        <v>0</v>
      </c>
      <c r="Q23" s="420">
        <v>0</v>
      </c>
      <c r="R23" s="420">
        <v>10</v>
      </c>
      <c r="S23" s="394">
        <v>1</v>
      </c>
      <c r="T23" s="426">
        <v>1</v>
      </c>
      <c r="U23" s="103">
        <v>0</v>
      </c>
      <c r="V23" s="102">
        <v>1400000</v>
      </c>
      <c r="W23" s="102">
        <v>14000000</v>
      </c>
      <c r="X23" s="102">
        <v>14000000</v>
      </c>
      <c r="Y23" s="102">
        <v>0</v>
      </c>
      <c r="Z23" s="102">
        <v>0</v>
      </c>
      <c r="AA23" s="102">
        <v>0</v>
      </c>
      <c r="AB23" s="102">
        <v>0</v>
      </c>
      <c r="AC23" s="102">
        <v>0</v>
      </c>
      <c r="AD23" s="102">
        <v>0</v>
      </c>
      <c r="AE23" s="102">
        <v>0</v>
      </c>
      <c r="AF23" s="102">
        <v>0</v>
      </c>
      <c r="AG23" s="102">
        <v>0</v>
      </c>
      <c r="AH23" s="102">
        <v>0</v>
      </c>
      <c r="AI23" s="102">
        <v>1400000</v>
      </c>
      <c r="AJ23" s="102">
        <v>1400000</v>
      </c>
      <c r="AK23" s="102">
        <v>1400000</v>
      </c>
      <c r="AL23" s="102">
        <v>1400000</v>
      </c>
      <c r="AM23" s="102">
        <v>1400000</v>
      </c>
      <c r="AN23" s="102">
        <v>1400000</v>
      </c>
      <c r="AO23" s="102">
        <v>1400000</v>
      </c>
      <c r="AP23" s="102">
        <v>1400000</v>
      </c>
      <c r="AQ23" s="102">
        <v>1400000</v>
      </c>
      <c r="AR23" s="102">
        <v>1400000</v>
      </c>
      <c r="AS23" s="102">
        <v>0</v>
      </c>
      <c r="AT23" s="102">
        <v>0</v>
      </c>
      <c r="AU23" s="102">
        <v>0</v>
      </c>
      <c r="AV23" s="102">
        <v>0</v>
      </c>
      <c r="AW23" s="102">
        <v>0</v>
      </c>
      <c r="AX23" s="102">
        <v>0</v>
      </c>
      <c r="AY23" s="102">
        <v>0</v>
      </c>
      <c r="AZ23" s="102">
        <v>0</v>
      </c>
      <c r="BA23" s="102">
        <v>0</v>
      </c>
      <c r="BB23" s="102">
        <v>0</v>
      </c>
      <c r="BC23" s="102">
        <v>0</v>
      </c>
      <c r="BD23" s="102">
        <v>0</v>
      </c>
      <c r="BE23" s="102">
        <v>0</v>
      </c>
      <c r="BF23" s="102">
        <v>0</v>
      </c>
      <c r="BG23" s="102">
        <v>0</v>
      </c>
      <c r="BH23" s="102">
        <v>0</v>
      </c>
      <c r="BI23" s="102">
        <v>0</v>
      </c>
      <c r="BJ23" s="102">
        <v>0</v>
      </c>
      <c r="BK23" s="102">
        <v>0</v>
      </c>
      <c r="BL23" s="102">
        <v>0</v>
      </c>
      <c r="BM23" s="102">
        <v>0</v>
      </c>
      <c r="BN23" s="102">
        <v>0</v>
      </c>
      <c r="BO23" s="102">
        <v>0</v>
      </c>
      <c r="BP23" s="102">
        <v>0</v>
      </c>
      <c r="BQ23" s="102">
        <v>0</v>
      </c>
      <c r="BR23" s="102">
        <v>0</v>
      </c>
      <c r="BS23" s="102">
        <v>0</v>
      </c>
      <c r="BT23" s="102">
        <v>0</v>
      </c>
      <c r="BU23" s="102">
        <v>0</v>
      </c>
      <c r="BV23" s="102">
        <v>0</v>
      </c>
      <c r="BW23" s="102">
        <v>0</v>
      </c>
      <c r="BX23" s="102">
        <v>0</v>
      </c>
      <c r="BY23" s="102">
        <v>0</v>
      </c>
      <c r="BZ23" s="102">
        <v>0</v>
      </c>
      <c r="CA23" s="102">
        <v>0</v>
      </c>
      <c r="CB23" s="102">
        <v>0</v>
      </c>
      <c r="CC23" s="102">
        <v>0</v>
      </c>
      <c r="CD23" s="102">
        <v>0</v>
      </c>
      <c r="CE23" s="102">
        <v>0</v>
      </c>
      <c r="CF23" s="102">
        <v>0</v>
      </c>
      <c r="CG23" s="102">
        <v>0</v>
      </c>
      <c r="CH23" s="102">
        <v>0</v>
      </c>
      <c r="CI23" s="102">
        <v>0</v>
      </c>
      <c r="CJ23" s="102">
        <v>0</v>
      </c>
      <c r="CK23" s="102">
        <v>0</v>
      </c>
      <c r="CL23" s="102">
        <v>0</v>
      </c>
      <c r="CM23" s="102">
        <v>0</v>
      </c>
      <c r="CN23" s="102">
        <v>0</v>
      </c>
      <c r="CO23" s="102">
        <v>0</v>
      </c>
      <c r="CP23" s="102">
        <v>0</v>
      </c>
      <c r="CQ23" s="102">
        <v>0</v>
      </c>
      <c r="CR23" s="102">
        <v>0</v>
      </c>
      <c r="CS23" s="102">
        <v>0</v>
      </c>
      <c r="CT23" s="102">
        <v>0</v>
      </c>
      <c r="CU23" s="102">
        <v>0</v>
      </c>
      <c r="CV23" s="102">
        <v>0</v>
      </c>
      <c r="CW23" s="102">
        <v>0</v>
      </c>
      <c r="CX23" s="102">
        <v>0</v>
      </c>
      <c r="CY23" s="102">
        <v>0</v>
      </c>
      <c r="CZ23" s="102">
        <v>0</v>
      </c>
      <c r="DA23" s="102">
        <v>0</v>
      </c>
      <c r="DB23" s="102">
        <v>0</v>
      </c>
      <c r="DC23" s="102">
        <v>0</v>
      </c>
      <c r="DD23" s="102">
        <v>0</v>
      </c>
      <c r="DE23" s="102">
        <v>0</v>
      </c>
      <c r="DF23" s="102">
        <v>0</v>
      </c>
      <c r="DG23" s="102">
        <v>0</v>
      </c>
      <c r="DH23" s="102">
        <v>0</v>
      </c>
      <c r="DI23" s="102">
        <v>0</v>
      </c>
      <c r="DJ23" s="102">
        <v>0</v>
      </c>
      <c r="DK23" s="102">
        <v>0</v>
      </c>
      <c r="DL23" s="102">
        <v>0</v>
      </c>
      <c r="DM23" s="102">
        <v>0</v>
      </c>
      <c r="DN23" s="102">
        <v>0</v>
      </c>
      <c r="DO23" s="102">
        <v>0</v>
      </c>
      <c r="DP23" s="102">
        <v>0</v>
      </c>
      <c r="DQ23" s="102">
        <v>0</v>
      </c>
      <c r="DR23" s="102">
        <v>0</v>
      </c>
      <c r="DS23" s="102">
        <v>0</v>
      </c>
      <c r="DT23" s="102">
        <v>0</v>
      </c>
      <c r="DU23" s="102">
        <v>0</v>
      </c>
      <c r="DV23" s="102">
        <v>0</v>
      </c>
      <c r="DW23" s="102">
        <v>0</v>
      </c>
      <c r="DX23" s="102">
        <v>0</v>
      </c>
      <c r="DY23" s="102">
        <v>0</v>
      </c>
      <c r="DZ23" s="102">
        <v>0</v>
      </c>
      <c r="EA23" s="102">
        <v>0</v>
      </c>
      <c r="EB23" s="102">
        <v>0</v>
      </c>
      <c r="EC23" s="102">
        <v>0</v>
      </c>
      <c r="ED23" s="102">
        <v>0</v>
      </c>
      <c r="EE23" s="102">
        <v>0</v>
      </c>
      <c r="EF23" s="102">
        <v>0</v>
      </c>
      <c r="EG23" s="102">
        <v>0</v>
      </c>
      <c r="EH23" s="102">
        <v>0</v>
      </c>
      <c r="EI23" s="102">
        <v>0</v>
      </c>
      <c r="EJ23" s="102">
        <v>0</v>
      </c>
      <c r="EK23" s="102">
        <v>0</v>
      </c>
      <c r="EL23" s="102">
        <v>0</v>
      </c>
      <c r="EM23" s="102">
        <v>0</v>
      </c>
      <c r="EN23" s="102">
        <v>0</v>
      </c>
      <c r="EO23" s="102">
        <v>0</v>
      </c>
      <c r="EP23" s="102">
        <v>0</v>
      </c>
      <c r="EQ23" s="102">
        <v>0</v>
      </c>
      <c r="ER23" s="102">
        <v>0</v>
      </c>
      <c r="ES23" s="102">
        <v>0</v>
      </c>
      <c r="ET23" s="102">
        <v>0</v>
      </c>
      <c r="EU23" s="102">
        <v>0</v>
      </c>
      <c r="EV23" s="102">
        <v>0</v>
      </c>
      <c r="EW23" s="102">
        <v>0</v>
      </c>
      <c r="EX23" s="102">
        <v>0</v>
      </c>
      <c r="EY23" s="102">
        <v>0</v>
      </c>
      <c r="EZ23" s="102">
        <v>0</v>
      </c>
      <c r="FA23" s="102">
        <v>0</v>
      </c>
      <c r="FB23" s="102">
        <v>0</v>
      </c>
      <c r="FC23" s="102">
        <v>0</v>
      </c>
      <c r="FD23" s="102">
        <v>0</v>
      </c>
      <c r="FE23" s="102">
        <v>0</v>
      </c>
      <c r="FF23" s="102">
        <v>0</v>
      </c>
      <c r="FG23" s="102">
        <v>0</v>
      </c>
      <c r="FH23" s="102">
        <v>0</v>
      </c>
      <c r="FI23" s="102">
        <v>0</v>
      </c>
      <c r="FJ23" s="71">
        <v>0</v>
      </c>
    </row>
    <row r="24" spans="1:166" x14ac:dyDescent="0.3">
      <c r="A24" s="401" t="s">
        <v>971</v>
      </c>
      <c r="B24" s="103" t="s">
        <v>336</v>
      </c>
      <c r="C24" s="103" t="s">
        <v>288</v>
      </c>
      <c r="D24" s="103" t="s">
        <v>975</v>
      </c>
      <c r="E24" s="432" t="s">
        <v>590</v>
      </c>
      <c r="F24" s="432" t="s">
        <v>282</v>
      </c>
      <c r="G24" s="432" t="s">
        <v>965</v>
      </c>
      <c r="H24" s="103">
        <v>0</v>
      </c>
      <c r="I24" s="103">
        <v>0</v>
      </c>
      <c r="J24" s="103" t="s">
        <v>284</v>
      </c>
      <c r="K24" s="103">
        <v>0</v>
      </c>
      <c r="L24" s="103" t="s">
        <v>304</v>
      </c>
      <c r="M24" s="425">
        <v>1</v>
      </c>
      <c r="N24" s="103">
        <v>0</v>
      </c>
      <c r="O24" s="103">
        <v>0</v>
      </c>
      <c r="P24" s="393">
        <v>0</v>
      </c>
      <c r="Q24" s="420">
        <v>10</v>
      </c>
      <c r="R24" s="420">
        <v>14</v>
      </c>
      <c r="S24" s="394">
        <v>1</v>
      </c>
      <c r="T24" s="426">
        <v>1</v>
      </c>
      <c r="U24" s="103">
        <v>0</v>
      </c>
      <c r="V24" s="102">
        <v>300000</v>
      </c>
      <c r="W24" s="102">
        <v>4200000</v>
      </c>
      <c r="X24" s="102">
        <v>600000</v>
      </c>
      <c r="Y24" s="102">
        <v>3600000</v>
      </c>
      <c r="Z24" s="102">
        <v>0</v>
      </c>
      <c r="AA24" s="102">
        <v>0</v>
      </c>
      <c r="AB24" s="102">
        <v>0</v>
      </c>
      <c r="AC24" s="102">
        <v>0</v>
      </c>
      <c r="AD24" s="102">
        <v>0</v>
      </c>
      <c r="AE24" s="102">
        <v>0</v>
      </c>
      <c r="AF24" s="102">
        <v>0</v>
      </c>
      <c r="AG24" s="102">
        <v>0</v>
      </c>
      <c r="AH24" s="102">
        <v>0</v>
      </c>
      <c r="AI24" s="399">
        <v>0</v>
      </c>
      <c r="AJ24" s="399">
        <v>0</v>
      </c>
      <c r="AK24" s="399">
        <v>0</v>
      </c>
      <c r="AL24" s="399">
        <v>0</v>
      </c>
      <c r="AM24" s="399">
        <v>0</v>
      </c>
      <c r="AN24" s="399">
        <v>0</v>
      </c>
      <c r="AO24" s="399">
        <v>0</v>
      </c>
      <c r="AP24" s="399">
        <v>0</v>
      </c>
      <c r="AQ24" s="399">
        <v>0</v>
      </c>
      <c r="AR24" s="399">
        <v>0</v>
      </c>
      <c r="AS24" s="102">
        <v>300000</v>
      </c>
      <c r="AT24" s="102">
        <v>300000</v>
      </c>
      <c r="AU24" s="102">
        <v>300000</v>
      </c>
      <c r="AV24" s="102">
        <v>300000</v>
      </c>
      <c r="AW24" s="102">
        <v>300000</v>
      </c>
      <c r="AX24" s="102">
        <v>300000</v>
      </c>
      <c r="AY24" s="102">
        <v>300000</v>
      </c>
      <c r="AZ24" s="102">
        <v>300000</v>
      </c>
      <c r="BA24" s="102">
        <v>300000</v>
      </c>
      <c r="BB24" s="102">
        <v>300000</v>
      </c>
      <c r="BC24" s="102">
        <v>300000</v>
      </c>
      <c r="BD24" s="102">
        <v>300000</v>
      </c>
      <c r="BE24" s="102">
        <v>300000</v>
      </c>
      <c r="BF24" s="102">
        <v>300000</v>
      </c>
      <c r="BG24" s="102">
        <v>0</v>
      </c>
      <c r="BH24" s="102">
        <v>0</v>
      </c>
      <c r="BI24" s="102">
        <v>0</v>
      </c>
      <c r="BJ24" s="102">
        <v>0</v>
      </c>
      <c r="BK24" s="102">
        <v>0</v>
      </c>
      <c r="BL24" s="102">
        <v>0</v>
      </c>
      <c r="BM24" s="102">
        <v>0</v>
      </c>
      <c r="BN24" s="102">
        <v>0</v>
      </c>
      <c r="BO24" s="102">
        <v>0</v>
      </c>
      <c r="BP24" s="102">
        <v>0</v>
      </c>
      <c r="BQ24" s="102">
        <v>0</v>
      </c>
      <c r="BR24" s="102">
        <v>0</v>
      </c>
      <c r="BS24" s="102">
        <v>0</v>
      </c>
      <c r="BT24" s="102">
        <v>0</v>
      </c>
      <c r="BU24" s="102">
        <v>0</v>
      </c>
      <c r="BV24" s="102">
        <v>0</v>
      </c>
      <c r="BW24" s="102">
        <v>0</v>
      </c>
      <c r="BX24" s="102">
        <v>0</v>
      </c>
      <c r="BY24" s="102">
        <v>0</v>
      </c>
      <c r="BZ24" s="102">
        <v>0</v>
      </c>
      <c r="CA24" s="102">
        <v>0</v>
      </c>
      <c r="CB24" s="102">
        <v>0</v>
      </c>
      <c r="CC24" s="102">
        <v>0</v>
      </c>
      <c r="CD24" s="102">
        <v>0</v>
      </c>
      <c r="CE24" s="102">
        <v>0</v>
      </c>
      <c r="CF24" s="102">
        <v>0</v>
      </c>
      <c r="CG24" s="102">
        <v>0</v>
      </c>
      <c r="CH24" s="102">
        <v>0</v>
      </c>
      <c r="CI24" s="102">
        <v>0</v>
      </c>
      <c r="CJ24" s="102">
        <v>0</v>
      </c>
      <c r="CK24" s="102">
        <v>0</v>
      </c>
      <c r="CL24" s="102">
        <v>0</v>
      </c>
      <c r="CM24" s="102">
        <v>0</v>
      </c>
      <c r="CN24" s="102">
        <v>0</v>
      </c>
      <c r="CO24" s="102">
        <v>0</v>
      </c>
      <c r="CP24" s="102">
        <v>0</v>
      </c>
      <c r="CQ24" s="102">
        <v>0</v>
      </c>
      <c r="CR24" s="102">
        <v>0</v>
      </c>
      <c r="CS24" s="102">
        <v>0</v>
      </c>
      <c r="CT24" s="102">
        <v>0</v>
      </c>
      <c r="CU24" s="102">
        <v>0</v>
      </c>
      <c r="CV24" s="102">
        <v>0</v>
      </c>
      <c r="CW24" s="102">
        <v>0</v>
      </c>
      <c r="CX24" s="102">
        <v>0</v>
      </c>
      <c r="CY24" s="102">
        <v>0</v>
      </c>
      <c r="CZ24" s="102">
        <v>0</v>
      </c>
      <c r="DA24" s="102">
        <v>0</v>
      </c>
      <c r="DB24" s="102">
        <v>0</v>
      </c>
      <c r="DC24" s="102">
        <v>0</v>
      </c>
      <c r="DD24" s="102">
        <v>0</v>
      </c>
      <c r="DE24" s="102">
        <v>0</v>
      </c>
      <c r="DF24" s="102">
        <v>0</v>
      </c>
      <c r="DG24" s="102">
        <v>0</v>
      </c>
      <c r="DH24" s="102">
        <v>0</v>
      </c>
      <c r="DI24" s="102">
        <v>0</v>
      </c>
      <c r="DJ24" s="102">
        <v>0</v>
      </c>
      <c r="DK24" s="102">
        <v>0</v>
      </c>
      <c r="DL24" s="102">
        <v>0</v>
      </c>
      <c r="DM24" s="102">
        <v>0</v>
      </c>
      <c r="DN24" s="102">
        <v>0</v>
      </c>
      <c r="DO24" s="102">
        <v>0</v>
      </c>
      <c r="DP24" s="102">
        <v>0</v>
      </c>
      <c r="DQ24" s="102">
        <v>0</v>
      </c>
      <c r="DR24" s="102">
        <v>0</v>
      </c>
      <c r="DS24" s="102">
        <v>0</v>
      </c>
      <c r="DT24" s="102">
        <v>0</v>
      </c>
      <c r="DU24" s="102">
        <v>0</v>
      </c>
      <c r="DV24" s="102">
        <v>0</v>
      </c>
      <c r="DW24" s="102">
        <v>0</v>
      </c>
      <c r="DX24" s="102">
        <v>0</v>
      </c>
      <c r="DY24" s="102">
        <v>0</v>
      </c>
      <c r="DZ24" s="102">
        <v>0</v>
      </c>
      <c r="EA24" s="102">
        <v>0</v>
      </c>
      <c r="EB24" s="102">
        <v>0</v>
      </c>
      <c r="EC24" s="102">
        <v>0</v>
      </c>
      <c r="ED24" s="102">
        <v>0</v>
      </c>
      <c r="EE24" s="102">
        <v>0</v>
      </c>
      <c r="EF24" s="102">
        <v>0</v>
      </c>
      <c r="EG24" s="102">
        <v>0</v>
      </c>
      <c r="EH24" s="102">
        <v>0</v>
      </c>
      <c r="EI24" s="102">
        <v>0</v>
      </c>
      <c r="EJ24" s="102">
        <v>0</v>
      </c>
      <c r="EK24" s="102">
        <v>0</v>
      </c>
      <c r="EL24" s="102">
        <v>0</v>
      </c>
      <c r="EM24" s="102">
        <v>0</v>
      </c>
      <c r="EN24" s="102">
        <v>0</v>
      </c>
      <c r="EO24" s="102">
        <v>0</v>
      </c>
      <c r="EP24" s="102">
        <v>0</v>
      </c>
      <c r="EQ24" s="102">
        <v>0</v>
      </c>
      <c r="ER24" s="102">
        <v>0</v>
      </c>
      <c r="ES24" s="102">
        <v>0</v>
      </c>
      <c r="ET24" s="102">
        <v>0</v>
      </c>
      <c r="EU24" s="102">
        <v>0</v>
      </c>
      <c r="EV24" s="102">
        <v>0</v>
      </c>
      <c r="EW24" s="102">
        <v>0</v>
      </c>
      <c r="EX24" s="102">
        <v>0</v>
      </c>
      <c r="EY24" s="102">
        <v>0</v>
      </c>
      <c r="EZ24" s="102">
        <v>0</v>
      </c>
      <c r="FA24" s="102">
        <v>0</v>
      </c>
      <c r="FB24" s="102">
        <v>0</v>
      </c>
      <c r="FC24" s="102">
        <v>0</v>
      </c>
      <c r="FD24" s="102">
        <v>0</v>
      </c>
      <c r="FE24" s="102">
        <v>0</v>
      </c>
      <c r="FF24" s="102">
        <v>0</v>
      </c>
      <c r="FG24" s="102">
        <v>0</v>
      </c>
      <c r="FH24" s="102">
        <v>0</v>
      </c>
      <c r="FI24" s="102">
        <v>0</v>
      </c>
      <c r="FJ24" s="71">
        <v>0</v>
      </c>
    </row>
    <row r="25" spans="1:166" x14ac:dyDescent="0.3">
      <c r="A25" s="401" t="s">
        <v>972</v>
      </c>
      <c r="B25" s="103" t="s">
        <v>336</v>
      </c>
      <c r="C25" s="103" t="s">
        <v>288</v>
      </c>
      <c r="D25" s="103" t="s">
        <v>975</v>
      </c>
      <c r="E25" s="432" t="s">
        <v>590</v>
      </c>
      <c r="F25" s="432" t="s">
        <v>282</v>
      </c>
      <c r="G25" s="432" t="s">
        <v>966</v>
      </c>
      <c r="H25" s="103">
        <v>0</v>
      </c>
      <c r="I25" s="103">
        <v>0</v>
      </c>
      <c r="J25" s="103" t="s">
        <v>284</v>
      </c>
      <c r="K25" s="103">
        <v>0</v>
      </c>
      <c r="L25" s="103" t="s">
        <v>304</v>
      </c>
      <c r="M25" s="425">
        <v>1</v>
      </c>
      <c r="N25" s="103">
        <v>0</v>
      </c>
      <c r="O25" s="103">
        <v>0</v>
      </c>
      <c r="P25" s="393">
        <v>0</v>
      </c>
      <c r="Q25" s="420">
        <v>0</v>
      </c>
      <c r="R25" s="420">
        <v>84</v>
      </c>
      <c r="S25" s="394">
        <v>1</v>
      </c>
      <c r="T25" s="426">
        <v>1</v>
      </c>
      <c r="U25" s="103">
        <v>0</v>
      </c>
      <c r="V25" s="102">
        <v>1400000</v>
      </c>
      <c r="W25" s="102">
        <v>117600000</v>
      </c>
      <c r="X25" s="102">
        <v>16800000</v>
      </c>
      <c r="Y25" s="102">
        <v>16800000</v>
      </c>
      <c r="Z25" s="102">
        <v>16800000</v>
      </c>
      <c r="AA25" s="102">
        <v>16800000</v>
      </c>
      <c r="AB25" s="102">
        <v>16800000</v>
      </c>
      <c r="AC25" s="102">
        <v>16800000</v>
      </c>
      <c r="AD25" s="102">
        <v>16800000</v>
      </c>
      <c r="AE25" s="102">
        <v>0</v>
      </c>
      <c r="AF25" s="102">
        <v>0</v>
      </c>
      <c r="AG25" s="102">
        <v>0</v>
      </c>
      <c r="AH25" s="102">
        <v>0</v>
      </c>
      <c r="AI25" s="102">
        <v>1400000</v>
      </c>
      <c r="AJ25" s="102">
        <v>1400000</v>
      </c>
      <c r="AK25" s="102">
        <v>1400000</v>
      </c>
      <c r="AL25" s="102">
        <v>1400000</v>
      </c>
      <c r="AM25" s="102">
        <v>1400000</v>
      </c>
      <c r="AN25" s="102">
        <v>1400000</v>
      </c>
      <c r="AO25" s="102">
        <v>1400000</v>
      </c>
      <c r="AP25" s="102">
        <v>1400000</v>
      </c>
      <c r="AQ25" s="102">
        <v>1400000</v>
      </c>
      <c r="AR25" s="102">
        <v>1400000</v>
      </c>
      <c r="AS25" s="102">
        <v>1400000</v>
      </c>
      <c r="AT25" s="102">
        <v>1400000</v>
      </c>
      <c r="AU25" s="102">
        <v>1400000</v>
      </c>
      <c r="AV25" s="102">
        <v>1400000</v>
      </c>
      <c r="AW25" s="102">
        <v>1400000</v>
      </c>
      <c r="AX25" s="102">
        <v>1400000</v>
      </c>
      <c r="AY25" s="102">
        <v>1400000</v>
      </c>
      <c r="AZ25" s="102">
        <v>1400000</v>
      </c>
      <c r="BA25" s="102">
        <v>1400000</v>
      </c>
      <c r="BB25" s="102">
        <v>1400000</v>
      </c>
      <c r="BC25" s="102">
        <v>1400000</v>
      </c>
      <c r="BD25" s="102">
        <v>1400000</v>
      </c>
      <c r="BE25" s="102">
        <v>1400000</v>
      </c>
      <c r="BF25" s="102">
        <v>1400000</v>
      </c>
      <c r="BG25" s="102">
        <v>1400000</v>
      </c>
      <c r="BH25" s="102">
        <v>1400000</v>
      </c>
      <c r="BI25" s="102">
        <v>1400000</v>
      </c>
      <c r="BJ25" s="102">
        <v>1400000</v>
      </c>
      <c r="BK25" s="102">
        <v>1400000</v>
      </c>
      <c r="BL25" s="102">
        <v>1400000</v>
      </c>
      <c r="BM25" s="102">
        <v>1400000</v>
      </c>
      <c r="BN25" s="102">
        <v>1400000</v>
      </c>
      <c r="BO25" s="102">
        <v>1400000</v>
      </c>
      <c r="BP25" s="102">
        <v>1400000</v>
      </c>
      <c r="BQ25" s="102">
        <v>1400000</v>
      </c>
      <c r="BR25" s="102">
        <v>1400000</v>
      </c>
      <c r="BS25" s="102">
        <v>1400000</v>
      </c>
      <c r="BT25" s="102">
        <v>1400000</v>
      </c>
      <c r="BU25" s="102">
        <v>1400000</v>
      </c>
      <c r="BV25" s="102">
        <v>1400000</v>
      </c>
      <c r="BW25" s="102">
        <v>1400000</v>
      </c>
      <c r="BX25" s="102">
        <v>1400000</v>
      </c>
      <c r="BY25" s="102">
        <v>1400000</v>
      </c>
      <c r="BZ25" s="102">
        <v>1400000</v>
      </c>
      <c r="CA25" s="102">
        <v>1400000</v>
      </c>
      <c r="CB25" s="102">
        <v>1400000</v>
      </c>
      <c r="CC25" s="102">
        <v>1400000</v>
      </c>
      <c r="CD25" s="102">
        <v>1400000</v>
      </c>
      <c r="CE25" s="102">
        <v>1400000</v>
      </c>
      <c r="CF25" s="102">
        <v>1400000</v>
      </c>
      <c r="CG25" s="102">
        <v>1400000</v>
      </c>
      <c r="CH25" s="102">
        <v>1400000</v>
      </c>
      <c r="CI25" s="102">
        <v>1400000</v>
      </c>
      <c r="CJ25" s="102">
        <v>1400000</v>
      </c>
      <c r="CK25" s="102">
        <v>1400000</v>
      </c>
      <c r="CL25" s="102">
        <v>1400000</v>
      </c>
      <c r="CM25" s="102">
        <v>1400000</v>
      </c>
      <c r="CN25" s="102">
        <v>1400000</v>
      </c>
      <c r="CO25" s="102">
        <v>1400000</v>
      </c>
      <c r="CP25" s="102">
        <v>1400000</v>
      </c>
      <c r="CQ25" s="102">
        <v>1400000</v>
      </c>
      <c r="CR25" s="102">
        <v>1400000</v>
      </c>
      <c r="CS25" s="102">
        <v>1400000</v>
      </c>
      <c r="CT25" s="102">
        <v>1400000</v>
      </c>
      <c r="CU25" s="102">
        <v>1400000</v>
      </c>
      <c r="CV25" s="102">
        <v>1400000</v>
      </c>
      <c r="CW25" s="102">
        <v>1400000</v>
      </c>
      <c r="CX25" s="102">
        <v>1400000</v>
      </c>
      <c r="CY25" s="102">
        <v>1400000</v>
      </c>
      <c r="CZ25" s="102">
        <v>1400000</v>
      </c>
      <c r="DA25" s="102">
        <v>1400000</v>
      </c>
      <c r="DB25" s="102">
        <v>1400000</v>
      </c>
      <c r="DC25" s="102">
        <v>1400000</v>
      </c>
      <c r="DD25" s="102">
        <v>1400000</v>
      </c>
      <c r="DE25" s="102">
        <v>1400000</v>
      </c>
      <c r="DF25" s="102">
        <v>1400000</v>
      </c>
      <c r="DG25" s="102">
        <v>1400000</v>
      </c>
      <c r="DH25" s="102">
        <v>1400000</v>
      </c>
      <c r="DI25" s="102">
        <v>1400000</v>
      </c>
      <c r="DJ25" s="102">
        <v>1400000</v>
      </c>
      <c r="DK25" s="102">
        <v>1400000</v>
      </c>
      <c r="DL25" s="102">
        <v>1400000</v>
      </c>
      <c r="DM25" s="102">
        <v>1400000</v>
      </c>
      <c r="DN25" s="102">
        <v>1400000</v>
      </c>
      <c r="DO25" s="102">
        <v>0</v>
      </c>
      <c r="DP25" s="102">
        <v>0</v>
      </c>
      <c r="DQ25" s="102">
        <v>0</v>
      </c>
      <c r="DR25" s="102">
        <v>0</v>
      </c>
      <c r="DS25" s="102">
        <v>0</v>
      </c>
      <c r="DT25" s="102">
        <v>0</v>
      </c>
      <c r="DU25" s="102">
        <v>0</v>
      </c>
      <c r="DV25" s="102">
        <v>0</v>
      </c>
      <c r="DW25" s="102">
        <v>0</v>
      </c>
      <c r="DX25" s="102">
        <v>0</v>
      </c>
      <c r="DY25" s="102">
        <v>0</v>
      </c>
      <c r="DZ25" s="102">
        <v>0</v>
      </c>
      <c r="EA25" s="102">
        <v>0</v>
      </c>
      <c r="EB25" s="102">
        <v>0</v>
      </c>
      <c r="EC25" s="102">
        <v>0</v>
      </c>
      <c r="ED25" s="102">
        <v>0</v>
      </c>
      <c r="EE25" s="102">
        <v>0</v>
      </c>
      <c r="EF25" s="102">
        <v>0</v>
      </c>
      <c r="EG25" s="102">
        <v>0</v>
      </c>
      <c r="EH25" s="102">
        <v>0</v>
      </c>
      <c r="EI25" s="102">
        <v>0</v>
      </c>
      <c r="EJ25" s="102">
        <v>0</v>
      </c>
      <c r="EK25" s="102">
        <v>0</v>
      </c>
      <c r="EL25" s="102">
        <v>0</v>
      </c>
      <c r="EM25" s="102">
        <v>0</v>
      </c>
      <c r="EN25" s="102">
        <v>0</v>
      </c>
      <c r="EO25" s="102">
        <v>0</v>
      </c>
      <c r="EP25" s="102">
        <v>0</v>
      </c>
      <c r="EQ25" s="102">
        <v>0</v>
      </c>
      <c r="ER25" s="102">
        <v>0</v>
      </c>
      <c r="ES25" s="102">
        <v>0</v>
      </c>
      <c r="ET25" s="102">
        <v>0</v>
      </c>
      <c r="EU25" s="102">
        <v>0</v>
      </c>
      <c r="EV25" s="102">
        <v>0</v>
      </c>
      <c r="EW25" s="102">
        <v>0</v>
      </c>
      <c r="EX25" s="102">
        <v>0</v>
      </c>
      <c r="EY25" s="102">
        <v>0</v>
      </c>
      <c r="EZ25" s="102">
        <v>0</v>
      </c>
      <c r="FA25" s="102">
        <v>0</v>
      </c>
      <c r="FB25" s="102">
        <v>0</v>
      </c>
      <c r="FC25" s="102">
        <v>0</v>
      </c>
      <c r="FD25" s="102">
        <v>0</v>
      </c>
      <c r="FE25" s="102">
        <v>0</v>
      </c>
      <c r="FF25" s="102">
        <v>0</v>
      </c>
      <c r="FG25" s="102">
        <v>0</v>
      </c>
      <c r="FH25" s="102">
        <v>0</v>
      </c>
      <c r="FI25" s="102">
        <v>0</v>
      </c>
      <c r="FJ25" s="71">
        <v>0</v>
      </c>
    </row>
    <row r="26" spans="1:166" x14ac:dyDescent="0.3">
      <c r="A26" s="401" t="s">
        <v>973</v>
      </c>
      <c r="B26" s="103" t="s">
        <v>336</v>
      </c>
      <c r="C26" s="103" t="s">
        <v>288</v>
      </c>
      <c r="D26" s="103" t="s">
        <v>975</v>
      </c>
      <c r="E26" s="419" t="s">
        <v>999</v>
      </c>
      <c r="F26" s="103" t="s">
        <v>442</v>
      </c>
      <c r="G26" s="103">
        <v>0</v>
      </c>
      <c r="H26" s="103">
        <v>0</v>
      </c>
      <c r="I26" s="103">
        <v>0</v>
      </c>
      <c r="J26" s="103" t="s">
        <v>284</v>
      </c>
      <c r="K26" s="103">
        <v>0</v>
      </c>
      <c r="L26" s="103">
        <v>0</v>
      </c>
      <c r="M26" s="103">
        <v>0</v>
      </c>
      <c r="N26" s="103">
        <v>0</v>
      </c>
      <c r="O26" s="103">
        <v>0</v>
      </c>
      <c r="P26" s="393">
        <v>0</v>
      </c>
      <c r="Q26" s="103">
        <v>0</v>
      </c>
      <c r="R26" s="103">
        <v>0</v>
      </c>
      <c r="S26" s="394">
        <v>1</v>
      </c>
      <c r="T26" s="426">
        <v>1</v>
      </c>
      <c r="U26" s="103">
        <v>0</v>
      </c>
      <c r="V26" s="102">
        <v>0</v>
      </c>
      <c r="W26" s="102">
        <v>0</v>
      </c>
      <c r="X26" s="102">
        <v>0</v>
      </c>
      <c r="Y26" s="102">
        <v>0</v>
      </c>
      <c r="Z26" s="102">
        <v>0</v>
      </c>
      <c r="AA26" s="102">
        <v>0</v>
      </c>
      <c r="AB26" s="102">
        <v>0</v>
      </c>
      <c r="AC26" s="102">
        <v>0</v>
      </c>
      <c r="AD26" s="102">
        <v>0</v>
      </c>
      <c r="AE26" s="102">
        <v>0</v>
      </c>
      <c r="AF26" s="102">
        <v>0</v>
      </c>
      <c r="AG26" s="102">
        <v>0</v>
      </c>
      <c r="AH26" s="102">
        <v>0</v>
      </c>
      <c r="AI26" s="102">
        <v>0</v>
      </c>
      <c r="AJ26" s="102">
        <v>0</v>
      </c>
      <c r="AK26" s="102">
        <v>0</v>
      </c>
      <c r="AL26" s="102">
        <v>0</v>
      </c>
      <c r="AM26" s="102">
        <v>0</v>
      </c>
      <c r="AN26" s="102">
        <v>0</v>
      </c>
      <c r="AO26" s="102">
        <v>0</v>
      </c>
      <c r="AP26" s="102">
        <v>0</v>
      </c>
      <c r="AQ26" s="102">
        <v>0</v>
      </c>
      <c r="AR26" s="102">
        <v>0</v>
      </c>
      <c r="AS26" s="102">
        <v>0</v>
      </c>
      <c r="AT26" s="102">
        <v>0</v>
      </c>
      <c r="AU26" s="102">
        <v>0</v>
      </c>
      <c r="AV26" s="102">
        <v>0</v>
      </c>
      <c r="AW26" s="102">
        <v>0</v>
      </c>
      <c r="AX26" s="102">
        <v>0</v>
      </c>
      <c r="AY26" s="102">
        <v>0</v>
      </c>
      <c r="AZ26" s="102">
        <v>0</v>
      </c>
      <c r="BA26" s="102">
        <v>0</v>
      </c>
      <c r="BB26" s="102">
        <v>0</v>
      </c>
      <c r="BC26" s="102">
        <v>0</v>
      </c>
      <c r="BD26" s="102">
        <v>0</v>
      </c>
      <c r="BE26" s="102">
        <v>0</v>
      </c>
      <c r="BF26" s="102">
        <v>0</v>
      </c>
      <c r="BG26" s="102">
        <v>0</v>
      </c>
      <c r="BH26" s="102">
        <v>0</v>
      </c>
      <c r="BI26" s="102">
        <v>0</v>
      </c>
      <c r="BJ26" s="102">
        <v>0</v>
      </c>
      <c r="BK26" s="102">
        <v>0</v>
      </c>
      <c r="BL26" s="102">
        <v>0</v>
      </c>
      <c r="BM26" s="102">
        <v>0</v>
      </c>
      <c r="BN26" s="102">
        <v>0</v>
      </c>
      <c r="BO26" s="102">
        <v>0</v>
      </c>
      <c r="BP26" s="102">
        <v>0</v>
      </c>
      <c r="BQ26" s="102">
        <v>0</v>
      </c>
      <c r="BR26" s="102">
        <v>0</v>
      </c>
      <c r="BS26" s="102">
        <v>0</v>
      </c>
      <c r="BT26" s="102">
        <v>0</v>
      </c>
      <c r="BU26" s="102">
        <v>0</v>
      </c>
      <c r="BV26" s="102">
        <v>0</v>
      </c>
      <c r="BW26" s="102">
        <v>0</v>
      </c>
      <c r="BX26" s="102">
        <v>0</v>
      </c>
      <c r="BY26" s="102">
        <v>0</v>
      </c>
      <c r="BZ26" s="102">
        <v>0</v>
      </c>
      <c r="CA26" s="102">
        <v>0</v>
      </c>
      <c r="CB26" s="102">
        <v>0</v>
      </c>
      <c r="CC26" s="102">
        <v>0</v>
      </c>
      <c r="CD26" s="102">
        <v>0</v>
      </c>
      <c r="CE26" s="102">
        <v>0</v>
      </c>
      <c r="CF26" s="102">
        <v>0</v>
      </c>
      <c r="CG26" s="102">
        <v>0</v>
      </c>
      <c r="CH26" s="102">
        <v>0</v>
      </c>
      <c r="CI26" s="102">
        <v>0</v>
      </c>
      <c r="CJ26" s="102">
        <v>0</v>
      </c>
      <c r="CK26" s="102">
        <v>0</v>
      </c>
      <c r="CL26" s="102">
        <v>0</v>
      </c>
      <c r="CM26" s="102">
        <v>0</v>
      </c>
      <c r="CN26" s="102">
        <v>0</v>
      </c>
      <c r="CO26" s="102">
        <v>0</v>
      </c>
      <c r="CP26" s="102">
        <v>0</v>
      </c>
      <c r="CQ26" s="102">
        <v>0</v>
      </c>
      <c r="CR26" s="102">
        <v>0</v>
      </c>
      <c r="CS26" s="102">
        <v>0</v>
      </c>
      <c r="CT26" s="102">
        <v>0</v>
      </c>
      <c r="CU26" s="102">
        <v>0</v>
      </c>
      <c r="CV26" s="102">
        <v>0</v>
      </c>
      <c r="CW26" s="102">
        <v>0</v>
      </c>
      <c r="CX26" s="102">
        <v>0</v>
      </c>
      <c r="CY26" s="102">
        <v>0</v>
      </c>
      <c r="CZ26" s="102">
        <v>0</v>
      </c>
      <c r="DA26" s="102">
        <v>0</v>
      </c>
      <c r="DB26" s="102">
        <v>0</v>
      </c>
      <c r="DC26" s="102">
        <v>0</v>
      </c>
      <c r="DD26" s="102">
        <v>0</v>
      </c>
      <c r="DE26" s="102">
        <v>0</v>
      </c>
      <c r="DF26" s="102">
        <v>0</v>
      </c>
      <c r="DG26" s="102">
        <v>0</v>
      </c>
      <c r="DH26" s="102">
        <v>0</v>
      </c>
      <c r="DI26" s="102">
        <v>0</v>
      </c>
      <c r="DJ26" s="102">
        <v>0</v>
      </c>
      <c r="DK26" s="102">
        <v>0</v>
      </c>
      <c r="DL26" s="102">
        <v>0</v>
      </c>
      <c r="DM26" s="102">
        <v>0</v>
      </c>
      <c r="DN26" s="102">
        <v>0</v>
      </c>
      <c r="DO26" s="102">
        <v>0</v>
      </c>
      <c r="DP26" s="102">
        <v>0</v>
      </c>
      <c r="DQ26" s="102">
        <v>0</v>
      </c>
      <c r="DR26" s="102">
        <v>0</v>
      </c>
      <c r="DS26" s="102">
        <v>0</v>
      </c>
      <c r="DT26" s="102">
        <v>0</v>
      </c>
      <c r="DU26" s="102">
        <v>0</v>
      </c>
      <c r="DV26" s="102">
        <v>0</v>
      </c>
      <c r="DW26" s="102">
        <v>0</v>
      </c>
      <c r="DX26" s="102">
        <v>0</v>
      </c>
      <c r="DY26" s="102">
        <v>0</v>
      </c>
      <c r="DZ26" s="102">
        <v>0</v>
      </c>
      <c r="EA26" s="102">
        <v>0</v>
      </c>
      <c r="EB26" s="102">
        <v>0</v>
      </c>
      <c r="EC26" s="102">
        <v>0</v>
      </c>
      <c r="ED26" s="102">
        <v>0</v>
      </c>
      <c r="EE26" s="102">
        <v>0</v>
      </c>
      <c r="EF26" s="102">
        <v>0</v>
      </c>
      <c r="EG26" s="102">
        <v>0</v>
      </c>
      <c r="EH26" s="102">
        <v>0</v>
      </c>
      <c r="EI26" s="102">
        <v>0</v>
      </c>
      <c r="EJ26" s="102">
        <v>0</v>
      </c>
      <c r="EK26" s="102">
        <v>0</v>
      </c>
      <c r="EL26" s="102">
        <v>0</v>
      </c>
      <c r="EM26" s="102">
        <v>0</v>
      </c>
      <c r="EN26" s="102">
        <v>0</v>
      </c>
      <c r="EO26" s="102">
        <v>0</v>
      </c>
      <c r="EP26" s="102">
        <v>0</v>
      </c>
      <c r="EQ26" s="102">
        <v>0</v>
      </c>
      <c r="ER26" s="102">
        <v>0</v>
      </c>
      <c r="ES26" s="102">
        <v>0</v>
      </c>
      <c r="ET26" s="102">
        <v>0</v>
      </c>
      <c r="EU26" s="102">
        <v>0</v>
      </c>
      <c r="EV26" s="102">
        <v>0</v>
      </c>
      <c r="EW26" s="102">
        <v>0</v>
      </c>
      <c r="EX26" s="102">
        <v>0</v>
      </c>
      <c r="EY26" s="102">
        <v>0</v>
      </c>
      <c r="EZ26" s="102">
        <v>0</v>
      </c>
      <c r="FA26" s="102">
        <v>0</v>
      </c>
      <c r="FB26" s="102">
        <v>0</v>
      </c>
      <c r="FC26" s="102">
        <v>0</v>
      </c>
      <c r="FD26" s="102">
        <v>0</v>
      </c>
      <c r="FE26" s="102">
        <v>0</v>
      </c>
      <c r="FF26" s="102">
        <v>0</v>
      </c>
      <c r="FG26" s="102">
        <v>0</v>
      </c>
      <c r="FH26" s="102">
        <v>0</v>
      </c>
      <c r="FI26" s="102">
        <v>0</v>
      </c>
      <c r="FJ26" s="71">
        <v>0</v>
      </c>
    </row>
    <row r="27" spans="1:166" x14ac:dyDescent="0.3">
      <c r="A27" s="401" t="s">
        <v>979</v>
      </c>
      <c r="B27" s="103" t="s">
        <v>336</v>
      </c>
      <c r="C27" s="103" t="s">
        <v>288</v>
      </c>
      <c r="D27" s="103" t="s">
        <v>975</v>
      </c>
      <c r="E27" s="419" t="s">
        <v>999</v>
      </c>
      <c r="F27" s="103" t="s">
        <v>443</v>
      </c>
      <c r="G27" s="103">
        <v>0</v>
      </c>
      <c r="H27" s="103">
        <v>0</v>
      </c>
      <c r="I27" s="103">
        <v>0</v>
      </c>
      <c r="J27" s="103" t="s">
        <v>284</v>
      </c>
      <c r="K27" s="103">
        <v>0</v>
      </c>
      <c r="L27" s="103">
        <v>0</v>
      </c>
      <c r="M27" s="103">
        <v>0</v>
      </c>
      <c r="N27" s="103">
        <v>0</v>
      </c>
      <c r="O27" s="103">
        <v>0</v>
      </c>
      <c r="P27" s="393">
        <v>0</v>
      </c>
      <c r="Q27" s="103">
        <v>0</v>
      </c>
      <c r="R27" s="103">
        <v>0</v>
      </c>
      <c r="S27" s="394">
        <v>1</v>
      </c>
      <c r="T27" s="426">
        <v>1</v>
      </c>
      <c r="U27" s="103">
        <v>0</v>
      </c>
      <c r="V27" s="102">
        <v>0</v>
      </c>
      <c r="W27" s="102">
        <v>0</v>
      </c>
      <c r="X27" s="102">
        <v>0</v>
      </c>
      <c r="Y27" s="102">
        <v>0</v>
      </c>
      <c r="Z27" s="102">
        <v>0</v>
      </c>
      <c r="AA27" s="102">
        <v>0</v>
      </c>
      <c r="AB27" s="102">
        <v>0</v>
      </c>
      <c r="AC27" s="102">
        <v>0</v>
      </c>
      <c r="AD27" s="102">
        <v>0</v>
      </c>
      <c r="AE27" s="102">
        <v>0</v>
      </c>
      <c r="AF27" s="102">
        <v>0</v>
      </c>
      <c r="AG27" s="102">
        <v>0</v>
      </c>
      <c r="AH27" s="102">
        <v>0</v>
      </c>
      <c r="AI27" s="102">
        <v>0</v>
      </c>
      <c r="AJ27" s="102">
        <v>0</v>
      </c>
      <c r="AK27" s="102">
        <v>0</v>
      </c>
      <c r="AL27" s="102">
        <v>0</v>
      </c>
      <c r="AM27" s="102">
        <v>0</v>
      </c>
      <c r="AN27" s="102">
        <v>0</v>
      </c>
      <c r="AO27" s="102">
        <v>0</v>
      </c>
      <c r="AP27" s="102">
        <v>0</v>
      </c>
      <c r="AQ27" s="102">
        <v>0</v>
      </c>
      <c r="AR27" s="102">
        <v>0</v>
      </c>
      <c r="AS27" s="102">
        <v>0</v>
      </c>
      <c r="AT27" s="102">
        <v>0</v>
      </c>
      <c r="AU27" s="102">
        <v>0</v>
      </c>
      <c r="AV27" s="102">
        <v>0</v>
      </c>
      <c r="AW27" s="102">
        <v>0</v>
      </c>
      <c r="AX27" s="102">
        <v>0</v>
      </c>
      <c r="AY27" s="102">
        <v>0</v>
      </c>
      <c r="AZ27" s="102">
        <v>0</v>
      </c>
      <c r="BA27" s="102">
        <v>0</v>
      </c>
      <c r="BB27" s="102">
        <v>0</v>
      </c>
      <c r="BC27" s="102">
        <v>0</v>
      </c>
      <c r="BD27" s="102">
        <v>0</v>
      </c>
      <c r="BE27" s="102">
        <v>0</v>
      </c>
      <c r="BF27" s="102">
        <v>0</v>
      </c>
      <c r="BG27" s="102">
        <v>0</v>
      </c>
      <c r="BH27" s="102">
        <v>0</v>
      </c>
      <c r="BI27" s="102">
        <v>0</v>
      </c>
      <c r="BJ27" s="102">
        <v>0</v>
      </c>
      <c r="BK27" s="102">
        <v>0</v>
      </c>
      <c r="BL27" s="102">
        <v>0</v>
      </c>
      <c r="BM27" s="102">
        <v>0</v>
      </c>
      <c r="BN27" s="102">
        <v>0</v>
      </c>
      <c r="BO27" s="102">
        <v>0</v>
      </c>
      <c r="BP27" s="102">
        <v>0</v>
      </c>
      <c r="BQ27" s="102">
        <v>0</v>
      </c>
      <c r="BR27" s="102">
        <v>0</v>
      </c>
      <c r="BS27" s="102">
        <v>0</v>
      </c>
      <c r="BT27" s="102">
        <v>0</v>
      </c>
      <c r="BU27" s="102">
        <v>0</v>
      </c>
      <c r="BV27" s="102">
        <v>0</v>
      </c>
      <c r="BW27" s="102">
        <v>0</v>
      </c>
      <c r="BX27" s="102">
        <v>0</v>
      </c>
      <c r="BY27" s="102">
        <v>0</v>
      </c>
      <c r="BZ27" s="102">
        <v>0</v>
      </c>
      <c r="CA27" s="102">
        <v>0</v>
      </c>
      <c r="CB27" s="102">
        <v>0</v>
      </c>
      <c r="CC27" s="102">
        <v>0</v>
      </c>
      <c r="CD27" s="102">
        <v>0</v>
      </c>
      <c r="CE27" s="102">
        <v>0</v>
      </c>
      <c r="CF27" s="102">
        <v>0</v>
      </c>
      <c r="CG27" s="102">
        <v>0</v>
      </c>
      <c r="CH27" s="102">
        <v>0</v>
      </c>
      <c r="CI27" s="102">
        <v>0</v>
      </c>
      <c r="CJ27" s="102">
        <v>0</v>
      </c>
      <c r="CK27" s="102">
        <v>0</v>
      </c>
      <c r="CL27" s="102">
        <v>0</v>
      </c>
      <c r="CM27" s="102">
        <v>0</v>
      </c>
      <c r="CN27" s="102">
        <v>0</v>
      </c>
      <c r="CO27" s="102">
        <v>0</v>
      </c>
      <c r="CP27" s="102">
        <v>0</v>
      </c>
      <c r="CQ27" s="102">
        <v>0</v>
      </c>
      <c r="CR27" s="102">
        <v>0</v>
      </c>
      <c r="CS27" s="102">
        <v>0</v>
      </c>
      <c r="CT27" s="102">
        <v>0</v>
      </c>
      <c r="CU27" s="102">
        <v>0</v>
      </c>
      <c r="CV27" s="102">
        <v>0</v>
      </c>
      <c r="CW27" s="102">
        <v>0</v>
      </c>
      <c r="CX27" s="102">
        <v>0</v>
      </c>
      <c r="CY27" s="102">
        <v>0</v>
      </c>
      <c r="CZ27" s="102">
        <v>0</v>
      </c>
      <c r="DA27" s="102">
        <v>0</v>
      </c>
      <c r="DB27" s="102">
        <v>0</v>
      </c>
      <c r="DC27" s="102">
        <v>0</v>
      </c>
      <c r="DD27" s="102">
        <v>0</v>
      </c>
      <c r="DE27" s="102">
        <v>0</v>
      </c>
      <c r="DF27" s="102">
        <v>0</v>
      </c>
      <c r="DG27" s="102">
        <v>0</v>
      </c>
      <c r="DH27" s="102">
        <v>0</v>
      </c>
      <c r="DI27" s="102">
        <v>0</v>
      </c>
      <c r="DJ27" s="102">
        <v>0</v>
      </c>
      <c r="DK27" s="102">
        <v>0</v>
      </c>
      <c r="DL27" s="102">
        <v>0</v>
      </c>
      <c r="DM27" s="102">
        <v>0</v>
      </c>
      <c r="DN27" s="102">
        <v>0</v>
      </c>
      <c r="DO27" s="102">
        <v>0</v>
      </c>
      <c r="DP27" s="102">
        <v>0</v>
      </c>
      <c r="DQ27" s="102">
        <v>0</v>
      </c>
      <c r="DR27" s="102">
        <v>0</v>
      </c>
      <c r="DS27" s="102">
        <v>0</v>
      </c>
      <c r="DT27" s="102">
        <v>0</v>
      </c>
      <c r="DU27" s="102">
        <v>0</v>
      </c>
      <c r="DV27" s="102">
        <v>0</v>
      </c>
      <c r="DW27" s="102">
        <v>0</v>
      </c>
      <c r="DX27" s="102">
        <v>0</v>
      </c>
      <c r="DY27" s="102">
        <v>0</v>
      </c>
      <c r="DZ27" s="102">
        <v>0</v>
      </c>
      <c r="EA27" s="102">
        <v>0</v>
      </c>
      <c r="EB27" s="102">
        <v>0</v>
      </c>
      <c r="EC27" s="102">
        <v>0</v>
      </c>
      <c r="ED27" s="102">
        <v>0</v>
      </c>
      <c r="EE27" s="102">
        <v>0</v>
      </c>
      <c r="EF27" s="102">
        <v>0</v>
      </c>
      <c r="EG27" s="102">
        <v>0</v>
      </c>
      <c r="EH27" s="102">
        <v>0</v>
      </c>
      <c r="EI27" s="102">
        <v>0</v>
      </c>
      <c r="EJ27" s="102">
        <v>0</v>
      </c>
      <c r="EK27" s="102">
        <v>0</v>
      </c>
      <c r="EL27" s="102">
        <v>0</v>
      </c>
      <c r="EM27" s="102">
        <v>0</v>
      </c>
      <c r="EN27" s="102">
        <v>0</v>
      </c>
      <c r="EO27" s="102">
        <v>0</v>
      </c>
      <c r="EP27" s="102">
        <v>0</v>
      </c>
      <c r="EQ27" s="102">
        <v>0</v>
      </c>
      <c r="ER27" s="102">
        <v>0</v>
      </c>
      <c r="ES27" s="102">
        <v>0</v>
      </c>
      <c r="ET27" s="102">
        <v>0</v>
      </c>
      <c r="EU27" s="102">
        <v>0</v>
      </c>
      <c r="EV27" s="102">
        <v>0</v>
      </c>
      <c r="EW27" s="102">
        <v>0</v>
      </c>
      <c r="EX27" s="102">
        <v>0</v>
      </c>
      <c r="EY27" s="102">
        <v>0</v>
      </c>
      <c r="EZ27" s="102">
        <v>0</v>
      </c>
      <c r="FA27" s="102">
        <v>0</v>
      </c>
      <c r="FB27" s="102">
        <v>0</v>
      </c>
      <c r="FC27" s="102">
        <v>0</v>
      </c>
      <c r="FD27" s="102">
        <v>0</v>
      </c>
      <c r="FE27" s="102">
        <v>0</v>
      </c>
      <c r="FF27" s="102">
        <v>0</v>
      </c>
      <c r="FG27" s="102">
        <v>0</v>
      </c>
      <c r="FH27" s="102">
        <v>0</v>
      </c>
      <c r="FI27" s="102">
        <v>0</v>
      </c>
      <c r="FJ27" s="71">
        <v>0</v>
      </c>
    </row>
    <row r="28" spans="1:166" x14ac:dyDescent="0.3">
      <c r="A28" s="401" t="s">
        <v>980</v>
      </c>
      <c r="B28" s="103" t="s">
        <v>336</v>
      </c>
      <c r="C28" s="103" t="s">
        <v>288</v>
      </c>
      <c r="D28" s="419" t="s">
        <v>591</v>
      </c>
      <c r="E28" s="103">
        <v>0</v>
      </c>
      <c r="F28" s="103">
        <v>0</v>
      </c>
      <c r="G28" s="103">
        <v>0</v>
      </c>
      <c r="H28" s="103">
        <v>0</v>
      </c>
      <c r="I28" s="103">
        <v>0</v>
      </c>
      <c r="J28" s="103" t="s">
        <v>284</v>
      </c>
      <c r="K28" s="103">
        <v>0</v>
      </c>
      <c r="L28" s="103" t="s">
        <v>304</v>
      </c>
      <c r="M28" s="425">
        <v>1</v>
      </c>
      <c r="N28" s="103">
        <v>0</v>
      </c>
      <c r="O28" s="103">
        <v>0</v>
      </c>
      <c r="P28" s="393">
        <v>0</v>
      </c>
      <c r="Q28" s="420">
        <v>0</v>
      </c>
      <c r="R28" s="420">
        <v>1</v>
      </c>
      <c r="S28" s="394">
        <v>1</v>
      </c>
      <c r="T28" s="426">
        <v>1</v>
      </c>
      <c r="U28" s="103">
        <v>0</v>
      </c>
      <c r="V28" s="102">
        <v>10000000</v>
      </c>
      <c r="W28" s="102">
        <v>10000000</v>
      </c>
      <c r="X28" s="102">
        <v>10000000</v>
      </c>
      <c r="Y28" s="102">
        <v>0</v>
      </c>
      <c r="Z28" s="102">
        <v>0</v>
      </c>
      <c r="AA28" s="102">
        <v>0</v>
      </c>
      <c r="AB28" s="102">
        <v>0</v>
      </c>
      <c r="AC28" s="102">
        <v>0</v>
      </c>
      <c r="AD28" s="102">
        <v>0</v>
      </c>
      <c r="AE28" s="102">
        <v>0</v>
      </c>
      <c r="AF28" s="102">
        <v>0</v>
      </c>
      <c r="AG28" s="102">
        <v>0</v>
      </c>
      <c r="AH28" s="102">
        <v>0</v>
      </c>
      <c r="AI28" s="102">
        <v>10000000</v>
      </c>
      <c r="AJ28" s="102">
        <v>0</v>
      </c>
      <c r="AK28" s="102">
        <v>0</v>
      </c>
      <c r="AL28" s="102">
        <v>0</v>
      </c>
      <c r="AM28" s="102">
        <v>0</v>
      </c>
      <c r="AN28" s="102">
        <v>0</v>
      </c>
      <c r="AO28" s="102">
        <v>0</v>
      </c>
      <c r="AP28" s="102">
        <v>0</v>
      </c>
      <c r="AQ28" s="102">
        <v>0</v>
      </c>
      <c r="AR28" s="102">
        <v>0</v>
      </c>
      <c r="AS28" s="102">
        <v>0</v>
      </c>
      <c r="AT28" s="102">
        <v>0</v>
      </c>
      <c r="AU28" s="102">
        <v>0</v>
      </c>
      <c r="AV28" s="102">
        <v>0</v>
      </c>
      <c r="AW28" s="102">
        <v>0</v>
      </c>
      <c r="AX28" s="102">
        <v>0</v>
      </c>
      <c r="AY28" s="102">
        <v>0</v>
      </c>
      <c r="AZ28" s="102">
        <v>0</v>
      </c>
      <c r="BA28" s="102">
        <v>0</v>
      </c>
      <c r="BB28" s="102">
        <v>0</v>
      </c>
      <c r="BC28" s="102">
        <v>0</v>
      </c>
      <c r="BD28" s="102">
        <v>0</v>
      </c>
      <c r="BE28" s="102">
        <v>0</v>
      </c>
      <c r="BF28" s="102">
        <v>0</v>
      </c>
      <c r="BG28" s="102">
        <v>0</v>
      </c>
      <c r="BH28" s="102">
        <v>0</v>
      </c>
      <c r="BI28" s="102">
        <v>0</v>
      </c>
      <c r="BJ28" s="102">
        <v>0</v>
      </c>
      <c r="BK28" s="102">
        <v>0</v>
      </c>
      <c r="BL28" s="102">
        <v>0</v>
      </c>
      <c r="BM28" s="102">
        <v>0</v>
      </c>
      <c r="BN28" s="102">
        <v>0</v>
      </c>
      <c r="BO28" s="102">
        <v>0</v>
      </c>
      <c r="BP28" s="102">
        <v>0</v>
      </c>
      <c r="BQ28" s="102">
        <v>0</v>
      </c>
      <c r="BR28" s="102">
        <v>0</v>
      </c>
      <c r="BS28" s="102">
        <v>0</v>
      </c>
      <c r="BT28" s="102">
        <v>0</v>
      </c>
      <c r="BU28" s="102">
        <v>0</v>
      </c>
      <c r="BV28" s="102">
        <v>0</v>
      </c>
      <c r="BW28" s="102">
        <v>0</v>
      </c>
      <c r="BX28" s="102">
        <v>0</v>
      </c>
      <c r="BY28" s="102">
        <v>0</v>
      </c>
      <c r="BZ28" s="102">
        <v>0</v>
      </c>
      <c r="CA28" s="102">
        <v>0</v>
      </c>
      <c r="CB28" s="102">
        <v>0</v>
      </c>
      <c r="CC28" s="102">
        <v>0</v>
      </c>
      <c r="CD28" s="102">
        <v>0</v>
      </c>
      <c r="CE28" s="102">
        <v>0</v>
      </c>
      <c r="CF28" s="102">
        <v>0</v>
      </c>
      <c r="CG28" s="102">
        <v>0</v>
      </c>
      <c r="CH28" s="102">
        <v>0</v>
      </c>
      <c r="CI28" s="102">
        <v>0</v>
      </c>
      <c r="CJ28" s="102">
        <v>0</v>
      </c>
      <c r="CK28" s="102">
        <v>0</v>
      </c>
      <c r="CL28" s="102">
        <v>0</v>
      </c>
      <c r="CM28" s="102">
        <v>0</v>
      </c>
      <c r="CN28" s="102">
        <v>0</v>
      </c>
      <c r="CO28" s="102">
        <v>0</v>
      </c>
      <c r="CP28" s="102">
        <v>0</v>
      </c>
      <c r="CQ28" s="102">
        <v>0</v>
      </c>
      <c r="CR28" s="102">
        <v>0</v>
      </c>
      <c r="CS28" s="102">
        <v>0</v>
      </c>
      <c r="CT28" s="102">
        <v>0</v>
      </c>
      <c r="CU28" s="102">
        <v>0</v>
      </c>
      <c r="CV28" s="102">
        <v>0</v>
      </c>
      <c r="CW28" s="102">
        <v>0</v>
      </c>
      <c r="CX28" s="102">
        <v>0</v>
      </c>
      <c r="CY28" s="102">
        <v>0</v>
      </c>
      <c r="CZ28" s="102">
        <v>0</v>
      </c>
      <c r="DA28" s="102">
        <v>0</v>
      </c>
      <c r="DB28" s="102">
        <v>0</v>
      </c>
      <c r="DC28" s="102">
        <v>0</v>
      </c>
      <c r="DD28" s="102">
        <v>0</v>
      </c>
      <c r="DE28" s="102">
        <v>0</v>
      </c>
      <c r="DF28" s="102">
        <v>0</v>
      </c>
      <c r="DG28" s="102">
        <v>0</v>
      </c>
      <c r="DH28" s="102">
        <v>0</v>
      </c>
      <c r="DI28" s="102">
        <v>0</v>
      </c>
      <c r="DJ28" s="102">
        <v>0</v>
      </c>
      <c r="DK28" s="102">
        <v>0</v>
      </c>
      <c r="DL28" s="102">
        <v>0</v>
      </c>
      <c r="DM28" s="102">
        <v>0</v>
      </c>
      <c r="DN28" s="102">
        <v>0</v>
      </c>
      <c r="DO28" s="102">
        <v>0</v>
      </c>
      <c r="DP28" s="102">
        <v>0</v>
      </c>
      <c r="DQ28" s="102">
        <v>0</v>
      </c>
      <c r="DR28" s="102">
        <v>0</v>
      </c>
      <c r="DS28" s="102">
        <v>0</v>
      </c>
      <c r="DT28" s="102">
        <v>0</v>
      </c>
      <c r="DU28" s="102">
        <v>0</v>
      </c>
      <c r="DV28" s="102">
        <v>0</v>
      </c>
      <c r="DW28" s="102">
        <v>0</v>
      </c>
      <c r="DX28" s="102">
        <v>0</v>
      </c>
      <c r="DY28" s="102">
        <v>0</v>
      </c>
      <c r="DZ28" s="102">
        <v>0</v>
      </c>
      <c r="EA28" s="102">
        <v>0</v>
      </c>
      <c r="EB28" s="102">
        <v>0</v>
      </c>
      <c r="EC28" s="102">
        <v>0</v>
      </c>
      <c r="ED28" s="102">
        <v>0</v>
      </c>
      <c r="EE28" s="102">
        <v>0</v>
      </c>
      <c r="EF28" s="102">
        <v>0</v>
      </c>
      <c r="EG28" s="102">
        <v>0</v>
      </c>
      <c r="EH28" s="102">
        <v>0</v>
      </c>
      <c r="EI28" s="102">
        <v>0</v>
      </c>
      <c r="EJ28" s="102">
        <v>0</v>
      </c>
      <c r="EK28" s="102">
        <v>0</v>
      </c>
      <c r="EL28" s="102">
        <v>0</v>
      </c>
      <c r="EM28" s="102">
        <v>0</v>
      </c>
      <c r="EN28" s="102">
        <v>0</v>
      </c>
      <c r="EO28" s="102">
        <v>0</v>
      </c>
      <c r="EP28" s="102">
        <v>0</v>
      </c>
      <c r="EQ28" s="102">
        <v>0</v>
      </c>
      <c r="ER28" s="102">
        <v>0</v>
      </c>
      <c r="ES28" s="102">
        <v>0</v>
      </c>
      <c r="ET28" s="102">
        <v>0</v>
      </c>
      <c r="EU28" s="102">
        <v>0</v>
      </c>
      <c r="EV28" s="102">
        <v>0</v>
      </c>
      <c r="EW28" s="102">
        <v>0</v>
      </c>
      <c r="EX28" s="102">
        <v>0</v>
      </c>
      <c r="EY28" s="102">
        <v>0</v>
      </c>
      <c r="EZ28" s="102">
        <v>0</v>
      </c>
      <c r="FA28" s="102">
        <v>0</v>
      </c>
      <c r="FB28" s="102">
        <v>0</v>
      </c>
      <c r="FC28" s="102">
        <v>0</v>
      </c>
      <c r="FD28" s="102">
        <v>0</v>
      </c>
      <c r="FE28" s="102">
        <v>0</v>
      </c>
      <c r="FF28" s="102">
        <v>0</v>
      </c>
      <c r="FG28" s="102">
        <v>0</v>
      </c>
      <c r="FH28" s="102">
        <v>0</v>
      </c>
      <c r="FI28" s="102">
        <v>0</v>
      </c>
      <c r="FJ28" s="71">
        <v>0</v>
      </c>
    </row>
    <row r="29" spans="1:166" x14ac:dyDescent="0.3">
      <c r="A29" s="401" t="s">
        <v>981</v>
      </c>
      <c r="B29" s="103" t="s">
        <v>336</v>
      </c>
      <c r="C29" s="103" t="s">
        <v>288</v>
      </c>
      <c r="D29" s="419" t="s">
        <v>592</v>
      </c>
      <c r="E29" s="103">
        <v>0</v>
      </c>
      <c r="F29" s="103">
        <v>0</v>
      </c>
      <c r="G29" s="103">
        <v>0</v>
      </c>
      <c r="H29" s="103">
        <v>0</v>
      </c>
      <c r="I29" s="103">
        <v>0</v>
      </c>
      <c r="J29" s="103" t="s">
        <v>284</v>
      </c>
      <c r="K29" s="103">
        <v>0</v>
      </c>
      <c r="L29" s="103" t="s">
        <v>304</v>
      </c>
      <c r="M29" s="425">
        <v>1</v>
      </c>
      <c r="N29" s="103">
        <v>0</v>
      </c>
      <c r="O29" s="419">
        <v>0</v>
      </c>
      <c r="P29" s="393">
        <v>0</v>
      </c>
      <c r="Q29" s="420">
        <v>0</v>
      </c>
      <c r="R29" s="420">
        <v>84</v>
      </c>
      <c r="S29" s="394">
        <v>1</v>
      </c>
      <c r="T29" s="426">
        <v>1</v>
      </c>
      <c r="U29" s="103">
        <v>0</v>
      </c>
      <c r="V29" s="102">
        <v>100000</v>
      </c>
      <c r="W29" s="102">
        <v>8400000</v>
      </c>
      <c r="X29" s="102">
        <v>1200000</v>
      </c>
      <c r="Y29" s="102">
        <v>1200000</v>
      </c>
      <c r="Z29" s="102">
        <v>1200000</v>
      </c>
      <c r="AA29" s="102">
        <v>1200000</v>
      </c>
      <c r="AB29" s="102">
        <v>1200000</v>
      </c>
      <c r="AC29" s="102">
        <v>1200000</v>
      </c>
      <c r="AD29" s="102">
        <v>1200000</v>
      </c>
      <c r="AE29" s="102">
        <v>0</v>
      </c>
      <c r="AF29" s="102">
        <v>0</v>
      </c>
      <c r="AG29" s="102">
        <v>0</v>
      </c>
      <c r="AH29" s="102">
        <v>0</v>
      </c>
      <c r="AI29" s="102">
        <v>100000</v>
      </c>
      <c r="AJ29" s="102">
        <v>100000</v>
      </c>
      <c r="AK29" s="102">
        <v>100000</v>
      </c>
      <c r="AL29" s="102">
        <v>100000</v>
      </c>
      <c r="AM29" s="102">
        <v>100000</v>
      </c>
      <c r="AN29" s="102">
        <v>100000</v>
      </c>
      <c r="AO29" s="102">
        <v>100000</v>
      </c>
      <c r="AP29" s="102">
        <v>100000</v>
      </c>
      <c r="AQ29" s="102">
        <v>100000</v>
      </c>
      <c r="AR29" s="102">
        <v>100000</v>
      </c>
      <c r="AS29" s="102">
        <v>100000</v>
      </c>
      <c r="AT29" s="102">
        <v>100000</v>
      </c>
      <c r="AU29" s="102">
        <v>100000</v>
      </c>
      <c r="AV29" s="102">
        <v>100000</v>
      </c>
      <c r="AW29" s="102">
        <v>100000</v>
      </c>
      <c r="AX29" s="102">
        <v>100000</v>
      </c>
      <c r="AY29" s="102">
        <v>100000</v>
      </c>
      <c r="AZ29" s="102">
        <v>100000</v>
      </c>
      <c r="BA29" s="102">
        <v>100000</v>
      </c>
      <c r="BB29" s="102">
        <v>100000</v>
      </c>
      <c r="BC29" s="102">
        <v>100000</v>
      </c>
      <c r="BD29" s="102">
        <v>100000</v>
      </c>
      <c r="BE29" s="102">
        <v>100000</v>
      </c>
      <c r="BF29" s="102">
        <v>100000</v>
      </c>
      <c r="BG29" s="102">
        <v>100000</v>
      </c>
      <c r="BH29" s="102">
        <v>100000</v>
      </c>
      <c r="BI29" s="102">
        <v>100000</v>
      </c>
      <c r="BJ29" s="102">
        <v>100000</v>
      </c>
      <c r="BK29" s="102">
        <v>100000</v>
      </c>
      <c r="BL29" s="102">
        <v>100000</v>
      </c>
      <c r="BM29" s="102">
        <v>100000</v>
      </c>
      <c r="BN29" s="102">
        <v>100000</v>
      </c>
      <c r="BO29" s="102">
        <v>100000</v>
      </c>
      <c r="BP29" s="102">
        <v>100000</v>
      </c>
      <c r="BQ29" s="102">
        <v>100000</v>
      </c>
      <c r="BR29" s="102">
        <v>100000</v>
      </c>
      <c r="BS29" s="102">
        <v>100000</v>
      </c>
      <c r="BT29" s="102">
        <v>100000</v>
      </c>
      <c r="BU29" s="102">
        <v>100000</v>
      </c>
      <c r="BV29" s="102">
        <v>100000</v>
      </c>
      <c r="BW29" s="102">
        <v>100000</v>
      </c>
      <c r="BX29" s="102">
        <v>100000</v>
      </c>
      <c r="BY29" s="102">
        <v>100000</v>
      </c>
      <c r="BZ29" s="102">
        <v>100000</v>
      </c>
      <c r="CA29" s="102">
        <v>100000</v>
      </c>
      <c r="CB29" s="102">
        <v>100000</v>
      </c>
      <c r="CC29" s="102">
        <v>100000</v>
      </c>
      <c r="CD29" s="102">
        <v>100000</v>
      </c>
      <c r="CE29" s="102">
        <v>100000</v>
      </c>
      <c r="CF29" s="102">
        <v>100000</v>
      </c>
      <c r="CG29" s="102">
        <v>100000</v>
      </c>
      <c r="CH29" s="102">
        <v>100000</v>
      </c>
      <c r="CI29" s="102">
        <v>100000</v>
      </c>
      <c r="CJ29" s="102">
        <v>100000</v>
      </c>
      <c r="CK29" s="102">
        <v>100000</v>
      </c>
      <c r="CL29" s="102">
        <v>100000</v>
      </c>
      <c r="CM29" s="102">
        <v>100000</v>
      </c>
      <c r="CN29" s="102">
        <v>100000</v>
      </c>
      <c r="CO29" s="102">
        <v>100000</v>
      </c>
      <c r="CP29" s="102">
        <v>100000</v>
      </c>
      <c r="CQ29" s="102">
        <v>100000</v>
      </c>
      <c r="CR29" s="102">
        <v>100000</v>
      </c>
      <c r="CS29" s="102">
        <v>100000</v>
      </c>
      <c r="CT29" s="102">
        <v>100000</v>
      </c>
      <c r="CU29" s="102">
        <v>100000</v>
      </c>
      <c r="CV29" s="102">
        <v>100000</v>
      </c>
      <c r="CW29" s="102">
        <v>100000</v>
      </c>
      <c r="CX29" s="102">
        <v>100000</v>
      </c>
      <c r="CY29" s="102">
        <v>100000</v>
      </c>
      <c r="CZ29" s="102">
        <v>100000</v>
      </c>
      <c r="DA29" s="102">
        <v>100000</v>
      </c>
      <c r="DB29" s="102">
        <v>100000</v>
      </c>
      <c r="DC29" s="102">
        <v>100000</v>
      </c>
      <c r="DD29" s="102">
        <v>100000</v>
      </c>
      <c r="DE29" s="102">
        <v>100000</v>
      </c>
      <c r="DF29" s="102">
        <v>100000</v>
      </c>
      <c r="DG29" s="102">
        <v>100000</v>
      </c>
      <c r="DH29" s="102">
        <v>100000</v>
      </c>
      <c r="DI29" s="102">
        <v>100000</v>
      </c>
      <c r="DJ29" s="102">
        <v>100000</v>
      </c>
      <c r="DK29" s="102">
        <v>100000</v>
      </c>
      <c r="DL29" s="102">
        <v>100000</v>
      </c>
      <c r="DM29" s="102">
        <v>100000</v>
      </c>
      <c r="DN29" s="102">
        <v>100000</v>
      </c>
      <c r="DO29" s="102">
        <v>0</v>
      </c>
      <c r="DP29" s="102">
        <v>0</v>
      </c>
      <c r="DQ29" s="102">
        <v>0</v>
      </c>
      <c r="DR29" s="102">
        <v>0</v>
      </c>
      <c r="DS29" s="102">
        <v>0</v>
      </c>
      <c r="DT29" s="102">
        <v>0</v>
      </c>
      <c r="DU29" s="102">
        <v>0</v>
      </c>
      <c r="DV29" s="102">
        <v>0</v>
      </c>
      <c r="DW29" s="102">
        <v>0</v>
      </c>
      <c r="DX29" s="102">
        <v>0</v>
      </c>
      <c r="DY29" s="102">
        <v>0</v>
      </c>
      <c r="DZ29" s="102">
        <v>0</v>
      </c>
      <c r="EA29" s="102">
        <v>0</v>
      </c>
      <c r="EB29" s="102">
        <v>0</v>
      </c>
      <c r="EC29" s="102">
        <v>0</v>
      </c>
      <c r="ED29" s="102">
        <v>0</v>
      </c>
      <c r="EE29" s="102">
        <v>0</v>
      </c>
      <c r="EF29" s="102">
        <v>0</v>
      </c>
      <c r="EG29" s="102">
        <v>0</v>
      </c>
      <c r="EH29" s="102">
        <v>0</v>
      </c>
      <c r="EI29" s="102">
        <v>0</v>
      </c>
      <c r="EJ29" s="102">
        <v>0</v>
      </c>
      <c r="EK29" s="102">
        <v>0</v>
      </c>
      <c r="EL29" s="102">
        <v>0</v>
      </c>
      <c r="EM29" s="102">
        <v>0</v>
      </c>
      <c r="EN29" s="102">
        <v>0</v>
      </c>
      <c r="EO29" s="102">
        <v>0</v>
      </c>
      <c r="EP29" s="102">
        <v>0</v>
      </c>
      <c r="EQ29" s="102">
        <v>0</v>
      </c>
      <c r="ER29" s="102">
        <v>0</v>
      </c>
      <c r="ES29" s="102">
        <v>0</v>
      </c>
      <c r="ET29" s="102">
        <v>0</v>
      </c>
      <c r="EU29" s="102">
        <v>0</v>
      </c>
      <c r="EV29" s="102">
        <v>0</v>
      </c>
      <c r="EW29" s="102">
        <v>0</v>
      </c>
      <c r="EX29" s="102">
        <v>0</v>
      </c>
      <c r="EY29" s="102">
        <v>0</v>
      </c>
      <c r="EZ29" s="102">
        <v>0</v>
      </c>
      <c r="FA29" s="102">
        <v>0</v>
      </c>
      <c r="FB29" s="102">
        <v>0</v>
      </c>
      <c r="FC29" s="102">
        <v>0</v>
      </c>
      <c r="FD29" s="102">
        <v>0</v>
      </c>
      <c r="FE29" s="102">
        <v>0</v>
      </c>
      <c r="FF29" s="102">
        <v>0</v>
      </c>
      <c r="FG29" s="102">
        <v>0</v>
      </c>
      <c r="FH29" s="102">
        <v>0</v>
      </c>
      <c r="FI29" s="102">
        <v>0</v>
      </c>
      <c r="FJ29" s="71">
        <v>0</v>
      </c>
    </row>
    <row r="30" spans="1:166" x14ac:dyDescent="0.3">
      <c r="A30" s="401" t="s">
        <v>982</v>
      </c>
      <c r="B30" s="103" t="s">
        <v>336</v>
      </c>
      <c r="C30" s="103" t="s">
        <v>288</v>
      </c>
      <c r="D30" s="419" t="s">
        <v>593</v>
      </c>
      <c r="E30" s="419" t="s">
        <v>978</v>
      </c>
      <c r="F30" s="103">
        <v>0</v>
      </c>
      <c r="G30" s="103">
        <v>0</v>
      </c>
      <c r="H30" s="103">
        <v>0</v>
      </c>
      <c r="I30" s="103">
        <v>0</v>
      </c>
      <c r="J30" s="103" t="s">
        <v>284</v>
      </c>
      <c r="K30" s="103">
        <v>0</v>
      </c>
      <c r="L30" s="103" t="s">
        <v>304</v>
      </c>
      <c r="M30" s="425">
        <v>1</v>
      </c>
      <c r="N30" s="103">
        <v>0</v>
      </c>
      <c r="O30" s="419">
        <v>0</v>
      </c>
      <c r="P30" s="393">
        <v>0</v>
      </c>
      <c r="Q30" s="420">
        <v>0</v>
      </c>
      <c r="R30" s="420">
        <v>1</v>
      </c>
      <c r="S30" s="394">
        <v>1</v>
      </c>
      <c r="T30" s="426">
        <v>1</v>
      </c>
      <c r="U30" s="103">
        <v>0</v>
      </c>
      <c r="V30" s="102">
        <v>21351408.833333336</v>
      </c>
      <c r="W30" s="102">
        <v>21351408.833333336</v>
      </c>
      <c r="X30" s="102">
        <v>21351408.833333336</v>
      </c>
      <c r="Y30" s="102">
        <v>0</v>
      </c>
      <c r="Z30" s="102">
        <v>0</v>
      </c>
      <c r="AA30" s="102">
        <v>0</v>
      </c>
      <c r="AB30" s="102">
        <v>0</v>
      </c>
      <c r="AC30" s="102">
        <v>0</v>
      </c>
      <c r="AD30" s="102">
        <v>0</v>
      </c>
      <c r="AE30" s="102">
        <v>0</v>
      </c>
      <c r="AF30" s="102">
        <v>0</v>
      </c>
      <c r="AG30" s="102">
        <v>0</v>
      </c>
      <c r="AH30" s="102">
        <v>0</v>
      </c>
      <c r="AI30" s="102">
        <v>21351408.833333336</v>
      </c>
      <c r="AJ30" s="102">
        <v>0</v>
      </c>
      <c r="AK30" s="102">
        <v>0</v>
      </c>
      <c r="AL30" s="102">
        <v>0</v>
      </c>
      <c r="AM30" s="102">
        <v>0</v>
      </c>
      <c r="AN30" s="102">
        <v>0</v>
      </c>
      <c r="AO30" s="102">
        <v>0</v>
      </c>
      <c r="AP30" s="102">
        <v>0</v>
      </c>
      <c r="AQ30" s="102">
        <v>0</v>
      </c>
      <c r="AR30" s="102">
        <v>0</v>
      </c>
      <c r="AS30" s="102">
        <v>0</v>
      </c>
      <c r="AT30" s="102">
        <v>0</v>
      </c>
      <c r="AU30" s="102">
        <v>0</v>
      </c>
      <c r="AV30" s="102">
        <v>0</v>
      </c>
      <c r="AW30" s="102">
        <v>0</v>
      </c>
      <c r="AX30" s="102">
        <v>0</v>
      </c>
      <c r="AY30" s="102">
        <v>0</v>
      </c>
      <c r="AZ30" s="102">
        <v>0</v>
      </c>
      <c r="BA30" s="102">
        <v>0</v>
      </c>
      <c r="BB30" s="102">
        <v>0</v>
      </c>
      <c r="BC30" s="102">
        <v>0</v>
      </c>
      <c r="BD30" s="102">
        <v>0</v>
      </c>
      <c r="BE30" s="102">
        <v>0</v>
      </c>
      <c r="BF30" s="102">
        <v>0</v>
      </c>
      <c r="BG30" s="102">
        <v>0</v>
      </c>
      <c r="BH30" s="102">
        <v>0</v>
      </c>
      <c r="BI30" s="102">
        <v>0</v>
      </c>
      <c r="BJ30" s="102">
        <v>0</v>
      </c>
      <c r="BK30" s="102">
        <v>0</v>
      </c>
      <c r="BL30" s="102">
        <v>0</v>
      </c>
      <c r="BM30" s="102">
        <v>0</v>
      </c>
      <c r="BN30" s="102">
        <v>0</v>
      </c>
      <c r="BO30" s="102">
        <v>0</v>
      </c>
      <c r="BP30" s="102">
        <v>0</v>
      </c>
      <c r="BQ30" s="102">
        <v>0</v>
      </c>
      <c r="BR30" s="102">
        <v>0</v>
      </c>
      <c r="BS30" s="102">
        <v>0</v>
      </c>
      <c r="BT30" s="102">
        <v>0</v>
      </c>
      <c r="BU30" s="102">
        <v>0</v>
      </c>
      <c r="BV30" s="102">
        <v>0</v>
      </c>
      <c r="BW30" s="102">
        <v>0</v>
      </c>
      <c r="BX30" s="102">
        <v>0</v>
      </c>
      <c r="BY30" s="102">
        <v>0</v>
      </c>
      <c r="BZ30" s="102">
        <v>0</v>
      </c>
      <c r="CA30" s="102">
        <v>0</v>
      </c>
      <c r="CB30" s="102">
        <v>0</v>
      </c>
      <c r="CC30" s="102">
        <v>0</v>
      </c>
      <c r="CD30" s="102">
        <v>0</v>
      </c>
      <c r="CE30" s="102">
        <v>0</v>
      </c>
      <c r="CF30" s="102">
        <v>0</v>
      </c>
      <c r="CG30" s="102">
        <v>0</v>
      </c>
      <c r="CH30" s="102">
        <v>0</v>
      </c>
      <c r="CI30" s="102">
        <v>0</v>
      </c>
      <c r="CJ30" s="102">
        <v>0</v>
      </c>
      <c r="CK30" s="102">
        <v>0</v>
      </c>
      <c r="CL30" s="102">
        <v>0</v>
      </c>
      <c r="CM30" s="102">
        <v>0</v>
      </c>
      <c r="CN30" s="102">
        <v>0</v>
      </c>
      <c r="CO30" s="102">
        <v>0</v>
      </c>
      <c r="CP30" s="102">
        <v>0</v>
      </c>
      <c r="CQ30" s="102">
        <v>0</v>
      </c>
      <c r="CR30" s="102">
        <v>0</v>
      </c>
      <c r="CS30" s="102">
        <v>0</v>
      </c>
      <c r="CT30" s="102">
        <v>0</v>
      </c>
      <c r="CU30" s="102">
        <v>0</v>
      </c>
      <c r="CV30" s="102">
        <v>0</v>
      </c>
      <c r="CW30" s="102">
        <v>0</v>
      </c>
      <c r="CX30" s="102">
        <v>0</v>
      </c>
      <c r="CY30" s="102">
        <v>0</v>
      </c>
      <c r="CZ30" s="102">
        <v>0</v>
      </c>
      <c r="DA30" s="102">
        <v>0</v>
      </c>
      <c r="DB30" s="102">
        <v>0</v>
      </c>
      <c r="DC30" s="102">
        <v>0</v>
      </c>
      <c r="DD30" s="102">
        <v>0</v>
      </c>
      <c r="DE30" s="102">
        <v>0</v>
      </c>
      <c r="DF30" s="102">
        <v>0</v>
      </c>
      <c r="DG30" s="102">
        <v>0</v>
      </c>
      <c r="DH30" s="102">
        <v>0</v>
      </c>
      <c r="DI30" s="102">
        <v>0</v>
      </c>
      <c r="DJ30" s="102">
        <v>0</v>
      </c>
      <c r="DK30" s="102">
        <v>0</v>
      </c>
      <c r="DL30" s="102">
        <v>0</v>
      </c>
      <c r="DM30" s="102">
        <v>0</v>
      </c>
      <c r="DN30" s="102">
        <v>0</v>
      </c>
      <c r="DO30" s="102">
        <v>0</v>
      </c>
      <c r="DP30" s="102">
        <v>0</v>
      </c>
      <c r="DQ30" s="102">
        <v>0</v>
      </c>
      <c r="DR30" s="102">
        <v>0</v>
      </c>
      <c r="DS30" s="102">
        <v>0</v>
      </c>
      <c r="DT30" s="102">
        <v>0</v>
      </c>
      <c r="DU30" s="102">
        <v>0</v>
      </c>
      <c r="DV30" s="102">
        <v>0</v>
      </c>
      <c r="DW30" s="102">
        <v>0</v>
      </c>
      <c r="DX30" s="102">
        <v>0</v>
      </c>
      <c r="DY30" s="102">
        <v>0</v>
      </c>
      <c r="DZ30" s="102">
        <v>0</v>
      </c>
      <c r="EA30" s="102">
        <v>0</v>
      </c>
      <c r="EB30" s="102">
        <v>0</v>
      </c>
      <c r="EC30" s="102">
        <v>0</v>
      </c>
      <c r="ED30" s="102">
        <v>0</v>
      </c>
      <c r="EE30" s="102">
        <v>0</v>
      </c>
      <c r="EF30" s="102">
        <v>0</v>
      </c>
      <c r="EG30" s="102">
        <v>0</v>
      </c>
      <c r="EH30" s="102">
        <v>0</v>
      </c>
      <c r="EI30" s="102">
        <v>0</v>
      </c>
      <c r="EJ30" s="102">
        <v>0</v>
      </c>
      <c r="EK30" s="102">
        <v>0</v>
      </c>
      <c r="EL30" s="102">
        <v>0</v>
      </c>
      <c r="EM30" s="102">
        <v>0</v>
      </c>
      <c r="EN30" s="102">
        <v>0</v>
      </c>
      <c r="EO30" s="102">
        <v>0</v>
      </c>
      <c r="EP30" s="102">
        <v>0</v>
      </c>
      <c r="EQ30" s="102">
        <v>0</v>
      </c>
      <c r="ER30" s="102">
        <v>0</v>
      </c>
      <c r="ES30" s="102">
        <v>0</v>
      </c>
      <c r="ET30" s="102">
        <v>0</v>
      </c>
      <c r="EU30" s="102">
        <v>0</v>
      </c>
      <c r="EV30" s="102">
        <v>0</v>
      </c>
      <c r="EW30" s="102">
        <v>0</v>
      </c>
      <c r="EX30" s="102">
        <v>0</v>
      </c>
      <c r="EY30" s="102">
        <v>0</v>
      </c>
      <c r="EZ30" s="102">
        <v>0</v>
      </c>
      <c r="FA30" s="102">
        <v>0</v>
      </c>
      <c r="FB30" s="102">
        <v>0</v>
      </c>
      <c r="FC30" s="102">
        <v>0</v>
      </c>
      <c r="FD30" s="102">
        <v>0</v>
      </c>
      <c r="FE30" s="102">
        <v>0</v>
      </c>
      <c r="FF30" s="102">
        <v>0</v>
      </c>
      <c r="FG30" s="102">
        <v>0</v>
      </c>
      <c r="FH30" s="102">
        <v>0</v>
      </c>
      <c r="FI30" s="102">
        <v>0</v>
      </c>
      <c r="FJ30" s="71">
        <v>0</v>
      </c>
    </row>
    <row r="31" spans="1:166" x14ac:dyDescent="0.3">
      <c r="A31" s="401" t="s">
        <v>983</v>
      </c>
      <c r="B31" s="103" t="s">
        <v>336</v>
      </c>
      <c r="C31" s="103" t="s">
        <v>288</v>
      </c>
      <c r="D31" s="419" t="s">
        <v>593</v>
      </c>
      <c r="E31" s="103" t="s">
        <v>279</v>
      </c>
      <c r="F31" s="103" t="s">
        <v>451</v>
      </c>
      <c r="G31" s="103" t="s">
        <v>990</v>
      </c>
      <c r="H31" s="103">
        <v>0</v>
      </c>
      <c r="I31" s="103">
        <v>0</v>
      </c>
      <c r="J31" s="103" t="s">
        <v>284</v>
      </c>
      <c r="K31" s="103">
        <v>0</v>
      </c>
      <c r="L31" s="103" t="s">
        <v>304</v>
      </c>
      <c r="M31" s="425">
        <v>1</v>
      </c>
      <c r="N31" s="103">
        <v>0</v>
      </c>
      <c r="O31" s="103">
        <v>0</v>
      </c>
      <c r="P31" s="393">
        <v>0</v>
      </c>
      <c r="Q31" s="103">
        <v>0</v>
      </c>
      <c r="R31" s="103">
        <v>10</v>
      </c>
      <c r="S31" s="394">
        <v>1</v>
      </c>
      <c r="T31" s="426">
        <v>1</v>
      </c>
      <c r="U31" s="103">
        <v>0</v>
      </c>
      <c r="V31" s="102">
        <v>9201848.0330066625</v>
      </c>
      <c r="W31" s="102">
        <v>92018480.330066636</v>
      </c>
      <c r="X31" s="102">
        <v>92018480.330066636</v>
      </c>
      <c r="Y31" s="102">
        <v>0</v>
      </c>
      <c r="Z31" s="102">
        <v>0</v>
      </c>
      <c r="AA31" s="102">
        <v>0</v>
      </c>
      <c r="AB31" s="102">
        <v>0</v>
      </c>
      <c r="AC31" s="102">
        <v>0</v>
      </c>
      <c r="AD31" s="102">
        <v>0</v>
      </c>
      <c r="AE31" s="102">
        <v>0</v>
      </c>
      <c r="AF31" s="102">
        <v>0</v>
      </c>
      <c r="AG31" s="102">
        <v>0</v>
      </c>
      <c r="AH31" s="102">
        <v>0</v>
      </c>
      <c r="AI31" s="102">
        <v>9201848.0330066625</v>
      </c>
      <c r="AJ31" s="102">
        <v>9201848.0330066625</v>
      </c>
      <c r="AK31" s="102">
        <v>9201848.0330066625</v>
      </c>
      <c r="AL31" s="102">
        <v>9201848.0330066625</v>
      </c>
      <c r="AM31" s="102">
        <v>9201848.0330066625</v>
      </c>
      <c r="AN31" s="102">
        <v>9201848.0330066625</v>
      </c>
      <c r="AO31" s="102">
        <v>9201848.0330066625</v>
      </c>
      <c r="AP31" s="102">
        <v>9201848.0330066625</v>
      </c>
      <c r="AQ31" s="102">
        <v>9201848.0330066625</v>
      </c>
      <c r="AR31" s="102">
        <v>9201848.0330066625</v>
      </c>
      <c r="AS31" s="102">
        <v>0</v>
      </c>
      <c r="AT31" s="102">
        <v>0</v>
      </c>
      <c r="AU31" s="102">
        <v>0</v>
      </c>
      <c r="AV31" s="102">
        <v>0</v>
      </c>
      <c r="AW31" s="102">
        <v>0</v>
      </c>
      <c r="AX31" s="102">
        <v>0</v>
      </c>
      <c r="AY31" s="102">
        <v>0</v>
      </c>
      <c r="AZ31" s="102">
        <v>0</v>
      </c>
      <c r="BA31" s="102">
        <v>0</v>
      </c>
      <c r="BB31" s="102">
        <v>0</v>
      </c>
      <c r="BC31" s="102">
        <v>0</v>
      </c>
      <c r="BD31" s="102">
        <v>0</v>
      </c>
      <c r="BE31" s="102">
        <v>0</v>
      </c>
      <c r="BF31" s="102">
        <v>0</v>
      </c>
      <c r="BG31" s="102">
        <v>0</v>
      </c>
      <c r="BH31" s="102">
        <v>0</v>
      </c>
      <c r="BI31" s="102">
        <v>0</v>
      </c>
      <c r="BJ31" s="102">
        <v>0</v>
      </c>
      <c r="BK31" s="102">
        <v>0</v>
      </c>
      <c r="BL31" s="102">
        <v>0</v>
      </c>
      <c r="BM31" s="102">
        <v>0</v>
      </c>
      <c r="BN31" s="102">
        <v>0</v>
      </c>
      <c r="BO31" s="102">
        <v>0</v>
      </c>
      <c r="BP31" s="102">
        <v>0</v>
      </c>
      <c r="BQ31" s="102">
        <v>0</v>
      </c>
      <c r="BR31" s="102">
        <v>0</v>
      </c>
      <c r="BS31" s="102">
        <v>0</v>
      </c>
      <c r="BT31" s="102">
        <v>0</v>
      </c>
      <c r="BU31" s="102">
        <v>0</v>
      </c>
      <c r="BV31" s="102">
        <v>0</v>
      </c>
      <c r="BW31" s="102">
        <v>0</v>
      </c>
      <c r="BX31" s="102">
        <v>0</v>
      </c>
      <c r="BY31" s="102">
        <v>0</v>
      </c>
      <c r="BZ31" s="102">
        <v>0</v>
      </c>
      <c r="CA31" s="102">
        <v>0</v>
      </c>
      <c r="CB31" s="102">
        <v>0</v>
      </c>
      <c r="CC31" s="102">
        <v>0</v>
      </c>
      <c r="CD31" s="102">
        <v>0</v>
      </c>
      <c r="CE31" s="102">
        <v>0</v>
      </c>
      <c r="CF31" s="102">
        <v>0</v>
      </c>
      <c r="CG31" s="102">
        <v>0</v>
      </c>
      <c r="CH31" s="102">
        <v>0</v>
      </c>
      <c r="CI31" s="102">
        <v>0</v>
      </c>
      <c r="CJ31" s="102">
        <v>0</v>
      </c>
      <c r="CK31" s="102">
        <v>0</v>
      </c>
      <c r="CL31" s="102">
        <v>0</v>
      </c>
      <c r="CM31" s="102">
        <v>0</v>
      </c>
      <c r="CN31" s="102">
        <v>0</v>
      </c>
      <c r="CO31" s="102">
        <v>0</v>
      </c>
      <c r="CP31" s="102">
        <v>0</v>
      </c>
      <c r="CQ31" s="102">
        <v>0</v>
      </c>
      <c r="CR31" s="102">
        <v>0</v>
      </c>
      <c r="CS31" s="102">
        <v>0</v>
      </c>
      <c r="CT31" s="102">
        <v>0</v>
      </c>
      <c r="CU31" s="102">
        <v>0</v>
      </c>
      <c r="CV31" s="102">
        <v>0</v>
      </c>
      <c r="CW31" s="102">
        <v>0</v>
      </c>
      <c r="CX31" s="102">
        <v>0</v>
      </c>
      <c r="CY31" s="102">
        <v>0</v>
      </c>
      <c r="CZ31" s="102">
        <v>0</v>
      </c>
      <c r="DA31" s="102">
        <v>0</v>
      </c>
      <c r="DB31" s="102">
        <v>0</v>
      </c>
      <c r="DC31" s="102">
        <v>0</v>
      </c>
      <c r="DD31" s="102">
        <v>0</v>
      </c>
      <c r="DE31" s="102">
        <v>0</v>
      </c>
      <c r="DF31" s="102">
        <v>0</v>
      </c>
      <c r="DG31" s="102">
        <v>0</v>
      </c>
      <c r="DH31" s="102">
        <v>0</v>
      </c>
      <c r="DI31" s="102">
        <v>0</v>
      </c>
      <c r="DJ31" s="102">
        <v>0</v>
      </c>
      <c r="DK31" s="102">
        <v>0</v>
      </c>
      <c r="DL31" s="102">
        <v>0</v>
      </c>
      <c r="DM31" s="102">
        <v>0</v>
      </c>
      <c r="DN31" s="102">
        <v>0</v>
      </c>
      <c r="DO31" s="102">
        <v>0</v>
      </c>
      <c r="DP31" s="102">
        <v>0</v>
      </c>
      <c r="DQ31" s="102">
        <v>0</v>
      </c>
      <c r="DR31" s="102">
        <v>0</v>
      </c>
      <c r="DS31" s="102">
        <v>0</v>
      </c>
      <c r="DT31" s="102">
        <v>0</v>
      </c>
      <c r="DU31" s="102">
        <v>0</v>
      </c>
      <c r="DV31" s="102">
        <v>0</v>
      </c>
      <c r="DW31" s="102">
        <v>0</v>
      </c>
      <c r="DX31" s="102">
        <v>0</v>
      </c>
      <c r="DY31" s="102">
        <v>0</v>
      </c>
      <c r="DZ31" s="102">
        <v>0</v>
      </c>
      <c r="EA31" s="102">
        <v>0</v>
      </c>
      <c r="EB31" s="102">
        <v>0</v>
      </c>
      <c r="EC31" s="102">
        <v>0</v>
      </c>
      <c r="ED31" s="102">
        <v>0</v>
      </c>
      <c r="EE31" s="102">
        <v>0</v>
      </c>
      <c r="EF31" s="102">
        <v>0</v>
      </c>
      <c r="EG31" s="102">
        <v>0</v>
      </c>
      <c r="EH31" s="102">
        <v>0</v>
      </c>
      <c r="EI31" s="102">
        <v>0</v>
      </c>
      <c r="EJ31" s="102">
        <v>0</v>
      </c>
      <c r="EK31" s="102">
        <v>0</v>
      </c>
      <c r="EL31" s="102">
        <v>0</v>
      </c>
      <c r="EM31" s="102">
        <v>0</v>
      </c>
      <c r="EN31" s="102">
        <v>0</v>
      </c>
      <c r="EO31" s="102">
        <v>0</v>
      </c>
      <c r="EP31" s="102">
        <v>0</v>
      </c>
      <c r="EQ31" s="102">
        <v>0</v>
      </c>
      <c r="ER31" s="102">
        <v>0</v>
      </c>
      <c r="ES31" s="102">
        <v>0</v>
      </c>
      <c r="ET31" s="102">
        <v>0</v>
      </c>
      <c r="EU31" s="102">
        <v>0</v>
      </c>
      <c r="EV31" s="102">
        <v>0</v>
      </c>
      <c r="EW31" s="102">
        <v>0</v>
      </c>
      <c r="EX31" s="102">
        <v>0</v>
      </c>
      <c r="EY31" s="102">
        <v>0</v>
      </c>
      <c r="EZ31" s="102">
        <v>0</v>
      </c>
      <c r="FA31" s="102">
        <v>0</v>
      </c>
      <c r="FB31" s="102">
        <v>0</v>
      </c>
      <c r="FC31" s="102">
        <v>0</v>
      </c>
      <c r="FD31" s="102">
        <v>0</v>
      </c>
      <c r="FE31" s="102">
        <v>0</v>
      </c>
      <c r="FF31" s="102">
        <v>0</v>
      </c>
      <c r="FG31" s="102">
        <v>0</v>
      </c>
      <c r="FH31" s="102">
        <v>0</v>
      </c>
      <c r="FI31" s="102">
        <v>0</v>
      </c>
      <c r="FJ31" s="71">
        <v>0</v>
      </c>
    </row>
    <row r="32" spans="1:166" x14ac:dyDescent="0.3">
      <c r="A32" s="401" t="s">
        <v>984</v>
      </c>
      <c r="B32" s="103" t="s">
        <v>336</v>
      </c>
      <c r="C32" s="103" t="s">
        <v>288</v>
      </c>
      <c r="D32" s="419" t="s">
        <v>593</v>
      </c>
      <c r="E32" s="103" t="s">
        <v>279</v>
      </c>
      <c r="F32" s="103" t="s">
        <v>445</v>
      </c>
      <c r="G32" s="103" t="s">
        <v>991</v>
      </c>
      <c r="H32" s="103">
        <v>0</v>
      </c>
      <c r="I32" s="103">
        <v>0</v>
      </c>
      <c r="J32" s="103" t="s">
        <v>284</v>
      </c>
      <c r="K32" s="103">
        <v>0</v>
      </c>
      <c r="L32" s="103" t="s">
        <v>304</v>
      </c>
      <c r="M32" s="425">
        <v>1</v>
      </c>
      <c r="N32" s="103">
        <v>0</v>
      </c>
      <c r="O32" s="103">
        <v>0</v>
      </c>
      <c r="P32" s="393">
        <v>0</v>
      </c>
      <c r="Q32" s="103">
        <v>0</v>
      </c>
      <c r="R32" s="103">
        <v>10</v>
      </c>
      <c r="S32" s="394">
        <v>1</v>
      </c>
      <c r="T32" s="426">
        <v>1</v>
      </c>
      <c r="U32" s="103">
        <v>0</v>
      </c>
      <c r="V32" s="102">
        <v>11088091.844299998</v>
      </c>
      <c r="W32" s="102">
        <v>110880918.443</v>
      </c>
      <c r="X32" s="102">
        <v>110880918.443</v>
      </c>
      <c r="Y32" s="102">
        <v>0</v>
      </c>
      <c r="Z32" s="102">
        <v>0</v>
      </c>
      <c r="AA32" s="102">
        <v>0</v>
      </c>
      <c r="AB32" s="102">
        <v>0</v>
      </c>
      <c r="AC32" s="102">
        <v>0</v>
      </c>
      <c r="AD32" s="102">
        <v>0</v>
      </c>
      <c r="AE32" s="102">
        <v>0</v>
      </c>
      <c r="AF32" s="102">
        <v>0</v>
      </c>
      <c r="AG32" s="102">
        <v>0</v>
      </c>
      <c r="AH32" s="102">
        <v>0</v>
      </c>
      <c r="AI32" s="102">
        <v>11088091.844299998</v>
      </c>
      <c r="AJ32" s="102">
        <v>11088091.844299998</v>
      </c>
      <c r="AK32" s="102">
        <v>11088091.844299998</v>
      </c>
      <c r="AL32" s="102">
        <v>11088091.844299998</v>
      </c>
      <c r="AM32" s="102">
        <v>11088091.844299998</v>
      </c>
      <c r="AN32" s="102">
        <v>11088091.844299998</v>
      </c>
      <c r="AO32" s="102">
        <v>11088091.844299998</v>
      </c>
      <c r="AP32" s="102">
        <v>11088091.844299998</v>
      </c>
      <c r="AQ32" s="102">
        <v>11088091.844299998</v>
      </c>
      <c r="AR32" s="102">
        <v>11088091.844299998</v>
      </c>
      <c r="AS32" s="102">
        <v>0</v>
      </c>
      <c r="AT32" s="102">
        <v>0</v>
      </c>
      <c r="AU32" s="102">
        <v>0</v>
      </c>
      <c r="AV32" s="102">
        <v>0</v>
      </c>
      <c r="AW32" s="102">
        <v>0</v>
      </c>
      <c r="AX32" s="102">
        <v>0</v>
      </c>
      <c r="AY32" s="102">
        <v>0</v>
      </c>
      <c r="AZ32" s="102">
        <v>0</v>
      </c>
      <c r="BA32" s="102">
        <v>0</v>
      </c>
      <c r="BB32" s="102">
        <v>0</v>
      </c>
      <c r="BC32" s="102">
        <v>0</v>
      </c>
      <c r="BD32" s="102">
        <v>0</v>
      </c>
      <c r="BE32" s="102">
        <v>0</v>
      </c>
      <c r="BF32" s="102">
        <v>0</v>
      </c>
      <c r="BG32" s="102">
        <v>0</v>
      </c>
      <c r="BH32" s="102">
        <v>0</v>
      </c>
      <c r="BI32" s="102">
        <v>0</v>
      </c>
      <c r="BJ32" s="102">
        <v>0</v>
      </c>
      <c r="BK32" s="102">
        <v>0</v>
      </c>
      <c r="BL32" s="102">
        <v>0</v>
      </c>
      <c r="BM32" s="102">
        <v>0</v>
      </c>
      <c r="BN32" s="102">
        <v>0</v>
      </c>
      <c r="BO32" s="102">
        <v>0</v>
      </c>
      <c r="BP32" s="102">
        <v>0</v>
      </c>
      <c r="BQ32" s="102">
        <v>0</v>
      </c>
      <c r="BR32" s="102">
        <v>0</v>
      </c>
      <c r="BS32" s="102">
        <v>0</v>
      </c>
      <c r="BT32" s="102">
        <v>0</v>
      </c>
      <c r="BU32" s="102">
        <v>0</v>
      </c>
      <c r="BV32" s="102">
        <v>0</v>
      </c>
      <c r="BW32" s="102">
        <v>0</v>
      </c>
      <c r="BX32" s="102">
        <v>0</v>
      </c>
      <c r="BY32" s="102">
        <v>0</v>
      </c>
      <c r="BZ32" s="102">
        <v>0</v>
      </c>
      <c r="CA32" s="102">
        <v>0</v>
      </c>
      <c r="CB32" s="102">
        <v>0</v>
      </c>
      <c r="CC32" s="102">
        <v>0</v>
      </c>
      <c r="CD32" s="102">
        <v>0</v>
      </c>
      <c r="CE32" s="102">
        <v>0</v>
      </c>
      <c r="CF32" s="102">
        <v>0</v>
      </c>
      <c r="CG32" s="102">
        <v>0</v>
      </c>
      <c r="CH32" s="102">
        <v>0</v>
      </c>
      <c r="CI32" s="102">
        <v>0</v>
      </c>
      <c r="CJ32" s="102">
        <v>0</v>
      </c>
      <c r="CK32" s="102">
        <v>0</v>
      </c>
      <c r="CL32" s="102">
        <v>0</v>
      </c>
      <c r="CM32" s="102">
        <v>0</v>
      </c>
      <c r="CN32" s="102">
        <v>0</v>
      </c>
      <c r="CO32" s="102">
        <v>0</v>
      </c>
      <c r="CP32" s="102">
        <v>0</v>
      </c>
      <c r="CQ32" s="102">
        <v>0</v>
      </c>
      <c r="CR32" s="102">
        <v>0</v>
      </c>
      <c r="CS32" s="102">
        <v>0</v>
      </c>
      <c r="CT32" s="102">
        <v>0</v>
      </c>
      <c r="CU32" s="102">
        <v>0</v>
      </c>
      <c r="CV32" s="102">
        <v>0</v>
      </c>
      <c r="CW32" s="102">
        <v>0</v>
      </c>
      <c r="CX32" s="102">
        <v>0</v>
      </c>
      <c r="CY32" s="102">
        <v>0</v>
      </c>
      <c r="CZ32" s="102">
        <v>0</v>
      </c>
      <c r="DA32" s="102">
        <v>0</v>
      </c>
      <c r="DB32" s="102">
        <v>0</v>
      </c>
      <c r="DC32" s="102">
        <v>0</v>
      </c>
      <c r="DD32" s="102">
        <v>0</v>
      </c>
      <c r="DE32" s="102">
        <v>0</v>
      </c>
      <c r="DF32" s="102">
        <v>0</v>
      </c>
      <c r="DG32" s="102">
        <v>0</v>
      </c>
      <c r="DH32" s="102">
        <v>0</v>
      </c>
      <c r="DI32" s="102">
        <v>0</v>
      </c>
      <c r="DJ32" s="102">
        <v>0</v>
      </c>
      <c r="DK32" s="102">
        <v>0</v>
      </c>
      <c r="DL32" s="102">
        <v>0</v>
      </c>
      <c r="DM32" s="102">
        <v>0</v>
      </c>
      <c r="DN32" s="102">
        <v>0</v>
      </c>
      <c r="DO32" s="102">
        <v>0</v>
      </c>
      <c r="DP32" s="102">
        <v>0</v>
      </c>
      <c r="DQ32" s="102">
        <v>0</v>
      </c>
      <c r="DR32" s="102">
        <v>0</v>
      </c>
      <c r="DS32" s="102">
        <v>0</v>
      </c>
      <c r="DT32" s="102">
        <v>0</v>
      </c>
      <c r="DU32" s="102">
        <v>0</v>
      </c>
      <c r="DV32" s="102">
        <v>0</v>
      </c>
      <c r="DW32" s="102">
        <v>0</v>
      </c>
      <c r="DX32" s="102">
        <v>0</v>
      </c>
      <c r="DY32" s="102">
        <v>0</v>
      </c>
      <c r="DZ32" s="102">
        <v>0</v>
      </c>
      <c r="EA32" s="102">
        <v>0</v>
      </c>
      <c r="EB32" s="102">
        <v>0</v>
      </c>
      <c r="EC32" s="102">
        <v>0</v>
      </c>
      <c r="ED32" s="102">
        <v>0</v>
      </c>
      <c r="EE32" s="102">
        <v>0</v>
      </c>
      <c r="EF32" s="102">
        <v>0</v>
      </c>
      <c r="EG32" s="102">
        <v>0</v>
      </c>
      <c r="EH32" s="102">
        <v>0</v>
      </c>
      <c r="EI32" s="102">
        <v>0</v>
      </c>
      <c r="EJ32" s="102">
        <v>0</v>
      </c>
      <c r="EK32" s="102">
        <v>0</v>
      </c>
      <c r="EL32" s="102">
        <v>0</v>
      </c>
      <c r="EM32" s="102">
        <v>0</v>
      </c>
      <c r="EN32" s="102">
        <v>0</v>
      </c>
      <c r="EO32" s="102">
        <v>0</v>
      </c>
      <c r="EP32" s="102">
        <v>0</v>
      </c>
      <c r="EQ32" s="102">
        <v>0</v>
      </c>
      <c r="ER32" s="102">
        <v>0</v>
      </c>
      <c r="ES32" s="102">
        <v>0</v>
      </c>
      <c r="ET32" s="102">
        <v>0</v>
      </c>
      <c r="EU32" s="102">
        <v>0</v>
      </c>
      <c r="EV32" s="102">
        <v>0</v>
      </c>
      <c r="EW32" s="102">
        <v>0</v>
      </c>
      <c r="EX32" s="102">
        <v>0</v>
      </c>
      <c r="EY32" s="102">
        <v>0</v>
      </c>
      <c r="EZ32" s="102">
        <v>0</v>
      </c>
      <c r="FA32" s="102">
        <v>0</v>
      </c>
      <c r="FB32" s="102">
        <v>0</v>
      </c>
      <c r="FC32" s="102">
        <v>0</v>
      </c>
      <c r="FD32" s="102">
        <v>0</v>
      </c>
      <c r="FE32" s="102">
        <v>0</v>
      </c>
      <c r="FF32" s="102">
        <v>0</v>
      </c>
      <c r="FG32" s="102">
        <v>0</v>
      </c>
      <c r="FH32" s="102">
        <v>0</v>
      </c>
      <c r="FI32" s="102">
        <v>0</v>
      </c>
      <c r="FJ32" s="71">
        <v>0</v>
      </c>
    </row>
    <row r="33" spans="1:166" x14ac:dyDescent="0.3">
      <c r="A33" s="401" t="s">
        <v>985</v>
      </c>
      <c r="B33" s="103" t="s">
        <v>336</v>
      </c>
      <c r="C33" s="103" t="s">
        <v>288</v>
      </c>
      <c r="D33" s="419" t="s">
        <v>593</v>
      </c>
      <c r="E33" s="103" t="s">
        <v>279</v>
      </c>
      <c r="F33" s="103" t="s">
        <v>445</v>
      </c>
      <c r="G33" s="103" t="s">
        <v>990</v>
      </c>
      <c r="H33" s="103">
        <v>0</v>
      </c>
      <c r="I33" s="103">
        <v>0</v>
      </c>
      <c r="J33" s="103" t="s">
        <v>284</v>
      </c>
      <c r="K33" s="103">
        <v>0</v>
      </c>
      <c r="L33" s="103" t="s">
        <v>304</v>
      </c>
      <c r="M33" s="425">
        <v>1</v>
      </c>
      <c r="N33" s="103">
        <v>0</v>
      </c>
      <c r="O33" s="103">
        <v>0</v>
      </c>
      <c r="P33" s="393">
        <v>0</v>
      </c>
      <c r="Q33" s="103">
        <v>0</v>
      </c>
      <c r="R33" s="103">
        <v>10</v>
      </c>
      <c r="S33" s="394">
        <v>1</v>
      </c>
      <c r="T33" s="426">
        <v>1</v>
      </c>
      <c r="U33" s="103">
        <v>0</v>
      </c>
      <c r="V33" s="102">
        <v>9201848.0330066625</v>
      </c>
      <c r="W33" s="102">
        <v>92018480.330066636</v>
      </c>
      <c r="X33" s="102">
        <v>92018480.330066636</v>
      </c>
      <c r="Y33" s="102">
        <v>0</v>
      </c>
      <c r="Z33" s="102">
        <v>0</v>
      </c>
      <c r="AA33" s="102">
        <v>0</v>
      </c>
      <c r="AB33" s="102">
        <v>0</v>
      </c>
      <c r="AC33" s="102">
        <v>0</v>
      </c>
      <c r="AD33" s="102">
        <v>0</v>
      </c>
      <c r="AE33" s="102">
        <v>0</v>
      </c>
      <c r="AF33" s="102">
        <v>0</v>
      </c>
      <c r="AG33" s="102">
        <v>0</v>
      </c>
      <c r="AH33" s="102">
        <v>0</v>
      </c>
      <c r="AI33" s="102">
        <v>9201848.0330066625</v>
      </c>
      <c r="AJ33" s="102">
        <v>9201848.0330066625</v>
      </c>
      <c r="AK33" s="102">
        <v>9201848.0330066625</v>
      </c>
      <c r="AL33" s="102">
        <v>9201848.0330066625</v>
      </c>
      <c r="AM33" s="102">
        <v>9201848.0330066625</v>
      </c>
      <c r="AN33" s="102">
        <v>9201848.0330066625</v>
      </c>
      <c r="AO33" s="102">
        <v>9201848.0330066625</v>
      </c>
      <c r="AP33" s="102">
        <v>9201848.0330066625</v>
      </c>
      <c r="AQ33" s="102">
        <v>9201848.0330066625</v>
      </c>
      <c r="AR33" s="102">
        <v>9201848.0330066625</v>
      </c>
      <c r="AS33" s="102">
        <v>0</v>
      </c>
      <c r="AT33" s="102">
        <v>0</v>
      </c>
      <c r="AU33" s="102">
        <v>0</v>
      </c>
      <c r="AV33" s="102">
        <v>0</v>
      </c>
      <c r="AW33" s="102">
        <v>0</v>
      </c>
      <c r="AX33" s="102">
        <v>0</v>
      </c>
      <c r="AY33" s="102">
        <v>0</v>
      </c>
      <c r="AZ33" s="102">
        <v>0</v>
      </c>
      <c r="BA33" s="102">
        <v>0</v>
      </c>
      <c r="BB33" s="102">
        <v>0</v>
      </c>
      <c r="BC33" s="102">
        <v>0</v>
      </c>
      <c r="BD33" s="102">
        <v>0</v>
      </c>
      <c r="BE33" s="102">
        <v>0</v>
      </c>
      <c r="BF33" s="102">
        <v>0</v>
      </c>
      <c r="BG33" s="102">
        <v>0</v>
      </c>
      <c r="BH33" s="102">
        <v>0</v>
      </c>
      <c r="BI33" s="102">
        <v>0</v>
      </c>
      <c r="BJ33" s="102">
        <v>0</v>
      </c>
      <c r="BK33" s="102">
        <v>0</v>
      </c>
      <c r="BL33" s="102">
        <v>0</v>
      </c>
      <c r="BM33" s="102">
        <v>0</v>
      </c>
      <c r="BN33" s="102">
        <v>0</v>
      </c>
      <c r="BO33" s="102">
        <v>0</v>
      </c>
      <c r="BP33" s="102">
        <v>0</v>
      </c>
      <c r="BQ33" s="102">
        <v>0</v>
      </c>
      <c r="BR33" s="102">
        <v>0</v>
      </c>
      <c r="BS33" s="102">
        <v>0</v>
      </c>
      <c r="BT33" s="102">
        <v>0</v>
      </c>
      <c r="BU33" s="102">
        <v>0</v>
      </c>
      <c r="BV33" s="102">
        <v>0</v>
      </c>
      <c r="BW33" s="102">
        <v>0</v>
      </c>
      <c r="BX33" s="102">
        <v>0</v>
      </c>
      <c r="BY33" s="102">
        <v>0</v>
      </c>
      <c r="BZ33" s="102">
        <v>0</v>
      </c>
      <c r="CA33" s="102">
        <v>0</v>
      </c>
      <c r="CB33" s="102">
        <v>0</v>
      </c>
      <c r="CC33" s="102">
        <v>0</v>
      </c>
      <c r="CD33" s="102">
        <v>0</v>
      </c>
      <c r="CE33" s="102">
        <v>0</v>
      </c>
      <c r="CF33" s="102">
        <v>0</v>
      </c>
      <c r="CG33" s="102">
        <v>0</v>
      </c>
      <c r="CH33" s="102">
        <v>0</v>
      </c>
      <c r="CI33" s="102">
        <v>0</v>
      </c>
      <c r="CJ33" s="102">
        <v>0</v>
      </c>
      <c r="CK33" s="102">
        <v>0</v>
      </c>
      <c r="CL33" s="102">
        <v>0</v>
      </c>
      <c r="CM33" s="102">
        <v>0</v>
      </c>
      <c r="CN33" s="102">
        <v>0</v>
      </c>
      <c r="CO33" s="102">
        <v>0</v>
      </c>
      <c r="CP33" s="102">
        <v>0</v>
      </c>
      <c r="CQ33" s="102">
        <v>0</v>
      </c>
      <c r="CR33" s="102">
        <v>0</v>
      </c>
      <c r="CS33" s="102">
        <v>0</v>
      </c>
      <c r="CT33" s="102">
        <v>0</v>
      </c>
      <c r="CU33" s="102">
        <v>0</v>
      </c>
      <c r="CV33" s="102">
        <v>0</v>
      </c>
      <c r="CW33" s="102">
        <v>0</v>
      </c>
      <c r="CX33" s="102">
        <v>0</v>
      </c>
      <c r="CY33" s="102">
        <v>0</v>
      </c>
      <c r="CZ33" s="102">
        <v>0</v>
      </c>
      <c r="DA33" s="102">
        <v>0</v>
      </c>
      <c r="DB33" s="102">
        <v>0</v>
      </c>
      <c r="DC33" s="102">
        <v>0</v>
      </c>
      <c r="DD33" s="102">
        <v>0</v>
      </c>
      <c r="DE33" s="102">
        <v>0</v>
      </c>
      <c r="DF33" s="102">
        <v>0</v>
      </c>
      <c r="DG33" s="102">
        <v>0</v>
      </c>
      <c r="DH33" s="102">
        <v>0</v>
      </c>
      <c r="DI33" s="102">
        <v>0</v>
      </c>
      <c r="DJ33" s="102">
        <v>0</v>
      </c>
      <c r="DK33" s="102">
        <v>0</v>
      </c>
      <c r="DL33" s="102">
        <v>0</v>
      </c>
      <c r="DM33" s="102">
        <v>0</v>
      </c>
      <c r="DN33" s="102">
        <v>0</v>
      </c>
      <c r="DO33" s="102">
        <v>0</v>
      </c>
      <c r="DP33" s="102">
        <v>0</v>
      </c>
      <c r="DQ33" s="102">
        <v>0</v>
      </c>
      <c r="DR33" s="102">
        <v>0</v>
      </c>
      <c r="DS33" s="102">
        <v>0</v>
      </c>
      <c r="DT33" s="102">
        <v>0</v>
      </c>
      <c r="DU33" s="102">
        <v>0</v>
      </c>
      <c r="DV33" s="102">
        <v>0</v>
      </c>
      <c r="DW33" s="102">
        <v>0</v>
      </c>
      <c r="DX33" s="102">
        <v>0</v>
      </c>
      <c r="DY33" s="102">
        <v>0</v>
      </c>
      <c r="DZ33" s="102">
        <v>0</v>
      </c>
      <c r="EA33" s="102">
        <v>0</v>
      </c>
      <c r="EB33" s="102">
        <v>0</v>
      </c>
      <c r="EC33" s="102">
        <v>0</v>
      </c>
      <c r="ED33" s="102">
        <v>0</v>
      </c>
      <c r="EE33" s="102">
        <v>0</v>
      </c>
      <c r="EF33" s="102">
        <v>0</v>
      </c>
      <c r="EG33" s="102">
        <v>0</v>
      </c>
      <c r="EH33" s="102">
        <v>0</v>
      </c>
      <c r="EI33" s="102">
        <v>0</v>
      </c>
      <c r="EJ33" s="102">
        <v>0</v>
      </c>
      <c r="EK33" s="102">
        <v>0</v>
      </c>
      <c r="EL33" s="102">
        <v>0</v>
      </c>
      <c r="EM33" s="102">
        <v>0</v>
      </c>
      <c r="EN33" s="102">
        <v>0</v>
      </c>
      <c r="EO33" s="102">
        <v>0</v>
      </c>
      <c r="EP33" s="102">
        <v>0</v>
      </c>
      <c r="EQ33" s="102">
        <v>0</v>
      </c>
      <c r="ER33" s="102">
        <v>0</v>
      </c>
      <c r="ES33" s="102">
        <v>0</v>
      </c>
      <c r="ET33" s="102">
        <v>0</v>
      </c>
      <c r="EU33" s="102">
        <v>0</v>
      </c>
      <c r="EV33" s="102">
        <v>0</v>
      </c>
      <c r="EW33" s="102">
        <v>0</v>
      </c>
      <c r="EX33" s="102">
        <v>0</v>
      </c>
      <c r="EY33" s="102">
        <v>0</v>
      </c>
      <c r="EZ33" s="102">
        <v>0</v>
      </c>
      <c r="FA33" s="102">
        <v>0</v>
      </c>
      <c r="FB33" s="102">
        <v>0</v>
      </c>
      <c r="FC33" s="102">
        <v>0</v>
      </c>
      <c r="FD33" s="102">
        <v>0</v>
      </c>
      <c r="FE33" s="102">
        <v>0</v>
      </c>
      <c r="FF33" s="102">
        <v>0</v>
      </c>
      <c r="FG33" s="102">
        <v>0</v>
      </c>
      <c r="FH33" s="102">
        <v>0</v>
      </c>
      <c r="FI33" s="102">
        <v>0</v>
      </c>
      <c r="FJ33" s="71">
        <v>0</v>
      </c>
    </row>
    <row r="34" spans="1:166" x14ac:dyDescent="0.3">
      <c r="A34" s="401" t="s">
        <v>986</v>
      </c>
      <c r="B34" s="103" t="s">
        <v>336</v>
      </c>
      <c r="C34" s="103" t="s">
        <v>288</v>
      </c>
      <c r="D34" s="419" t="s">
        <v>593</v>
      </c>
      <c r="E34" s="103" t="s">
        <v>279</v>
      </c>
      <c r="F34" s="103" t="s">
        <v>452</v>
      </c>
      <c r="G34" s="103" t="s">
        <v>992</v>
      </c>
      <c r="H34" s="103">
        <v>0</v>
      </c>
      <c r="I34" s="103">
        <v>0</v>
      </c>
      <c r="J34" s="103" t="s">
        <v>284</v>
      </c>
      <c r="K34" s="103">
        <v>0</v>
      </c>
      <c r="L34" s="103" t="s">
        <v>304</v>
      </c>
      <c r="M34" s="425">
        <v>1</v>
      </c>
      <c r="N34" s="103">
        <v>0</v>
      </c>
      <c r="O34" s="103">
        <v>0</v>
      </c>
      <c r="P34" s="393">
        <v>0</v>
      </c>
      <c r="Q34" s="103">
        <v>0</v>
      </c>
      <c r="R34" s="103">
        <v>24</v>
      </c>
      <c r="S34" s="394">
        <v>1</v>
      </c>
      <c r="T34" s="426">
        <v>1</v>
      </c>
      <c r="U34" s="103">
        <v>0</v>
      </c>
      <c r="V34" s="102">
        <v>9225633.6187619735</v>
      </c>
      <c r="W34" s="102">
        <v>221415206.85028735</v>
      </c>
      <c r="X34" s="102">
        <v>110707603.42514367</v>
      </c>
      <c r="Y34" s="102">
        <v>110707603.42514367</v>
      </c>
      <c r="Z34" s="102">
        <v>0</v>
      </c>
      <c r="AA34" s="102">
        <v>0</v>
      </c>
      <c r="AB34" s="102">
        <v>0</v>
      </c>
      <c r="AC34" s="102">
        <v>0</v>
      </c>
      <c r="AD34" s="102">
        <v>0</v>
      </c>
      <c r="AE34" s="102">
        <v>0</v>
      </c>
      <c r="AF34" s="102">
        <v>0</v>
      </c>
      <c r="AG34" s="102">
        <v>0</v>
      </c>
      <c r="AH34" s="102">
        <v>0</v>
      </c>
      <c r="AI34" s="102">
        <v>9225633.6187619735</v>
      </c>
      <c r="AJ34" s="102">
        <v>9225633.6187619735</v>
      </c>
      <c r="AK34" s="102">
        <v>9225633.6187619735</v>
      </c>
      <c r="AL34" s="102">
        <v>9225633.6187619735</v>
      </c>
      <c r="AM34" s="102">
        <v>9225633.6187619735</v>
      </c>
      <c r="AN34" s="102">
        <v>9225633.6187619735</v>
      </c>
      <c r="AO34" s="102">
        <v>9225633.6187619735</v>
      </c>
      <c r="AP34" s="102">
        <v>9225633.6187619735</v>
      </c>
      <c r="AQ34" s="102">
        <v>9225633.6187619735</v>
      </c>
      <c r="AR34" s="102">
        <v>9225633.6187619735</v>
      </c>
      <c r="AS34" s="102">
        <v>9225633.6187619735</v>
      </c>
      <c r="AT34" s="102">
        <v>9225633.6187619735</v>
      </c>
      <c r="AU34" s="102">
        <v>9225633.6187619735</v>
      </c>
      <c r="AV34" s="102">
        <v>9225633.6187619735</v>
      </c>
      <c r="AW34" s="102">
        <v>9225633.6187619735</v>
      </c>
      <c r="AX34" s="102">
        <v>9225633.6187619735</v>
      </c>
      <c r="AY34" s="102">
        <v>9225633.6187619735</v>
      </c>
      <c r="AZ34" s="102">
        <v>9225633.6187619735</v>
      </c>
      <c r="BA34" s="102">
        <v>9225633.6187619735</v>
      </c>
      <c r="BB34" s="102">
        <v>9225633.6187619735</v>
      </c>
      <c r="BC34" s="102">
        <v>9225633.6187619735</v>
      </c>
      <c r="BD34" s="102">
        <v>9225633.6187619735</v>
      </c>
      <c r="BE34" s="102">
        <v>9225633.6187619735</v>
      </c>
      <c r="BF34" s="102">
        <v>9225633.6187619735</v>
      </c>
      <c r="BG34" s="102">
        <v>0</v>
      </c>
      <c r="BH34" s="102">
        <v>0</v>
      </c>
      <c r="BI34" s="102">
        <v>0</v>
      </c>
      <c r="BJ34" s="102">
        <v>0</v>
      </c>
      <c r="BK34" s="102">
        <v>0</v>
      </c>
      <c r="BL34" s="102">
        <v>0</v>
      </c>
      <c r="BM34" s="102">
        <v>0</v>
      </c>
      <c r="BN34" s="102">
        <v>0</v>
      </c>
      <c r="BO34" s="102">
        <v>0</v>
      </c>
      <c r="BP34" s="102">
        <v>0</v>
      </c>
      <c r="BQ34" s="102">
        <v>0</v>
      </c>
      <c r="BR34" s="102">
        <v>0</v>
      </c>
      <c r="BS34" s="102">
        <v>0</v>
      </c>
      <c r="BT34" s="102">
        <v>0</v>
      </c>
      <c r="BU34" s="102">
        <v>0</v>
      </c>
      <c r="BV34" s="102">
        <v>0</v>
      </c>
      <c r="BW34" s="102">
        <v>0</v>
      </c>
      <c r="BX34" s="102">
        <v>0</v>
      </c>
      <c r="BY34" s="102">
        <v>0</v>
      </c>
      <c r="BZ34" s="102">
        <v>0</v>
      </c>
      <c r="CA34" s="102">
        <v>0</v>
      </c>
      <c r="CB34" s="102">
        <v>0</v>
      </c>
      <c r="CC34" s="102">
        <v>0</v>
      </c>
      <c r="CD34" s="102">
        <v>0</v>
      </c>
      <c r="CE34" s="102">
        <v>0</v>
      </c>
      <c r="CF34" s="102">
        <v>0</v>
      </c>
      <c r="CG34" s="102">
        <v>0</v>
      </c>
      <c r="CH34" s="102">
        <v>0</v>
      </c>
      <c r="CI34" s="102">
        <v>0</v>
      </c>
      <c r="CJ34" s="102">
        <v>0</v>
      </c>
      <c r="CK34" s="102">
        <v>0</v>
      </c>
      <c r="CL34" s="102">
        <v>0</v>
      </c>
      <c r="CM34" s="102">
        <v>0</v>
      </c>
      <c r="CN34" s="102">
        <v>0</v>
      </c>
      <c r="CO34" s="102">
        <v>0</v>
      </c>
      <c r="CP34" s="102">
        <v>0</v>
      </c>
      <c r="CQ34" s="102">
        <v>0</v>
      </c>
      <c r="CR34" s="102">
        <v>0</v>
      </c>
      <c r="CS34" s="102">
        <v>0</v>
      </c>
      <c r="CT34" s="102">
        <v>0</v>
      </c>
      <c r="CU34" s="102">
        <v>0</v>
      </c>
      <c r="CV34" s="102">
        <v>0</v>
      </c>
      <c r="CW34" s="102">
        <v>0</v>
      </c>
      <c r="CX34" s="102">
        <v>0</v>
      </c>
      <c r="CY34" s="102">
        <v>0</v>
      </c>
      <c r="CZ34" s="102">
        <v>0</v>
      </c>
      <c r="DA34" s="102">
        <v>0</v>
      </c>
      <c r="DB34" s="102">
        <v>0</v>
      </c>
      <c r="DC34" s="102">
        <v>0</v>
      </c>
      <c r="DD34" s="102">
        <v>0</v>
      </c>
      <c r="DE34" s="102">
        <v>0</v>
      </c>
      <c r="DF34" s="102">
        <v>0</v>
      </c>
      <c r="DG34" s="102">
        <v>0</v>
      </c>
      <c r="DH34" s="102">
        <v>0</v>
      </c>
      <c r="DI34" s="102">
        <v>0</v>
      </c>
      <c r="DJ34" s="102">
        <v>0</v>
      </c>
      <c r="DK34" s="102">
        <v>0</v>
      </c>
      <c r="DL34" s="102">
        <v>0</v>
      </c>
      <c r="DM34" s="102">
        <v>0</v>
      </c>
      <c r="DN34" s="102">
        <v>0</v>
      </c>
      <c r="DO34" s="102">
        <v>0</v>
      </c>
      <c r="DP34" s="102">
        <v>0</v>
      </c>
      <c r="DQ34" s="102">
        <v>0</v>
      </c>
      <c r="DR34" s="102">
        <v>0</v>
      </c>
      <c r="DS34" s="102">
        <v>0</v>
      </c>
      <c r="DT34" s="102">
        <v>0</v>
      </c>
      <c r="DU34" s="102">
        <v>0</v>
      </c>
      <c r="DV34" s="102">
        <v>0</v>
      </c>
      <c r="DW34" s="102">
        <v>0</v>
      </c>
      <c r="DX34" s="102">
        <v>0</v>
      </c>
      <c r="DY34" s="102">
        <v>0</v>
      </c>
      <c r="DZ34" s="102">
        <v>0</v>
      </c>
      <c r="EA34" s="102">
        <v>0</v>
      </c>
      <c r="EB34" s="102">
        <v>0</v>
      </c>
      <c r="EC34" s="102">
        <v>0</v>
      </c>
      <c r="ED34" s="102">
        <v>0</v>
      </c>
      <c r="EE34" s="102">
        <v>0</v>
      </c>
      <c r="EF34" s="102">
        <v>0</v>
      </c>
      <c r="EG34" s="102">
        <v>0</v>
      </c>
      <c r="EH34" s="102">
        <v>0</v>
      </c>
      <c r="EI34" s="102">
        <v>0</v>
      </c>
      <c r="EJ34" s="102">
        <v>0</v>
      </c>
      <c r="EK34" s="102">
        <v>0</v>
      </c>
      <c r="EL34" s="102">
        <v>0</v>
      </c>
      <c r="EM34" s="102">
        <v>0</v>
      </c>
      <c r="EN34" s="102">
        <v>0</v>
      </c>
      <c r="EO34" s="102">
        <v>0</v>
      </c>
      <c r="EP34" s="102">
        <v>0</v>
      </c>
      <c r="EQ34" s="102">
        <v>0</v>
      </c>
      <c r="ER34" s="102">
        <v>0</v>
      </c>
      <c r="ES34" s="102">
        <v>0</v>
      </c>
      <c r="ET34" s="102">
        <v>0</v>
      </c>
      <c r="EU34" s="102">
        <v>0</v>
      </c>
      <c r="EV34" s="102">
        <v>0</v>
      </c>
      <c r="EW34" s="102">
        <v>0</v>
      </c>
      <c r="EX34" s="102">
        <v>0</v>
      </c>
      <c r="EY34" s="102">
        <v>0</v>
      </c>
      <c r="EZ34" s="102">
        <v>0</v>
      </c>
      <c r="FA34" s="102">
        <v>0</v>
      </c>
      <c r="FB34" s="102">
        <v>0</v>
      </c>
      <c r="FC34" s="102">
        <v>0</v>
      </c>
      <c r="FD34" s="102">
        <v>0</v>
      </c>
      <c r="FE34" s="102">
        <v>0</v>
      </c>
      <c r="FF34" s="102">
        <v>0</v>
      </c>
      <c r="FG34" s="102">
        <v>0</v>
      </c>
      <c r="FH34" s="102">
        <v>0</v>
      </c>
      <c r="FI34" s="102">
        <v>0</v>
      </c>
      <c r="FJ34" s="71">
        <v>0</v>
      </c>
    </row>
    <row r="35" spans="1:166" x14ac:dyDescent="0.3">
      <c r="A35" s="401" t="s">
        <v>987</v>
      </c>
      <c r="B35" s="103" t="s">
        <v>336</v>
      </c>
      <c r="C35" s="103" t="s">
        <v>288</v>
      </c>
      <c r="D35" s="419" t="s">
        <v>593</v>
      </c>
      <c r="E35" s="103" t="s">
        <v>279</v>
      </c>
      <c r="F35" s="103" t="s">
        <v>453</v>
      </c>
      <c r="G35" s="103" t="s">
        <v>993</v>
      </c>
      <c r="H35" s="103">
        <v>0</v>
      </c>
      <c r="I35" s="103">
        <v>0</v>
      </c>
      <c r="J35" s="103" t="s">
        <v>284</v>
      </c>
      <c r="K35" s="103">
        <v>0</v>
      </c>
      <c r="L35" s="103" t="s">
        <v>304</v>
      </c>
      <c r="M35" s="425">
        <v>1</v>
      </c>
      <c r="N35" s="103">
        <v>0</v>
      </c>
      <c r="O35" s="103">
        <v>0</v>
      </c>
      <c r="P35" s="393">
        <v>0</v>
      </c>
      <c r="Q35" s="103">
        <v>0</v>
      </c>
      <c r="R35" s="103">
        <v>2</v>
      </c>
      <c r="S35" s="394">
        <v>1</v>
      </c>
      <c r="T35" s="426">
        <v>1</v>
      </c>
      <c r="U35" s="103">
        <v>0</v>
      </c>
      <c r="V35" s="102">
        <v>10891557.340624999</v>
      </c>
      <c r="W35" s="102">
        <v>21783114.681249999</v>
      </c>
      <c r="X35" s="102">
        <v>21783114.681249999</v>
      </c>
      <c r="Y35" s="102">
        <v>0</v>
      </c>
      <c r="Z35" s="102">
        <v>0</v>
      </c>
      <c r="AA35" s="102">
        <v>0</v>
      </c>
      <c r="AB35" s="102">
        <v>0</v>
      </c>
      <c r="AC35" s="102">
        <v>0</v>
      </c>
      <c r="AD35" s="102">
        <v>0</v>
      </c>
      <c r="AE35" s="102">
        <v>0</v>
      </c>
      <c r="AF35" s="102">
        <v>0</v>
      </c>
      <c r="AG35" s="102">
        <v>0</v>
      </c>
      <c r="AH35" s="102">
        <v>0</v>
      </c>
      <c r="AI35" s="102">
        <v>10891557.340624999</v>
      </c>
      <c r="AJ35" s="102">
        <v>10891557.340624999</v>
      </c>
      <c r="AK35" s="102">
        <v>0</v>
      </c>
      <c r="AL35" s="102">
        <v>0</v>
      </c>
      <c r="AM35" s="102">
        <v>0</v>
      </c>
      <c r="AN35" s="102">
        <v>0</v>
      </c>
      <c r="AO35" s="102">
        <v>0</v>
      </c>
      <c r="AP35" s="102">
        <v>0</v>
      </c>
      <c r="AQ35" s="102">
        <v>0</v>
      </c>
      <c r="AR35" s="102">
        <v>0</v>
      </c>
      <c r="AS35" s="102">
        <v>0</v>
      </c>
      <c r="AT35" s="102">
        <v>0</v>
      </c>
      <c r="AU35" s="102">
        <v>0</v>
      </c>
      <c r="AV35" s="102">
        <v>0</v>
      </c>
      <c r="AW35" s="102">
        <v>0</v>
      </c>
      <c r="AX35" s="102">
        <v>0</v>
      </c>
      <c r="AY35" s="102">
        <v>0</v>
      </c>
      <c r="AZ35" s="102">
        <v>0</v>
      </c>
      <c r="BA35" s="102">
        <v>0</v>
      </c>
      <c r="BB35" s="102">
        <v>0</v>
      </c>
      <c r="BC35" s="102">
        <v>0</v>
      </c>
      <c r="BD35" s="102">
        <v>0</v>
      </c>
      <c r="BE35" s="102">
        <v>0</v>
      </c>
      <c r="BF35" s="102">
        <v>0</v>
      </c>
      <c r="BG35" s="102">
        <v>0</v>
      </c>
      <c r="BH35" s="102">
        <v>0</v>
      </c>
      <c r="BI35" s="102">
        <v>0</v>
      </c>
      <c r="BJ35" s="102">
        <v>0</v>
      </c>
      <c r="BK35" s="102">
        <v>0</v>
      </c>
      <c r="BL35" s="102">
        <v>0</v>
      </c>
      <c r="BM35" s="102">
        <v>0</v>
      </c>
      <c r="BN35" s="102">
        <v>0</v>
      </c>
      <c r="BO35" s="102">
        <v>0</v>
      </c>
      <c r="BP35" s="102">
        <v>0</v>
      </c>
      <c r="BQ35" s="102">
        <v>0</v>
      </c>
      <c r="BR35" s="102">
        <v>0</v>
      </c>
      <c r="BS35" s="102">
        <v>0</v>
      </c>
      <c r="BT35" s="102">
        <v>0</v>
      </c>
      <c r="BU35" s="102">
        <v>0</v>
      </c>
      <c r="BV35" s="102">
        <v>0</v>
      </c>
      <c r="BW35" s="102">
        <v>0</v>
      </c>
      <c r="BX35" s="102">
        <v>0</v>
      </c>
      <c r="BY35" s="102">
        <v>0</v>
      </c>
      <c r="BZ35" s="102">
        <v>0</v>
      </c>
      <c r="CA35" s="102">
        <v>0</v>
      </c>
      <c r="CB35" s="102">
        <v>0</v>
      </c>
      <c r="CC35" s="102">
        <v>0</v>
      </c>
      <c r="CD35" s="102">
        <v>0</v>
      </c>
      <c r="CE35" s="102">
        <v>0</v>
      </c>
      <c r="CF35" s="102">
        <v>0</v>
      </c>
      <c r="CG35" s="102">
        <v>0</v>
      </c>
      <c r="CH35" s="102">
        <v>0</v>
      </c>
      <c r="CI35" s="102">
        <v>0</v>
      </c>
      <c r="CJ35" s="102">
        <v>0</v>
      </c>
      <c r="CK35" s="102">
        <v>0</v>
      </c>
      <c r="CL35" s="102">
        <v>0</v>
      </c>
      <c r="CM35" s="102">
        <v>0</v>
      </c>
      <c r="CN35" s="102">
        <v>0</v>
      </c>
      <c r="CO35" s="102">
        <v>0</v>
      </c>
      <c r="CP35" s="102">
        <v>0</v>
      </c>
      <c r="CQ35" s="102">
        <v>0</v>
      </c>
      <c r="CR35" s="102">
        <v>0</v>
      </c>
      <c r="CS35" s="102">
        <v>0</v>
      </c>
      <c r="CT35" s="102">
        <v>0</v>
      </c>
      <c r="CU35" s="102">
        <v>0</v>
      </c>
      <c r="CV35" s="102">
        <v>0</v>
      </c>
      <c r="CW35" s="102">
        <v>0</v>
      </c>
      <c r="CX35" s="102">
        <v>0</v>
      </c>
      <c r="CY35" s="102">
        <v>0</v>
      </c>
      <c r="CZ35" s="102">
        <v>0</v>
      </c>
      <c r="DA35" s="102">
        <v>0</v>
      </c>
      <c r="DB35" s="102">
        <v>0</v>
      </c>
      <c r="DC35" s="102">
        <v>0</v>
      </c>
      <c r="DD35" s="102">
        <v>0</v>
      </c>
      <c r="DE35" s="102">
        <v>0</v>
      </c>
      <c r="DF35" s="102">
        <v>0</v>
      </c>
      <c r="DG35" s="102">
        <v>0</v>
      </c>
      <c r="DH35" s="102">
        <v>0</v>
      </c>
      <c r="DI35" s="102">
        <v>0</v>
      </c>
      <c r="DJ35" s="102">
        <v>0</v>
      </c>
      <c r="DK35" s="102">
        <v>0</v>
      </c>
      <c r="DL35" s="102">
        <v>0</v>
      </c>
      <c r="DM35" s="102">
        <v>0</v>
      </c>
      <c r="DN35" s="102">
        <v>0</v>
      </c>
      <c r="DO35" s="102">
        <v>0</v>
      </c>
      <c r="DP35" s="102">
        <v>0</v>
      </c>
      <c r="DQ35" s="102">
        <v>0</v>
      </c>
      <c r="DR35" s="102">
        <v>0</v>
      </c>
      <c r="DS35" s="102">
        <v>0</v>
      </c>
      <c r="DT35" s="102">
        <v>0</v>
      </c>
      <c r="DU35" s="102">
        <v>0</v>
      </c>
      <c r="DV35" s="102">
        <v>0</v>
      </c>
      <c r="DW35" s="102">
        <v>0</v>
      </c>
      <c r="DX35" s="102">
        <v>0</v>
      </c>
      <c r="DY35" s="102">
        <v>0</v>
      </c>
      <c r="DZ35" s="102">
        <v>0</v>
      </c>
      <c r="EA35" s="102">
        <v>0</v>
      </c>
      <c r="EB35" s="102">
        <v>0</v>
      </c>
      <c r="EC35" s="102">
        <v>0</v>
      </c>
      <c r="ED35" s="102">
        <v>0</v>
      </c>
      <c r="EE35" s="102">
        <v>0</v>
      </c>
      <c r="EF35" s="102">
        <v>0</v>
      </c>
      <c r="EG35" s="102">
        <v>0</v>
      </c>
      <c r="EH35" s="102">
        <v>0</v>
      </c>
      <c r="EI35" s="102">
        <v>0</v>
      </c>
      <c r="EJ35" s="102">
        <v>0</v>
      </c>
      <c r="EK35" s="102">
        <v>0</v>
      </c>
      <c r="EL35" s="102">
        <v>0</v>
      </c>
      <c r="EM35" s="102">
        <v>0</v>
      </c>
      <c r="EN35" s="102">
        <v>0</v>
      </c>
      <c r="EO35" s="102">
        <v>0</v>
      </c>
      <c r="EP35" s="102">
        <v>0</v>
      </c>
      <c r="EQ35" s="102">
        <v>0</v>
      </c>
      <c r="ER35" s="102">
        <v>0</v>
      </c>
      <c r="ES35" s="102">
        <v>0</v>
      </c>
      <c r="ET35" s="102">
        <v>0</v>
      </c>
      <c r="EU35" s="102">
        <v>0</v>
      </c>
      <c r="EV35" s="102">
        <v>0</v>
      </c>
      <c r="EW35" s="102">
        <v>0</v>
      </c>
      <c r="EX35" s="102">
        <v>0</v>
      </c>
      <c r="EY35" s="102">
        <v>0</v>
      </c>
      <c r="EZ35" s="102">
        <v>0</v>
      </c>
      <c r="FA35" s="102">
        <v>0</v>
      </c>
      <c r="FB35" s="102">
        <v>0</v>
      </c>
      <c r="FC35" s="102">
        <v>0</v>
      </c>
      <c r="FD35" s="102">
        <v>0</v>
      </c>
      <c r="FE35" s="102">
        <v>0</v>
      </c>
      <c r="FF35" s="102">
        <v>0</v>
      </c>
      <c r="FG35" s="102">
        <v>0</v>
      </c>
      <c r="FH35" s="102">
        <v>0</v>
      </c>
      <c r="FI35" s="102">
        <v>0</v>
      </c>
      <c r="FJ35" s="71">
        <v>0</v>
      </c>
    </row>
    <row r="36" spans="1:166" x14ac:dyDescent="0.3">
      <c r="A36" s="401" t="s">
        <v>988</v>
      </c>
      <c r="B36" s="103" t="s">
        <v>336</v>
      </c>
      <c r="C36" s="103" t="s">
        <v>288</v>
      </c>
      <c r="D36" s="419" t="s">
        <v>593</v>
      </c>
      <c r="E36" s="103" t="s">
        <v>316</v>
      </c>
      <c r="F36" s="103" t="s">
        <v>454</v>
      </c>
      <c r="G36" s="103" t="s">
        <v>283</v>
      </c>
      <c r="H36" s="103">
        <v>0</v>
      </c>
      <c r="I36" s="103">
        <v>0</v>
      </c>
      <c r="J36" s="103" t="s">
        <v>284</v>
      </c>
      <c r="K36" s="103">
        <v>0</v>
      </c>
      <c r="L36" s="103" t="s">
        <v>304</v>
      </c>
      <c r="M36" s="425">
        <v>1</v>
      </c>
      <c r="N36" s="103">
        <v>0</v>
      </c>
      <c r="O36" s="103">
        <v>0</v>
      </c>
      <c r="P36" s="393">
        <v>0</v>
      </c>
      <c r="Q36" s="103">
        <v>0</v>
      </c>
      <c r="R36" s="103">
        <v>84</v>
      </c>
      <c r="S36" s="394">
        <v>1</v>
      </c>
      <c r="T36" s="426">
        <v>1</v>
      </c>
      <c r="U36" s="103">
        <v>0</v>
      </c>
      <c r="V36" s="102">
        <v>10968775.045982143</v>
      </c>
      <c r="W36" s="102">
        <v>921377103.86249983</v>
      </c>
      <c r="X36" s="102">
        <v>131625300.55178569</v>
      </c>
      <c r="Y36" s="102">
        <v>131625300.55178569</v>
      </c>
      <c r="Z36" s="102">
        <v>131625300.55178569</v>
      </c>
      <c r="AA36" s="102">
        <v>131625300.55178569</v>
      </c>
      <c r="AB36" s="102">
        <v>131625300.55178569</v>
      </c>
      <c r="AC36" s="102">
        <v>131625300.55178569</v>
      </c>
      <c r="AD36" s="102">
        <v>131625300.55178569</v>
      </c>
      <c r="AE36" s="102">
        <v>0</v>
      </c>
      <c r="AF36" s="102">
        <v>0</v>
      </c>
      <c r="AG36" s="102">
        <v>0</v>
      </c>
      <c r="AH36" s="102">
        <v>0</v>
      </c>
      <c r="AI36" s="102">
        <v>10968775.045982143</v>
      </c>
      <c r="AJ36" s="102">
        <v>10968775.045982143</v>
      </c>
      <c r="AK36" s="102">
        <v>10968775.045982143</v>
      </c>
      <c r="AL36" s="102">
        <v>10968775.045982143</v>
      </c>
      <c r="AM36" s="102">
        <v>10968775.045982143</v>
      </c>
      <c r="AN36" s="102">
        <v>10968775.045982143</v>
      </c>
      <c r="AO36" s="102">
        <v>10968775.045982143</v>
      </c>
      <c r="AP36" s="102">
        <v>10968775.045982143</v>
      </c>
      <c r="AQ36" s="102">
        <v>10968775.045982143</v>
      </c>
      <c r="AR36" s="102">
        <v>10968775.045982143</v>
      </c>
      <c r="AS36" s="102">
        <v>10968775.045982143</v>
      </c>
      <c r="AT36" s="102">
        <v>10968775.045982143</v>
      </c>
      <c r="AU36" s="102">
        <v>10968775.045982143</v>
      </c>
      <c r="AV36" s="102">
        <v>10968775.045982143</v>
      </c>
      <c r="AW36" s="102">
        <v>10968775.045982143</v>
      </c>
      <c r="AX36" s="102">
        <v>10968775.045982143</v>
      </c>
      <c r="AY36" s="102">
        <v>10968775.045982143</v>
      </c>
      <c r="AZ36" s="102">
        <v>10968775.045982143</v>
      </c>
      <c r="BA36" s="102">
        <v>10968775.045982143</v>
      </c>
      <c r="BB36" s="102">
        <v>10968775.045982143</v>
      </c>
      <c r="BC36" s="102">
        <v>10968775.045982143</v>
      </c>
      <c r="BD36" s="102">
        <v>10968775.045982143</v>
      </c>
      <c r="BE36" s="102">
        <v>10968775.045982143</v>
      </c>
      <c r="BF36" s="102">
        <v>10968775.045982143</v>
      </c>
      <c r="BG36" s="102">
        <v>10968775.045982143</v>
      </c>
      <c r="BH36" s="102">
        <v>10968775.045982143</v>
      </c>
      <c r="BI36" s="102">
        <v>10968775.045982143</v>
      </c>
      <c r="BJ36" s="102">
        <v>10968775.045982143</v>
      </c>
      <c r="BK36" s="102">
        <v>10968775.045982143</v>
      </c>
      <c r="BL36" s="102">
        <v>10968775.045982143</v>
      </c>
      <c r="BM36" s="102">
        <v>10968775.045982143</v>
      </c>
      <c r="BN36" s="102">
        <v>10968775.045982143</v>
      </c>
      <c r="BO36" s="102">
        <v>10968775.045982143</v>
      </c>
      <c r="BP36" s="102">
        <v>10968775.045982143</v>
      </c>
      <c r="BQ36" s="102">
        <v>10968775.045982143</v>
      </c>
      <c r="BR36" s="102">
        <v>10968775.045982143</v>
      </c>
      <c r="BS36" s="102">
        <v>10968775.045982143</v>
      </c>
      <c r="BT36" s="102">
        <v>10968775.045982143</v>
      </c>
      <c r="BU36" s="102">
        <v>10968775.045982143</v>
      </c>
      <c r="BV36" s="102">
        <v>10968775.045982143</v>
      </c>
      <c r="BW36" s="102">
        <v>10968775.045982143</v>
      </c>
      <c r="BX36" s="102">
        <v>10968775.045982143</v>
      </c>
      <c r="BY36" s="102">
        <v>10968775.045982143</v>
      </c>
      <c r="BZ36" s="102">
        <v>10968775.045982143</v>
      </c>
      <c r="CA36" s="102">
        <v>10968775.045982143</v>
      </c>
      <c r="CB36" s="102">
        <v>10968775.045982143</v>
      </c>
      <c r="CC36" s="102">
        <v>10968775.045982143</v>
      </c>
      <c r="CD36" s="102">
        <v>10968775.045982143</v>
      </c>
      <c r="CE36" s="102">
        <v>10968775.045982143</v>
      </c>
      <c r="CF36" s="102">
        <v>10968775.045982143</v>
      </c>
      <c r="CG36" s="102">
        <v>10968775.045982143</v>
      </c>
      <c r="CH36" s="102">
        <v>10968775.045982143</v>
      </c>
      <c r="CI36" s="102">
        <v>10968775.045982143</v>
      </c>
      <c r="CJ36" s="102">
        <v>10968775.045982143</v>
      </c>
      <c r="CK36" s="102">
        <v>10968775.045982143</v>
      </c>
      <c r="CL36" s="102">
        <v>10968775.045982143</v>
      </c>
      <c r="CM36" s="102">
        <v>10968775.045982143</v>
      </c>
      <c r="CN36" s="102">
        <v>10968775.045982143</v>
      </c>
      <c r="CO36" s="102">
        <v>10968775.045982143</v>
      </c>
      <c r="CP36" s="102">
        <v>10968775.045982143</v>
      </c>
      <c r="CQ36" s="102">
        <v>10968775.045982143</v>
      </c>
      <c r="CR36" s="102">
        <v>10968775.045982143</v>
      </c>
      <c r="CS36" s="102">
        <v>10968775.045982143</v>
      </c>
      <c r="CT36" s="102">
        <v>10968775.045982143</v>
      </c>
      <c r="CU36" s="102">
        <v>10968775.045982143</v>
      </c>
      <c r="CV36" s="102">
        <v>10968775.045982143</v>
      </c>
      <c r="CW36" s="102">
        <v>10968775.045982143</v>
      </c>
      <c r="CX36" s="102">
        <v>10968775.045982143</v>
      </c>
      <c r="CY36" s="102">
        <v>10968775.045982143</v>
      </c>
      <c r="CZ36" s="102">
        <v>10968775.045982143</v>
      </c>
      <c r="DA36" s="102">
        <v>10968775.045982143</v>
      </c>
      <c r="DB36" s="102">
        <v>10968775.045982143</v>
      </c>
      <c r="DC36" s="102">
        <v>10968775.045982143</v>
      </c>
      <c r="DD36" s="102">
        <v>10968775.045982143</v>
      </c>
      <c r="DE36" s="102">
        <v>10968775.045982143</v>
      </c>
      <c r="DF36" s="102">
        <v>10968775.045982143</v>
      </c>
      <c r="DG36" s="102">
        <v>10968775.045982143</v>
      </c>
      <c r="DH36" s="102">
        <v>10968775.045982143</v>
      </c>
      <c r="DI36" s="102">
        <v>10968775.045982143</v>
      </c>
      <c r="DJ36" s="102">
        <v>10968775.045982143</v>
      </c>
      <c r="DK36" s="102">
        <v>10968775.045982143</v>
      </c>
      <c r="DL36" s="102">
        <v>10968775.045982143</v>
      </c>
      <c r="DM36" s="102">
        <v>10968775.045982143</v>
      </c>
      <c r="DN36" s="102">
        <v>10968775.045982143</v>
      </c>
      <c r="DO36" s="102">
        <v>0</v>
      </c>
      <c r="DP36" s="102">
        <v>0</v>
      </c>
      <c r="DQ36" s="102">
        <v>0</v>
      </c>
      <c r="DR36" s="102">
        <v>0</v>
      </c>
      <c r="DS36" s="102">
        <v>0</v>
      </c>
      <c r="DT36" s="102">
        <v>0</v>
      </c>
      <c r="DU36" s="102">
        <v>0</v>
      </c>
      <c r="DV36" s="102">
        <v>0</v>
      </c>
      <c r="DW36" s="102">
        <v>0</v>
      </c>
      <c r="DX36" s="102">
        <v>0</v>
      </c>
      <c r="DY36" s="102">
        <v>0</v>
      </c>
      <c r="DZ36" s="102">
        <v>0</v>
      </c>
      <c r="EA36" s="102">
        <v>0</v>
      </c>
      <c r="EB36" s="102">
        <v>0</v>
      </c>
      <c r="EC36" s="102">
        <v>0</v>
      </c>
      <c r="ED36" s="102">
        <v>0</v>
      </c>
      <c r="EE36" s="102">
        <v>0</v>
      </c>
      <c r="EF36" s="102">
        <v>0</v>
      </c>
      <c r="EG36" s="102">
        <v>0</v>
      </c>
      <c r="EH36" s="102">
        <v>0</v>
      </c>
      <c r="EI36" s="102">
        <v>0</v>
      </c>
      <c r="EJ36" s="102">
        <v>0</v>
      </c>
      <c r="EK36" s="102">
        <v>0</v>
      </c>
      <c r="EL36" s="102">
        <v>0</v>
      </c>
      <c r="EM36" s="102">
        <v>0</v>
      </c>
      <c r="EN36" s="102">
        <v>0</v>
      </c>
      <c r="EO36" s="102">
        <v>0</v>
      </c>
      <c r="EP36" s="102">
        <v>0</v>
      </c>
      <c r="EQ36" s="102">
        <v>0</v>
      </c>
      <c r="ER36" s="102">
        <v>0</v>
      </c>
      <c r="ES36" s="102">
        <v>0</v>
      </c>
      <c r="ET36" s="102">
        <v>0</v>
      </c>
      <c r="EU36" s="102">
        <v>0</v>
      </c>
      <c r="EV36" s="102">
        <v>0</v>
      </c>
      <c r="EW36" s="102">
        <v>0</v>
      </c>
      <c r="EX36" s="102">
        <v>0</v>
      </c>
      <c r="EY36" s="102">
        <v>0</v>
      </c>
      <c r="EZ36" s="102">
        <v>0</v>
      </c>
      <c r="FA36" s="102">
        <v>0</v>
      </c>
      <c r="FB36" s="102">
        <v>0</v>
      </c>
      <c r="FC36" s="102">
        <v>0</v>
      </c>
      <c r="FD36" s="102">
        <v>0</v>
      </c>
      <c r="FE36" s="102">
        <v>0</v>
      </c>
      <c r="FF36" s="102">
        <v>0</v>
      </c>
      <c r="FG36" s="102">
        <v>0</v>
      </c>
      <c r="FH36" s="102">
        <v>0</v>
      </c>
      <c r="FI36" s="102">
        <v>0</v>
      </c>
      <c r="FJ36" s="71">
        <v>0</v>
      </c>
    </row>
    <row r="37" spans="1:166" x14ac:dyDescent="0.3">
      <c r="A37" s="401" t="s">
        <v>989</v>
      </c>
      <c r="B37" s="103" t="s">
        <v>336</v>
      </c>
      <c r="C37" s="103" t="s">
        <v>288</v>
      </c>
      <c r="D37" s="419" t="s">
        <v>593</v>
      </c>
      <c r="E37" s="103" t="s">
        <v>316</v>
      </c>
      <c r="F37" s="103" t="s">
        <v>455</v>
      </c>
      <c r="G37" s="103" t="s">
        <v>283</v>
      </c>
      <c r="H37" s="103">
        <v>0</v>
      </c>
      <c r="I37" s="103">
        <v>0</v>
      </c>
      <c r="J37" s="103" t="s">
        <v>284</v>
      </c>
      <c r="K37" s="103">
        <v>0</v>
      </c>
      <c r="L37" s="103" t="s">
        <v>304</v>
      </c>
      <c r="M37" s="425">
        <v>1</v>
      </c>
      <c r="N37" s="103">
        <v>0</v>
      </c>
      <c r="O37" s="103">
        <v>0</v>
      </c>
      <c r="P37" s="393">
        <v>0</v>
      </c>
      <c r="Q37" s="103">
        <v>0</v>
      </c>
      <c r="R37" s="103">
        <v>0</v>
      </c>
      <c r="S37" s="394">
        <v>1</v>
      </c>
      <c r="T37" s="426">
        <v>1</v>
      </c>
      <c r="U37" s="103">
        <v>0</v>
      </c>
      <c r="V37" s="102">
        <v>10968775.045982143</v>
      </c>
      <c r="W37" s="102">
        <v>0</v>
      </c>
      <c r="X37" s="102">
        <v>0</v>
      </c>
      <c r="Y37" s="102">
        <v>0</v>
      </c>
      <c r="Z37" s="102">
        <v>0</v>
      </c>
      <c r="AA37" s="102">
        <v>0</v>
      </c>
      <c r="AB37" s="102">
        <v>0</v>
      </c>
      <c r="AC37" s="102">
        <v>0</v>
      </c>
      <c r="AD37" s="102">
        <v>0</v>
      </c>
      <c r="AE37" s="102">
        <v>0</v>
      </c>
      <c r="AF37" s="102">
        <v>0</v>
      </c>
      <c r="AG37" s="102">
        <v>0</v>
      </c>
      <c r="AH37" s="102">
        <v>0</v>
      </c>
      <c r="AI37" s="102">
        <v>0</v>
      </c>
      <c r="AJ37" s="102">
        <v>0</v>
      </c>
      <c r="AK37" s="102">
        <v>0</v>
      </c>
      <c r="AL37" s="102">
        <v>0</v>
      </c>
      <c r="AM37" s="102">
        <v>0</v>
      </c>
      <c r="AN37" s="102">
        <v>0</v>
      </c>
      <c r="AO37" s="102">
        <v>0</v>
      </c>
      <c r="AP37" s="102">
        <v>0</v>
      </c>
      <c r="AQ37" s="102">
        <v>0</v>
      </c>
      <c r="AR37" s="102">
        <v>0</v>
      </c>
      <c r="AS37" s="102">
        <v>0</v>
      </c>
      <c r="AT37" s="102">
        <v>0</v>
      </c>
      <c r="AU37" s="102">
        <v>0</v>
      </c>
      <c r="AV37" s="102">
        <v>0</v>
      </c>
      <c r="AW37" s="102">
        <v>0</v>
      </c>
      <c r="AX37" s="102">
        <v>0</v>
      </c>
      <c r="AY37" s="102">
        <v>0</v>
      </c>
      <c r="AZ37" s="102">
        <v>0</v>
      </c>
      <c r="BA37" s="102">
        <v>0</v>
      </c>
      <c r="BB37" s="102">
        <v>0</v>
      </c>
      <c r="BC37" s="102">
        <v>0</v>
      </c>
      <c r="BD37" s="102">
        <v>0</v>
      </c>
      <c r="BE37" s="102">
        <v>0</v>
      </c>
      <c r="BF37" s="102">
        <v>0</v>
      </c>
      <c r="BG37" s="102">
        <v>0</v>
      </c>
      <c r="BH37" s="102">
        <v>0</v>
      </c>
      <c r="BI37" s="102">
        <v>0</v>
      </c>
      <c r="BJ37" s="102">
        <v>0</v>
      </c>
      <c r="BK37" s="102">
        <v>0</v>
      </c>
      <c r="BL37" s="102">
        <v>0</v>
      </c>
      <c r="BM37" s="102">
        <v>0</v>
      </c>
      <c r="BN37" s="102">
        <v>0</v>
      </c>
      <c r="BO37" s="102">
        <v>0</v>
      </c>
      <c r="BP37" s="102">
        <v>0</v>
      </c>
      <c r="BQ37" s="102">
        <v>0</v>
      </c>
      <c r="BR37" s="102">
        <v>0</v>
      </c>
      <c r="BS37" s="102">
        <v>0</v>
      </c>
      <c r="BT37" s="102">
        <v>0</v>
      </c>
      <c r="BU37" s="102">
        <v>0</v>
      </c>
      <c r="BV37" s="102">
        <v>0</v>
      </c>
      <c r="BW37" s="102">
        <v>0</v>
      </c>
      <c r="BX37" s="102">
        <v>0</v>
      </c>
      <c r="BY37" s="102">
        <v>0</v>
      </c>
      <c r="BZ37" s="102">
        <v>0</v>
      </c>
      <c r="CA37" s="102">
        <v>0</v>
      </c>
      <c r="CB37" s="102">
        <v>0</v>
      </c>
      <c r="CC37" s="102">
        <v>0</v>
      </c>
      <c r="CD37" s="102">
        <v>0</v>
      </c>
      <c r="CE37" s="102">
        <v>0</v>
      </c>
      <c r="CF37" s="102">
        <v>0</v>
      </c>
      <c r="CG37" s="102">
        <v>0</v>
      </c>
      <c r="CH37" s="102">
        <v>0</v>
      </c>
      <c r="CI37" s="102">
        <v>0</v>
      </c>
      <c r="CJ37" s="102">
        <v>0</v>
      </c>
      <c r="CK37" s="102">
        <v>0</v>
      </c>
      <c r="CL37" s="102">
        <v>0</v>
      </c>
      <c r="CM37" s="102">
        <v>0</v>
      </c>
      <c r="CN37" s="102">
        <v>0</v>
      </c>
      <c r="CO37" s="102">
        <v>0</v>
      </c>
      <c r="CP37" s="102">
        <v>0</v>
      </c>
      <c r="CQ37" s="102">
        <v>0</v>
      </c>
      <c r="CR37" s="102">
        <v>0</v>
      </c>
      <c r="CS37" s="102">
        <v>0</v>
      </c>
      <c r="CT37" s="102">
        <v>0</v>
      </c>
      <c r="CU37" s="102">
        <v>0</v>
      </c>
      <c r="CV37" s="102">
        <v>0</v>
      </c>
      <c r="CW37" s="102">
        <v>0</v>
      </c>
      <c r="CX37" s="102">
        <v>0</v>
      </c>
      <c r="CY37" s="102">
        <v>0</v>
      </c>
      <c r="CZ37" s="102">
        <v>0</v>
      </c>
      <c r="DA37" s="102">
        <v>0</v>
      </c>
      <c r="DB37" s="102">
        <v>0</v>
      </c>
      <c r="DC37" s="102">
        <v>0</v>
      </c>
      <c r="DD37" s="102">
        <v>0</v>
      </c>
      <c r="DE37" s="102">
        <v>0</v>
      </c>
      <c r="DF37" s="102">
        <v>0</v>
      </c>
      <c r="DG37" s="102">
        <v>0</v>
      </c>
      <c r="DH37" s="102">
        <v>0</v>
      </c>
      <c r="DI37" s="102">
        <v>0</v>
      </c>
      <c r="DJ37" s="102">
        <v>0</v>
      </c>
      <c r="DK37" s="102">
        <v>0</v>
      </c>
      <c r="DL37" s="102">
        <v>0</v>
      </c>
      <c r="DM37" s="102">
        <v>0</v>
      </c>
      <c r="DN37" s="102">
        <v>0</v>
      </c>
      <c r="DO37" s="102">
        <v>0</v>
      </c>
      <c r="DP37" s="102">
        <v>0</v>
      </c>
      <c r="DQ37" s="102">
        <v>0</v>
      </c>
      <c r="DR37" s="102">
        <v>0</v>
      </c>
      <c r="DS37" s="102">
        <v>0</v>
      </c>
      <c r="DT37" s="102">
        <v>0</v>
      </c>
      <c r="DU37" s="102">
        <v>0</v>
      </c>
      <c r="DV37" s="102">
        <v>0</v>
      </c>
      <c r="DW37" s="102">
        <v>0</v>
      </c>
      <c r="DX37" s="102">
        <v>0</v>
      </c>
      <c r="DY37" s="102">
        <v>0</v>
      </c>
      <c r="DZ37" s="102">
        <v>0</v>
      </c>
      <c r="EA37" s="102">
        <v>0</v>
      </c>
      <c r="EB37" s="102">
        <v>0</v>
      </c>
      <c r="EC37" s="102">
        <v>0</v>
      </c>
      <c r="ED37" s="102">
        <v>0</v>
      </c>
      <c r="EE37" s="102">
        <v>0</v>
      </c>
      <c r="EF37" s="102">
        <v>0</v>
      </c>
      <c r="EG37" s="102">
        <v>0</v>
      </c>
      <c r="EH37" s="102">
        <v>0</v>
      </c>
      <c r="EI37" s="102">
        <v>0</v>
      </c>
      <c r="EJ37" s="102">
        <v>0</v>
      </c>
      <c r="EK37" s="102">
        <v>0</v>
      </c>
      <c r="EL37" s="102">
        <v>0</v>
      </c>
      <c r="EM37" s="102">
        <v>0</v>
      </c>
      <c r="EN37" s="102">
        <v>0</v>
      </c>
      <c r="EO37" s="102">
        <v>0</v>
      </c>
      <c r="EP37" s="102">
        <v>0</v>
      </c>
      <c r="EQ37" s="102">
        <v>0</v>
      </c>
      <c r="ER37" s="102">
        <v>0</v>
      </c>
      <c r="ES37" s="102">
        <v>0</v>
      </c>
      <c r="ET37" s="102">
        <v>0</v>
      </c>
      <c r="EU37" s="102">
        <v>0</v>
      </c>
      <c r="EV37" s="102">
        <v>0</v>
      </c>
      <c r="EW37" s="102">
        <v>0</v>
      </c>
      <c r="EX37" s="102">
        <v>0</v>
      </c>
      <c r="EY37" s="102">
        <v>0</v>
      </c>
      <c r="EZ37" s="102">
        <v>0</v>
      </c>
      <c r="FA37" s="102">
        <v>0</v>
      </c>
      <c r="FB37" s="102">
        <v>0</v>
      </c>
      <c r="FC37" s="102">
        <v>0</v>
      </c>
      <c r="FD37" s="102">
        <v>0</v>
      </c>
      <c r="FE37" s="102">
        <v>0</v>
      </c>
      <c r="FF37" s="102">
        <v>0</v>
      </c>
      <c r="FG37" s="102">
        <v>0</v>
      </c>
      <c r="FH37" s="102">
        <v>0</v>
      </c>
      <c r="FI37" s="102">
        <v>0</v>
      </c>
      <c r="FJ37" s="71">
        <v>0</v>
      </c>
    </row>
    <row r="38" spans="1:166" x14ac:dyDescent="0.3">
      <c r="A38" s="401" t="s">
        <v>995</v>
      </c>
      <c r="B38" s="103" t="s">
        <v>336</v>
      </c>
      <c r="C38" s="103" t="s">
        <v>288</v>
      </c>
      <c r="D38" s="419" t="s">
        <v>593</v>
      </c>
      <c r="E38" s="103" t="s">
        <v>316</v>
      </c>
      <c r="F38" s="103" t="s">
        <v>456</v>
      </c>
      <c r="G38" s="103" t="s">
        <v>994</v>
      </c>
      <c r="H38" s="103">
        <v>0</v>
      </c>
      <c r="I38" s="103">
        <v>0</v>
      </c>
      <c r="J38" s="103" t="s">
        <v>284</v>
      </c>
      <c r="K38" s="103">
        <v>0</v>
      </c>
      <c r="L38" s="103" t="s">
        <v>304</v>
      </c>
      <c r="M38" s="425">
        <v>1</v>
      </c>
      <c r="N38" s="103">
        <v>0</v>
      </c>
      <c r="O38" s="103">
        <v>0</v>
      </c>
      <c r="P38" s="393">
        <v>0</v>
      </c>
      <c r="Q38" s="103">
        <v>12</v>
      </c>
      <c r="R38" s="103">
        <v>72</v>
      </c>
      <c r="S38" s="394">
        <v>1</v>
      </c>
      <c r="T38" s="426">
        <v>1</v>
      </c>
      <c r="U38" s="103">
        <v>0</v>
      </c>
      <c r="V38" s="102">
        <v>8129517.7733019181</v>
      </c>
      <c r="W38" s="102">
        <v>585325279.67773795</v>
      </c>
      <c r="X38" s="102">
        <v>0</v>
      </c>
      <c r="Y38" s="102">
        <v>97554213.279622987</v>
      </c>
      <c r="Z38" s="102">
        <v>97554213.279622987</v>
      </c>
      <c r="AA38" s="102">
        <v>97554213.279622987</v>
      </c>
      <c r="AB38" s="102">
        <v>97554213.279622987</v>
      </c>
      <c r="AC38" s="102">
        <v>97554213.279622987</v>
      </c>
      <c r="AD38" s="102">
        <v>97554213.279622987</v>
      </c>
      <c r="AE38" s="102">
        <v>0</v>
      </c>
      <c r="AF38" s="102">
        <v>0</v>
      </c>
      <c r="AG38" s="102">
        <v>0</v>
      </c>
      <c r="AH38" s="102">
        <v>0</v>
      </c>
      <c r="AI38" s="399">
        <v>0</v>
      </c>
      <c r="AJ38" s="399">
        <v>0</v>
      </c>
      <c r="AK38" s="399">
        <v>0</v>
      </c>
      <c r="AL38" s="399">
        <v>0</v>
      </c>
      <c r="AM38" s="399">
        <v>0</v>
      </c>
      <c r="AN38" s="399">
        <v>0</v>
      </c>
      <c r="AO38" s="399">
        <v>0</v>
      </c>
      <c r="AP38" s="399">
        <v>0</v>
      </c>
      <c r="AQ38" s="399">
        <v>0</v>
      </c>
      <c r="AR38" s="399">
        <v>0</v>
      </c>
      <c r="AS38" s="399">
        <v>0</v>
      </c>
      <c r="AT38" s="399">
        <v>0</v>
      </c>
      <c r="AU38" s="102">
        <v>8129517.7733019181</v>
      </c>
      <c r="AV38" s="102">
        <v>8129517.7733019181</v>
      </c>
      <c r="AW38" s="102">
        <v>8129517.7733019181</v>
      </c>
      <c r="AX38" s="102">
        <v>8129517.7733019181</v>
      </c>
      <c r="AY38" s="102">
        <v>8129517.7733019181</v>
      </c>
      <c r="AZ38" s="102">
        <v>8129517.7733019181</v>
      </c>
      <c r="BA38" s="102">
        <v>8129517.7733019181</v>
      </c>
      <c r="BB38" s="102">
        <v>8129517.7733019181</v>
      </c>
      <c r="BC38" s="102">
        <v>8129517.7733019181</v>
      </c>
      <c r="BD38" s="102">
        <v>8129517.7733019181</v>
      </c>
      <c r="BE38" s="102">
        <v>8129517.7733019181</v>
      </c>
      <c r="BF38" s="102">
        <v>8129517.7733019181</v>
      </c>
      <c r="BG38" s="102">
        <v>8129517.7733019181</v>
      </c>
      <c r="BH38" s="102">
        <v>8129517.7733019181</v>
      </c>
      <c r="BI38" s="102">
        <v>8129517.7733019181</v>
      </c>
      <c r="BJ38" s="102">
        <v>8129517.7733019181</v>
      </c>
      <c r="BK38" s="102">
        <v>8129517.7733019181</v>
      </c>
      <c r="BL38" s="102">
        <v>8129517.7733019181</v>
      </c>
      <c r="BM38" s="102">
        <v>8129517.7733019181</v>
      </c>
      <c r="BN38" s="102">
        <v>8129517.7733019181</v>
      </c>
      <c r="BO38" s="102">
        <v>8129517.7733019181</v>
      </c>
      <c r="BP38" s="102">
        <v>8129517.7733019181</v>
      </c>
      <c r="BQ38" s="102">
        <v>8129517.7733019181</v>
      </c>
      <c r="BR38" s="102">
        <v>8129517.7733019181</v>
      </c>
      <c r="BS38" s="102">
        <v>8129517.7733019181</v>
      </c>
      <c r="BT38" s="102">
        <v>8129517.7733019181</v>
      </c>
      <c r="BU38" s="102">
        <v>8129517.7733019181</v>
      </c>
      <c r="BV38" s="102">
        <v>8129517.7733019181</v>
      </c>
      <c r="BW38" s="102">
        <v>8129517.7733019181</v>
      </c>
      <c r="BX38" s="102">
        <v>8129517.7733019181</v>
      </c>
      <c r="BY38" s="102">
        <v>8129517.7733019181</v>
      </c>
      <c r="BZ38" s="102">
        <v>8129517.7733019181</v>
      </c>
      <c r="CA38" s="102">
        <v>8129517.7733019181</v>
      </c>
      <c r="CB38" s="102">
        <v>8129517.7733019181</v>
      </c>
      <c r="CC38" s="102">
        <v>8129517.7733019181</v>
      </c>
      <c r="CD38" s="102">
        <v>8129517.7733019181</v>
      </c>
      <c r="CE38" s="102">
        <v>8129517.7733019181</v>
      </c>
      <c r="CF38" s="102">
        <v>8129517.7733019181</v>
      </c>
      <c r="CG38" s="102">
        <v>8129517.7733019181</v>
      </c>
      <c r="CH38" s="102">
        <v>8129517.7733019181</v>
      </c>
      <c r="CI38" s="102">
        <v>8129517.7733019181</v>
      </c>
      <c r="CJ38" s="102">
        <v>8129517.7733019181</v>
      </c>
      <c r="CK38" s="102">
        <v>8129517.7733019181</v>
      </c>
      <c r="CL38" s="102">
        <v>8129517.7733019181</v>
      </c>
      <c r="CM38" s="102">
        <v>8129517.7733019181</v>
      </c>
      <c r="CN38" s="102">
        <v>8129517.7733019181</v>
      </c>
      <c r="CO38" s="102">
        <v>8129517.7733019181</v>
      </c>
      <c r="CP38" s="102">
        <v>8129517.7733019181</v>
      </c>
      <c r="CQ38" s="102">
        <v>8129517.7733019181</v>
      </c>
      <c r="CR38" s="102">
        <v>8129517.7733019181</v>
      </c>
      <c r="CS38" s="102">
        <v>8129517.7733019181</v>
      </c>
      <c r="CT38" s="102">
        <v>8129517.7733019181</v>
      </c>
      <c r="CU38" s="102">
        <v>8129517.7733019181</v>
      </c>
      <c r="CV38" s="102">
        <v>8129517.7733019181</v>
      </c>
      <c r="CW38" s="102">
        <v>8129517.7733019181</v>
      </c>
      <c r="CX38" s="102">
        <v>8129517.7733019181</v>
      </c>
      <c r="CY38" s="102">
        <v>8129517.7733019181</v>
      </c>
      <c r="CZ38" s="102">
        <v>8129517.7733019181</v>
      </c>
      <c r="DA38" s="102">
        <v>8129517.7733019181</v>
      </c>
      <c r="DB38" s="102">
        <v>8129517.7733019181</v>
      </c>
      <c r="DC38" s="102">
        <v>8129517.7733019181</v>
      </c>
      <c r="DD38" s="102">
        <v>8129517.7733019181</v>
      </c>
      <c r="DE38" s="102">
        <v>8129517.7733019181</v>
      </c>
      <c r="DF38" s="102">
        <v>8129517.7733019181</v>
      </c>
      <c r="DG38" s="102">
        <v>8129517.7733019181</v>
      </c>
      <c r="DH38" s="102">
        <v>8129517.7733019181</v>
      </c>
      <c r="DI38" s="102">
        <v>8129517.7733019181</v>
      </c>
      <c r="DJ38" s="102">
        <v>8129517.7733019181</v>
      </c>
      <c r="DK38" s="102">
        <v>8129517.7733019181</v>
      </c>
      <c r="DL38" s="102">
        <v>8129517.7733019181</v>
      </c>
      <c r="DM38" s="102">
        <v>8129517.7733019181</v>
      </c>
      <c r="DN38" s="102">
        <v>8129517.7733019181</v>
      </c>
      <c r="DO38" s="102">
        <v>0</v>
      </c>
      <c r="DP38" s="102">
        <v>0</v>
      </c>
      <c r="DQ38" s="102">
        <v>0</v>
      </c>
      <c r="DR38" s="102">
        <v>0</v>
      </c>
      <c r="DS38" s="102">
        <v>0</v>
      </c>
      <c r="DT38" s="102">
        <v>0</v>
      </c>
      <c r="DU38" s="102">
        <v>0</v>
      </c>
      <c r="DV38" s="102">
        <v>0</v>
      </c>
      <c r="DW38" s="102">
        <v>0</v>
      </c>
      <c r="DX38" s="102">
        <v>0</v>
      </c>
      <c r="DY38" s="102">
        <v>0</v>
      </c>
      <c r="DZ38" s="102">
        <v>0</v>
      </c>
      <c r="EA38" s="102">
        <v>0</v>
      </c>
      <c r="EB38" s="102">
        <v>0</v>
      </c>
      <c r="EC38" s="102">
        <v>0</v>
      </c>
      <c r="ED38" s="102">
        <v>0</v>
      </c>
      <c r="EE38" s="102">
        <v>0</v>
      </c>
      <c r="EF38" s="102">
        <v>0</v>
      </c>
      <c r="EG38" s="102">
        <v>0</v>
      </c>
      <c r="EH38" s="102">
        <v>0</v>
      </c>
      <c r="EI38" s="102">
        <v>0</v>
      </c>
      <c r="EJ38" s="102">
        <v>0</v>
      </c>
      <c r="EK38" s="102">
        <v>0</v>
      </c>
      <c r="EL38" s="102">
        <v>0</v>
      </c>
      <c r="EM38" s="102">
        <v>0</v>
      </c>
      <c r="EN38" s="102">
        <v>0</v>
      </c>
      <c r="EO38" s="102">
        <v>0</v>
      </c>
      <c r="EP38" s="102">
        <v>0</v>
      </c>
      <c r="EQ38" s="102">
        <v>0</v>
      </c>
      <c r="ER38" s="102">
        <v>0</v>
      </c>
      <c r="ES38" s="102">
        <v>0</v>
      </c>
      <c r="ET38" s="102">
        <v>0</v>
      </c>
      <c r="EU38" s="102">
        <v>0</v>
      </c>
      <c r="EV38" s="102">
        <v>0</v>
      </c>
      <c r="EW38" s="102">
        <v>0</v>
      </c>
      <c r="EX38" s="102">
        <v>0</v>
      </c>
      <c r="EY38" s="102">
        <v>0</v>
      </c>
      <c r="EZ38" s="102">
        <v>0</v>
      </c>
      <c r="FA38" s="102">
        <v>0</v>
      </c>
      <c r="FB38" s="102">
        <v>0</v>
      </c>
      <c r="FC38" s="102">
        <v>0</v>
      </c>
      <c r="FD38" s="102">
        <v>0</v>
      </c>
      <c r="FE38" s="102">
        <v>0</v>
      </c>
      <c r="FF38" s="102">
        <v>0</v>
      </c>
      <c r="FG38" s="102">
        <v>0</v>
      </c>
      <c r="FH38" s="102">
        <v>0</v>
      </c>
      <c r="FI38" s="102">
        <v>0</v>
      </c>
      <c r="FJ38" s="71">
        <v>0</v>
      </c>
    </row>
    <row r="39" spans="1:166" x14ac:dyDescent="0.3">
      <c r="A39" s="401" t="s">
        <v>996</v>
      </c>
      <c r="B39" s="103" t="s">
        <v>336</v>
      </c>
      <c r="C39" s="103" t="s">
        <v>288</v>
      </c>
      <c r="D39" s="103" t="s">
        <v>457</v>
      </c>
      <c r="E39" s="103">
        <v>0</v>
      </c>
      <c r="F39" s="103">
        <v>0</v>
      </c>
      <c r="G39" s="103">
        <v>0</v>
      </c>
      <c r="H39" s="103">
        <v>0</v>
      </c>
      <c r="I39" s="103">
        <v>0</v>
      </c>
      <c r="J39" s="103" t="s">
        <v>284</v>
      </c>
      <c r="K39" s="103">
        <v>0</v>
      </c>
      <c r="L39" s="103" t="s">
        <v>304</v>
      </c>
      <c r="M39" s="425">
        <v>1</v>
      </c>
      <c r="N39" s="103">
        <v>0</v>
      </c>
      <c r="O39" s="103">
        <v>0</v>
      </c>
      <c r="P39" s="393">
        <v>0</v>
      </c>
      <c r="Q39" s="419">
        <v>0</v>
      </c>
      <c r="R39" s="419">
        <v>84</v>
      </c>
      <c r="S39" s="394">
        <v>1</v>
      </c>
      <c r="T39" s="426">
        <v>1</v>
      </c>
      <c r="U39" s="103">
        <v>0</v>
      </c>
      <c r="V39" s="102">
        <v>40582528.404607363</v>
      </c>
      <c r="W39" s="102">
        <v>3408932385.9870186</v>
      </c>
      <c r="X39" s="102">
        <v>486990340.85528833</v>
      </c>
      <c r="Y39" s="102">
        <v>486990340.85528833</v>
      </c>
      <c r="Z39" s="102">
        <v>486990340.85528833</v>
      </c>
      <c r="AA39" s="102">
        <v>486990340.85528833</v>
      </c>
      <c r="AB39" s="102">
        <v>486990340.85528833</v>
      </c>
      <c r="AC39" s="102">
        <v>486990340.85528833</v>
      </c>
      <c r="AD39" s="102">
        <v>486990340.85528833</v>
      </c>
      <c r="AE39" s="102">
        <v>0</v>
      </c>
      <c r="AF39" s="102">
        <v>0</v>
      </c>
      <c r="AG39" s="102">
        <v>0</v>
      </c>
      <c r="AH39" s="102">
        <v>0</v>
      </c>
      <c r="AI39" s="102">
        <v>40582528.404607363</v>
      </c>
      <c r="AJ39" s="102">
        <v>40582528.404607363</v>
      </c>
      <c r="AK39" s="102">
        <v>40582528.404607363</v>
      </c>
      <c r="AL39" s="102">
        <v>40582528.404607363</v>
      </c>
      <c r="AM39" s="102">
        <v>40582528.404607363</v>
      </c>
      <c r="AN39" s="102">
        <v>40582528.404607363</v>
      </c>
      <c r="AO39" s="102">
        <v>40582528.404607363</v>
      </c>
      <c r="AP39" s="102">
        <v>40582528.404607363</v>
      </c>
      <c r="AQ39" s="102">
        <v>40582528.404607363</v>
      </c>
      <c r="AR39" s="102">
        <v>40582528.404607363</v>
      </c>
      <c r="AS39" s="102">
        <v>40582528.404607363</v>
      </c>
      <c r="AT39" s="102">
        <v>40582528.404607363</v>
      </c>
      <c r="AU39" s="102">
        <v>40582528.404607363</v>
      </c>
      <c r="AV39" s="102">
        <v>40582528.404607363</v>
      </c>
      <c r="AW39" s="102">
        <v>40582528.404607363</v>
      </c>
      <c r="AX39" s="102">
        <v>40582528.404607363</v>
      </c>
      <c r="AY39" s="102">
        <v>40582528.404607363</v>
      </c>
      <c r="AZ39" s="102">
        <v>40582528.404607363</v>
      </c>
      <c r="BA39" s="102">
        <v>40582528.404607363</v>
      </c>
      <c r="BB39" s="102">
        <v>40582528.404607363</v>
      </c>
      <c r="BC39" s="102">
        <v>40582528.404607363</v>
      </c>
      <c r="BD39" s="102">
        <v>40582528.404607363</v>
      </c>
      <c r="BE39" s="102">
        <v>40582528.404607363</v>
      </c>
      <c r="BF39" s="102">
        <v>40582528.404607363</v>
      </c>
      <c r="BG39" s="102">
        <v>40582528.404607363</v>
      </c>
      <c r="BH39" s="102">
        <v>40582528.404607363</v>
      </c>
      <c r="BI39" s="102">
        <v>40582528.404607363</v>
      </c>
      <c r="BJ39" s="102">
        <v>40582528.404607363</v>
      </c>
      <c r="BK39" s="102">
        <v>40582528.404607363</v>
      </c>
      <c r="BL39" s="102">
        <v>40582528.404607363</v>
      </c>
      <c r="BM39" s="102">
        <v>40582528.404607363</v>
      </c>
      <c r="BN39" s="102">
        <v>40582528.404607363</v>
      </c>
      <c r="BO39" s="102">
        <v>40582528.404607363</v>
      </c>
      <c r="BP39" s="102">
        <v>40582528.404607363</v>
      </c>
      <c r="BQ39" s="102">
        <v>40582528.404607363</v>
      </c>
      <c r="BR39" s="102">
        <v>40582528.404607363</v>
      </c>
      <c r="BS39" s="102">
        <v>40582528.404607363</v>
      </c>
      <c r="BT39" s="102">
        <v>40582528.404607363</v>
      </c>
      <c r="BU39" s="102">
        <v>40582528.404607363</v>
      </c>
      <c r="BV39" s="102">
        <v>40582528.404607363</v>
      </c>
      <c r="BW39" s="102">
        <v>40582528.404607363</v>
      </c>
      <c r="BX39" s="102">
        <v>40582528.404607363</v>
      </c>
      <c r="BY39" s="102">
        <v>40582528.404607363</v>
      </c>
      <c r="BZ39" s="102">
        <v>40582528.404607363</v>
      </c>
      <c r="CA39" s="102">
        <v>40582528.404607363</v>
      </c>
      <c r="CB39" s="102">
        <v>40582528.404607363</v>
      </c>
      <c r="CC39" s="102">
        <v>40582528.404607363</v>
      </c>
      <c r="CD39" s="102">
        <v>40582528.404607363</v>
      </c>
      <c r="CE39" s="102">
        <v>40582528.404607363</v>
      </c>
      <c r="CF39" s="102">
        <v>40582528.404607363</v>
      </c>
      <c r="CG39" s="102">
        <v>40582528.404607363</v>
      </c>
      <c r="CH39" s="102">
        <v>40582528.404607363</v>
      </c>
      <c r="CI39" s="102">
        <v>40582528.404607363</v>
      </c>
      <c r="CJ39" s="102">
        <v>40582528.404607363</v>
      </c>
      <c r="CK39" s="102">
        <v>40582528.404607363</v>
      </c>
      <c r="CL39" s="102">
        <v>40582528.404607363</v>
      </c>
      <c r="CM39" s="102">
        <v>40582528.404607363</v>
      </c>
      <c r="CN39" s="102">
        <v>40582528.404607363</v>
      </c>
      <c r="CO39" s="102">
        <v>40582528.404607363</v>
      </c>
      <c r="CP39" s="102">
        <v>40582528.404607363</v>
      </c>
      <c r="CQ39" s="102">
        <v>40582528.404607363</v>
      </c>
      <c r="CR39" s="102">
        <v>40582528.404607363</v>
      </c>
      <c r="CS39" s="102">
        <v>40582528.404607363</v>
      </c>
      <c r="CT39" s="102">
        <v>40582528.404607363</v>
      </c>
      <c r="CU39" s="102">
        <v>40582528.404607363</v>
      </c>
      <c r="CV39" s="102">
        <v>40582528.404607363</v>
      </c>
      <c r="CW39" s="102">
        <v>40582528.404607363</v>
      </c>
      <c r="CX39" s="102">
        <v>40582528.404607363</v>
      </c>
      <c r="CY39" s="102">
        <v>40582528.404607363</v>
      </c>
      <c r="CZ39" s="102">
        <v>40582528.404607363</v>
      </c>
      <c r="DA39" s="102">
        <v>40582528.404607363</v>
      </c>
      <c r="DB39" s="102">
        <v>40582528.404607363</v>
      </c>
      <c r="DC39" s="102">
        <v>40582528.404607363</v>
      </c>
      <c r="DD39" s="102">
        <v>40582528.404607363</v>
      </c>
      <c r="DE39" s="102">
        <v>40582528.404607363</v>
      </c>
      <c r="DF39" s="102">
        <v>40582528.404607363</v>
      </c>
      <c r="DG39" s="102">
        <v>40582528.404607363</v>
      </c>
      <c r="DH39" s="102">
        <v>40582528.404607363</v>
      </c>
      <c r="DI39" s="102">
        <v>40582528.404607363</v>
      </c>
      <c r="DJ39" s="102">
        <v>40582528.404607363</v>
      </c>
      <c r="DK39" s="102">
        <v>40582528.404607363</v>
      </c>
      <c r="DL39" s="102">
        <v>40582528.404607363</v>
      </c>
      <c r="DM39" s="102">
        <v>40582528.404607363</v>
      </c>
      <c r="DN39" s="102">
        <v>40582528.404607363</v>
      </c>
      <c r="DO39" s="102">
        <v>0</v>
      </c>
      <c r="DP39" s="102">
        <v>0</v>
      </c>
      <c r="DQ39" s="102">
        <v>0</v>
      </c>
      <c r="DR39" s="102">
        <v>0</v>
      </c>
      <c r="DS39" s="102">
        <v>0</v>
      </c>
      <c r="DT39" s="102">
        <v>0</v>
      </c>
      <c r="DU39" s="102">
        <v>0</v>
      </c>
      <c r="DV39" s="102">
        <v>0</v>
      </c>
      <c r="DW39" s="102">
        <v>0</v>
      </c>
      <c r="DX39" s="102">
        <v>0</v>
      </c>
      <c r="DY39" s="102">
        <v>0</v>
      </c>
      <c r="DZ39" s="102">
        <v>0</v>
      </c>
      <c r="EA39" s="102">
        <v>0</v>
      </c>
      <c r="EB39" s="102">
        <v>0</v>
      </c>
      <c r="EC39" s="102">
        <v>0</v>
      </c>
      <c r="ED39" s="102">
        <v>0</v>
      </c>
      <c r="EE39" s="102">
        <v>0</v>
      </c>
      <c r="EF39" s="102">
        <v>0</v>
      </c>
      <c r="EG39" s="102">
        <v>0</v>
      </c>
      <c r="EH39" s="102">
        <v>0</v>
      </c>
      <c r="EI39" s="102">
        <v>0</v>
      </c>
      <c r="EJ39" s="102">
        <v>0</v>
      </c>
      <c r="EK39" s="102">
        <v>0</v>
      </c>
      <c r="EL39" s="102">
        <v>0</v>
      </c>
      <c r="EM39" s="102">
        <v>0</v>
      </c>
      <c r="EN39" s="102">
        <v>0</v>
      </c>
      <c r="EO39" s="102">
        <v>0</v>
      </c>
      <c r="EP39" s="102">
        <v>0</v>
      </c>
      <c r="EQ39" s="102">
        <v>0</v>
      </c>
      <c r="ER39" s="102">
        <v>0</v>
      </c>
      <c r="ES39" s="102">
        <v>0</v>
      </c>
      <c r="ET39" s="102">
        <v>0</v>
      </c>
      <c r="EU39" s="102">
        <v>0</v>
      </c>
      <c r="EV39" s="102">
        <v>0</v>
      </c>
      <c r="EW39" s="102">
        <v>0</v>
      </c>
      <c r="EX39" s="102">
        <v>0</v>
      </c>
      <c r="EY39" s="102">
        <v>0</v>
      </c>
      <c r="EZ39" s="102">
        <v>0</v>
      </c>
      <c r="FA39" s="102">
        <v>0</v>
      </c>
      <c r="FB39" s="102">
        <v>0</v>
      </c>
      <c r="FC39" s="102">
        <v>0</v>
      </c>
      <c r="FD39" s="102">
        <v>0</v>
      </c>
      <c r="FE39" s="102">
        <v>0</v>
      </c>
      <c r="FF39" s="102">
        <v>0</v>
      </c>
      <c r="FG39" s="102">
        <v>0</v>
      </c>
      <c r="FH39" s="102">
        <v>0</v>
      </c>
      <c r="FI39" s="102">
        <v>0</v>
      </c>
      <c r="FJ39" s="71">
        <v>0</v>
      </c>
    </row>
    <row r="40" spans="1:166" x14ac:dyDescent="0.3">
      <c r="A40" s="401" t="s">
        <v>997</v>
      </c>
      <c r="B40" s="103" t="s">
        <v>336</v>
      </c>
      <c r="C40" s="103" t="s">
        <v>288</v>
      </c>
      <c r="D40" s="103" t="s">
        <v>458</v>
      </c>
      <c r="E40" s="103" t="s">
        <v>459</v>
      </c>
      <c r="F40" s="103">
        <v>0</v>
      </c>
      <c r="G40" s="103">
        <v>0</v>
      </c>
      <c r="H40" s="103">
        <v>0</v>
      </c>
      <c r="I40" s="103">
        <v>0</v>
      </c>
      <c r="J40" s="103" t="s">
        <v>284</v>
      </c>
      <c r="K40" s="103">
        <v>0</v>
      </c>
      <c r="L40" s="103" t="s">
        <v>304</v>
      </c>
      <c r="M40" s="425">
        <v>1</v>
      </c>
      <c r="N40" s="103">
        <v>0</v>
      </c>
      <c r="O40" s="103">
        <v>0</v>
      </c>
      <c r="P40" s="393">
        <v>0</v>
      </c>
      <c r="Q40" s="419">
        <v>12</v>
      </c>
      <c r="R40" s="419">
        <v>72</v>
      </c>
      <c r="S40" s="394">
        <v>1</v>
      </c>
      <c r="T40" s="426">
        <v>1</v>
      </c>
      <c r="U40" s="103">
        <v>0</v>
      </c>
      <c r="V40" s="102">
        <v>21861836.51047603</v>
      </c>
      <c r="W40" s="102">
        <v>1574052228.7542739</v>
      </c>
      <c r="X40" s="102">
        <v>0</v>
      </c>
      <c r="Y40" s="102">
        <v>262342038.12571231</v>
      </c>
      <c r="Z40" s="102">
        <v>262342038.12571231</v>
      </c>
      <c r="AA40" s="102">
        <v>262342038.12571231</v>
      </c>
      <c r="AB40" s="102">
        <v>262342038.12571231</v>
      </c>
      <c r="AC40" s="102">
        <v>262342038.12571231</v>
      </c>
      <c r="AD40" s="102">
        <v>262342038.12571231</v>
      </c>
      <c r="AE40" s="102">
        <v>0</v>
      </c>
      <c r="AF40" s="102">
        <v>0</v>
      </c>
      <c r="AG40" s="102">
        <v>0</v>
      </c>
      <c r="AH40" s="102">
        <v>0</v>
      </c>
      <c r="AI40" s="399">
        <v>0</v>
      </c>
      <c r="AJ40" s="399">
        <v>0</v>
      </c>
      <c r="AK40" s="399">
        <v>0</v>
      </c>
      <c r="AL40" s="399">
        <v>0</v>
      </c>
      <c r="AM40" s="399">
        <v>0</v>
      </c>
      <c r="AN40" s="399">
        <v>0</v>
      </c>
      <c r="AO40" s="399">
        <v>0</v>
      </c>
      <c r="AP40" s="399">
        <v>0</v>
      </c>
      <c r="AQ40" s="399">
        <v>0</v>
      </c>
      <c r="AR40" s="399">
        <v>0</v>
      </c>
      <c r="AS40" s="399">
        <v>0</v>
      </c>
      <c r="AT40" s="399">
        <v>0</v>
      </c>
      <c r="AU40" s="102">
        <v>21861836.51047603</v>
      </c>
      <c r="AV40" s="102">
        <v>21861836.51047603</v>
      </c>
      <c r="AW40" s="102">
        <v>21861836.51047603</v>
      </c>
      <c r="AX40" s="102">
        <v>21861836.51047603</v>
      </c>
      <c r="AY40" s="102">
        <v>21861836.51047603</v>
      </c>
      <c r="AZ40" s="102">
        <v>21861836.51047603</v>
      </c>
      <c r="BA40" s="102">
        <v>21861836.51047603</v>
      </c>
      <c r="BB40" s="102">
        <v>21861836.51047603</v>
      </c>
      <c r="BC40" s="102">
        <v>21861836.51047603</v>
      </c>
      <c r="BD40" s="102">
        <v>21861836.51047603</v>
      </c>
      <c r="BE40" s="102">
        <v>21861836.51047603</v>
      </c>
      <c r="BF40" s="102">
        <v>21861836.51047603</v>
      </c>
      <c r="BG40" s="102">
        <v>21861836.51047603</v>
      </c>
      <c r="BH40" s="102">
        <v>21861836.51047603</v>
      </c>
      <c r="BI40" s="102">
        <v>21861836.51047603</v>
      </c>
      <c r="BJ40" s="102">
        <v>21861836.51047603</v>
      </c>
      <c r="BK40" s="102">
        <v>21861836.51047603</v>
      </c>
      <c r="BL40" s="102">
        <v>21861836.51047603</v>
      </c>
      <c r="BM40" s="102">
        <v>21861836.51047603</v>
      </c>
      <c r="BN40" s="102">
        <v>21861836.51047603</v>
      </c>
      <c r="BO40" s="102">
        <v>21861836.51047603</v>
      </c>
      <c r="BP40" s="102">
        <v>21861836.51047603</v>
      </c>
      <c r="BQ40" s="102">
        <v>21861836.51047603</v>
      </c>
      <c r="BR40" s="102">
        <v>21861836.51047603</v>
      </c>
      <c r="BS40" s="102">
        <v>21861836.51047603</v>
      </c>
      <c r="BT40" s="102">
        <v>21861836.51047603</v>
      </c>
      <c r="BU40" s="102">
        <v>21861836.51047603</v>
      </c>
      <c r="BV40" s="102">
        <v>21861836.51047603</v>
      </c>
      <c r="BW40" s="102">
        <v>21861836.51047603</v>
      </c>
      <c r="BX40" s="102">
        <v>21861836.51047603</v>
      </c>
      <c r="BY40" s="102">
        <v>21861836.51047603</v>
      </c>
      <c r="BZ40" s="102">
        <v>21861836.51047603</v>
      </c>
      <c r="CA40" s="102">
        <v>21861836.51047603</v>
      </c>
      <c r="CB40" s="102">
        <v>21861836.51047603</v>
      </c>
      <c r="CC40" s="102">
        <v>21861836.51047603</v>
      </c>
      <c r="CD40" s="102">
        <v>21861836.51047603</v>
      </c>
      <c r="CE40" s="102">
        <v>21861836.51047603</v>
      </c>
      <c r="CF40" s="102">
        <v>21861836.51047603</v>
      </c>
      <c r="CG40" s="102">
        <v>21861836.51047603</v>
      </c>
      <c r="CH40" s="102">
        <v>21861836.51047603</v>
      </c>
      <c r="CI40" s="102">
        <v>21861836.51047603</v>
      </c>
      <c r="CJ40" s="102">
        <v>21861836.51047603</v>
      </c>
      <c r="CK40" s="102">
        <v>21861836.51047603</v>
      </c>
      <c r="CL40" s="102">
        <v>21861836.51047603</v>
      </c>
      <c r="CM40" s="102">
        <v>21861836.51047603</v>
      </c>
      <c r="CN40" s="102">
        <v>21861836.51047603</v>
      </c>
      <c r="CO40" s="102">
        <v>21861836.51047603</v>
      </c>
      <c r="CP40" s="102">
        <v>21861836.51047603</v>
      </c>
      <c r="CQ40" s="102">
        <v>21861836.51047603</v>
      </c>
      <c r="CR40" s="102">
        <v>21861836.51047603</v>
      </c>
      <c r="CS40" s="102">
        <v>21861836.51047603</v>
      </c>
      <c r="CT40" s="102">
        <v>21861836.51047603</v>
      </c>
      <c r="CU40" s="102">
        <v>21861836.51047603</v>
      </c>
      <c r="CV40" s="102">
        <v>21861836.51047603</v>
      </c>
      <c r="CW40" s="102">
        <v>21861836.51047603</v>
      </c>
      <c r="CX40" s="102">
        <v>21861836.51047603</v>
      </c>
      <c r="CY40" s="102">
        <v>21861836.51047603</v>
      </c>
      <c r="CZ40" s="102">
        <v>21861836.51047603</v>
      </c>
      <c r="DA40" s="102">
        <v>21861836.51047603</v>
      </c>
      <c r="DB40" s="102">
        <v>21861836.51047603</v>
      </c>
      <c r="DC40" s="102">
        <v>21861836.51047603</v>
      </c>
      <c r="DD40" s="102">
        <v>21861836.51047603</v>
      </c>
      <c r="DE40" s="102">
        <v>21861836.51047603</v>
      </c>
      <c r="DF40" s="102">
        <v>21861836.51047603</v>
      </c>
      <c r="DG40" s="102">
        <v>21861836.51047603</v>
      </c>
      <c r="DH40" s="102">
        <v>21861836.51047603</v>
      </c>
      <c r="DI40" s="102">
        <v>21861836.51047603</v>
      </c>
      <c r="DJ40" s="102">
        <v>21861836.51047603</v>
      </c>
      <c r="DK40" s="102">
        <v>21861836.51047603</v>
      </c>
      <c r="DL40" s="102">
        <v>21861836.51047603</v>
      </c>
      <c r="DM40" s="102">
        <v>21861836.51047603</v>
      </c>
      <c r="DN40" s="102">
        <v>21861836.51047603</v>
      </c>
      <c r="DO40" s="102">
        <v>0</v>
      </c>
      <c r="DP40" s="102">
        <v>0</v>
      </c>
      <c r="DQ40" s="102">
        <v>0</v>
      </c>
      <c r="DR40" s="102">
        <v>0</v>
      </c>
      <c r="DS40" s="102">
        <v>0</v>
      </c>
      <c r="DT40" s="102">
        <v>0</v>
      </c>
      <c r="DU40" s="102">
        <v>0</v>
      </c>
      <c r="DV40" s="102">
        <v>0</v>
      </c>
      <c r="DW40" s="102">
        <v>0</v>
      </c>
      <c r="DX40" s="102">
        <v>0</v>
      </c>
      <c r="DY40" s="102">
        <v>0</v>
      </c>
      <c r="DZ40" s="102">
        <v>0</v>
      </c>
      <c r="EA40" s="102">
        <v>0</v>
      </c>
      <c r="EB40" s="102">
        <v>0</v>
      </c>
      <c r="EC40" s="102">
        <v>0</v>
      </c>
      <c r="ED40" s="102">
        <v>0</v>
      </c>
      <c r="EE40" s="102">
        <v>0</v>
      </c>
      <c r="EF40" s="102">
        <v>0</v>
      </c>
      <c r="EG40" s="102">
        <v>0</v>
      </c>
      <c r="EH40" s="102">
        <v>0</v>
      </c>
      <c r="EI40" s="102">
        <v>0</v>
      </c>
      <c r="EJ40" s="102">
        <v>0</v>
      </c>
      <c r="EK40" s="102">
        <v>0</v>
      </c>
      <c r="EL40" s="102">
        <v>0</v>
      </c>
      <c r="EM40" s="102">
        <v>0</v>
      </c>
      <c r="EN40" s="102">
        <v>0</v>
      </c>
      <c r="EO40" s="102">
        <v>0</v>
      </c>
      <c r="EP40" s="102">
        <v>0</v>
      </c>
      <c r="EQ40" s="102">
        <v>0</v>
      </c>
      <c r="ER40" s="102">
        <v>0</v>
      </c>
      <c r="ES40" s="102">
        <v>0</v>
      </c>
      <c r="ET40" s="102">
        <v>0</v>
      </c>
      <c r="EU40" s="102">
        <v>0</v>
      </c>
      <c r="EV40" s="102">
        <v>0</v>
      </c>
      <c r="EW40" s="102">
        <v>0</v>
      </c>
      <c r="EX40" s="102">
        <v>0</v>
      </c>
      <c r="EY40" s="102">
        <v>0</v>
      </c>
      <c r="EZ40" s="102">
        <v>0</v>
      </c>
      <c r="FA40" s="102">
        <v>0</v>
      </c>
      <c r="FB40" s="102">
        <v>0</v>
      </c>
      <c r="FC40" s="102">
        <v>0</v>
      </c>
      <c r="FD40" s="102">
        <v>0</v>
      </c>
      <c r="FE40" s="102">
        <v>0</v>
      </c>
      <c r="FF40" s="102">
        <v>0</v>
      </c>
      <c r="FG40" s="102">
        <v>0</v>
      </c>
      <c r="FH40" s="102">
        <v>0</v>
      </c>
      <c r="FI40" s="102">
        <v>0</v>
      </c>
      <c r="FJ40" s="71">
        <v>0</v>
      </c>
    </row>
    <row r="41" spans="1:166" ht="17.25" thickBot="1" x14ac:dyDescent="0.35">
      <c r="A41" s="402" t="s">
        <v>1014</v>
      </c>
      <c r="B41" s="403" t="s">
        <v>336</v>
      </c>
      <c r="C41" s="403" t="s">
        <v>288</v>
      </c>
      <c r="D41" s="403" t="s">
        <v>458</v>
      </c>
      <c r="E41" s="403" t="s">
        <v>460</v>
      </c>
      <c r="F41" s="403">
        <v>0</v>
      </c>
      <c r="G41" s="403">
        <v>0</v>
      </c>
      <c r="H41" s="403">
        <v>0</v>
      </c>
      <c r="I41" s="403">
        <v>0</v>
      </c>
      <c r="J41" s="403" t="s">
        <v>284</v>
      </c>
      <c r="K41" s="403">
        <v>0</v>
      </c>
      <c r="L41" s="403" t="s">
        <v>304</v>
      </c>
      <c r="M41" s="429">
        <v>1</v>
      </c>
      <c r="N41" s="403">
        <v>0</v>
      </c>
      <c r="O41" s="403">
        <v>0</v>
      </c>
      <c r="P41" s="405">
        <v>0</v>
      </c>
      <c r="Q41" s="421">
        <v>0</v>
      </c>
      <c r="R41" s="421">
        <v>12</v>
      </c>
      <c r="S41" s="430">
        <v>1</v>
      </c>
      <c r="T41" s="431">
        <v>1</v>
      </c>
      <c r="U41" s="403">
        <v>0</v>
      </c>
      <c r="V41" s="404">
        <v>25000000</v>
      </c>
      <c r="W41" s="404">
        <v>300000000</v>
      </c>
      <c r="X41" s="404">
        <v>300000000</v>
      </c>
      <c r="Y41" s="404">
        <v>0</v>
      </c>
      <c r="Z41" s="404">
        <v>0</v>
      </c>
      <c r="AA41" s="404">
        <v>0</v>
      </c>
      <c r="AB41" s="404">
        <v>0</v>
      </c>
      <c r="AC41" s="404">
        <v>0</v>
      </c>
      <c r="AD41" s="404">
        <v>0</v>
      </c>
      <c r="AE41" s="404">
        <v>0</v>
      </c>
      <c r="AF41" s="404">
        <v>0</v>
      </c>
      <c r="AG41" s="404">
        <v>0</v>
      </c>
      <c r="AH41" s="404">
        <v>0</v>
      </c>
      <c r="AI41" s="404">
        <v>25000000</v>
      </c>
      <c r="AJ41" s="404">
        <v>25000000</v>
      </c>
      <c r="AK41" s="404">
        <v>25000000</v>
      </c>
      <c r="AL41" s="404">
        <v>25000000</v>
      </c>
      <c r="AM41" s="404">
        <v>25000000</v>
      </c>
      <c r="AN41" s="404">
        <v>25000000</v>
      </c>
      <c r="AO41" s="404">
        <v>25000000</v>
      </c>
      <c r="AP41" s="404">
        <v>25000000</v>
      </c>
      <c r="AQ41" s="404">
        <v>25000000</v>
      </c>
      <c r="AR41" s="404">
        <v>25000000</v>
      </c>
      <c r="AS41" s="404">
        <v>25000000</v>
      </c>
      <c r="AT41" s="404">
        <v>25000000</v>
      </c>
      <c r="AU41" s="404">
        <v>0</v>
      </c>
      <c r="AV41" s="404">
        <v>0</v>
      </c>
      <c r="AW41" s="404">
        <v>0</v>
      </c>
      <c r="AX41" s="404">
        <v>0</v>
      </c>
      <c r="AY41" s="404">
        <v>0</v>
      </c>
      <c r="AZ41" s="404">
        <v>0</v>
      </c>
      <c r="BA41" s="404">
        <v>0</v>
      </c>
      <c r="BB41" s="404">
        <v>0</v>
      </c>
      <c r="BC41" s="404">
        <v>0</v>
      </c>
      <c r="BD41" s="404">
        <v>0</v>
      </c>
      <c r="BE41" s="404">
        <v>0</v>
      </c>
      <c r="BF41" s="404">
        <v>0</v>
      </c>
      <c r="BG41" s="404">
        <v>0</v>
      </c>
      <c r="BH41" s="404">
        <v>0</v>
      </c>
      <c r="BI41" s="404">
        <v>0</v>
      </c>
      <c r="BJ41" s="404">
        <v>0</v>
      </c>
      <c r="BK41" s="404">
        <v>0</v>
      </c>
      <c r="BL41" s="404">
        <v>0</v>
      </c>
      <c r="BM41" s="404">
        <v>0</v>
      </c>
      <c r="BN41" s="404">
        <v>0</v>
      </c>
      <c r="BO41" s="404">
        <v>0</v>
      </c>
      <c r="BP41" s="404">
        <v>0</v>
      </c>
      <c r="BQ41" s="404">
        <v>0</v>
      </c>
      <c r="BR41" s="404">
        <v>0</v>
      </c>
      <c r="BS41" s="404">
        <v>0</v>
      </c>
      <c r="BT41" s="404">
        <v>0</v>
      </c>
      <c r="BU41" s="404">
        <v>0</v>
      </c>
      <c r="BV41" s="404">
        <v>0</v>
      </c>
      <c r="BW41" s="404">
        <v>0</v>
      </c>
      <c r="BX41" s="404">
        <v>0</v>
      </c>
      <c r="BY41" s="404">
        <v>0</v>
      </c>
      <c r="BZ41" s="404">
        <v>0</v>
      </c>
      <c r="CA41" s="404">
        <v>0</v>
      </c>
      <c r="CB41" s="404">
        <v>0</v>
      </c>
      <c r="CC41" s="404">
        <v>0</v>
      </c>
      <c r="CD41" s="404">
        <v>0</v>
      </c>
      <c r="CE41" s="404">
        <v>0</v>
      </c>
      <c r="CF41" s="404">
        <v>0</v>
      </c>
      <c r="CG41" s="404">
        <v>0</v>
      </c>
      <c r="CH41" s="404">
        <v>0</v>
      </c>
      <c r="CI41" s="404">
        <v>0</v>
      </c>
      <c r="CJ41" s="404">
        <v>0</v>
      </c>
      <c r="CK41" s="404">
        <v>0</v>
      </c>
      <c r="CL41" s="404">
        <v>0</v>
      </c>
      <c r="CM41" s="404">
        <v>0</v>
      </c>
      <c r="CN41" s="404">
        <v>0</v>
      </c>
      <c r="CO41" s="404">
        <v>0</v>
      </c>
      <c r="CP41" s="404">
        <v>0</v>
      </c>
      <c r="CQ41" s="404">
        <v>0</v>
      </c>
      <c r="CR41" s="404">
        <v>0</v>
      </c>
      <c r="CS41" s="404">
        <v>0</v>
      </c>
      <c r="CT41" s="404">
        <v>0</v>
      </c>
      <c r="CU41" s="404">
        <v>0</v>
      </c>
      <c r="CV41" s="404">
        <v>0</v>
      </c>
      <c r="CW41" s="404">
        <v>0</v>
      </c>
      <c r="CX41" s="404">
        <v>0</v>
      </c>
      <c r="CY41" s="404">
        <v>0</v>
      </c>
      <c r="CZ41" s="404">
        <v>0</v>
      </c>
      <c r="DA41" s="404">
        <v>0</v>
      </c>
      <c r="DB41" s="404">
        <v>0</v>
      </c>
      <c r="DC41" s="404">
        <v>0</v>
      </c>
      <c r="DD41" s="404">
        <v>0</v>
      </c>
      <c r="DE41" s="404">
        <v>0</v>
      </c>
      <c r="DF41" s="404">
        <v>0</v>
      </c>
      <c r="DG41" s="404">
        <v>0</v>
      </c>
      <c r="DH41" s="404">
        <v>0</v>
      </c>
      <c r="DI41" s="404">
        <v>0</v>
      </c>
      <c r="DJ41" s="404">
        <v>0</v>
      </c>
      <c r="DK41" s="404">
        <v>0</v>
      </c>
      <c r="DL41" s="404">
        <v>0</v>
      </c>
      <c r="DM41" s="404">
        <v>0</v>
      </c>
      <c r="DN41" s="404">
        <v>0</v>
      </c>
      <c r="DO41" s="404">
        <v>0</v>
      </c>
      <c r="DP41" s="404">
        <v>0</v>
      </c>
      <c r="DQ41" s="404">
        <v>0</v>
      </c>
      <c r="DR41" s="404">
        <v>0</v>
      </c>
      <c r="DS41" s="404">
        <v>0</v>
      </c>
      <c r="DT41" s="404">
        <v>0</v>
      </c>
      <c r="DU41" s="404">
        <v>0</v>
      </c>
      <c r="DV41" s="404">
        <v>0</v>
      </c>
      <c r="DW41" s="404">
        <v>0</v>
      </c>
      <c r="DX41" s="404">
        <v>0</v>
      </c>
      <c r="DY41" s="404">
        <v>0</v>
      </c>
      <c r="DZ41" s="404">
        <v>0</v>
      </c>
      <c r="EA41" s="404">
        <v>0</v>
      </c>
      <c r="EB41" s="404">
        <v>0</v>
      </c>
      <c r="EC41" s="404">
        <v>0</v>
      </c>
      <c r="ED41" s="404">
        <v>0</v>
      </c>
      <c r="EE41" s="404">
        <v>0</v>
      </c>
      <c r="EF41" s="404">
        <v>0</v>
      </c>
      <c r="EG41" s="404">
        <v>0</v>
      </c>
      <c r="EH41" s="404">
        <v>0</v>
      </c>
      <c r="EI41" s="404">
        <v>0</v>
      </c>
      <c r="EJ41" s="404">
        <v>0</v>
      </c>
      <c r="EK41" s="404">
        <v>0</v>
      </c>
      <c r="EL41" s="404">
        <v>0</v>
      </c>
      <c r="EM41" s="404">
        <v>0</v>
      </c>
      <c r="EN41" s="404">
        <v>0</v>
      </c>
      <c r="EO41" s="404">
        <v>0</v>
      </c>
      <c r="EP41" s="404">
        <v>0</v>
      </c>
      <c r="EQ41" s="404">
        <v>0</v>
      </c>
      <c r="ER41" s="404">
        <v>0</v>
      </c>
      <c r="ES41" s="404">
        <v>0</v>
      </c>
      <c r="ET41" s="404">
        <v>0</v>
      </c>
      <c r="EU41" s="404">
        <v>0</v>
      </c>
      <c r="EV41" s="404">
        <v>0</v>
      </c>
      <c r="EW41" s="404">
        <v>0</v>
      </c>
      <c r="EX41" s="404">
        <v>0</v>
      </c>
      <c r="EY41" s="404">
        <v>0</v>
      </c>
      <c r="EZ41" s="404">
        <v>0</v>
      </c>
      <c r="FA41" s="404">
        <v>0</v>
      </c>
      <c r="FB41" s="404">
        <v>0</v>
      </c>
      <c r="FC41" s="404">
        <v>0</v>
      </c>
      <c r="FD41" s="404">
        <v>0</v>
      </c>
      <c r="FE41" s="404">
        <v>0</v>
      </c>
      <c r="FF41" s="404">
        <v>0</v>
      </c>
      <c r="FG41" s="404">
        <v>0</v>
      </c>
      <c r="FH41" s="404">
        <v>0</v>
      </c>
      <c r="FI41" s="404">
        <v>0</v>
      </c>
      <c r="FJ41" s="72">
        <v>0</v>
      </c>
    </row>
  </sheetData>
  <phoneticPr fontId="1" type="noConversion"/>
  <conditionalFormatting sqref="T5:U5 A5:N5 K6:N9 K10:O13 U6:U17 N14:O17 O18:O20 E21 H18:I25 E18:F19 E14:I17 E6:J13 A6:D19 Q28:R29 Q5:R25 C28:C41 C21:D27 F20 A20:B41 P5:P41">
    <cfRule type="expression" dxfId="41" priority="24">
      <formula>OR($D5="MA",$D5="운영")</formula>
    </cfRule>
  </conditionalFormatting>
  <conditionalFormatting sqref="T6">
    <cfRule type="expression" dxfId="40" priority="18">
      <formula>OR($D6="MA",$D6="운영")</formula>
    </cfRule>
  </conditionalFormatting>
  <conditionalFormatting sqref="T7:T19 T21:T41">
    <cfRule type="expression" dxfId="39" priority="17">
      <formula>OR($D7="MA",$D7="운영")</formula>
    </cfRule>
  </conditionalFormatting>
  <conditionalFormatting sqref="O5:O9">
    <cfRule type="expression" dxfId="38" priority="16">
      <formula>OR($D5="MA",$D5="운영")</formula>
    </cfRule>
  </conditionalFormatting>
  <conditionalFormatting sqref="L21:M25 J14:M20 J21:J41">
    <cfRule type="expression" dxfId="37" priority="15">
      <formula>OR($D14="MA",$D14="운영")</formula>
    </cfRule>
  </conditionalFormatting>
  <conditionalFormatting sqref="G18:G20">
    <cfRule type="expression" dxfId="36" priority="14">
      <formula>OR($D18="MA",$D18="운영")</formula>
    </cfRule>
  </conditionalFormatting>
  <conditionalFormatting sqref="E23">
    <cfRule type="expression" dxfId="35" priority="13">
      <formula>OR($D22="MA",$D22="운영")</formula>
    </cfRule>
  </conditionalFormatting>
  <conditionalFormatting sqref="E27">
    <cfRule type="expression" dxfId="34" priority="12">
      <formula>OR($D25="MA",$D25="운영")</formula>
    </cfRule>
  </conditionalFormatting>
  <conditionalFormatting sqref="E26">
    <cfRule type="expression" dxfId="33" priority="49">
      <formula>OR($D23="MA",$D23="운영")</formula>
    </cfRule>
  </conditionalFormatting>
  <conditionalFormatting sqref="E22">
    <cfRule type="expression" dxfId="32" priority="11">
      <formula>OR($D22="MA",$D22="운영")</formula>
    </cfRule>
  </conditionalFormatting>
  <conditionalFormatting sqref="E24">
    <cfRule type="expression" dxfId="31" priority="10">
      <formula>OR($D23="MA",$D23="운영")</formula>
    </cfRule>
  </conditionalFormatting>
  <conditionalFormatting sqref="E25">
    <cfRule type="expression" dxfId="30" priority="9">
      <formula>OR($D24="MA",$D24="운영")</formula>
    </cfRule>
  </conditionalFormatting>
  <conditionalFormatting sqref="L28:M29 L31:M32 L34:M35 L37:M41">
    <cfRule type="expression" dxfId="29" priority="8">
      <formula>OR($D28="MA",$D28="운영")</formula>
    </cfRule>
  </conditionalFormatting>
  <conditionalFormatting sqref="L30:M30 L33:M33 L36:M36">
    <cfRule type="expression" dxfId="28" priority="7">
      <formula>OR($D30="MA",$D30="운영")</formula>
    </cfRule>
  </conditionalFormatting>
  <conditionalFormatting sqref="Q30:R30">
    <cfRule type="expression" dxfId="27" priority="6">
      <formula>OR($D30="MA",$D30="운영")</formula>
    </cfRule>
  </conditionalFormatting>
  <conditionalFormatting sqref="E30">
    <cfRule type="expression" dxfId="26" priority="5">
      <formula>OR($D30="MA",$D30="운영")</formula>
    </cfRule>
  </conditionalFormatting>
  <conditionalFormatting sqref="D28:D38">
    <cfRule type="expression" dxfId="25" priority="4">
      <formula>OR($D28="MA",$D28="운영")</formula>
    </cfRule>
  </conditionalFormatting>
  <conditionalFormatting sqref="C20:E20">
    <cfRule type="expression" dxfId="24" priority="3">
      <formula>OR($D20="MA",$D20="운영")</formula>
    </cfRule>
  </conditionalFormatting>
  <conditionalFormatting sqref="T20">
    <cfRule type="expression" dxfId="23" priority="2">
      <formula>OR($D20="MA",$D20="운영")</formula>
    </cfRule>
  </conditionalFormatting>
  <conditionalFormatting sqref="O21">
    <cfRule type="expression" dxfId="22" priority="1">
      <formula>OR($D21="MA",$D21="운영")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5059" r:id="rId4" name="OptionButton2">
          <controlPr defaultSize="0" autoFill="0" autoLine="0" r:id="rId5">
            <anchor moveWithCells="1">
              <from>
                <xdr:col>5</xdr:col>
                <xdr:colOff>904875</xdr:colOff>
                <xdr:row>0</xdr:row>
                <xdr:rowOff>0</xdr:rowOff>
              </from>
              <to>
                <xdr:col>6</xdr:col>
                <xdr:colOff>133350</xdr:colOff>
                <xdr:row>0</xdr:row>
                <xdr:rowOff>238125</xdr:rowOff>
              </to>
            </anchor>
          </controlPr>
        </control>
      </mc:Choice>
      <mc:Fallback>
        <control shapeId="45059" r:id="rId4" name="OptionButton2"/>
      </mc:Fallback>
    </mc:AlternateContent>
    <mc:AlternateContent xmlns:mc="http://schemas.openxmlformats.org/markup-compatibility/2006">
      <mc:Choice Requires="x14">
        <control shapeId="45058" r:id="rId6" name="OptionButton1">
          <controlPr defaultSize="0" disabled="1" autoFill="0" autoLine="0" r:id="rId7">
            <anchor moveWithCells="1">
              <from>
                <xdr:col>4</xdr:col>
                <xdr:colOff>104775</xdr:colOff>
                <xdr:row>0</xdr:row>
                <xdr:rowOff>0</xdr:rowOff>
              </from>
              <to>
                <xdr:col>4</xdr:col>
                <xdr:colOff>1162050</xdr:colOff>
                <xdr:row>0</xdr:row>
                <xdr:rowOff>266700</xdr:rowOff>
              </to>
            </anchor>
          </controlPr>
        </control>
      </mc:Choice>
      <mc:Fallback>
        <control shapeId="45058" r:id="rId6" name="OptionButton1"/>
      </mc:Fallback>
    </mc:AlternateContent>
    <mc:AlternateContent xmlns:mc="http://schemas.openxmlformats.org/markup-compatibility/2006">
      <mc:Choice Requires="x14">
        <control shapeId="45057" r:id="rId8" name="cmd_CS수행">
          <controlPr defaultSize="0" autoFill="0" autoLine="0" r:id="rId9">
            <anchor moveWithCells="1">
              <from>
                <xdr:col>2</xdr:col>
                <xdr:colOff>28575</xdr:colOff>
                <xdr:row>0</xdr:row>
                <xdr:rowOff>28575</xdr:rowOff>
              </from>
              <to>
                <xdr:col>3</xdr:col>
                <xdr:colOff>352425</xdr:colOff>
                <xdr:row>1</xdr:row>
                <xdr:rowOff>9525</xdr:rowOff>
              </to>
            </anchor>
          </controlPr>
        </control>
      </mc:Choice>
      <mc:Fallback>
        <control shapeId="45057" r:id="rId8" name="cmd_CS수행"/>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3_Sheet">
    <tabColor theme="7" tint="-0.249977111117893"/>
  </sheetPr>
  <dimension ref="A1:AX40"/>
  <sheetViews>
    <sheetView showGridLines="0" zoomScale="70" zoomScaleNormal="70" workbookViewId="0">
      <selection sqref="A1:XFD1"/>
    </sheetView>
  </sheetViews>
  <sheetFormatPr defaultRowHeight="16.5" x14ac:dyDescent="0.3"/>
  <cols>
    <col min="1" max="1" width="13" customWidth="1"/>
    <col min="5" max="5" width="15" bestFit="1" customWidth="1"/>
    <col min="7" max="7" width="10.375" bestFit="1" customWidth="1"/>
    <col min="33" max="33" width="10.375" customWidth="1"/>
  </cols>
  <sheetData>
    <row r="1" spans="1:50" s="126" customFormat="1" ht="21.75" customHeight="1" x14ac:dyDescent="0.3">
      <c r="A1" s="114" t="s">
        <v>272</v>
      </c>
      <c r="AL1" s="127"/>
      <c r="AM1" s="127"/>
      <c r="AN1" s="127"/>
    </row>
    <row r="2" spans="1:50" ht="49.5" x14ac:dyDescent="0.3">
      <c r="A2" s="7" t="s">
        <v>188</v>
      </c>
      <c r="B2" s="7" t="s">
        <v>1</v>
      </c>
      <c r="C2" s="7" t="s">
        <v>189</v>
      </c>
      <c r="D2" s="7" t="s">
        <v>190</v>
      </c>
      <c r="E2" s="7" t="s">
        <v>191</v>
      </c>
      <c r="F2" s="7" t="s">
        <v>185</v>
      </c>
      <c r="G2" s="7" t="s">
        <v>196</v>
      </c>
      <c r="H2" s="7" t="s">
        <v>197</v>
      </c>
      <c r="I2" s="7" t="s">
        <v>198</v>
      </c>
      <c r="J2" s="7" t="s">
        <v>199</v>
      </c>
      <c r="K2" s="7" t="s">
        <v>200</v>
      </c>
      <c r="L2" s="7" t="s">
        <v>201</v>
      </c>
      <c r="M2" s="7" t="s">
        <v>202</v>
      </c>
      <c r="N2" s="7" t="s">
        <v>203</v>
      </c>
      <c r="O2" s="7" t="s">
        <v>204</v>
      </c>
      <c r="Q2" s="6" t="s">
        <v>192</v>
      </c>
      <c r="S2" s="5" t="s">
        <v>188</v>
      </c>
      <c r="T2" s="5" t="s">
        <v>1</v>
      </c>
      <c r="U2" s="5" t="s">
        <v>189</v>
      </c>
      <c r="V2" s="5" t="s">
        <v>190</v>
      </c>
      <c r="W2" s="5" t="s">
        <v>191</v>
      </c>
      <c r="X2" s="172" t="s">
        <v>395</v>
      </c>
      <c r="Y2" s="172" t="s">
        <v>396</v>
      </c>
      <c r="Z2" s="172" t="s">
        <v>397</v>
      </c>
      <c r="AA2" s="172" t="s">
        <v>398</v>
      </c>
      <c r="AB2" s="172" t="s">
        <v>399</v>
      </c>
      <c r="AC2" s="172" t="s">
        <v>400</v>
      </c>
      <c r="AD2" s="172" t="s">
        <v>401</v>
      </c>
      <c r="AE2" s="172" t="s">
        <v>402</v>
      </c>
      <c r="AF2" s="172" t="s">
        <v>403</v>
      </c>
      <c r="AG2" s="172" t="s">
        <v>404</v>
      </c>
      <c r="AJ2" s="5" t="s">
        <v>188</v>
      </c>
      <c r="AK2" s="5" t="s">
        <v>1</v>
      </c>
      <c r="AL2" s="5" t="s">
        <v>189</v>
      </c>
      <c r="AM2" s="5" t="s">
        <v>190</v>
      </c>
      <c r="AN2" s="5" t="s">
        <v>191</v>
      </c>
      <c r="AO2" s="172" t="s">
        <v>406</v>
      </c>
      <c r="AP2" s="172" t="s">
        <v>407</v>
      </c>
      <c r="AQ2" s="172" t="s">
        <v>408</v>
      </c>
      <c r="AR2" s="172" t="s">
        <v>409</v>
      </c>
      <c r="AS2" s="172" t="s">
        <v>410</v>
      </c>
      <c r="AT2" s="172" t="s">
        <v>411</v>
      </c>
      <c r="AU2" s="172" t="s">
        <v>412</v>
      </c>
      <c r="AV2" s="172" t="s">
        <v>413</v>
      </c>
      <c r="AW2" s="172" t="s">
        <v>414</v>
      </c>
      <c r="AX2" s="172" t="s">
        <v>415</v>
      </c>
    </row>
    <row r="3" spans="1:50" ht="19.899999999999999" customHeight="1" x14ac:dyDescent="0.3">
      <c r="A3" s="8" t="s">
        <v>334</v>
      </c>
      <c r="B3" s="8" t="s">
        <v>336</v>
      </c>
      <c r="C3" s="184" t="s">
        <v>169</v>
      </c>
      <c r="D3" s="184" t="s">
        <v>337</v>
      </c>
      <c r="E3" s="10" t="s">
        <v>1015</v>
      </c>
      <c r="F3" s="130">
        <v>2846545.4545454546</v>
      </c>
      <c r="G3" s="130">
        <v>2889243.6363636362</v>
      </c>
      <c r="H3" s="130">
        <v>2932582.2909090905</v>
      </c>
      <c r="I3" s="130">
        <v>2976571.0252727265</v>
      </c>
      <c r="J3" s="130">
        <v>3021219.5906518162</v>
      </c>
      <c r="K3" s="130">
        <v>3066537.8845115937</v>
      </c>
      <c r="L3" s="130">
        <v>3112535.952779267</v>
      </c>
      <c r="M3" s="11"/>
      <c r="N3" s="11"/>
      <c r="O3" s="11"/>
      <c r="Q3">
        <v>1.4778325123152691E-2</v>
      </c>
      <c r="S3" s="8" t="s">
        <v>334</v>
      </c>
      <c r="T3" s="8" t="s">
        <v>336</v>
      </c>
      <c r="U3" s="184" t="s">
        <v>169</v>
      </c>
      <c r="V3" s="184" t="s">
        <v>337</v>
      </c>
      <c r="W3" s="10" t="s">
        <v>1015</v>
      </c>
      <c r="X3" s="11">
        <v>138.08060986554548</v>
      </c>
      <c r="Y3" s="11">
        <v>141.68141887281507</v>
      </c>
      <c r="Z3" s="11">
        <v>145.36513576350822</v>
      </c>
      <c r="AA3" s="11">
        <v>149.13315309843074</v>
      </c>
      <c r="AB3" s="11">
        <v>152.98685935548755</v>
      </c>
      <c r="AC3" s="11">
        <v>156.92763693799273</v>
      </c>
      <c r="AD3" s="11">
        <v>160.96992472876158</v>
      </c>
      <c r="AE3" s="11"/>
      <c r="AF3" s="11"/>
      <c r="AG3" s="11"/>
      <c r="AJ3" s="8" t="s">
        <v>334</v>
      </c>
      <c r="AK3" s="8" t="s">
        <v>424</v>
      </c>
      <c r="AL3" s="184" t="s">
        <v>169</v>
      </c>
      <c r="AM3" s="184" t="s">
        <v>337</v>
      </c>
      <c r="AN3" s="10" t="s">
        <v>338</v>
      </c>
      <c r="AO3" s="11">
        <v>729</v>
      </c>
      <c r="AP3" s="11">
        <v>622</v>
      </c>
      <c r="AQ3" s="11">
        <v>546</v>
      </c>
      <c r="AR3" s="11">
        <v>490</v>
      </c>
      <c r="AS3" s="11">
        <v>467</v>
      </c>
      <c r="AT3" s="11">
        <v>456</v>
      </c>
      <c r="AU3" s="11">
        <v>445</v>
      </c>
      <c r="AV3" s="11"/>
      <c r="AW3" s="11"/>
      <c r="AX3" s="11"/>
    </row>
    <row r="4" spans="1:50" ht="19.899999999999999" customHeight="1" x14ac:dyDescent="0.3">
      <c r="A4" s="8" t="s">
        <v>360</v>
      </c>
      <c r="B4" s="8" t="s">
        <v>336</v>
      </c>
      <c r="C4" s="184" t="s">
        <v>169</v>
      </c>
      <c r="D4" s="184" t="s">
        <v>392</v>
      </c>
      <c r="E4" s="10" t="s">
        <v>1017</v>
      </c>
      <c r="F4" s="130">
        <v>2910341.3435984999</v>
      </c>
      <c r="G4" s="130">
        <v>2953996.463752477</v>
      </c>
      <c r="H4" s="130">
        <v>2998306.4107087641</v>
      </c>
      <c r="I4" s="130">
        <v>3043281.0068693948</v>
      </c>
      <c r="J4" s="130">
        <v>3088930.2219724357</v>
      </c>
      <c r="K4" s="130">
        <v>3135264.1753020217</v>
      </c>
      <c r="L4" s="130">
        <v>3182293.1379315518</v>
      </c>
      <c r="M4" s="11"/>
      <c r="N4" s="11"/>
      <c r="O4" s="11"/>
      <c r="S4" s="8" t="s">
        <v>360</v>
      </c>
      <c r="T4" s="8" t="s">
        <v>336</v>
      </c>
      <c r="U4" s="184" t="s">
        <v>169</v>
      </c>
      <c r="V4" s="184" t="s">
        <v>392</v>
      </c>
      <c r="W4" s="10" t="s">
        <v>1017</v>
      </c>
      <c r="X4" s="11">
        <v>32.688535784307184</v>
      </c>
      <c r="Y4" s="11">
        <v>33.669191857836402</v>
      </c>
      <c r="Z4" s="11">
        <v>34.679267613571497</v>
      </c>
      <c r="AA4" s="11">
        <v>35.719645641978644</v>
      </c>
      <c r="AB4" s="11">
        <v>36.791235011238001</v>
      </c>
      <c r="AC4" s="11">
        <v>37.894972061575146</v>
      </c>
      <c r="AD4" s="11">
        <v>39.031821223422405</v>
      </c>
      <c r="AE4" s="11"/>
      <c r="AF4" s="11"/>
      <c r="AG4" s="11"/>
      <c r="AJ4" s="179" t="s">
        <v>360</v>
      </c>
      <c r="AK4" s="179" t="s">
        <v>424</v>
      </c>
      <c r="AL4" s="185" t="s">
        <v>169</v>
      </c>
      <c r="AM4" s="185" t="s">
        <v>337</v>
      </c>
      <c r="AN4" s="179" t="s">
        <v>339</v>
      </c>
      <c r="AO4" s="11">
        <v>360</v>
      </c>
      <c r="AP4" s="11">
        <v>266</v>
      </c>
      <c r="AQ4" s="11">
        <v>247</v>
      </c>
      <c r="AR4" s="11">
        <v>237</v>
      </c>
      <c r="AS4" s="11">
        <v>228</v>
      </c>
      <c r="AT4" s="11">
        <v>218</v>
      </c>
      <c r="AU4" s="11">
        <v>209.89999999999998</v>
      </c>
      <c r="AV4" s="11"/>
      <c r="AW4" s="11"/>
      <c r="AX4" s="11"/>
    </row>
    <row r="5" spans="1:50" ht="19.899999999999999" customHeight="1" x14ac:dyDescent="0.3">
      <c r="A5" s="8" t="s">
        <v>361</v>
      </c>
      <c r="B5" s="8" t="s">
        <v>336</v>
      </c>
      <c r="C5" s="184" t="s">
        <v>169</v>
      </c>
      <c r="D5" s="184" t="s">
        <v>392</v>
      </c>
      <c r="E5" s="10" t="s">
        <v>1019</v>
      </c>
      <c r="F5" s="130">
        <v>2910341.3435984999</v>
      </c>
      <c r="G5" s="130">
        <v>2953996.463752477</v>
      </c>
      <c r="H5" s="130">
        <v>2998306.4107087641</v>
      </c>
      <c r="I5" s="130">
        <v>3043281.0068693948</v>
      </c>
      <c r="J5" s="130">
        <v>3088930.2219724357</v>
      </c>
      <c r="K5" s="130">
        <v>3135264.1753020217</v>
      </c>
      <c r="L5" s="130">
        <v>3182293.1379315518</v>
      </c>
      <c r="M5" s="11"/>
      <c r="N5" s="11"/>
      <c r="O5" s="11"/>
      <c r="S5" s="8" t="s">
        <v>361</v>
      </c>
      <c r="T5" s="8" t="s">
        <v>336</v>
      </c>
      <c r="U5" s="184" t="s">
        <v>169</v>
      </c>
      <c r="V5" s="184" t="s">
        <v>392</v>
      </c>
      <c r="W5" s="10" t="s">
        <v>1019</v>
      </c>
      <c r="X5" s="11">
        <v>24.032752579874291</v>
      </c>
      <c r="Y5" s="11">
        <v>24.612735157270521</v>
      </c>
      <c r="Z5" s="11">
        <v>25.210117211988635</v>
      </c>
      <c r="AA5" s="11">
        <v>25.825420728348295</v>
      </c>
      <c r="AB5" s="11">
        <v>26.459183350198746</v>
      </c>
      <c r="AC5" s="11">
        <v>27.111958850704706</v>
      </c>
      <c r="AD5" s="11">
        <v>27.879278289298068</v>
      </c>
      <c r="AE5" s="11"/>
      <c r="AF5" s="11"/>
      <c r="AG5" s="11"/>
      <c r="AJ5" s="8" t="s">
        <v>361</v>
      </c>
      <c r="AK5" s="8" t="s">
        <v>424</v>
      </c>
      <c r="AL5" s="184" t="s">
        <v>169</v>
      </c>
      <c r="AM5" s="184" t="s">
        <v>337</v>
      </c>
      <c r="AN5" s="10" t="s">
        <v>340</v>
      </c>
      <c r="AO5" s="11">
        <v>156</v>
      </c>
      <c r="AP5" s="11">
        <v>162</v>
      </c>
      <c r="AQ5" s="11">
        <v>156</v>
      </c>
      <c r="AR5" s="11">
        <v>156</v>
      </c>
      <c r="AS5" s="11">
        <v>151</v>
      </c>
      <c r="AT5" s="11">
        <v>139</v>
      </c>
      <c r="AU5" s="11">
        <v>137.30000000000001</v>
      </c>
      <c r="AV5" s="11"/>
      <c r="AW5" s="11"/>
      <c r="AX5" s="11"/>
    </row>
    <row r="6" spans="1:50" ht="19.899999999999999" customHeight="1" x14ac:dyDescent="0.3">
      <c r="A6" s="8" t="s">
        <v>362</v>
      </c>
      <c r="B6" s="8" t="s">
        <v>336</v>
      </c>
      <c r="C6" s="184" t="s">
        <v>169</v>
      </c>
      <c r="D6" s="184" t="s">
        <v>393</v>
      </c>
      <c r="E6" s="10" t="s">
        <v>353</v>
      </c>
      <c r="F6" s="130">
        <v>2827214.0638635564</v>
      </c>
      <c r="G6" s="130">
        <v>2869622.2748215091</v>
      </c>
      <c r="H6" s="130">
        <v>2912666.6089438316</v>
      </c>
      <c r="I6" s="130">
        <v>2956356.6080779894</v>
      </c>
      <c r="J6" s="130">
        <v>3000701.9571991581</v>
      </c>
      <c r="K6" s="130">
        <v>3045712.4865571451</v>
      </c>
      <c r="L6" s="130">
        <v>3091398.1738555022</v>
      </c>
      <c r="M6" s="11"/>
      <c r="N6" s="11"/>
      <c r="O6" s="11"/>
      <c r="S6" s="8" t="s">
        <v>362</v>
      </c>
      <c r="T6" s="8" t="s">
        <v>336</v>
      </c>
      <c r="U6" s="184" t="s">
        <v>169</v>
      </c>
      <c r="V6" s="184" t="s">
        <v>393</v>
      </c>
      <c r="W6" s="10" t="s">
        <v>353</v>
      </c>
      <c r="X6" s="11">
        <v>63.113049350649348</v>
      </c>
      <c r="Y6" s="11">
        <v>54.172034025974028</v>
      </c>
      <c r="Z6" s="11">
        <v>55.797195046753252</v>
      </c>
      <c r="AA6" s="11">
        <v>57.47111089815585</v>
      </c>
      <c r="AB6" s="11">
        <v>59.195244225100531</v>
      </c>
      <c r="AC6" s="11">
        <v>60.97110155185355</v>
      </c>
      <c r="AD6" s="11">
        <v>62.800234598409169</v>
      </c>
      <c r="AE6" s="11"/>
      <c r="AF6" s="11"/>
      <c r="AG6" s="11"/>
      <c r="AJ6" s="8" t="s">
        <v>362</v>
      </c>
      <c r="AK6" s="8" t="s">
        <v>424</v>
      </c>
      <c r="AL6" s="184" t="s">
        <v>169</v>
      </c>
      <c r="AM6" s="184" t="s">
        <v>337</v>
      </c>
      <c r="AN6" s="10" t="s">
        <v>341</v>
      </c>
      <c r="AO6" s="11">
        <v>36.4</v>
      </c>
      <c r="AP6" s="11">
        <v>36</v>
      </c>
      <c r="AQ6" s="11">
        <v>36</v>
      </c>
      <c r="AR6" s="11">
        <v>36</v>
      </c>
      <c r="AS6" s="11">
        <v>36</v>
      </c>
      <c r="AT6" s="11">
        <v>36</v>
      </c>
      <c r="AU6" s="11">
        <v>41.3</v>
      </c>
      <c r="AV6" s="11"/>
      <c r="AW6" s="11"/>
      <c r="AX6" s="11"/>
    </row>
    <row r="7" spans="1:50" ht="19.899999999999999" customHeight="1" x14ac:dyDescent="0.3">
      <c r="A7" s="8"/>
      <c r="B7" s="8"/>
      <c r="C7" s="184"/>
      <c r="D7" s="184"/>
      <c r="E7" s="10"/>
      <c r="F7" s="130"/>
      <c r="G7" s="130"/>
      <c r="H7" s="130"/>
      <c r="I7" s="130"/>
      <c r="J7" s="130"/>
      <c r="K7" s="130"/>
      <c r="L7" s="130"/>
      <c r="M7" s="11"/>
      <c r="N7" s="11"/>
      <c r="O7" s="11"/>
      <c r="S7" s="8"/>
      <c r="T7" s="8"/>
      <c r="U7" s="184"/>
      <c r="V7" s="184"/>
      <c r="W7" s="10"/>
      <c r="X7" s="11"/>
      <c r="Y7" s="11"/>
      <c r="Z7" s="11"/>
      <c r="AA7" s="11"/>
      <c r="AB7" s="11"/>
      <c r="AC7" s="11"/>
      <c r="AD7" s="11"/>
      <c r="AE7" s="11"/>
      <c r="AF7" s="11"/>
      <c r="AG7" s="11"/>
      <c r="AJ7" s="8" t="s">
        <v>363</v>
      </c>
      <c r="AK7" s="8" t="s">
        <v>424</v>
      </c>
      <c r="AL7" s="184" t="s">
        <v>169</v>
      </c>
      <c r="AM7" s="184" t="s">
        <v>337</v>
      </c>
      <c r="AN7" s="10" t="s">
        <v>342</v>
      </c>
      <c r="AO7" s="11">
        <v>48</v>
      </c>
      <c r="AP7" s="11">
        <v>48</v>
      </c>
      <c r="AQ7" s="11">
        <v>48</v>
      </c>
      <c r="AR7" s="11">
        <v>48</v>
      </c>
      <c r="AS7" s="11">
        <v>48</v>
      </c>
      <c r="AT7" s="11">
        <v>48</v>
      </c>
      <c r="AU7" s="11">
        <v>53.4</v>
      </c>
      <c r="AV7" s="11"/>
      <c r="AW7" s="11"/>
      <c r="AX7" s="11"/>
    </row>
    <row r="8" spans="1:50" ht="19.899999999999999" customHeight="1" x14ac:dyDescent="0.3">
      <c r="A8" s="8"/>
      <c r="B8" s="8"/>
      <c r="C8" s="184"/>
      <c r="D8" s="184"/>
      <c r="E8" s="10"/>
      <c r="F8" s="130"/>
      <c r="G8" s="130"/>
      <c r="H8" s="130"/>
      <c r="I8" s="130"/>
      <c r="J8" s="130"/>
      <c r="K8" s="130"/>
      <c r="L8" s="130"/>
      <c r="M8" s="11"/>
      <c r="N8" s="11"/>
      <c r="O8" s="11"/>
      <c r="S8" s="8"/>
      <c r="T8" s="8"/>
      <c r="U8" s="184"/>
      <c r="V8" s="184"/>
      <c r="W8" s="10"/>
      <c r="X8" s="11"/>
      <c r="Y8" s="11"/>
      <c r="Z8" s="11"/>
      <c r="AA8" s="11"/>
      <c r="AB8" s="11"/>
      <c r="AC8" s="11"/>
      <c r="AD8" s="11"/>
      <c r="AE8" s="11"/>
      <c r="AF8" s="11"/>
      <c r="AG8" s="11"/>
      <c r="AJ8" s="8" t="s">
        <v>364</v>
      </c>
      <c r="AK8" s="8" t="s">
        <v>424</v>
      </c>
      <c r="AL8" s="184" t="s">
        <v>169</v>
      </c>
      <c r="AM8" s="184" t="s">
        <v>337</v>
      </c>
      <c r="AN8" s="10" t="s">
        <v>343</v>
      </c>
      <c r="AO8" s="11">
        <v>36</v>
      </c>
      <c r="AP8" s="11">
        <v>36</v>
      </c>
      <c r="AQ8" s="11">
        <v>36</v>
      </c>
      <c r="AR8" s="11">
        <v>36</v>
      </c>
      <c r="AS8" s="11">
        <v>36</v>
      </c>
      <c r="AT8" s="11">
        <v>36</v>
      </c>
      <c r="AU8" s="11">
        <v>41.4</v>
      </c>
      <c r="AV8" s="11"/>
      <c r="AW8" s="11"/>
      <c r="AX8" s="11"/>
    </row>
    <row r="9" spans="1:50" ht="19.899999999999999" customHeight="1" x14ac:dyDescent="0.3">
      <c r="A9" s="8"/>
      <c r="B9" s="8"/>
      <c r="C9" s="184"/>
      <c r="D9" s="184"/>
      <c r="E9" s="10"/>
      <c r="F9" s="130"/>
      <c r="G9" s="130"/>
      <c r="H9" s="130"/>
      <c r="I9" s="130"/>
      <c r="J9" s="130"/>
      <c r="K9" s="130"/>
      <c r="L9" s="130"/>
      <c r="M9" s="11"/>
      <c r="N9" s="11"/>
      <c r="O9" s="11"/>
      <c r="S9" s="8"/>
      <c r="T9" s="8"/>
      <c r="U9" s="184"/>
      <c r="V9" s="184"/>
      <c r="W9" s="10"/>
      <c r="X9" s="11"/>
      <c r="Y9" s="11"/>
      <c r="Z9" s="11"/>
      <c r="AA9" s="11"/>
      <c r="AB9" s="11"/>
      <c r="AC9" s="11"/>
      <c r="AD9" s="11"/>
      <c r="AE9" s="11"/>
      <c r="AF9" s="11"/>
      <c r="AG9" s="11"/>
      <c r="AJ9" s="8" t="s">
        <v>365</v>
      </c>
      <c r="AK9" s="8" t="s">
        <v>424</v>
      </c>
      <c r="AL9" s="184" t="s">
        <v>169</v>
      </c>
      <c r="AM9" s="184" t="s">
        <v>337</v>
      </c>
      <c r="AN9" s="10" t="s">
        <v>344</v>
      </c>
      <c r="AO9" s="11">
        <v>48</v>
      </c>
      <c r="AP9" s="11">
        <v>48</v>
      </c>
      <c r="AQ9" s="11">
        <v>48</v>
      </c>
      <c r="AR9" s="11">
        <v>48</v>
      </c>
      <c r="AS9" s="11">
        <v>48</v>
      </c>
      <c r="AT9" s="11">
        <v>48</v>
      </c>
      <c r="AU9" s="11">
        <v>53</v>
      </c>
      <c r="AV9" s="11"/>
      <c r="AW9" s="11"/>
      <c r="AX9" s="11"/>
    </row>
    <row r="10" spans="1:50" ht="19.899999999999999" customHeight="1" x14ac:dyDescent="0.3">
      <c r="A10" s="8"/>
      <c r="B10" s="8"/>
      <c r="C10" s="184"/>
      <c r="D10" s="184"/>
      <c r="E10" s="10"/>
      <c r="F10" s="130"/>
      <c r="G10" s="130"/>
      <c r="H10" s="130"/>
      <c r="I10" s="130"/>
      <c r="J10" s="130"/>
      <c r="K10" s="130"/>
      <c r="L10" s="130"/>
      <c r="M10" s="11"/>
      <c r="N10" s="11"/>
      <c r="O10" s="11"/>
      <c r="S10" s="8"/>
      <c r="T10" s="8"/>
      <c r="U10" s="184"/>
      <c r="V10" s="184"/>
      <c r="W10" s="10"/>
      <c r="X10" s="11"/>
      <c r="Y10" s="11"/>
      <c r="Z10" s="11"/>
      <c r="AA10" s="11"/>
      <c r="AB10" s="11"/>
      <c r="AC10" s="11"/>
      <c r="AD10" s="11"/>
      <c r="AE10" s="11"/>
      <c r="AF10" s="11"/>
      <c r="AG10" s="11"/>
      <c r="AJ10" s="8" t="s">
        <v>366</v>
      </c>
      <c r="AK10" s="8" t="s">
        <v>424</v>
      </c>
      <c r="AL10" s="184" t="s">
        <v>186</v>
      </c>
      <c r="AM10" s="184" t="s">
        <v>337</v>
      </c>
      <c r="AN10" s="10" t="s">
        <v>345</v>
      </c>
      <c r="AO10" s="11">
        <v>84</v>
      </c>
      <c r="AP10" s="11">
        <v>73</v>
      </c>
      <c r="AQ10" s="11">
        <v>72</v>
      </c>
      <c r="AR10" s="11">
        <v>72</v>
      </c>
      <c r="AS10" s="11">
        <v>67</v>
      </c>
      <c r="AT10" s="11">
        <v>60</v>
      </c>
      <c r="AU10" s="11">
        <v>60</v>
      </c>
      <c r="AV10" s="11"/>
      <c r="AW10" s="11"/>
      <c r="AX10" s="11"/>
    </row>
    <row r="11" spans="1:50" ht="19.899999999999999" customHeight="1" x14ac:dyDescent="0.3">
      <c r="A11" s="8"/>
      <c r="B11" s="8"/>
      <c r="C11" s="184"/>
      <c r="D11" s="184"/>
      <c r="E11" s="10"/>
      <c r="F11" s="130"/>
      <c r="G11" s="130"/>
      <c r="H11" s="130"/>
      <c r="I11" s="130"/>
      <c r="J11" s="130"/>
      <c r="K11" s="130"/>
      <c r="L11" s="130"/>
      <c r="M11" s="11"/>
      <c r="N11" s="11"/>
      <c r="O11" s="11"/>
      <c r="S11" s="8"/>
      <c r="T11" s="8"/>
      <c r="U11" s="184"/>
      <c r="V11" s="184"/>
      <c r="W11" s="10"/>
      <c r="X11" s="11"/>
      <c r="Y11" s="11"/>
      <c r="Z11" s="11"/>
      <c r="AA11" s="11"/>
      <c r="AB11" s="11"/>
      <c r="AC11" s="11"/>
      <c r="AD11" s="11"/>
      <c r="AE11" s="11"/>
      <c r="AF11" s="11"/>
      <c r="AG11" s="11"/>
      <c r="AJ11" s="8" t="s">
        <v>367</v>
      </c>
      <c r="AK11" s="8" t="s">
        <v>424</v>
      </c>
      <c r="AL11" s="184" t="s">
        <v>186</v>
      </c>
      <c r="AM11" s="184" t="s">
        <v>337</v>
      </c>
      <c r="AN11" s="10" t="s">
        <v>346</v>
      </c>
      <c r="AO11" s="11">
        <v>24</v>
      </c>
      <c r="AP11" s="11">
        <v>24</v>
      </c>
      <c r="AQ11" s="11">
        <v>24</v>
      </c>
      <c r="AR11" s="11">
        <v>24</v>
      </c>
      <c r="AS11" s="11">
        <v>24</v>
      </c>
      <c r="AT11" s="11">
        <v>24</v>
      </c>
      <c r="AU11" s="11">
        <v>24</v>
      </c>
      <c r="AV11" s="11"/>
      <c r="AW11" s="11"/>
      <c r="AX11" s="11"/>
    </row>
    <row r="12" spans="1:50" ht="19.899999999999999" customHeight="1" x14ac:dyDescent="0.3">
      <c r="A12" s="8"/>
      <c r="B12" s="8"/>
      <c r="C12" s="184"/>
      <c r="D12" s="184"/>
      <c r="E12" s="10"/>
      <c r="F12" s="130"/>
      <c r="G12" s="130"/>
      <c r="H12" s="130"/>
      <c r="I12" s="130"/>
      <c r="J12" s="130"/>
      <c r="K12" s="130"/>
      <c r="L12" s="130"/>
      <c r="M12" s="11"/>
      <c r="N12" s="11"/>
      <c r="O12" s="11"/>
      <c r="S12" s="8"/>
      <c r="T12" s="8"/>
      <c r="U12" s="184"/>
      <c r="V12" s="184"/>
      <c r="W12" s="10"/>
      <c r="X12" s="11"/>
      <c r="Y12" s="11"/>
      <c r="Z12" s="11"/>
      <c r="AA12" s="11"/>
      <c r="AB12" s="11"/>
      <c r="AC12" s="11"/>
      <c r="AD12" s="11"/>
      <c r="AE12" s="11"/>
      <c r="AF12" s="11"/>
      <c r="AG12" s="11"/>
      <c r="AJ12" s="8" t="s">
        <v>368</v>
      </c>
      <c r="AK12" s="8" t="s">
        <v>424</v>
      </c>
      <c r="AL12" s="184" t="s">
        <v>186</v>
      </c>
      <c r="AM12" s="184" t="s">
        <v>337</v>
      </c>
      <c r="AN12" s="10" t="s">
        <v>347</v>
      </c>
      <c r="AO12" s="11">
        <v>108</v>
      </c>
      <c r="AP12" s="11">
        <v>62</v>
      </c>
      <c r="AQ12" s="11">
        <v>43</v>
      </c>
      <c r="AR12" s="11">
        <v>36</v>
      </c>
      <c r="AS12" s="11">
        <v>31</v>
      </c>
      <c r="AT12" s="11">
        <v>24</v>
      </c>
      <c r="AU12" s="11">
        <v>24</v>
      </c>
      <c r="AV12" s="11"/>
      <c r="AW12" s="11"/>
      <c r="AX12" s="11"/>
    </row>
    <row r="13" spans="1:50" ht="19.899999999999999" customHeight="1" x14ac:dyDescent="0.3">
      <c r="A13" s="8"/>
      <c r="B13" s="8"/>
      <c r="C13" s="184"/>
      <c r="D13" s="184"/>
      <c r="E13" s="10"/>
      <c r="F13" s="130"/>
      <c r="G13" s="130"/>
      <c r="H13" s="130"/>
      <c r="I13" s="130"/>
      <c r="J13" s="130"/>
      <c r="K13" s="130"/>
      <c r="L13" s="130"/>
      <c r="M13" s="11"/>
      <c r="N13" s="11"/>
      <c r="O13" s="11"/>
      <c r="S13" s="8"/>
      <c r="T13" s="8"/>
      <c r="U13" s="184"/>
      <c r="V13" s="184"/>
      <c r="W13" s="10"/>
      <c r="X13" s="11"/>
      <c r="Y13" s="11"/>
      <c r="Z13" s="11"/>
      <c r="AA13" s="11"/>
      <c r="AB13" s="11"/>
      <c r="AC13" s="11"/>
      <c r="AD13" s="11"/>
      <c r="AE13" s="11"/>
      <c r="AF13" s="11"/>
      <c r="AG13" s="11"/>
      <c r="AJ13" s="8" t="s">
        <v>369</v>
      </c>
      <c r="AK13" s="8" t="s">
        <v>424</v>
      </c>
      <c r="AL13" s="184" t="s">
        <v>186</v>
      </c>
      <c r="AM13" s="184" t="s">
        <v>337</v>
      </c>
      <c r="AN13" s="10" t="s">
        <v>218</v>
      </c>
      <c r="AO13" s="11">
        <v>12</v>
      </c>
      <c r="AP13" s="11">
        <v>12</v>
      </c>
      <c r="AQ13" s="11">
        <v>12</v>
      </c>
      <c r="AR13" s="11">
        <v>12</v>
      </c>
      <c r="AS13" s="11">
        <v>12</v>
      </c>
      <c r="AT13" s="11">
        <v>12</v>
      </c>
      <c r="AU13" s="11">
        <v>12</v>
      </c>
      <c r="AV13" s="11"/>
      <c r="AW13" s="11"/>
      <c r="AX13" s="11"/>
    </row>
    <row r="14" spans="1:50" ht="19.899999999999999" customHeight="1" x14ac:dyDescent="0.3">
      <c r="A14" s="8"/>
      <c r="B14" s="8"/>
      <c r="C14" s="184"/>
      <c r="D14" s="184"/>
      <c r="E14" s="10"/>
      <c r="F14" s="130"/>
      <c r="G14" s="130"/>
      <c r="H14" s="130"/>
      <c r="I14" s="130"/>
      <c r="J14" s="130"/>
      <c r="K14" s="130"/>
      <c r="L14" s="130"/>
      <c r="M14" s="11"/>
      <c r="N14" s="11"/>
      <c r="O14" s="11"/>
      <c r="S14" s="8"/>
      <c r="T14" s="8"/>
      <c r="U14" s="184"/>
      <c r="V14" s="184"/>
      <c r="W14" s="10"/>
      <c r="X14" s="11"/>
      <c r="Y14" s="11"/>
      <c r="Z14" s="11"/>
      <c r="AA14" s="11"/>
      <c r="AB14" s="11"/>
      <c r="AC14" s="11"/>
      <c r="AD14" s="11"/>
      <c r="AE14" s="11"/>
      <c r="AF14" s="11"/>
      <c r="AG14" s="11"/>
      <c r="AJ14" s="8" t="s">
        <v>370</v>
      </c>
      <c r="AK14" s="8" t="s">
        <v>424</v>
      </c>
      <c r="AL14" s="184" t="s">
        <v>186</v>
      </c>
      <c r="AM14" s="184" t="s">
        <v>337</v>
      </c>
      <c r="AN14" s="10" t="s">
        <v>187</v>
      </c>
      <c r="AO14" s="11">
        <v>12</v>
      </c>
      <c r="AP14" s="11">
        <v>12</v>
      </c>
      <c r="AQ14" s="11">
        <v>12</v>
      </c>
      <c r="AR14" s="11">
        <v>12</v>
      </c>
      <c r="AS14" s="11">
        <v>12</v>
      </c>
      <c r="AT14" s="11">
        <v>12</v>
      </c>
      <c r="AU14" s="11">
        <v>12</v>
      </c>
      <c r="AV14" s="11"/>
      <c r="AW14" s="11"/>
      <c r="AX14" s="11"/>
    </row>
    <row r="15" spans="1:50" ht="19.899999999999999" customHeight="1" x14ac:dyDescent="0.3">
      <c r="A15" s="8"/>
      <c r="B15" s="8"/>
      <c r="C15" s="184"/>
      <c r="D15" s="184"/>
      <c r="E15" s="10"/>
      <c r="F15" s="130"/>
      <c r="G15" s="130"/>
      <c r="H15" s="130"/>
      <c r="I15" s="130"/>
      <c r="J15" s="130"/>
      <c r="K15" s="130"/>
      <c r="L15" s="130"/>
      <c r="M15" s="11"/>
      <c r="N15" s="11"/>
      <c r="O15" s="11"/>
      <c r="S15" s="8"/>
      <c r="T15" s="8"/>
      <c r="U15" s="184"/>
      <c r="V15" s="184"/>
      <c r="W15" s="10"/>
      <c r="X15" s="11"/>
      <c r="Y15" s="11"/>
      <c r="Z15" s="11"/>
      <c r="AA15" s="11"/>
      <c r="AB15" s="11"/>
      <c r="AC15" s="11"/>
      <c r="AD15" s="11"/>
      <c r="AE15" s="11"/>
      <c r="AF15" s="11"/>
      <c r="AG15" s="11"/>
      <c r="AJ15" s="8" t="s">
        <v>371</v>
      </c>
      <c r="AK15" s="8" t="s">
        <v>424</v>
      </c>
      <c r="AL15" s="184" t="s">
        <v>186</v>
      </c>
      <c r="AM15" s="184" t="s">
        <v>348</v>
      </c>
      <c r="AN15" s="10" t="s">
        <v>349</v>
      </c>
      <c r="AO15" s="11">
        <v>12</v>
      </c>
      <c r="AP15" s="11">
        <v>12</v>
      </c>
      <c r="AQ15" s="11">
        <v>12</v>
      </c>
      <c r="AR15" s="11">
        <v>12</v>
      </c>
      <c r="AS15" s="11">
        <v>12</v>
      </c>
      <c r="AT15" s="11">
        <v>12</v>
      </c>
      <c r="AU15" s="11">
        <v>12</v>
      </c>
      <c r="AV15" s="11"/>
      <c r="AW15" s="11"/>
      <c r="AX15" s="11"/>
    </row>
    <row r="16" spans="1:50" ht="19.899999999999999" customHeight="1" x14ac:dyDescent="0.3">
      <c r="A16" s="8"/>
      <c r="B16" s="8"/>
      <c r="C16" s="184"/>
      <c r="D16" s="184"/>
      <c r="E16" s="10"/>
      <c r="F16" s="130"/>
      <c r="G16" s="130"/>
      <c r="H16" s="130"/>
      <c r="I16" s="130"/>
      <c r="J16" s="130"/>
      <c r="K16" s="130"/>
      <c r="L16" s="130"/>
      <c r="M16" s="11"/>
      <c r="N16" s="11"/>
      <c r="O16" s="11"/>
      <c r="S16" s="8"/>
      <c r="T16" s="8"/>
      <c r="U16" s="184"/>
      <c r="V16" s="184"/>
      <c r="W16" s="10"/>
      <c r="X16" s="11"/>
      <c r="Y16" s="11"/>
      <c r="Z16" s="11"/>
      <c r="AA16" s="11"/>
      <c r="AB16" s="11"/>
      <c r="AC16" s="11"/>
      <c r="AD16" s="11"/>
      <c r="AE16" s="11"/>
      <c r="AF16" s="11"/>
      <c r="AG16" s="11"/>
      <c r="AJ16" s="8" t="s">
        <v>372</v>
      </c>
      <c r="AK16" s="8" t="s">
        <v>424</v>
      </c>
      <c r="AL16" s="184" t="s">
        <v>186</v>
      </c>
      <c r="AM16" s="184" t="s">
        <v>348</v>
      </c>
      <c r="AN16" s="10" t="s">
        <v>345</v>
      </c>
      <c r="AO16" s="11">
        <v>47.5</v>
      </c>
      <c r="AP16" s="11">
        <v>36</v>
      </c>
      <c r="AQ16" s="11">
        <v>36</v>
      </c>
      <c r="AR16" s="11">
        <v>36</v>
      </c>
      <c r="AS16" s="11">
        <v>36</v>
      </c>
      <c r="AT16" s="11">
        <v>33</v>
      </c>
      <c r="AU16" s="11">
        <v>30</v>
      </c>
      <c r="AV16" s="11"/>
      <c r="AW16" s="11"/>
      <c r="AX16" s="11"/>
    </row>
    <row r="17" spans="1:50" ht="19.899999999999999" customHeight="1" x14ac:dyDescent="0.3">
      <c r="A17" s="8"/>
      <c r="B17" s="8"/>
      <c r="C17" s="184"/>
      <c r="D17" s="184"/>
      <c r="E17" s="10"/>
      <c r="F17" s="130"/>
      <c r="G17" s="130"/>
      <c r="H17" s="130"/>
      <c r="I17" s="130"/>
      <c r="J17" s="130"/>
      <c r="K17" s="130"/>
      <c r="L17" s="130"/>
      <c r="M17" s="11"/>
      <c r="N17" s="11"/>
      <c r="O17" s="11"/>
      <c r="S17" s="8"/>
      <c r="T17" s="8"/>
      <c r="U17" s="184"/>
      <c r="V17" s="184"/>
      <c r="W17" s="10"/>
      <c r="X17" s="11"/>
      <c r="Y17" s="11"/>
      <c r="Z17" s="11"/>
      <c r="AA17" s="11"/>
      <c r="AB17" s="11"/>
      <c r="AC17" s="11"/>
      <c r="AD17" s="11"/>
      <c r="AE17" s="11"/>
      <c r="AF17" s="11"/>
      <c r="AG17" s="11"/>
      <c r="AJ17" s="8" t="s">
        <v>373</v>
      </c>
      <c r="AK17" s="8" t="s">
        <v>424</v>
      </c>
      <c r="AL17" s="184" t="s">
        <v>186</v>
      </c>
      <c r="AM17" s="184" t="s">
        <v>348</v>
      </c>
      <c r="AN17" s="10" t="s">
        <v>350</v>
      </c>
      <c r="AO17" s="11">
        <v>12</v>
      </c>
      <c r="AP17" s="11">
        <v>0</v>
      </c>
      <c r="AQ17" s="11">
        <v>0</v>
      </c>
      <c r="AR17" s="11">
        <v>0</v>
      </c>
      <c r="AS17" s="11">
        <v>0</v>
      </c>
      <c r="AT17" s="11">
        <v>0</v>
      </c>
      <c r="AU17" s="11">
        <v>0</v>
      </c>
      <c r="AV17" s="11"/>
      <c r="AW17" s="11"/>
      <c r="AX17" s="11"/>
    </row>
    <row r="18" spans="1:50" ht="19.899999999999999" customHeight="1" x14ac:dyDescent="0.3">
      <c r="A18" s="8"/>
      <c r="B18" s="8"/>
      <c r="C18" s="184"/>
      <c r="D18" s="184"/>
      <c r="E18" s="10"/>
      <c r="F18" s="130"/>
      <c r="G18" s="130"/>
      <c r="H18" s="130"/>
      <c r="I18" s="130"/>
      <c r="J18" s="130"/>
      <c r="K18" s="130"/>
      <c r="L18" s="130"/>
      <c r="M18" s="11"/>
      <c r="N18" s="11"/>
      <c r="O18" s="11"/>
      <c r="S18" s="8"/>
      <c r="T18" s="8"/>
      <c r="U18" s="184"/>
      <c r="V18" s="184"/>
      <c r="W18" s="10"/>
      <c r="X18" s="11"/>
      <c r="Y18" s="11"/>
      <c r="Z18" s="11"/>
      <c r="AA18" s="11"/>
      <c r="AB18" s="11"/>
      <c r="AC18" s="11"/>
      <c r="AD18" s="11"/>
      <c r="AE18" s="11"/>
      <c r="AF18" s="11"/>
      <c r="AG18" s="11"/>
      <c r="AJ18" s="8" t="s">
        <v>374</v>
      </c>
      <c r="AK18" s="8" t="s">
        <v>424</v>
      </c>
      <c r="AL18" s="184" t="s">
        <v>186</v>
      </c>
      <c r="AM18" s="184" t="s">
        <v>348</v>
      </c>
      <c r="AN18" s="10" t="s">
        <v>347</v>
      </c>
      <c r="AO18" s="11">
        <v>12</v>
      </c>
      <c r="AP18" s="11">
        <v>12</v>
      </c>
      <c r="AQ18" s="11">
        <v>12</v>
      </c>
      <c r="AR18" s="11">
        <v>12</v>
      </c>
      <c r="AS18" s="11">
        <v>12</v>
      </c>
      <c r="AT18" s="11">
        <v>12</v>
      </c>
      <c r="AU18" s="11">
        <v>12</v>
      </c>
      <c r="AV18" s="11"/>
      <c r="AW18" s="11"/>
      <c r="AX18" s="11"/>
    </row>
    <row r="19" spans="1:50" ht="19.899999999999999" customHeight="1" x14ac:dyDescent="0.3">
      <c r="A19" s="8"/>
      <c r="B19" s="8"/>
      <c r="C19" s="184"/>
      <c r="D19" s="184"/>
      <c r="E19" s="10"/>
      <c r="F19" s="130"/>
      <c r="G19" s="130"/>
      <c r="H19" s="130"/>
      <c r="I19" s="130"/>
      <c r="J19" s="130"/>
      <c r="K19" s="130"/>
      <c r="L19" s="130"/>
      <c r="M19" s="11"/>
      <c r="N19" s="11"/>
      <c r="O19" s="11"/>
      <c r="S19" s="8"/>
      <c r="T19" s="8"/>
      <c r="U19" s="184"/>
      <c r="V19" s="184"/>
      <c r="W19" s="10"/>
      <c r="X19" s="11"/>
      <c r="Y19" s="11"/>
      <c r="Z19" s="11"/>
      <c r="AA19" s="11"/>
      <c r="AB19" s="11"/>
      <c r="AC19" s="11"/>
      <c r="AD19" s="11"/>
      <c r="AE19" s="11"/>
      <c r="AF19" s="11"/>
      <c r="AG19" s="11"/>
      <c r="AJ19" s="8" t="s">
        <v>375</v>
      </c>
      <c r="AK19" s="8" t="s">
        <v>424</v>
      </c>
      <c r="AL19" s="184" t="s">
        <v>169</v>
      </c>
      <c r="AM19" s="184" t="s">
        <v>348</v>
      </c>
      <c r="AN19" s="10" t="s">
        <v>351</v>
      </c>
      <c r="AO19" s="11">
        <v>264</v>
      </c>
      <c r="AP19" s="11">
        <v>208</v>
      </c>
      <c r="AQ19" s="11">
        <v>165.03255551904903</v>
      </c>
      <c r="AR19" s="11">
        <v>155.83773864957942</v>
      </c>
      <c r="AS19" s="11">
        <v>150.55724945037539</v>
      </c>
      <c r="AT19" s="11">
        <v>142.42818141247068</v>
      </c>
      <c r="AU19" s="11">
        <v>144</v>
      </c>
      <c r="AV19" s="11"/>
      <c r="AW19" s="11"/>
      <c r="AX19" s="11"/>
    </row>
    <row r="20" spans="1:50" ht="19.899999999999999" customHeight="1" x14ac:dyDescent="0.3">
      <c r="A20" s="8"/>
      <c r="B20" s="8"/>
      <c r="C20" s="184"/>
      <c r="D20" s="184"/>
      <c r="E20" s="10"/>
      <c r="F20" s="130"/>
      <c r="G20" s="130"/>
      <c r="H20" s="130"/>
      <c r="I20" s="130"/>
      <c r="J20" s="130"/>
      <c r="K20" s="130"/>
      <c r="L20" s="130"/>
      <c r="M20" s="11"/>
      <c r="N20" s="11"/>
      <c r="O20" s="11"/>
      <c r="S20" s="8"/>
      <c r="T20" s="8"/>
      <c r="U20" s="184"/>
      <c r="V20" s="184"/>
      <c r="W20" s="10"/>
      <c r="X20" s="11"/>
      <c r="Y20" s="11"/>
      <c r="Z20" s="11"/>
      <c r="AA20" s="11"/>
      <c r="AB20" s="11"/>
      <c r="AC20" s="11"/>
      <c r="AD20" s="11"/>
      <c r="AE20" s="11"/>
      <c r="AF20" s="11"/>
      <c r="AG20" s="11"/>
      <c r="AJ20" s="8" t="s">
        <v>376</v>
      </c>
      <c r="AK20" s="8" t="s">
        <v>424</v>
      </c>
      <c r="AL20" s="184" t="s">
        <v>169</v>
      </c>
      <c r="AM20" s="184" t="s">
        <v>348</v>
      </c>
      <c r="AN20" s="10" t="s">
        <v>352</v>
      </c>
      <c r="AO20" s="11">
        <v>334</v>
      </c>
      <c r="AP20" s="11">
        <v>243</v>
      </c>
      <c r="AQ20" s="11">
        <v>229</v>
      </c>
      <c r="AR20" s="11">
        <v>228</v>
      </c>
      <c r="AS20" s="11">
        <v>228</v>
      </c>
      <c r="AT20" s="11">
        <v>228</v>
      </c>
      <c r="AU20" s="11">
        <v>228</v>
      </c>
      <c r="AV20" s="11"/>
      <c r="AW20" s="11"/>
      <c r="AX20" s="11"/>
    </row>
    <row r="21" spans="1:50" ht="19.899999999999999" customHeight="1" x14ac:dyDescent="0.3">
      <c r="A21" s="8"/>
      <c r="B21" s="8"/>
      <c r="C21" s="184"/>
      <c r="D21" s="184"/>
      <c r="E21" s="10"/>
      <c r="F21" s="130"/>
      <c r="G21" s="130"/>
      <c r="H21" s="130"/>
      <c r="I21" s="130"/>
      <c r="J21" s="130"/>
      <c r="K21" s="130"/>
      <c r="L21" s="130"/>
      <c r="M21" s="11"/>
      <c r="N21" s="11"/>
      <c r="O21" s="11"/>
      <c r="S21" s="8"/>
      <c r="T21" s="8"/>
      <c r="U21" s="184"/>
      <c r="V21" s="184"/>
      <c r="W21" s="10"/>
      <c r="X21" s="11"/>
      <c r="Y21" s="11"/>
      <c r="Z21" s="11"/>
      <c r="AA21" s="11"/>
      <c r="AB21" s="11"/>
      <c r="AC21" s="11"/>
      <c r="AD21" s="11"/>
      <c r="AE21" s="11"/>
      <c r="AF21" s="11"/>
      <c r="AG21" s="11"/>
      <c r="AJ21" s="8" t="s">
        <v>377</v>
      </c>
      <c r="AK21" s="8" t="s">
        <v>424</v>
      </c>
      <c r="AL21" s="184" t="s">
        <v>186</v>
      </c>
      <c r="AM21" s="184" t="s">
        <v>353</v>
      </c>
      <c r="AN21" s="10" t="s">
        <v>354</v>
      </c>
      <c r="AO21" s="11">
        <v>12</v>
      </c>
      <c r="AP21" s="11">
        <v>12</v>
      </c>
      <c r="AQ21" s="11">
        <v>12</v>
      </c>
      <c r="AR21" s="11">
        <v>12</v>
      </c>
      <c r="AS21" s="11">
        <v>12</v>
      </c>
      <c r="AT21" s="11">
        <v>12</v>
      </c>
      <c r="AU21" s="11">
        <v>12</v>
      </c>
      <c r="AV21" s="11"/>
      <c r="AW21" s="11"/>
      <c r="AX21" s="11"/>
    </row>
    <row r="22" spans="1:50" ht="19.899999999999999" customHeight="1" x14ac:dyDescent="0.3">
      <c r="A22" s="8"/>
      <c r="B22" s="8"/>
      <c r="C22" s="184"/>
      <c r="D22" s="184"/>
      <c r="E22" s="10"/>
      <c r="F22" s="130"/>
      <c r="G22" s="130"/>
      <c r="H22" s="130"/>
      <c r="I22" s="130"/>
      <c r="J22" s="130"/>
      <c r="K22" s="130"/>
      <c r="L22" s="130"/>
      <c r="M22" s="11"/>
      <c r="N22" s="11"/>
      <c r="O22" s="11"/>
      <c r="S22" s="8"/>
      <c r="T22" s="8"/>
      <c r="U22" s="184"/>
      <c r="V22" s="184"/>
      <c r="W22" s="10"/>
      <c r="X22" s="11"/>
      <c r="Y22" s="11"/>
      <c r="Z22" s="11"/>
      <c r="AA22" s="11"/>
      <c r="AB22" s="11"/>
      <c r="AC22" s="11"/>
      <c r="AD22" s="11"/>
      <c r="AE22" s="11"/>
      <c r="AF22" s="11"/>
      <c r="AG22" s="11"/>
      <c r="AJ22" s="8" t="s">
        <v>378</v>
      </c>
      <c r="AK22" s="8" t="s">
        <v>424</v>
      </c>
      <c r="AL22" s="184" t="s">
        <v>186</v>
      </c>
      <c r="AM22" s="184" t="s">
        <v>353</v>
      </c>
      <c r="AN22" s="10" t="s">
        <v>345</v>
      </c>
      <c r="AO22" s="11">
        <v>70</v>
      </c>
      <c r="AP22" s="11">
        <v>55</v>
      </c>
      <c r="AQ22" s="11">
        <v>48</v>
      </c>
      <c r="AR22" s="11">
        <v>43</v>
      </c>
      <c r="AS22" s="11">
        <v>36</v>
      </c>
      <c r="AT22" s="11">
        <v>31</v>
      </c>
      <c r="AU22" s="11">
        <v>24</v>
      </c>
      <c r="AV22" s="11"/>
      <c r="AW22" s="11"/>
      <c r="AX22" s="11"/>
    </row>
    <row r="23" spans="1:50" ht="19.899999999999999" customHeight="1" x14ac:dyDescent="0.3">
      <c r="A23" s="8"/>
      <c r="B23" s="8"/>
      <c r="C23" s="184"/>
      <c r="D23" s="184"/>
      <c r="E23" s="10"/>
      <c r="F23" s="130"/>
      <c r="G23" s="130"/>
      <c r="H23" s="130"/>
      <c r="I23" s="130"/>
      <c r="J23" s="130"/>
      <c r="K23" s="130"/>
      <c r="L23" s="130"/>
      <c r="M23" s="11"/>
      <c r="N23" s="11"/>
      <c r="O23" s="11"/>
      <c r="S23" s="8"/>
      <c r="T23" s="8"/>
      <c r="U23" s="184"/>
      <c r="V23" s="184"/>
      <c r="W23" s="10"/>
      <c r="X23" s="11"/>
      <c r="Y23" s="11"/>
      <c r="Z23" s="11"/>
      <c r="AA23" s="11"/>
      <c r="AB23" s="11"/>
      <c r="AC23" s="11"/>
      <c r="AD23" s="11"/>
      <c r="AE23" s="11"/>
      <c r="AF23" s="11"/>
      <c r="AG23" s="11"/>
      <c r="AJ23" s="8" t="s">
        <v>379</v>
      </c>
      <c r="AK23" s="8" t="s">
        <v>424</v>
      </c>
      <c r="AL23" s="184" t="s">
        <v>186</v>
      </c>
      <c r="AM23" s="184" t="s">
        <v>353</v>
      </c>
      <c r="AN23" s="10" t="s">
        <v>355</v>
      </c>
      <c r="AO23" s="11">
        <v>12</v>
      </c>
      <c r="AP23" s="11">
        <v>12</v>
      </c>
      <c r="AQ23" s="11">
        <v>12</v>
      </c>
      <c r="AR23" s="11">
        <v>12</v>
      </c>
      <c r="AS23" s="11">
        <v>12</v>
      </c>
      <c r="AT23" s="11">
        <v>12</v>
      </c>
      <c r="AU23" s="11">
        <v>12</v>
      </c>
      <c r="AV23" s="11"/>
      <c r="AW23" s="11"/>
      <c r="AX23" s="11"/>
    </row>
    <row r="24" spans="1:50" ht="19.899999999999999" customHeight="1" x14ac:dyDescent="0.3">
      <c r="A24" s="8"/>
      <c r="B24" s="8"/>
      <c r="C24" s="184"/>
      <c r="D24" s="184"/>
      <c r="E24" s="10"/>
      <c r="F24" s="130"/>
      <c r="G24" s="130"/>
      <c r="H24" s="130"/>
      <c r="I24" s="130"/>
      <c r="J24" s="130"/>
      <c r="K24" s="130"/>
      <c r="L24" s="130"/>
      <c r="M24" s="11"/>
      <c r="N24" s="11"/>
      <c r="O24" s="11"/>
      <c r="S24" s="8"/>
      <c r="T24" s="8"/>
      <c r="U24" s="184"/>
      <c r="V24" s="184"/>
      <c r="W24" s="10"/>
      <c r="X24" s="11"/>
      <c r="Y24" s="11"/>
      <c r="Z24" s="11"/>
      <c r="AA24" s="11"/>
      <c r="AB24" s="11"/>
      <c r="AC24" s="11"/>
      <c r="AD24" s="11"/>
      <c r="AE24" s="11"/>
      <c r="AF24" s="11"/>
      <c r="AG24" s="11"/>
      <c r="AJ24" s="8" t="s">
        <v>380</v>
      </c>
      <c r="AK24" s="8" t="s">
        <v>424</v>
      </c>
      <c r="AL24" s="184" t="s">
        <v>186</v>
      </c>
      <c r="AM24" s="184" t="s">
        <v>353</v>
      </c>
      <c r="AN24" s="10" t="s">
        <v>356</v>
      </c>
      <c r="AO24" s="11">
        <v>25</v>
      </c>
      <c r="AP24" s="11">
        <v>12</v>
      </c>
      <c r="AQ24" s="11">
        <v>12</v>
      </c>
      <c r="AR24" s="11">
        <v>12</v>
      </c>
      <c r="AS24" s="11">
        <v>12</v>
      </c>
      <c r="AT24" s="11">
        <v>12</v>
      </c>
      <c r="AU24" s="11">
        <v>12</v>
      </c>
      <c r="AV24" s="11"/>
      <c r="AW24" s="11"/>
      <c r="AX24" s="11"/>
    </row>
    <row r="25" spans="1:50" ht="19.899999999999999" customHeight="1" x14ac:dyDescent="0.3">
      <c r="A25" s="8"/>
      <c r="B25" s="8"/>
      <c r="C25" s="184"/>
      <c r="D25" s="184"/>
      <c r="E25" s="10"/>
      <c r="F25" s="130"/>
      <c r="G25" s="130"/>
      <c r="H25" s="130"/>
      <c r="I25" s="130"/>
      <c r="J25" s="130"/>
      <c r="K25" s="130"/>
      <c r="L25" s="130"/>
      <c r="M25" s="11"/>
      <c r="N25" s="11"/>
      <c r="O25" s="11"/>
      <c r="S25" s="8"/>
      <c r="T25" s="8"/>
      <c r="U25" s="184"/>
      <c r="V25" s="184"/>
      <c r="W25" s="10"/>
      <c r="X25" s="11"/>
      <c r="Y25" s="11"/>
      <c r="Z25" s="11"/>
      <c r="AA25" s="11"/>
      <c r="AB25" s="11"/>
      <c r="AC25" s="11"/>
      <c r="AD25" s="11"/>
      <c r="AE25" s="11"/>
      <c r="AF25" s="11"/>
      <c r="AG25" s="11"/>
      <c r="AJ25" s="8" t="s">
        <v>381</v>
      </c>
      <c r="AK25" s="8" t="s">
        <v>424</v>
      </c>
      <c r="AL25" s="184" t="s">
        <v>169</v>
      </c>
      <c r="AM25" s="184" t="s">
        <v>353</v>
      </c>
      <c r="AN25" s="10" t="s">
        <v>357</v>
      </c>
      <c r="AO25" s="11">
        <v>541</v>
      </c>
      <c r="AP25" s="11">
        <v>421.39018761726084</v>
      </c>
      <c r="AQ25" s="11">
        <v>376.4</v>
      </c>
      <c r="AR25" s="11">
        <v>376.04616356513873</v>
      </c>
      <c r="AS25" s="11">
        <v>361.86234549004757</v>
      </c>
      <c r="AT25" s="11">
        <v>343.53721942938608</v>
      </c>
      <c r="AU25" s="11">
        <v>329</v>
      </c>
      <c r="AV25" s="11"/>
      <c r="AW25" s="11"/>
      <c r="AX25" s="11"/>
    </row>
    <row r="26" spans="1:50" ht="19.899999999999999" customHeight="1" x14ac:dyDescent="0.3">
      <c r="A26" s="8"/>
      <c r="B26" s="8"/>
      <c r="C26" s="184"/>
      <c r="D26" s="184"/>
      <c r="E26" s="10"/>
      <c r="F26" s="130"/>
      <c r="G26" s="130"/>
      <c r="H26" s="130"/>
      <c r="I26" s="130"/>
      <c r="J26" s="130"/>
      <c r="K26" s="130"/>
      <c r="L26" s="130"/>
      <c r="M26" s="11"/>
      <c r="N26" s="11"/>
      <c r="O26" s="11"/>
      <c r="S26" s="8"/>
      <c r="T26" s="8"/>
      <c r="U26" s="184"/>
      <c r="V26" s="184"/>
      <c r="W26" s="10"/>
      <c r="X26" s="11"/>
      <c r="Y26" s="11"/>
      <c r="Z26" s="11"/>
      <c r="AA26" s="11"/>
      <c r="AB26" s="11"/>
      <c r="AC26" s="11"/>
      <c r="AD26" s="11"/>
      <c r="AE26" s="11"/>
      <c r="AF26" s="11"/>
      <c r="AG26" s="11"/>
      <c r="AJ26" s="8" t="s">
        <v>382</v>
      </c>
      <c r="AK26" s="8" t="s">
        <v>424</v>
      </c>
      <c r="AL26" s="184" t="s">
        <v>186</v>
      </c>
      <c r="AM26" s="184" t="s">
        <v>358</v>
      </c>
      <c r="AN26" s="10" t="s">
        <v>345</v>
      </c>
      <c r="AO26" s="11">
        <v>12</v>
      </c>
      <c r="AP26" s="11">
        <v>12</v>
      </c>
      <c r="AQ26" s="11">
        <v>12</v>
      </c>
      <c r="AR26" s="11">
        <v>12</v>
      </c>
      <c r="AS26" s="11">
        <v>12</v>
      </c>
      <c r="AT26" s="11">
        <v>12</v>
      </c>
      <c r="AU26" s="11">
        <v>12</v>
      </c>
      <c r="AV26" s="11"/>
      <c r="AW26" s="11"/>
      <c r="AX26" s="11"/>
    </row>
    <row r="27" spans="1:50" ht="19.899999999999999" customHeight="1" x14ac:dyDescent="0.3">
      <c r="A27" s="8"/>
      <c r="B27" s="8"/>
      <c r="C27" s="184"/>
      <c r="D27" s="184"/>
      <c r="E27" s="10"/>
      <c r="F27" s="130"/>
      <c r="G27" s="130"/>
      <c r="H27" s="130"/>
      <c r="I27" s="130"/>
      <c r="J27" s="130"/>
      <c r="K27" s="130"/>
      <c r="L27" s="130"/>
      <c r="M27" s="11"/>
      <c r="N27" s="11"/>
      <c r="O27" s="11"/>
      <c r="S27" s="8"/>
      <c r="T27" s="8"/>
      <c r="U27" s="184"/>
      <c r="V27" s="184"/>
      <c r="W27" s="10"/>
      <c r="X27" s="11"/>
      <c r="Y27" s="11"/>
      <c r="Z27" s="11"/>
      <c r="AA27" s="11"/>
      <c r="AB27" s="11"/>
      <c r="AC27" s="11"/>
      <c r="AD27" s="11"/>
      <c r="AE27" s="11"/>
      <c r="AF27" s="11"/>
      <c r="AG27" s="11"/>
      <c r="AJ27" s="8" t="s">
        <v>383</v>
      </c>
      <c r="AK27" s="8" t="s">
        <v>424</v>
      </c>
      <c r="AL27" s="184" t="s">
        <v>169</v>
      </c>
      <c r="AM27" s="184" t="s">
        <v>358</v>
      </c>
      <c r="AN27" s="10" t="s">
        <v>358</v>
      </c>
      <c r="AO27" s="11">
        <v>103</v>
      </c>
      <c r="AP27" s="11">
        <v>74</v>
      </c>
      <c r="AQ27" s="11">
        <v>60</v>
      </c>
      <c r="AR27" s="11">
        <v>60</v>
      </c>
      <c r="AS27" s="11">
        <v>60</v>
      </c>
      <c r="AT27" s="11">
        <v>60</v>
      </c>
      <c r="AU27" s="11">
        <v>60</v>
      </c>
      <c r="AV27" s="11"/>
      <c r="AW27" s="11"/>
      <c r="AX27" s="11"/>
    </row>
    <row r="28" spans="1:50" ht="19.899999999999999" customHeight="1" x14ac:dyDescent="0.3">
      <c r="A28" s="8"/>
      <c r="B28" s="8"/>
      <c r="C28" s="184"/>
      <c r="D28" s="184"/>
      <c r="E28" s="10"/>
      <c r="F28" s="130"/>
      <c r="G28" s="130"/>
      <c r="H28" s="130"/>
      <c r="I28" s="130"/>
      <c r="J28" s="130"/>
      <c r="K28" s="130"/>
      <c r="L28" s="130"/>
      <c r="M28" s="11"/>
      <c r="N28" s="11"/>
      <c r="O28" s="11"/>
      <c r="S28" s="8"/>
      <c r="T28" s="8"/>
      <c r="U28" s="184"/>
      <c r="V28" s="184"/>
      <c r="W28" s="10"/>
      <c r="X28" s="11"/>
      <c r="Y28" s="11"/>
      <c r="Z28" s="11"/>
      <c r="AA28" s="11"/>
      <c r="AB28" s="11"/>
      <c r="AC28" s="11"/>
      <c r="AD28" s="11"/>
      <c r="AE28" s="11"/>
      <c r="AF28" s="11"/>
      <c r="AG28" s="11"/>
      <c r="AJ28" s="8" t="s">
        <v>384</v>
      </c>
      <c r="AK28" s="8" t="s">
        <v>424</v>
      </c>
      <c r="AL28" s="184" t="s">
        <v>169</v>
      </c>
      <c r="AM28" s="184" t="s">
        <v>348</v>
      </c>
      <c r="AN28" s="10" t="s">
        <v>359</v>
      </c>
      <c r="AO28" s="11">
        <v>0</v>
      </c>
      <c r="AP28" s="11">
        <v>0</v>
      </c>
      <c r="AQ28" s="11">
        <v>0</v>
      </c>
      <c r="AR28" s="11">
        <v>0</v>
      </c>
      <c r="AS28" s="11">
        <v>0</v>
      </c>
      <c r="AT28" s="11">
        <v>0</v>
      </c>
      <c r="AU28" s="11">
        <v>0</v>
      </c>
      <c r="AV28" s="11"/>
      <c r="AW28" s="11"/>
      <c r="AX28" s="11"/>
    </row>
    <row r="29" spans="1:50" ht="19.899999999999999" customHeight="1" x14ac:dyDescent="0.3">
      <c r="A29" s="8"/>
      <c r="B29" s="8"/>
      <c r="C29" s="184"/>
      <c r="D29" s="184"/>
      <c r="E29" s="10"/>
      <c r="F29" s="11"/>
      <c r="G29" s="11"/>
      <c r="H29" s="11"/>
      <c r="I29" s="11"/>
      <c r="J29" s="11"/>
      <c r="K29" s="11"/>
      <c r="L29" s="11"/>
      <c r="M29" s="11"/>
      <c r="N29" s="11"/>
      <c r="O29" s="11"/>
      <c r="S29" s="8"/>
      <c r="T29" s="8"/>
      <c r="U29" s="184"/>
      <c r="V29" s="184"/>
      <c r="W29" s="10"/>
      <c r="X29" s="11"/>
      <c r="Y29" s="11"/>
      <c r="Z29" s="11"/>
      <c r="AA29" s="11"/>
      <c r="AB29" s="11"/>
      <c r="AC29" s="11"/>
      <c r="AD29" s="11"/>
      <c r="AE29" s="11"/>
      <c r="AF29" s="11"/>
      <c r="AG29" s="11"/>
      <c r="AJ29" s="8" t="s">
        <v>420</v>
      </c>
      <c r="AK29" s="8" t="s">
        <v>424</v>
      </c>
      <c r="AL29" s="184" t="s">
        <v>186</v>
      </c>
      <c r="AM29" s="184" t="s">
        <v>337</v>
      </c>
      <c r="AN29" s="10" t="s">
        <v>416</v>
      </c>
      <c r="AO29" s="11">
        <v>0</v>
      </c>
      <c r="AP29" s="11">
        <v>0</v>
      </c>
      <c r="AQ29" s="11">
        <v>0</v>
      </c>
      <c r="AR29" s="11">
        <v>0</v>
      </c>
      <c r="AS29" s="11">
        <v>0</v>
      </c>
      <c r="AT29" s="11">
        <v>0</v>
      </c>
      <c r="AU29" s="11">
        <v>0</v>
      </c>
      <c r="AV29" s="11"/>
      <c r="AW29" s="11"/>
      <c r="AX29" s="11"/>
    </row>
    <row r="30" spans="1:50" ht="19.899999999999999" customHeight="1" x14ac:dyDescent="0.3">
      <c r="A30" s="8"/>
      <c r="B30" s="8"/>
      <c r="C30" s="184"/>
      <c r="D30" s="184"/>
      <c r="E30" s="10"/>
      <c r="F30" s="11"/>
      <c r="G30" s="11"/>
      <c r="H30" s="11"/>
      <c r="I30" s="11"/>
      <c r="J30" s="11"/>
      <c r="K30" s="11"/>
      <c r="L30" s="11"/>
      <c r="M30" s="11"/>
      <c r="N30" s="11"/>
      <c r="O30" s="11"/>
      <c r="S30" s="8"/>
      <c r="T30" s="8"/>
      <c r="U30" s="184"/>
      <c r="V30" s="184"/>
      <c r="W30" s="10"/>
      <c r="X30" s="11"/>
      <c r="Y30" s="11"/>
      <c r="Z30" s="11"/>
      <c r="AA30" s="11"/>
      <c r="AB30" s="11"/>
      <c r="AC30" s="11"/>
      <c r="AD30" s="11"/>
      <c r="AE30" s="11"/>
      <c r="AF30" s="11"/>
      <c r="AG30" s="11"/>
      <c r="AJ30" s="8" t="s">
        <v>421</v>
      </c>
      <c r="AK30" s="8" t="s">
        <v>424</v>
      </c>
      <c r="AL30" s="184" t="s">
        <v>186</v>
      </c>
      <c r="AM30" s="184" t="s">
        <v>337</v>
      </c>
      <c r="AN30" s="10" t="s">
        <v>417</v>
      </c>
      <c r="AO30" s="11">
        <v>0</v>
      </c>
      <c r="AP30" s="11">
        <v>0</v>
      </c>
      <c r="AQ30" s="11">
        <v>0</v>
      </c>
      <c r="AR30" s="11">
        <v>0</v>
      </c>
      <c r="AS30" s="11">
        <v>0</v>
      </c>
      <c r="AT30" s="11">
        <v>0</v>
      </c>
      <c r="AU30" s="11">
        <v>0</v>
      </c>
      <c r="AV30" s="11"/>
      <c r="AW30" s="11"/>
      <c r="AX30" s="11"/>
    </row>
    <row r="31" spans="1:50" ht="19.899999999999999" customHeight="1" x14ac:dyDescent="0.3">
      <c r="A31" s="8"/>
      <c r="B31" s="8"/>
      <c r="C31" s="184"/>
      <c r="D31" s="186"/>
      <c r="E31" s="10"/>
      <c r="F31" s="11"/>
      <c r="G31" s="11"/>
      <c r="H31" s="11"/>
      <c r="I31" s="11"/>
      <c r="J31" s="11"/>
      <c r="K31" s="11"/>
      <c r="L31" s="11"/>
      <c r="M31" s="11"/>
      <c r="N31" s="11"/>
      <c r="O31" s="11"/>
      <c r="S31" s="8"/>
      <c r="T31" s="8"/>
      <c r="U31" s="184"/>
      <c r="V31" s="186"/>
      <c r="W31" s="10"/>
      <c r="X31" s="11"/>
      <c r="Y31" s="11"/>
      <c r="Z31" s="11"/>
      <c r="AA31" s="11"/>
      <c r="AB31" s="11"/>
      <c r="AC31" s="11"/>
      <c r="AD31" s="11"/>
      <c r="AE31" s="11"/>
      <c r="AF31" s="11"/>
      <c r="AG31" s="11"/>
      <c r="AJ31" s="8" t="s">
        <v>422</v>
      </c>
      <c r="AK31" s="8" t="s">
        <v>424</v>
      </c>
      <c r="AL31" s="184" t="s">
        <v>427</v>
      </c>
      <c r="AM31" s="186" t="s">
        <v>425</v>
      </c>
      <c r="AN31" s="10" t="s">
        <v>418</v>
      </c>
      <c r="AO31" s="11">
        <v>10</v>
      </c>
      <c r="AP31" s="11">
        <v>0</v>
      </c>
      <c r="AQ31" s="11">
        <v>0</v>
      </c>
      <c r="AR31" s="11">
        <v>0</v>
      </c>
      <c r="AS31" s="11">
        <v>0</v>
      </c>
      <c r="AT31" s="11">
        <v>0</v>
      </c>
      <c r="AU31" s="11">
        <v>0</v>
      </c>
      <c r="AV31" s="11"/>
      <c r="AW31" s="11"/>
      <c r="AX31" s="11"/>
    </row>
    <row r="32" spans="1:50" ht="19.899999999999999" customHeight="1" x14ac:dyDescent="0.3">
      <c r="A32" s="8"/>
      <c r="B32" s="8"/>
      <c r="C32" s="184"/>
      <c r="D32" s="186"/>
      <c r="E32" s="10"/>
      <c r="F32" s="11"/>
      <c r="G32" s="11"/>
      <c r="H32" s="11"/>
      <c r="I32" s="11"/>
      <c r="J32" s="11"/>
      <c r="K32" s="11"/>
      <c r="L32" s="11"/>
      <c r="M32" s="11"/>
      <c r="N32" s="11"/>
      <c r="O32" s="11"/>
      <c r="S32" s="8"/>
      <c r="T32" s="8"/>
      <c r="U32" s="184"/>
      <c r="V32" s="186"/>
      <c r="W32" s="10"/>
      <c r="X32" s="11"/>
      <c r="Y32" s="11"/>
      <c r="Z32" s="11"/>
      <c r="AA32" s="11"/>
      <c r="AB32" s="11"/>
      <c r="AC32" s="11"/>
      <c r="AD32" s="11"/>
      <c r="AE32" s="11"/>
      <c r="AF32" s="11"/>
      <c r="AG32" s="11"/>
      <c r="AJ32" s="8" t="s">
        <v>423</v>
      </c>
      <c r="AK32" s="8" t="s">
        <v>424</v>
      </c>
      <c r="AL32" s="184" t="s">
        <v>427</v>
      </c>
      <c r="AM32" s="186" t="s">
        <v>425</v>
      </c>
      <c r="AN32" s="10" t="s">
        <v>419</v>
      </c>
      <c r="AO32" s="11">
        <v>4</v>
      </c>
      <c r="AP32" s="11">
        <v>24</v>
      </c>
      <c r="AQ32" s="11">
        <v>24</v>
      </c>
      <c r="AR32" s="11">
        <v>24</v>
      </c>
      <c r="AS32" s="11">
        <v>12</v>
      </c>
      <c r="AT32" s="11">
        <v>12</v>
      </c>
      <c r="AU32" s="11">
        <v>12</v>
      </c>
      <c r="AV32" s="11"/>
      <c r="AW32" s="11"/>
      <c r="AX32" s="11"/>
    </row>
    <row r="33" spans="1:50" ht="19.899999999999999" customHeight="1" x14ac:dyDescent="0.3">
      <c r="A33" s="8"/>
      <c r="B33" s="8"/>
      <c r="C33" s="9"/>
      <c r="D33" s="9"/>
      <c r="E33" s="10"/>
      <c r="F33" s="11"/>
      <c r="G33" s="11"/>
      <c r="H33" s="11"/>
      <c r="I33" s="11"/>
      <c r="J33" s="11"/>
      <c r="K33" s="11"/>
      <c r="L33" s="11"/>
      <c r="M33" s="11"/>
      <c r="N33" s="11"/>
      <c r="O33" s="11"/>
      <c r="S33" s="8"/>
      <c r="T33" s="8"/>
      <c r="U33" s="9"/>
      <c r="V33" s="9"/>
      <c r="W33" s="10"/>
      <c r="X33" s="11"/>
      <c r="Y33" s="11"/>
      <c r="Z33" s="11"/>
      <c r="AA33" s="11"/>
      <c r="AB33" s="11"/>
      <c r="AC33" s="11"/>
      <c r="AD33" s="11"/>
      <c r="AE33" s="11"/>
      <c r="AF33" s="11"/>
      <c r="AG33" s="11"/>
      <c r="AJ33" s="8"/>
      <c r="AK33" s="8"/>
      <c r="AL33" s="9"/>
      <c r="AM33" s="9"/>
      <c r="AN33" s="10"/>
      <c r="AO33" s="11"/>
      <c r="AP33" s="11"/>
      <c r="AQ33" s="11"/>
      <c r="AR33" s="11"/>
      <c r="AS33" s="11"/>
      <c r="AT33" s="11"/>
      <c r="AU33" s="11"/>
      <c r="AV33" s="11"/>
      <c r="AW33" s="11"/>
      <c r="AX33" s="11"/>
    </row>
    <row r="34" spans="1:50" ht="19.899999999999999" customHeight="1" x14ac:dyDescent="0.3">
      <c r="A34" s="8"/>
      <c r="B34" s="8"/>
      <c r="C34" s="9"/>
      <c r="D34" s="9"/>
      <c r="E34" s="10"/>
      <c r="F34" s="11"/>
      <c r="G34" s="11"/>
      <c r="H34" s="11"/>
      <c r="I34" s="11"/>
      <c r="J34" s="11"/>
      <c r="K34" s="11"/>
      <c r="L34" s="11"/>
      <c r="M34" s="11"/>
      <c r="N34" s="11"/>
      <c r="O34" s="11"/>
      <c r="S34" s="8"/>
      <c r="T34" s="8"/>
      <c r="U34" s="9"/>
      <c r="V34" s="9"/>
      <c r="W34" s="10"/>
      <c r="X34" s="11"/>
      <c r="Y34" s="11"/>
      <c r="Z34" s="11"/>
      <c r="AA34" s="11"/>
      <c r="AB34" s="11"/>
      <c r="AC34" s="11"/>
      <c r="AD34" s="11"/>
      <c r="AE34" s="11"/>
      <c r="AF34" s="11"/>
      <c r="AG34" s="11"/>
      <c r="AJ34" s="8"/>
      <c r="AK34" s="8"/>
      <c r="AL34" s="9"/>
      <c r="AM34" s="9"/>
      <c r="AN34" s="10"/>
      <c r="AO34" s="11"/>
      <c r="AP34" s="11"/>
      <c r="AQ34" s="11"/>
      <c r="AR34" s="11"/>
      <c r="AS34" s="11"/>
      <c r="AT34" s="11"/>
      <c r="AU34" s="11"/>
      <c r="AV34" s="11"/>
      <c r="AW34" s="11"/>
      <c r="AX34" s="11"/>
    </row>
    <row r="35" spans="1:50" ht="19.899999999999999" customHeight="1" x14ac:dyDescent="0.3">
      <c r="A35" s="8"/>
      <c r="B35" s="8"/>
      <c r="C35" s="9"/>
      <c r="D35" s="9"/>
      <c r="E35" s="10"/>
      <c r="F35" s="11"/>
      <c r="G35" s="11"/>
      <c r="H35" s="11"/>
      <c r="I35" s="11"/>
      <c r="J35" s="11"/>
      <c r="K35" s="11"/>
      <c r="L35" s="11"/>
      <c r="M35" s="11"/>
      <c r="N35" s="11"/>
      <c r="O35" s="11"/>
      <c r="S35" s="8"/>
      <c r="T35" s="8"/>
      <c r="U35" s="9"/>
      <c r="V35" s="9"/>
      <c r="W35" s="10"/>
      <c r="X35" s="11"/>
      <c r="Y35" s="11"/>
      <c r="Z35" s="11"/>
      <c r="AA35" s="11"/>
      <c r="AB35" s="11"/>
      <c r="AC35" s="11"/>
      <c r="AD35" s="11"/>
      <c r="AE35" s="11"/>
      <c r="AF35" s="11"/>
      <c r="AG35" s="11"/>
      <c r="AJ35" s="8"/>
      <c r="AK35" s="8"/>
      <c r="AL35" s="9"/>
      <c r="AM35" s="9"/>
      <c r="AN35" s="10"/>
      <c r="AO35" s="11"/>
      <c r="AP35" s="11"/>
      <c r="AQ35" s="11"/>
      <c r="AR35" s="11"/>
      <c r="AS35" s="11"/>
      <c r="AT35" s="11"/>
      <c r="AU35" s="11"/>
      <c r="AV35" s="11"/>
      <c r="AW35" s="11"/>
      <c r="AX35" s="11"/>
    </row>
    <row r="36" spans="1:50" ht="19.899999999999999" customHeight="1" x14ac:dyDescent="0.3">
      <c r="A36" s="8"/>
      <c r="B36" s="8"/>
      <c r="C36" s="9"/>
      <c r="D36" s="9"/>
      <c r="E36" s="10"/>
      <c r="F36" s="11"/>
      <c r="G36" s="11"/>
      <c r="H36" s="11"/>
      <c r="I36" s="11"/>
      <c r="J36" s="11"/>
      <c r="K36" s="11"/>
      <c r="L36" s="11"/>
      <c r="M36" s="11"/>
      <c r="N36" s="11"/>
      <c r="O36" s="11"/>
      <c r="S36" s="8"/>
      <c r="T36" s="8"/>
      <c r="U36" s="9"/>
      <c r="V36" s="9"/>
      <c r="W36" s="10"/>
      <c r="X36" s="11"/>
      <c r="Y36" s="11"/>
      <c r="Z36" s="11"/>
      <c r="AA36" s="11"/>
      <c r="AB36" s="11"/>
      <c r="AC36" s="11"/>
      <c r="AD36" s="11"/>
      <c r="AE36" s="11"/>
      <c r="AF36" s="11"/>
      <c r="AG36" s="11"/>
      <c r="AJ36" s="8"/>
      <c r="AK36" s="8"/>
      <c r="AL36" s="9"/>
      <c r="AM36" s="9"/>
      <c r="AN36" s="10"/>
      <c r="AO36" s="11"/>
      <c r="AP36" s="11"/>
      <c r="AQ36" s="11"/>
      <c r="AR36" s="11"/>
      <c r="AS36" s="11"/>
      <c r="AT36" s="11"/>
      <c r="AU36" s="11"/>
      <c r="AV36" s="11"/>
      <c r="AW36" s="11"/>
      <c r="AX36" s="11"/>
    </row>
    <row r="37" spans="1:50" ht="19.899999999999999" customHeight="1" x14ac:dyDescent="0.3">
      <c r="A37" s="8"/>
      <c r="B37" s="8"/>
      <c r="C37" s="9"/>
      <c r="D37" s="9"/>
      <c r="E37" s="10"/>
      <c r="F37" s="11"/>
      <c r="G37" s="11"/>
      <c r="H37" s="11"/>
      <c r="I37" s="11"/>
      <c r="J37" s="11"/>
      <c r="K37" s="11"/>
      <c r="L37" s="11"/>
      <c r="M37" s="11"/>
      <c r="N37" s="11"/>
      <c r="O37" s="11"/>
      <c r="S37" s="8"/>
      <c r="T37" s="8"/>
      <c r="U37" s="9"/>
      <c r="V37" s="9"/>
      <c r="W37" s="10"/>
      <c r="X37" s="11"/>
      <c r="Y37" s="11"/>
      <c r="Z37" s="11"/>
      <c r="AA37" s="11"/>
      <c r="AB37" s="11"/>
      <c r="AC37" s="11"/>
      <c r="AD37" s="11"/>
      <c r="AE37" s="11"/>
      <c r="AF37" s="11"/>
      <c r="AG37" s="11"/>
      <c r="AJ37" s="8"/>
      <c r="AK37" s="8"/>
      <c r="AL37" s="9"/>
      <c r="AM37" s="9"/>
      <c r="AN37" s="10"/>
      <c r="AO37" s="11"/>
      <c r="AP37" s="11"/>
      <c r="AQ37" s="11"/>
      <c r="AR37" s="11"/>
      <c r="AS37" s="11"/>
      <c r="AT37" s="11"/>
      <c r="AU37" s="11"/>
      <c r="AV37" s="11"/>
      <c r="AW37" s="11"/>
      <c r="AX37" s="11"/>
    </row>
    <row r="38" spans="1:50" ht="19.899999999999999" customHeight="1" x14ac:dyDescent="0.3">
      <c r="A38" s="8"/>
      <c r="B38" s="8"/>
      <c r="C38" s="9"/>
      <c r="D38" s="9"/>
      <c r="E38" s="10"/>
      <c r="F38" s="11"/>
      <c r="G38" s="11"/>
      <c r="H38" s="11"/>
      <c r="I38" s="11"/>
      <c r="J38" s="11"/>
      <c r="K38" s="11"/>
      <c r="L38" s="11"/>
      <c r="M38" s="11"/>
      <c r="N38" s="11"/>
      <c r="O38" s="11"/>
      <c r="S38" s="8"/>
      <c r="T38" s="8"/>
      <c r="U38" s="9"/>
      <c r="V38" s="9"/>
      <c r="W38" s="10"/>
      <c r="X38" s="11"/>
      <c r="Y38" s="11"/>
      <c r="Z38" s="11"/>
      <c r="AA38" s="11"/>
      <c r="AB38" s="11"/>
      <c r="AC38" s="11"/>
      <c r="AD38" s="11"/>
      <c r="AE38" s="11"/>
      <c r="AF38" s="11"/>
      <c r="AG38" s="11"/>
      <c r="AJ38" s="8"/>
      <c r="AK38" s="8"/>
      <c r="AL38" s="9"/>
      <c r="AM38" s="9"/>
      <c r="AN38" s="10"/>
      <c r="AO38" s="11"/>
      <c r="AP38" s="11"/>
      <c r="AQ38" s="11"/>
      <c r="AR38" s="11"/>
      <c r="AS38" s="11"/>
      <c r="AT38" s="11"/>
      <c r="AU38" s="11"/>
      <c r="AV38" s="11"/>
      <c r="AW38" s="11"/>
      <c r="AX38" s="11"/>
    </row>
    <row r="39" spans="1:50" ht="19.899999999999999" customHeight="1" x14ac:dyDescent="0.3">
      <c r="A39" s="8"/>
      <c r="B39" s="8"/>
      <c r="C39" s="9"/>
      <c r="D39" s="9"/>
      <c r="E39" s="10"/>
      <c r="F39" s="11"/>
      <c r="G39" s="11"/>
      <c r="H39" s="11"/>
      <c r="I39" s="11"/>
      <c r="J39" s="11"/>
      <c r="K39" s="11"/>
      <c r="L39" s="11"/>
      <c r="M39" s="11"/>
      <c r="N39" s="11"/>
      <c r="O39" s="11"/>
      <c r="S39" s="8"/>
      <c r="T39" s="8"/>
      <c r="U39" s="9"/>
      <c r="V39" s="9"/>
      <c r="W39" s="10"/>
      <c r="X39" s="11"/>
      <c r="Y39" s="11"/>
      <c r="Z39" s="11"/>
      <c r="AA39" s="11"/>
      <c r="AB39" s="11"/>
      <c r="AC39" s="11"/>
      <c r="AD39" s="11"/>
      <c r="AE39" s="11"/>
      <c r="AF39" s="11"/>
      <c r="AG39" s="11"/>
      <c r="AJ39" s="8"/>
      <c r="AK39" s="8"/>
      <c r="AL39" s="9"/>
      <c r="AM39" s="9"/>
      <c r="AN39" s="10"/>
      <c r="AO39" s="11"/>
      <c r="AP39" s="11"/>
      <c r="AQ39" s="11"/>
      <c r="AR39" s="11"/>
      <c r="AS39" s="11"/>
      <c r="AT39" s="11"/>
      <c r="AU39" s="11"/>
      <c r="AV39" s="11"/>
      <c r="AW39" s="11"/>
      <c r="AX39" s="11"/>
    </row>
    <row r="40" spans="1:50" ht="19.899999999999999" customHeight="1" x14ac:dyDescent="0.3">
      <c r="A40" s="8"/>
      <c r="B40" s="8"/>
      <c r="C40" s="9"/>
      <c r="D40" s="9"/>
      <c r="E40" s="10"/>
      <c r="F40" s="11"/>
      <c r="G40" s="11"/>
      <c r="H40" s="11"/>
      <c r="I40" s="11"/>
      <c r="J40" s="11"/>
      <c r="K40" s="11"/>
      <c r="L40" s="11"/>
      <c r="M40" s="11"/>
      <c r="N40" s="11"/>
      <c r="O40" s="11"/>
      <c r="S40" s="8"/>
      <c r="T40" s="8"/>
      <c r="U40" s="9"/>
      <c r="V40" s="9"/>
      <c r="W40" s="10"/>
      <c r="X40" s="11"/>
      <c r="Y40" s="11"/>
      <c r="Z40" s="11"/>
      <c r="AA40" s="11"/>
      <c r="AB40" s="11"/>
      <c r="AC40" s="11"/>
      <c r="AD40" s="11"/>
      <c r="AE40" s="11"/>
      <c r="AF40" s="11"/>
      <c r="AG40" s="11"/>
      <c r="AJ40" s="8"/>
      <c r="AK40" s="8"/>
      <c r="AL40" s="9"/>
      <c r="AM40" s="9"/>
      <c r="AN40" s="10"/>
      <c r="AO40" s="11"/>
      <c r="AP40" s="11"/>
      <c r="AQ40" s="11"/>
      <c r="AR40" s="11"/>
      <c r="AS40" s="11"/>
      <c r="AT40" s="11"/>
      <c r="AU40" s="11"/>
      <c r="AV40" s="11"/>
      <c r="AW40" s="11"/>
      <c r="AX40" s="11"/>
    </row>
  </sheetData>
  <phoneticPr fontId="1" type="noConversion"/>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4_Sheet">
    <tabColor theme="7" tint="-0.249977111117893"/>
  </sheetPr>
  <dimension ref="A1:AX40"/>
  <sheetViews>
    <sheetView showGridLines="0" zoomScale="85" zoomScaleNormal="85" workbookViewId="0">
      <selection sqref="A1:XFD1"/>
    </sheetView>
  </sheetViews>
  <sheetFormatPr defaultRowHeight="16.5" x14ac:dyDescent="0.3"/>
  <cols>
    <col min="1" max="1" width="13" customWidth="1"/>
    <col min="5" max="5" width="19.25" bestFit="1" customWidth="1"/>
    <col min="6" max="12" width="9.25" bestFit="1" customWidth="1"/>
    <col min="38" max="39" width="8.75" style="68"/>
  </cols>
  <sheetData>
    <row r="1" spans="1:50" ht="21.75" customHeight="1" x14ac:dyDescent="0.3">
      <c r="A1" s="67" t="s">
        <v>273</v>
      </c>
      <c r="E1" s="4"/>
      <c r="F1" s="183"/>
      <c r="G1" s="182"/>
      <c r="H1" s="182"/>
      <c r="I1" s="182"/>
      <c r="J1" s="182"/>
      <c r="K1" s="182"/>
      <c r="L1" s="182"/>
      <c r="X1" s="187">
        <f>SUM(X3:X32)</f>
        <v>260.32499999999999</v>
      </c>
      <c r="Y1" s="187">
        <f t="shared" ref="Y1:AD1" si="0">SUM(Y3:Y32)</f>
        <v>211.19918230143841</v>
      </c>
      <c r="Z1" s="187">
        <f t="shared" si="0"/>
        <v>190.86937962658743</v>
      </c>
      <c r="AA1" s="187">
        <f t="shared" si="0"/>
        <v>183.49032518455988</v>
      </c>
      <c r="AB1" s="187">
        <f t="shared" si="0"/>
        <v>176.36829957836858</v>
      </c>
      <c r="AC1" s="187">
        <f t="shared" si="0"/>
        <v>169.58045007015474</v>
      </c>
      <c r="AD1" s="187">
        <f t="shared" si="0"/>
        <v>167.69166666666666</v>
      </c>
    </row>
    <row r="2" spans="1:50" ht="49.5" x14ac:dyDescent="0.3">
      <c r="A2" s="7" t="s">
        <v>188</v>
      </c>
      <c r="B2" s="7" t="s">
        <v>1</v>
      </c>
      <c r="C2" s="7" t="s">
        <v>189</v>
      </c>
      <c r="D2" s="7" t="s">
        <v>190</v>
      </c>
      <c r="E2" s="7" t="s">
        <v>191</v>
      </c>
      <c r="F2" s="7" t="s">
        <v>185</v>
      </c>
      <c r="G2" s="7" t="s">
        <v>196</v>
      </c>
      <c r="H2" s="7" t="s">
        <v>197</v>
      </c>
      <c r="I2" s="7" t="s">
        <v>198</v>
      </c>
      <c r="J2" s="7" t="s">
        <v>199</v>
      </c>
      <c r="K2" s="7" t="s">
        <v>200</v>
      </c>
      <c r="L2" s="7" t="s">
        <v>201</v>
      </c>
      <c r="M2" s="7" t="s">
        <v>202</v>
      </c>
      <c r="N2" s="7" t="s">
        <v>203</v>
      </c>
      <c r="O2" s="7" t="s">
        <v>204</v>
      </c>
      <c r="Q2" s="6" t="s">
        <v>192</v>
      </c>
      <c r="S2" s="5" t="s">
        <v>188</v>
      </c>
      <c r="T2" s="5" t="s">
        <v>1</v>
      </c>
      <c r="U2" s="5" t="s">
        <v>189</v>
      </c>
      <c r="V2" s="5" t="s">
        <v>190</v>
      </c>
      <c r="W2" s="5" t="s">
        <v>191</v>
      </c>
      <c r="X2" s="172" t="s">
        <v>395</v>
      </c>
      <c r="Y2" s="172" t="s">
        <v>396</v>
      </c>
      <c r="Z2" s="172" t="s">
        <v>397</v>
      </c>
      <c r="AA2" s="172" t="s">
        <v>398</v>
      </c>
      <c r="AB2" s="172" t="s">
        <v>399</v>
      </c>
      <c r="AC2" s="172" t="s">
        <v>400</v>
      </c>
      <c r="AD2" s="172" t="s">
        <v>401</v>
      </c>
      <c r="AE2" s="172" t="s">
        <v>402</v>
      </c>
      <c r="AF2" s="172" t="s">
        <v>403</v>
      </c>
      <c r="AG2" s="172" t="s">
        <v>404</v>
      </c>
      <c r="AJ2" s="5" t="s">
        <v>188</v>
      </c>
      <c r="AK2" s="5" t="s">
        <v>1</v>
      </c>
      <c r="AL2" s="5" t="s">
        <v>189</v>
      </c>
      <c r="AM2" s="5" t="s">
        <v>190</v>
      </c>
      <c r="AN2" s="5" t="s">
        <v>191</v>
      </c>
      <c r="AO2" s="172" t="s">
        <v>406</v>
      </c>
      <c r="AP2" s="172" t="s">
        <v>407</v>
      </c>
      <c r="AQ2" s="172" t="s">
        <v>408</v>
      </c>
      <c r="AR2" s="172" t="s">
        <v>409</v>
      </c>
      <c r="AS2" s="172" t="s">
        <v>410</v>
      </c>
      <c r="AT2" s="172" t="s">
        <v>411</v>
      </c>
      <c r="AU2" s="172" t="s">
        <v>412</v>
      </c>
      <c r="AV2" s="172" t="s">
        <v>413</v>
      </c>
      <c r="AW2" s="172" t="s">
        <v>414</v>
      </c>
      <c r="AX2" s="172" t="s">
        <v>415</v>
      </c>
    </row>
    <row r="3" spans="1:50" ht="19.899999999999999" customHeight="1" x14ac:dyDescent="0.3">
      <c r="A3" s="8" t="s">
        <v>335</v>
      </c>
      <c r="B3" s="8" t="s">
        <v>336</v>
      </c>
      <c r="C3" s="184" t="s">
        <v>169</v>
      </c>
      <c r="D3" s="184" t="s">
        <v>337</v>
      </c>
      <c r="E3" s="10" t="s">
        <v>338</v>
      </c>
      <c r="F3" s="130">
        <v>2722000</v>
      </c>
      <c r="G3" s="130">
        <v>2762829.9999999995</v>
      </c>
      <c r="H3" s="130">
        <v>2804272.4499999993</v>
      </c>
      <c r="I3" s="130">
        <v>2846336.536749999</v>
      </c>
      <c r="J3" s="130">
        <v>2889031.5848012487</v>
      </c>
      <c r="K3" s="130">
        <v>2932367.058573267</v>
      </c>
      <c r="L3" s="130">
        <v>2976352.5644518659</v>
      </c>
      <c r="M3" s="130"/>
      <c r="N3" s="130"/>
      <c r="O3" s="130"/>
      <c r="Q3">
        <v>1.5000000000000058E-2</v>
      </c>
      <c r="S3" s="8" t="s">
        <v>335</v>
      </c>
      <c r="T3" s="8" t="s">
        <v>336</v>
      </c>
      <c r="U3" s="184" t="s">
        <v>169</v>
      </c>
      <c r="V3" s="184" t="s">
        <v>337</v>
      </c>
      <c r="W3" s="10" t="s">
        <v>338</v>
      </c>
      <c r="X3" s="181">
        <f>AO3/12</f>
        <v>60.75</v>
      </c>
      <c r="Y3" s="181">
        <f t="shared" ref="Y3:AD3" si="1">AP3/12</f>
        <v>51.833333333333336</v>
      </c>
      <c r="Z3" s="181">
        <f t="shared" si="1"/>
        <v>45.5</v>
      </c>
      <c r="AA3" s="181">
        <f t="shared" si="1"/>
        <v>40.833333333333336</v>
      </c>
      <c r="AB3" s="181">
        <f t="shared" si="1"/>
        <v>38.916666666666664</v>
      </c>
      <c r="AC3" s="181">
        <f t="shared" si="1"/>
        <v>38</v>
      </c>
      <c r="AD3" s="181">
        <f t="shared" si="1"/>
        <v>37.083333333333336</v>
      </c>
      <c r="AE3" s="131"/>
      <c r="AF3" s="131"/>
      <c r="AG3" s="131"/>
      <c r="AJ3" s="8" t="s">
        <v>335</v>
      </c>
      <c r="AK3" s="8" t="s">
        <v>336</v>
      </c>
      <c r="AL3" s="184" t="s">
        <v>169</v>
      </c>
      <c r="AM3" s="184" t="s">
        <v>337</v>
      </c>
      <c r="AN3" s="10" t="s">
        <v>338</v>
      </c>
      <c r="AO3" s="11">
        <v>729</v>
      </c>
      <c r="AP3" s="11">
        <v>622</v>
      </c>
      <c r="AQ3" s="11">
        <v>546</v>
      </c>
      <c r="AR3" s="11">
        <v>490</v>
      </c>
      <c r="AS3" s="11">
        <v>467</v>
      </c>
      <c r="AT3" s="11">
        <v>456</v>
      </c>
      <c r="AU3" s="11">
        <v>445</v>
      </c>
      <c r="AV3" s="11"/>
      <c r="AW3" s="11"/>
      <c r="AX3" s="11"/>
    </row>
    <row r="4" spans="1:50" ht="19.899999999999999" customHeight="1" x14ac:dyDescent="0.3">
      <c r="A4" s="179" t="s">
        <v>360</v>
      </c>
      <c r="B4" s="179" t="s">
        <v>336</v>
      </c>
      <c r="C4" s="185" t="s">
        <v>169</v>
      </c>
      <c r="D4" s="185" t="s">
        <v>337</v>
      </c>
      <c r="E4" s="179" t="s">
        <v>339</v>
      </c>
      <c r="F4" s="130">
        <v>3632371</v>
      </c>
      <c r="G4" s="130">
        <v>3686856.5649999995</v>
      </c>
      <c r="H4" s="130">
        <v>3742159.4134749989</v>
      </c>
      <c r="I4" s="130">
        <v>3798291.8046771237</v>
      </c>
      <c r="J4" s="130">
        <v>3855266.1817472801</v>
      </c>
      <c r="K4" s="130">
        <v>3913095.1744734887</v>
      </c>
      <c r="L4" s="130">
        <v>3971791.6020905906</v>
      </c>
      <c r="M4" s="130"/>
      <c r="N4" s="130"/>
      <c r="O4" s="130"/>
      <c r="S4" s="179" t="s">
        <v>360</v>
      </c>
      <c r="T4" s="179" t="s">
        <v>336</v>
      </c>
      <c r="U4" s="185" t="s">
        <v>169</v>
      </c>
      <c r="V4" s="185" t="s">
        <v>337</v>
      </c>
      <c r="W4" s="179" t="s">
        <v>339</v>
      </c>
      <c r="X4" s="181">
        <f t="shared" ref="X4:X28" si="2">AO4/12</f>
        <v>30</v>
      </c>
      <c r="Y4" s="181">
        <f t="shared" ref="Y4:Y29" si="3">AP4/12</f>
        <v>22.166666666666668</v>
      </c>
      <c r="Z4" s="181">
        <f t="shared" ref="Z4:Z29" si="4">AQ4/12</f>
        <v>20.583333333333332</v>
      </c>
      <c r="AA4" s="181">
        <f t="shared" ref="AA4:AA29" si="5">AR4/12</f>
        <v>19.75</v>
      </c>
      <c r="AB4" s="181">
        <f t="shared" ref="AB4:AB29" si="6">AS4/12</f>
        <v>19</v>
      </c>
      <c r="AC4" s="181">
        <f t="shared" ref="AC4:AC29" si="7">AT4/12</f>
        <v>18.166666666666668</v>
      </c>
      <c r="AD4" s="181">
        <f t="shared" ref="AD4:AD29" si="8">AU4/12</f>
        <v>17.491666666666664</v>
      </c>
      <c r="AE4" s="132"/>
      <c r="AF4" s="132"/>
      <c r="AG4" s="132"/>
      <c r="AJ4" s="179" t="s">
        <v>360</v>
      </c>
      <c r="AK4" s="179" t="s">
        <v>336</v>
      </c>
      <c r="AL4" s="185" t="s">
        <v>169</v>
      </c>
      <c r="AM4" s="185" t="s">
        <v>337</v>
      </c>
      <c r="AN4" s="179" t="s">
        <v>339</v>
      </c>
      <c r="AO4" s="11">
        <v>360</v>
      </c>
      <c r="AP4" s="11">
        <v>266</v>
      </c>
      <c r="AQ4" s="11">
        <v>247</v>
      </c>
      <c r="AR4" s="11">
        <v>237</v>
      </c>
      <c r="AS4" s="11">
        <v>228</v>
      </c>
      <c r="AT4" s="11">
        <v>218</v>
      </c>
      <c r="AU4" s="11">
        <v>209.89999999999998</v>
      </c>
      <c r="AV4" s="11"/>
      <c r="AW4" s="11"/>
      <c r="AX4" s="11"/>
    </row>
    <row r="5" spans="1:50" ht="19.899999999999999" customHeight="1" x14ac:dyDescent="0.3">
      <c r="A5" s="8" t="s">
        <v>361</v>
      </c>
      <c r="B5" s="8" t="s">
        <v>336</v>
      </c>
      <c r="C5" s="184" t="s">
        <v>169</v>
      </c>
      <c r="D5" s="184" t="s">
        <v>337</v>
      </c>
      <c r="E5" s="10" t="s">
        <v>340</v>
      </c>
      <c r="F5" s="130">
        <v>2915000</v>
      </c>
      <c r="G5" s="130">
        <v>2958724.9999999995</v>
      </c>
      <c r="H5" s="130">
        <v>3003105.8749999991</v>
      </c>
      <c r="I5" s="130">
        <v>3048152.4631249988</v>
      </c>
      <c r="J5" s="130">
        <v>3093874.7500718734</v>
      </c>
      <c r="K5" s="130">
        <v>3140282.8713229513</v>
      </c>
      <c r="L5" s="130">
        <v>3187387.1143927951</v>
      </c>
      <c r="M5" s="130"/>
      <c r="N5" s="130"/>
      <c r="O5" s="130"/>
      <c r="Q5" s="134"/>
      <c r="S5" s="8" t="s">
        <v>361</v>
      </c>
      <c r="T5" s="8" t="s">
        <v>336</v>
      </c>
      <c r="U5" s="184" t="s">
        <v>169</v>
      </c>
      <c r="V5" s="184" t="s">
        <v>337</v>
      </c>
      <c r="W5" s="10" t="s">
        <v>340</v>
      </c>
      <c r="X5" s="181">
        <f t="shared" si="2"/>
        <v>13</v>
      </c>
      <c r="Y5" s="181">
        <f t="shared" si="3"/>
        <v>13.5</v>
      </c>
      <c r="Z5" s="181">
        <f t="shared" si="4"/>
        <v>13</v>
      </c>
      <c r="AA5" s="181">
        <f t="shared" si="5"/>
        <v>13</v>
      </c>
      <c r="AB5" s="181">
        <f t="shared" si="6"/>
        <v>12.583333333333334</v>
      </c>
      <c r="AC5" s="181">
        <f t="shared" si="7"/>
        <v>11.583333333333334</v>
      </c>
      <c r="AD5" s="181">
        <f t="shared" si="8"/>
        <v>11.441666666666668</v>
      </c>
      <c r="AE5" s="132"/>
      <c r="AF5" s="132"/>
      <c r="AG5" s="132"/>
      <c r="AJ5" s="8" t="s">
        <v>361</v>
      </c>
      <c r="AK5" s="8" t="s">
        <v>336</v>
      </c>
      <c r="AL5" s="184" t="s">
        <v>169</v>
      </c>
      <c r="AM5" s="184" t="s">
        <v>337</v>
      </c>
      <c r="AN5" s="10" t="s">
        <v>340</v>
      </c>
      <c r="AO5" s="11">
        <v>156</v>
      </c>
      <c r="AP5" s="11">
        <v>162</v>
      </c>
      <c r="AQ5" s="11">
        <v>156</v>
      </c>
      <c r="AR5" s="11">
        <v>156</v>
      </c>
      <c r="AS5" s="11">
        <v>151</v>
      </c>
      <c r="AT5" s="11">
        <v>139</v>
      </c>
      <c r="AU5" s="11">
        <v>137.30000000000001</v>
      </c>
      <c r="AV5" s="11"/>
      <c r="AW5" s="11"/>
      <c r="AX5" s="11"/>
    </row>
    <row r="6" spans="1:50" ht="19.899999999999999" customHeight="1" x14ac:dyDescent="0.3">
      <c r="A6" s="8" t="s">
        <v>362</v>
      </c>
      <c r="B6" s="8" t="s">
        <v>336</v>
      </c>
      <c r="C6" s="184" t="s">
        <v>169</v>
      </c>
      <c r="D6" s="184" t="s">
        <v>337</v>
      </c>
      <c r="E6" s="10" t="s">
        <v>341</v>
      </c>
      <c r="F6" s="130">
        <v>3178000</v>
      </c>
      <c r="G6" s="130">
        <v>3225669.9999999995</v>
      </c>
      <c r="H6" s="130">
        <v>3274055.0499999993</v>
      </c>
      <c r="I6" s="130">
        <v>3323165.8757499992</v>
      </c>
      <c r="J6" s="130">
        <v>3373013.3638862488</v>
      </c>
      <c r="K6" s="130">
        <v>3423608.5643445421</v>
      </c>
      <c r="L6" s="130">
        <v>3474962.6928097098</v>
      </c>
      <c r="M6" s="130"/>
      <c r="N6" s="130"/>
      <c r="O6" s="130"/>
      <c r="Q6" s="134"/>
      <c r="S6" s="8" t="s">
        <v>362</v>
      </c>
      <c r="T6" s="8" t="s">
        <v>336</v>
      </c>
      <c r="U6" s="184" t="s">
        <v>169</v>
      </c>
      <c r="V6" s="184" t="s">
        <v>337</v>
      </c>
      <c r="W6" s="10" t="s">
        <v>341</v>
      </c>
      <c r="X6" s="181">
        <f t="shared" si="2"/>
        <v>3.0333333333333332</v>
      </c>
      <c r="Y6" s="181">
        <f t="shared" si="3"/>
        <v>3</v>
      </c>
      <c r="Z6" s="181">
        <f t="shared" si="4"/>
        <v>3</v>
      </c>
      <c r="AA6" s="181">
        <f t="shared" si="5"/>
        <v>3</v>
      </c>
      <c r="AB6" s="181">
        <f t="shared" si="6"/>
        <v>3</v>
      </c>
      <c r="AC6" s="181">
        <f t="shared" si="7"/>
        <v>3</v>
      </c>
      <c r="AD6" s="181">
        <f t="shared" si="8"/>
        <v>3.4416666666666664</v>
      </c>
      <c r="AE6" s="132"/>
      <c r="AF6" s="132"/>
      <c r="AG6" s="132"/>
      <c r="AJ6" s="8" t="s">
        <v>362</v>
      </c>
      <c r="AK6" s="8" t="s">
        <v>336</v>
      </c>
      <c r="AL6" s="184" t="s">
        <v>169</v>
      </c>
      <c r="AM6" s="184" t="s">
        <v>337</v>
      </c>
      <c r="AN6" s="10" t="s">
        <v>341</v>
      </c>
      <c r="AO6" s="11">
        <v>36.4</v>
      </c>
      <c r="AP6" s="11">
        <v>36</v>
      </c>
      <c r="AQ6" s="11">
        <v>36</v>
      </c>
      <c r="AR6" s="11">
        <v>36</v>
      </c>
      <c r="AS6" s="11">
        <v>36</v>
      </c>
      <c r="AT6" s="11">
        <v>36</v>
      </c>
      <c r="AU6" s="11">
        <v>41.3</v>
      </c>
      <c r="AV6" s="11"/>
      <c r="AW6" s="11"/>
      <c r="AX6" s="11"/>
    </row>
    <row r="7" spans="1:50" ht="19.899999999999999" customHeight="1" x14ac:dyDescent="0.3">
      <c r="A7" s="8" t="s">
        <v>363</v>
      </c>
      <c r="B7" s="8" t="s">
        <v>336</v>
      </c>
      <c r="C7" s="184" t="s">
        <v>169</v>
      </c>
      <c r="D7" s="184" t="s">
        <v>337</v>
      </c>
      <c r="E7" s="10" t="s">
        <v>342</v>
      </c>
      <c r="F7" s="130">
        <v>2920914</v>
      </c>
      <c r="G7" s="130">
        <v>2964727.7099999995</v>
      </c>
      <c r="H7" s="130">
        <v>3009198.6256499994</v>
      </c>
      <c r="I7" s="130">
        <v>3054336.605034749</v>
      </c>
      <c r="J7" s="130">
        <v>3100151.6541102701</v>
      </c>
      <c r="K7" s="130">
        <v>3146653.928921924</v>
      </c>
      <c r="L7" s="130">
        <v>3193853.7378557525</v>
      </c>
      <c r="M7" s="130"/>
      <c r="N7" s="130"/>
      <c r="O7" s="130"/>
      <c r="Q7" s="134"/>
      <c r="S7" s="8" t="s">
        <v>363</v>
      </c>
      <c r="T7" s="8" t="s">
        <v>336</v>
      </c>
      <c r="U7" s="184" t="s">
        <v>169</v>
      </c>
      <c r="V7" s="184" t="s">
        <v>337</v>
      </c>
      <c r="W7" s="10" t="s">
        <v>342</v>
      </c>
      <c r="X7" s="181">
        <f t="shared" si="2"/>
        <v>4</v>
      </c>
      <c r="Y7" s="181">
        <f t="shared" si="3"/>
        <v>4</v>
      </c>
      <c r="Z7" s="181">
        <f t="shared" si="4"/>
        <v>4</v>
      </c>
      <c r="AA7" s="181">
        <f t="shared" si="5"/>
        <v>4</v>
      </c>
      <c r="AB7" s="181">
        <f t="shared" si="6"/>
        <v>4</v>
      </c>
      <c r="AC7" s="181">
        <f t="shared" si="7"/>
        <v>4</v>
      </c>
      <c r="AD7" s="181">
        <f t="shared" si="8"/>
        <v>4.45</v>
      </c>
      <c r="AE7" s="132"/>
      <c r="AF7" s="132"/>
      <c r="AG7" s="132"/>
      <c r="AJ7" s="8" t="s">
        <v>363</v>
      </c>
      <c r="AK7" s="8" t="s">
        <v>336</v>
      </c>
      <c r="AL7" s="184" t="s">
        <v>169</v>
      </c>
      <c r="AM7" s="184" t="s">
        <v>337</v>
      </c>
      <c r="AN7" s="10" t="s">
        <v>342</v>
      </c>
      <c r="AO7" s="11">
        <v>48</v>
      </c>
      <c r="AP7" s="11">
        <v>48</v>
      </c>
      <c r="AQ7" s="11">
        <v>48</v>
      </c>
      <c r="AR7" s="11">
        <v>48</v>
      </c>
      <c r="AS7" s="11">
        <v>48</v>
      </c>
      <c r="AT7" s="11">
        <v>48</v>
      </c>
      <c r="AU7" s="11">
        <v>53.4</v>
      </c>
      <c r="AV7" s="11"/>
      <c r="AW7" s="11"/>
      <c r="AX7" s="11"/>
    </row>
    <row r="8" spans="1:50" ht="19.899999999999999" customHeight="1" x14ac:dyDescent="0.3">
      <c r="A8" s="8" t="s">
        <v>364</v>
      </c>
      <c r="B8" s="8" t="s">
        <v>336</v>
      </c>
      <c r="C8" s="184" t="s">
        <v>169</v>
      </c>
      <c r="D8" s="184" t="s">
        <v>337</v>
      </c>
      <c r="E8" s="10" t="s">
        <v>343</v>
      </c>
      <c r="F8" s="130">
        <v>2920914</v>
      </c>
      <c r="G8" s="130">
        <v>2964727.7099999995</v>
      </c>
      <c r="H8" s="130">
        <v>3009198.6256499994</v>
      </c>
      <c r="I8" s="130">
        <v>3054336.605034749</v>
      </c>
      <c r="J8" s="130">
        <v>3100151.6541102701</v>
      </c>
      <c r="K8" s="130">
        <v>3146653.928921924</v>
      </c>
      <c r="L8" s="130">
        <v>3193853.7378557525</v>
      </c>
      <c r="M8" s="130"/>
      <c r="N8" s="130"/>
      <c r="O8" s="130"/>
      <c r="Q8" s="134"/>
      <c r="S8" s="8" t="s">
        <v>364</v>
      </c>
      <c r="T8" s="8" t="s">
        <v>336</v>
      </c>
      <c r="U8" s="184" t="s">
        <v>169</v>
      </c>
      <c r="V8" s="184" t="s">
        <v>337</v>
      </c>
      <c r="W8" s="10" t="s">
        <v>343</v>
      </c>
      <c r="X8" s="181">
        <f t="shared" si="2"/>
        <v>3</v>
      </c>
      <c r="Y8" s="181">
        <f t="shared" si="3"/>
        <v>3</v>
      </c>
      <c r="Z8" s="181">
        <f t="shared" si="4"/>
        <v>3</v>
      </c>
      <c r="AA8" s="181">
        <f t="shared" si="5"/>
        <v>3</v>
      </c>
      <c r="AB8" s="181">
        <f t="shared" si="6"/>
        <v>3</v>
      </c>
      <c r="AC8" s="181">
        <f t="shared" si="7"/>
        <v>3</v>
      </c>
      <c r="AD8" s="181">
        <f t="shared" si="8"/>
        <v>3.4499999999999997</v>
      </c>
      <c r="AE8" s="132"/>
      <c r="AF8" s="132"/>
      <c r="AG8" s="132"/>
      <c r="AJ8" s="8" t="s">
        <v>364</v>
      </c>
      <c r="AK8" s="8" t="s">
        <v>336</v>
      </c>
      <c r="AL8" s="184" t="s">
        <v>169</v>
      </c>
      <c r="AM8" s="184" t="s">
        <v>337</v>
      </c>
      <c r="AN8" s="10" t="s">
        <v>343</v>
      </c>
      <c r="AO8" s="11">
        <v>36</v>
      </c>
      <c r="AP8" s="11">
        <v>36</v>
      </c>
      <c r="AQ8" s="11">
        <v>36</v>
      </c>
      <c r="AR8" s="11">
        <v>36</v>
      </c>
      <c r="AS8" s="11">
        <v>36</v>
      </c>
      <c r="AT8" s="11">
        <v>36</v>
      </c>
      <c r="AU8" s="11">
        <v>41.4</v>
      </c>
      <c r="AV8" s="11"/>
      <c r="AW8" s="11"/>
      <c r="AX8" s="11"/>
    </row>
    <row r="9" spans="1:50" ht="19.899999999999999" customHeight="1" x14ac:dyDescent="0.3">
      <c r="A9" s="8" t="s">
        <v>365</v>
      </c>
      <c r="B9" s="8" t="s">
        <v>336</v>
      </c>
      <c r="C9" s="184" t="s">
        <v>169</v>
      </c>
      <c r="D9" s="184" t="s">
        <v>337</v>
      </c>
      <c r="E9" s="10" t="s">
        <v>344</v>
      </c>
      <c r="F9" s="130">
        <v>2788300</v>
      </c>
      <c r="G9" s="130">
        <v>2830124.4999999995</v>
      </c>
      <c r="H9" s="130">
        <v>2872576.3674999992</v>
      </c>
      <c r="I9" s="130">
        <v>2915665.0130124991</v>
      </c>
      <c r="J9" s="130">
        <v>2959399.9882076862</v>
      </c>
      <c r="K9" s="130">
        <v>3003790.9880308011</v>
      </c>
      <c r="L9" s="130">
        <v>3048847.8528512628</v>
      </c>
      <c r="M9" s="130"/>
      <c r="N9" s="130"/>
      <c r="O9" s="130"/>
      <c r="Q9" s="134"/>
      <c r="S9" s="8" t="s">
        <v>365</v>
      </c>
      <c r="T9" s="8" t="s">
        <v>336</v>
      </c>
      <c r="U9" s="184" t="s">
        <v>169</v>
      </c>
      <c r="V9" s="184" t="s">
        <v>337</v>
      </c>
      <c r="W9" s="10" t="s">
        <v>344</v>
      </c>
      <c r="X9" s="181">
        <f t="shared" si="2"/>
        <v>4</v>
      </c>
      <c r="Y9" s="181">
        <f t="shared" si="3"/>
        <v>4</v>
      </c>
      <c r="Z9" s="181">
        <f t="shared" si="4"/>
        <v>4</v>
      </c>
      <c r="AA9" s="181">
        <f t="shared" si="5"/>
        <v>4</v>
      </c>
      <c r="AB9" s="181">
        <f t="shared" si="6"/>
        <v>4</v>
      </c>
      <c r="AC9" s="181">
        <f t="shared" si="7"/>
        <v>4</v>
      </c>
      <c r="AD9" s="181">
        <f t="shared" si="8"/>
        <v>4.416666666666667</v>
      </c>
      <c r="AE9" s="132"/>
      <c r="AF9" s="132"/>
      <c r="AG9" s="132"/>
      <c r="AJ9" s="8" t="s">
        <v>365</v>
      </c>
      <c r="AK9" s="8" t="s">
        <v>336</v>
      </c>
      <c r="AL9" s="184" t="s">
        <v>169</v>
      </c>
      <c r="AM9" s="184" t="s">
        <v>337</v>
      </c>
      <c r="AN9" s="10" t="s">
        <v>344</v>
      </c>
      <c r="AO9" s="11">
        <v>48</v>
      </c>
      <c r="AP9" s="11">
        <v>48</v>
      </c>
      <c r="AQ9" s="11">
        <v>48</v>
      </c>
      <c r="AR9" s="11">
        <v>48</v>
      </c>
      <c r="AS9" s="11">
        <v>48</v>
      </c>
      <c r="AT9" s="11">
        <v>48</v>
      </c>
      <c r="AU9" s="11">
        <v>53</v>
      </c>
      <c r="AV9" s="11"/>
      <c r="AW9" s="11"/>
      <c r="AX9" s="11"/>
    </row>
    <row r="10" spans="1:50" ht="19.899999999999999" customHeight="1" x14ac:dyDescent="0.3">
      <c r="A10" s="8" t="s">
        <v>366</v>
      </c>
      <c r="B10" s="8" t="s">
        <v>336</v>
      </c>
      <c r="C10" s="184" t="s">
        <v>186</v>
      </c>
      <c r="D10" s="184" t="s">
        <v>337</v>
      </c>
      <c r="E10" s="10" t="s">
        <v>345</v>
      </c>
      <c r="F10" s="130">
        <v>4152557</v>
      </c>
      <c r="G10" s="130">
        <v>4214845.3549999995</v>
      </c>
      <c r="H10" s="130">
        <v>4278068.0353249991</v>
      </c>
      <c r="I10" s="130">
        <v>4342239.0558548737</v>
      </c>
      <c r="J10" s="130">
        <v>4407372.6416926961</v>
      </c>
      <c r="K10" s="130">
        <v>4473483.2313180864</v>
      </c>
      <c r="L10" s="130">
        <v>4540585.4797878573</v>
      </c>
      <c r="M10" s="130"/>
      <c r="N10" s="130"/>
      <c r="O10" s="130"/>
      <c r="Q10" s="134"/>
      <c r="S10" s="8" t="s">
        <v>366</v>
      </c>
      <c r="T10" s="8" t="s">
        <v>336</v>
      </c>
      <c r="U10" s="184" t="s">
        <v>186</v>
      </c>
      <c r="V10" s="184" t="s">
        <v>337</v>
      </c>
      <c r="W10" s="10" t="s">
        <v>345</v>
      </c>
      <c r="X10" s="181">
        <f t="shared" si="2"/>
        <v>7</v>
      </c>
      <c r="Y10" s="181">
        <f t="shared" si="3"/>
        <v>6.083333333333333</v>
      </c>
      <c r="Z10" s="181">
        <f t="shared" si="4"/>
        <v>6</v>
      </c>
      <c r="AA10" s="181">
        <f t="shared" si="5"/>
        <v>6</v>
      </c>
      <c r="AB10" s="181">
        <f t="shared" si="6"/>
        <v>5.583333333333333</v>
      </c>
      <c r="AC10" s="181">
        <f t="shared" si="7"/>
        <v>5</v>
      </c>
      <c r="AD10" s="181">
        <f t="shared" si="8"/>
        <v>5</v>
      </c>
      <c r="AE10" s="132"/>
      <c r="AF10" s="132"/>
      <c r="AG10" s="132"/>
      <c r="AJ10" s="8" t="s">
        <v>366</v>
      </c>
      <c r="AK10" s="8" t="s">
        <v>336</v>
      </c>
      <c r="AL10" s="184" t="s">
        <v>186</v>
      </c>
      <c r="AM10" s="184" t="s">
        <v>337</v>
      </c>
      <c r="AN10" s="10" t="s">
        <v>345</v>
      </c>
      <c r="AO10" s="11">
        <v>84</v>
      </c>
      <c r="AP10" s="11">
        <v>73</v>
      </c>
      <c r="AQ10" s="11">
        <v>72</v>
      </c>
      <c r="AR10" s="11">
        <v>72</v>
      </c>
      <c r="AS10" s="11">
        <v>67</v>
      </c>
      <c r="AT10" s="11">
        <v>60</v>
      </c>
      <c r="AU10" s="11">
        <v>60</v>
      </c>
      <c r="AV10" s="11"/>
      <c r="AW10" s="11"/>
      <c r="AX10" s="11"/>
    </row>
    <row r="11" spans="1:50" ht="19.899999999999999" customHeight="1" x14ac:dyDescent="0.3">
      <c r="A11" s="8" t="s">
        <v>367</v>
      </c>
      <c r="B11" s="8" t="s">
        <v>336</v>
      </c>
      <c r="C11" s="184" t="s">
        <v>186</v>
      </c>
      <c r="D11" s="184" t="s">
        <v>337</v>
      </c>
      <c r="E11" s="10" t="s">
        <v>346</v>
      </c>
      <c r="F11" s="130">
        <v>4075100</v>
      </c>
      <c r="G11" s="130">
        <v>4136226.4999999995</v>
      </c>
      <c r="H11" s="130">
        <v>4198269.897499999</v>
      </c>
      <c r="I11" s="130">
        <v>4261243.9459624989</v>
      </c>
      <c r="J11" s="130">
        <v>4325162.6051519364</v>
      </c>
      <c r="K11" s="130">
        <v>4390040.044229215</v>
      </c>
      <c r="L11" s="130">
        <v>4455890.6448926525</v>
      </c>
      <c r="M11" s="130"/>
      <c r="N11" s="130"/>
      <c r="O11" s="130"/>
      <c r="Q11" s="134"/>
      <c r="S11" s="8" t="s">
        <v>367</v>
      </c>
      <c r="T11" s="8" t="s">
        <v>336</v>
      </c>
      <c r="U11" s="184" t="s">
        <v>186</v>
      </c>
      <c r="V11" s="184" t="s">
        <v>337</v>
      </c>
      <c r="W11" s="10" t="s">
        <v>346</v>
      </c>
      <c r="X11" s="181">
        <f t="shared" si="2"/>
        <v>2</v>
      </c>
      <c r="Y11" s="181">
        <f t="shared" si="3"/>
        <v>2</v>
      </c>
      <c r="Z11" s="181">
        <f t="shared" si="4"/>
        <v>2</v>
      </c>
      <c r="AA11" s="181">
        <f t="shared" si="5"/>
        <v>2</v>
      </c>
      <c r="AB11" s="181">
        <f t="shared" si="6"/>
        <v>2</v>
      </c>
      <c r="AC11" s="181">
        <f t="shared" si="7"/>
        <v>2</v>
      </c>
      <c r="AD11" s="181">
        <f t="shared" si="8"/>
        <v>2</v>
      </c>
      <c r="AE11" s="132"/>
      <c r="AF11" s="132"/>
      <c r="AG11" s="132"/>
      <c r="AJ11" s="8" t="s">
        <v>367</v>
      </c>
      <c r="AK11" s="8" t="s">
        <v>336</v>
      </c>
      <c r="AL11" s="184" t="s">
        <v>186</v>
      </c>
      <c r="AM11" s="184" t="s">
        <v>337</v>
      </c>
      <c r="AN11" s="10" t="s">
        <v>346</v>
      </c>
      <c r="AO11" s="11">
        <v>24</v>
      </c>
      <c r="AP11" s="11">
        <v>24</v>
      </c>
      <c r="AQ11" s="11">
        <v>24</v>
      </c>
      <c r="AR11" s="11">
        <v>24</v>
      </c>
      <c r="AS11" s="11">
        <v>24</v>
      </c>
      <c r="AT11" s="11">
        <v>24</v>
      </c>
      <c r="AU11" s="11">
        <v>24</v>
      </c>
      <c r="AV11" s="11"/>
      <c r="AW11" s="11"/>
      <c r="AX11" s="11"/>
    </row>
    <row r="12" spans="1:50" ht="19.899999999999999" customHeight="1" x14ac:dyDescent="0.3">
      <c r="A12" s="8" t="s">
        <v>368</v>
      </c>
      <c r="B12" s="8" t="s">
        <v>336</v>
      </c>
      <c r="C12" s="184" t="s">
        <v>186</v>
      </c>
      <c r="D12" s="184" t="s">
        <v>337</v>
      </c>
      <c r="E12" s="10" t="s">
        <v>347</v>
      </c>
      <c r="F12" s="130">
        <v>3220000</v>
      </c>
      <c r="G12" s="130">
        <v>3268299.9999999995</v>
      </c>
      <c r="H12" s="130">
        <v>3317324.4999999991</v>
      </c>
      <c r="I12" s="130">
        <v>3367084.3674999988</v>
      </c>
      <c r="J12" s="130">
        <v>3417590.6330124983</v>
      </c>
      <c r="K12" s="130">
        <v>3468854.4925076854</v>
      </c>
      <c r="L12" s="130">
        <v>3520887.3098953003</v>
      </c>
      <c r="M12" s="130"/>
      <c r="N12" s="130"/>
      <c r="O12" s="130"/>
      <c r="Q12" s="134"/>
      <c r="S12" s="8" t="s">
        <v>368</v>
      </c>
      <c r="T12" s="8" t="s">
        <v>336</v>
      </c>
      <c r="U12" s="184" t="s">
        <v>186</v>
      </c>
      <c r="V12" s="184" t="s">
        <v>337</v>
      </c>
      <c r="W12" s="10" t="s">
        <v>347</v>
      </c>
      <c r="X12" s="181">
        <f t="shared" si="2"/>
        <v>9</v>
      </c>
      <c r="Y12" s="181">
        <f t="shared" si="3"/>
        <v>5.166666666666667</v>
      </c>
      <c r="Z12" s="181">
        <f t="shared" si="4"/>
        <v>3.5833333333333335</v>
      </c>
      <c r="AA12" s="181">
        <f t="shared" si="5"/>
        <v>3</v>
      </c>
      <c r="AB12" s="181">
        <f t="shared" si="6"/>
        <v>2.5833333333333335</v>
      </c>
      <c r="AC12" s="181">
        <f t="shared" si="7"/>
        <v>2</v>
      </c>
      <c r="AD12" s="181">
        <f t="shared" si="8"/>
        <v>2</v>
      </c>
      <c r="AE12" s="132"/>
      <c r="AF12" s="132"/>
      <c r="AG12" s="132"/>
      <c r="AJ12" s="8" t="s">
        <v>368</v>
      </c>
      <c r="AK12" s="8" t="s">
        <v>336</v>
      </c>
      <c r="AL12" s="184" t="s">
        <v>186</v>
      </c>
      <c r="AM12" s="184" t="s">
        <v>337</v>
      </c>
      <c r="AN12" s="10" t="s">
        <v>347</v>
      </c>
      <c r="AO12" s="11">
        <v>108</v>
      </c>
      <c r="AP12" s="11">
        <v>62</v>
      </c>
      <c r="AQ12" s="11">
        <v>43</v>
      </c>
      <c r="AR12" s="11">
        <v>36</v>
      </c>
      <c r="AS12" s="11">
        <v>31</v>
      </c>
      <c r="AT12" s="11">
        <v>24</v>
      </c>
      <c r="AU12" s="11">
        <v>24</v>
      </c>
      <c r="AV12" s="11"/>
      <c r="AW12" s="11"/>
      <c r="AX12" s="11"/>
    </row>
    <row r="13" spans="1:50" ht="19.899999999999999" customHeight="1" x14ac:dyDescent="0.3">
      <c r="A13" s="8" t="s">
        <v>369</v>
      </c>
      <c r="B13" s="8" t="s">
        <v>336</v>
      </c>
      <c r="C13" s="184" t="s">
        <v>186</v>
      </c>
      <c r="D13" s="184" t="s">
        <v>337</v>
      </c>
      <c r="E13" s="10" t="s">
        <v>218</v>
      </c>
      <c r="F13" s="130">
        <v>5690000</v>
      </c>
      <c r="G13" s="130">
        <v>5775349.9999999991</v>
      </c>
      <c r="H13" s="130">
        <v>5861980.2499999981</v>
      </c>
      <c r="I13" s="130">
        <v>5949909.9537499975</v>
      </c>
      <c r="J13" s="130">
        <v>6039158.6030562473</v>
      </c>
      <c r="K13" s="130">
        <v>6129745.9821020905</v>
      </c>
      <c r="L13" s="130">
        <v>6221692.1718336213</v>
      </c>
      <c r="M13" s="130"/>
      <c r="N13" s="130"/>
      <c r="O13" s="130"/>
      <c r="Q13" s="134"/>
      <c r="S13" s="8" t="s">
        <v>369</v>
      </c>
      <c r="T13" s="8" t="s">
        <v>336</v>
      </c>
      <c r="U13" s="184" t="s">
        <v>186</v>
      </c>
      <c r="V13" s="184" t="s">
        <v>337</v>
      </c>
      <c r="W13" s="10" t="s">
        <v>218</v>
      </c>
      <c r="X13" s="181">
        <f t="shared" si="2"/>
        <v>1</v>
      </c>
      <c r="Y13" s="181">
        <f t="shared" si="3"/>
        <v>1</v>
      </c>
      <c r="Z13" s="181">
        <f t="shared" si="4"/>
        <v>1</v>
      </c>
      <c r="AA13" s="181">
        <f t="shared" si="5"/>
        <v>1</v>
      </c>
      <c r="AB13" s="181">
        <f t="shared" si="6"/>
        <v>1</v>
      </c>
      <c r="AC13" s="181">
        <f t="shared" si="7"/>
        <v>1</v>
      </c>
      <c r="AD13" s="181">
        <f t="shared" si="8"/>
        <v>1</v>
      </c>
      <c r="AE13" s="132"/>
      <c r="AF13" s="132"/>
      <c r="AG13" s="132"/>
      <c r="AJ13" s="8" t="s">
        <v>369</v>
      </c>
      <c r="AK13" s="8" t="s">
        <v>336</v>
      </c>
      <c r="AL13" s="184" t="s">
        <v>186</v>
      </c>
      <c r="AM13" s="184" t="s">
        <v>337</v>
      </c>
      <c r="AN13" s="10" t="s">
        <v>218</v>
      </c>
      <c r="AO13" s="11">
        <v>12</v>
      </c>
      <c r="AP13" s="11">
        <v>12</v>
      </c>
      <c r="AQ13" s="11">
        <v>12</v>
      </c>
      <c r="AR13" s="11">
        <v>12</v>
      </c>
      <c r="AS13" s="11">
        <v>12</v>
      </c>
      <c r="AT13" s="11">
        <v>12</v>
      </c>
      <c r="AU13" s="11">
        <v>12</v>
      </c>
      <c r="AV13" s="11"/>
      <c r="AW13" s="11"/>
      <c r="AX13" s="11"/>
    </row>
    <row r="14" spans="1:50" ht="19.899999999999999" customHeight="1" x14ac:dyDescent="0.3">
      <c r="A14" s="8" t="s">
        <v>370</v>
      </c>
      <c r="B14" s="8" t="s">
        <v>336</v>
      </c>
      <c r="C14" s="184" t="s">
        <v>186</v>
      </c>
      <c r="D14" s="184" t="s">
        <v>337</v>
      </c>
      <c r="E14" s="10" t="s">
        <v>187</v>
      </c>
      <c r="F14" s="130">
        <v>6300000</v>
      </c>
      <c r="G14" s="130">
        <v>6394499.9999999991</v>
      </c>
      <c r="H14" s="130">
        <v>6490417.4999999981</v>
      </c>
      <c r="I14" s="130">
        <v>6587773.7624999974</v>
      </c>
      <c r="J14" s="130">
        <v>6686590.368937497</v>
      </c>
      <c r="K14" s="130">
        <v>6786889.2244715588</v>
      </c>
      <c r="L14" s="130">
        <v>6888692.5628386317</v>
      </c>
      <c r="M14" s="130"/>
      <c r="N14" s="130"/>
      <c r="O14" s="130"/>
      <c r="Q14" s="134"/>
      <c r="S14" s="8" t="s">
        <v>370</v>
      </c>
      <c r="T14" s="8" t="s">
        <v>336</v>
      </c>
      <c r="U14" s="184" t="s">
        <v>186</v>
      </c>
      <c r="V14" s="184" t="s">
        <v>337</v>
      </c>
      <c r="W14" s="10" t="s">
        <v>187</v>
      </c>
      <c r="X14" s="181">
        <f t="shared" si="2"/>
        <v>1</v>
      </c>
      <c r="Y14" s="181">
        <f t="shared" si="3"/>
        <v>1</v>
      </c>
      <c r="Z14" s="181">
        <f t="shared" si="4"/>
        <v>1</v>
      </c>
      <c r="AA14" s="181">
        <f t="shared" si="5"/>
        <v>1</v>
      </c>
      <c r="AB14" s="181">
        <f t="shared" si="6"/>
        <v>1</v>
      </c>
      <c r="AC14" s="181">
        <f t="shared" si="7"/>
        <v>1</v>
      </c>
      <c r="AD14" s="181">
        <f t="shared" si="8"/>
        <v>1</v>
      </c>
      <c r="AE14" s="132"/>
      <c r="AF14" s="132"/>
      <c r="AG14" s="132"/>
      <c r="AJ14" s="8" t="s">
        <v>370</v>
      </c>
      <c r="AK14" s="8" t="s">
        <v>336</v>
      </c>
      <c r="AL14" s="184" t="s">
        <v>186</v>
      </c>
      <c r="AM14" s="184" t="s">
        <v>337</v>
      </c>
      <c r="AN14" s="10" t="s">
        <v>187</v>
      </c>
      <c r="AO14" s="11">
        <v>12</v>
      </c>
      <c r="AP14" s="11">
        <v>12</v>
      </c>
      <c r="AQ14" s="11">
        <v>12</v>
      </c>
      <c r="AR14" s="11">
        <v>12</v>
      </c>
      <c r="AS14" s="11">
        <v>12</v>
      </c>
      <c r="AT14" s="11">
        <v>12</v>
      </c>
      <c r="AU14" s="11">
        <v>12</v>
      </c>
      <c r="AV14" s="11"/>
      <c r="AW14" s="11"/>
      <c r="AX14" s="11"/>
    </row>
    <row r="15" spans="1:50" ht="19.899999999999999" customHeight="1" x14ac:dyDescent="0.3">
      <c r="A15" s="8" t="s">
        <v>371</v>
      </c>
      <c r="B15" s="8" t="s">
        <v>336</v>
      </c>
      <c r="C15" s="184" t="s">
        <v>186</v>
      </c>
      <c r="D15" s="184" t="s">
        <v>348</v>
      </c>
      <c r="E15" s="10" t="s">
        <v>349</v>
      </c>
      <c r="F15" s="130">
        <v>5063256.0041666664</v>
      </c>
      <c r="G15" s="130">
        <v>5139204.8442291655</v>
      </c>
      <c r="H15" s="130">
        <v>5216292.9168926021</v>
      </c>
      <c r="I15" s="130">
        <v>5294537.310645991</v>
      </c>
      <c r="J15" s="130">
        <v>5373955.3703056807</v>
      </c>
      <c r="K15" s="130">
        <v>5454564.7008602656</v>
      </c>
      <c r="L15" s="130">
        <v>5536383.1713731689</v>
      </c>
      <c r="M15" s="130"/>
      <c r="N15" s="130"/>
      <c r="O15" s="130"/>
      <c r="Q15" s="134"/>
      <c r="S15" s="8" t="s">
        <v>371</v>
      </c>
      <c r="T15" s="8" t="s">
        <v>336</v>
      </c>
      <c r="U15" s="184" t="s">
        <v>186</v>
      </c>
      <c r="V15" s="184" t="s">
        <v>348</v>
      </c>
      <c r="W15" s="10" t="s">
        <v>349</v>
      </c>
      <c r="X15" s="181">
        <f t="shared" si="2"/>
        <v>1</v>
      </c>
      <c r="Y15" s="181">
        <f t="shared" si="3"/>
        <v>1</v>
      </c>
      <c r="Z15" s="181">
        <f t="shared" si="4"/>
        <v>1</v>
      </c>
      <c r="AA15" s="181">
        <f t="shared" si="5"/>
        <v>1</v>
      </c>
      <c r="AB15" s="181">
        <f t="shared" si="6"/>
        <v>1</v>
      </c>
      <c r="AC15" s="181">
        <f t="shared" si="7"/>
        <v>1</v>
      </c>
      <c r="AD15" s="181">
        <f t="shared" si="8"/>
        <v>1</v>
      </c>
      <c r="AE15" s="132"/>
      <c r="AF15" s="132"/>
      <c r="AG15" s="132"/>
      <c r="AJ15" s="8" t="s">
        <v>371</v>
      </c>
      <c r="AK15" s="8" t="s">
        <v>336</v>
      </c>
      <c r="AL15" s="184" t="s">
        <v>186</v>
      </c>
      <c r="AM15" s="184" t="s">
        <v>348</v>
      </c>
      <c r="AN15" s="10" t="s">
        <v>349</v>
      </c>
      <c r="AO15" s="11">
        <v>12</v>
      </c>
      <c r="AP15" s="11">
        <v>12</v>
      </c>
      <c r="AQ15" s="11">
        <v>12</v>
      </c>
      <c r="AR15" s="11">
        <v>12</v>
      </c>
      <c r="AS15" s="11">
        <v>12</v>
      </c>
      <c r="AT15" s="11">
        <v>12</v>
      </c>
      <c r="AU15" s="11">
        <v>12</v>
      </c>
      <c r="AV15" s="11"/>
      <c r="AW15" s="11"/>
      <c r="AX15" s="11"/>
    </row>
    <row r="16" spans="1:50" ht="19.899999999999999" customHeight="1" x14ac:dyDescent="0.3">
      <c r="A16" s="8" t="s">
        <v>372</v>
      </c>
      <c r="B16" s="8" t="s">
        <v>336</v>
      </c>
      <c r="C16" s="184" t="s">
        <v>186</v>
      </c>
      <c r="D16" s="184" t="s">
        <v>348</v>
      </c>
      <c r="E16" s="10" t="s">
        <v>345</v>
      </c>
      <c r="F16" s="130">
        <v>3508024.7833333332</v>
      </c>
      <c r="G16" s="130">
        <v>3560645.1550833327</v>
      </c>
      <c r="H16" s="130">
        <v>3614054.8324095821</v>
      </c>
      <c r="I16" s="130">
        <v>3668265.6548957257</v>
      </c>
      <c r="J16" s="130">
        <v>3723289.6397191612</v>
      </c>
      <c r="K16" s="130">
        <v>3779138.9843149483</v>
      </c>
      <c r="L16" s="130">
        <v>3835826.069079672</v>
      </c>
      <c r="M16" s="130"/>
      <c r="N16" s="130"/>
      <c r="O16" s="130"/>
      <c r="Q16" s="134"/>
      <c r="S16" s="8" t="s">
        <v>372</v>
      </c>
      <c r="T16" s="8" t="s">
        <v>336</v>
      </c>
      <c r="U16" s="184" t="s">
        <v>186</v>
      </c>
      <c r="V16" s="184" t="s">
        <v>348</v>
      </c>
      <c r="W16" s="10" t="s">
        <v>345</v>
      </c>
      <c r="X16" s="181">
        <f t="shared" si="2"/>
        <v>3.9583333333333335</v>
      </c>
      <c r="Y16" s="181">
        <f t="shared" si="3"/>
        <v>3</v>
      </c>
      <c r="Z16" s="181">
        <f t="shared" si="4"/>
        <v>3</v>
      </c>
      <c r="AA16" s="181">
        <f t="shared" si="5"/>
        <v>3</v>
      </c>
      <c r="AB16" s="181">
        <f t="shared" si="6"/>
        <v>3</v>
      </c>
      <c r="AC16" s="181">
        <f t="shared" si="7"/>
        <v>2.75</v>
      </c>
      <c r="AD16" s="181">
        <f t="shared" si="8"/>
        <v>2.5</v>
      </c>
      <c r="AE16" s="132"/>
      <c r="AF16" s="132"/>
      <c r="AG16" s="132"/>
      <c r="AJ16" s="8" t="s">
        <v>372</v>
      </c>
      <c r="AK16" s="8" t="s">
        <v>336</v>
      </c>
      <c r="AL16" s="184" t="s">
        <v>186</v>
      </c>
      <c r="AM16" s="184" t="s">
        <v>348</v>
      </c>
      <c r="AN16" s="10" t="s">
        <v>345</v>
      </c>
      <c r="AO16" s="11">
        <v>47.5</v>
      </c>
      <c r="AP16" s="11">
        <v>36</v>
      </c>
      <c r="AQ16" s="11">
        <v>36</v>
      </c>
      <c r="AR16" s="11">
        <v>36</v>
      </c>
      <c r="AS16" s="11">
        <v>36</v>
      </c>
      <c r="AT16" s="11">
        <v>33</v>
      </c>
      <c r="AU16" s="11">
        <v>30</v>
      </c>
      <c r="AV16" s="11"/>
      <c r="AW16" s="11"/>
      <c r="AX16" s="11"/>
    </row>
    <row r="17" spans="1:50" ht="19.899999999999999" customHeight="1" x14ac:dyDescent="0.3">
      <c r="A17" s="8" t="s">
        <v>373</v>
      </c>
      <c r="B17" s="8" t="s">
        <v>336</v>
      </c>
      <c r="C17" s="184" t="s">
        <v>186</v>
      </c>
      <c r="D17" s="184" t="s">
        <v>348</v>
      </c>
      <c r="E17" s="10" t="s">
        <v>350</v>
      </c>
      <c r="F17" s="130">
        <v>3149125.2708333335</v>
      </c>
      <c r="G17" s="130">
        <v>3196362.1498958333</v>
      </c>
      <c r="H17" s="130">
        <v>3244307.5821442707</v>
      </c>
      <c r="I17" s="130">
        <v>3292972.1958764344</v>
      </c>
      <c r="J17" s="130">
        <v>3342366.7788145808</v>
      </c>
      <c r="K17" s="130">
        <v>3392502.2804967989</v>
      </c>
      <c r="L17" s="130">
        <v>3443389.8147042505</v>
      </c>
      <c r="M17" s="130"/>
      <c r="N17" s="130"/>
      <c r="O17" s="130"/>
      <c r="Q17" s="134"/>
      <c r="S17" s="8" t="s">
        <v>373</v>
      </c>
      <c r="T17" s="8" t="s">
        <v>336</v>
      </c>
      <c r="U17" s="184" t="s">
        <v>186</v>
      </c>
      <c r="V17" s="184" t="s">
        <v>348</v>
      </c>
      <c r="W17" s="10" t="s">
        <v>350</v>
      </c>
      <c r="X17" s="181">
        <f t="shared" si="2"/>
        <v>1</v>
      </c>
      <c r="Y17" s="181">
        <f t="shared" si="3"/>
        <v>0</v>
      </c>
      <c r="Z17" s="181">
        <f t="shared" si="4"/>
        <v>0</v>
      </c>
      <c r="AA17" s="181">
        <f t="shared" si="5"/>
        <v>0</v>
      </c>
      <c r="AB17" s="181">
        <f t="shared" si="6"/>
        <v>0</v>
      </c>
      <c r="AC17" s="181">
        <f t="shared" si="7"/>
        <v>0</v>
      </c>
      <c r="AD17" s="181">
        <f t="shared" si="8"/>
        <v>0</v>
      </c>
      <c r="AE17" s="132"/>
      <c r="AF17" s="132"/>
      <c r="AG17" s="132"/>
      <c r="AJ17" s="8" t="s">
        <v>373</v>
      </c>
      <c r="AK17" s="8" t="s">
        <v>336</v>
      </c>
      <c r="AL17" s="184" t="s">
        <v>186</v>
      </c>
      <c r="AM17" s="184" t="s">
        <v>348</v>
      </c>
      <c r="AN17" s="10" t="s">
        <v>350</v>
      </c>
      <c r="AO17" s="11">
        <v>12</v>
      </c>
      <c r="AP17" s="11">
        <v>0</v>
      </c>
      <c r="AQ17" s="11">
        <v>0</v>
      </c>
      <c r="AR17" s="11">
        <v>0</v>
      </c>
      <c r="AS17" s="11">
        <v>0</v>
      </c>
      <c r="AT17" s="11">
        <v>0</v>
      </c>
      <c r="AU17" s="11">
        <v>0</v>
      </c>
      <c r="AV17" s="11"/>
      <c r="AW17" s="11"/>
      <c r="AX17" s="11"/>
    </row>
    <row r="18" spans="1:50" ht="19.899999999999999" customHeight="1" x14ac:dyDescent="0.3">
      <c r="A18" s="8" t="s">
        <v>374</v>
      </c>
      <c r="B18" s="8" t="s">
        <v>336</v>
      </c>
      <c r="C18" s="184" t="s">
        <v>186</v>
      </c>
      <c r="D18" s="184" t="s">
        <v>348</v>
      </c>
      <c r="E18" s="10" t="s">
        <v>347</v>
      </c>
      <c r="F18" s="130">
        <v>2670592.5874999999</v>
      </c>
      <c r="G18" s="130">
        <v>2710651.4763124995</v>
      </c>
      <c r="H18" s="130">
        <v>2751311.2484571869</v>
      </c>
      <c r="I18" s="130">
        <v>2792580.9171840446</v>
      </c>
      <c r="J18" s="130">
        <v>2834469.630941805</v>
      </c>
      <c r="K18" s="130">
        <v>2876986.6754059317</v>
      </c>
      <c r="L18" s="130">
        <v>2920141.4755370202</v>
      </c>
      <c r="M18" s="130"/>
      <c r="N18" s="130"/>
      <c r="O18" s="130"/>
      <c r="Q18" s="134"/>
      <c r="S18" s="8" t="s">
        <v>374</v>
      </c>
      <c r="T18" s="8" t="s">
        <v>336</v>
      </c>
      <c r="U18" s="184" t="s">
        <v>186</v>
      </c>
      <c r="V18" s="184" t="s">
        <v>348</v>
      </c>
      <c r="W18" s="10" t="s">
        <v>347</v>
      </c>
      <c r="X18" s="181">
        <f t="shared" si="2"/>
        <v>1</v>
      </c>
      <c r="Y18" s="181">
        <f t="shared" si="3"/>
        <v>1</v>
      </c>
      <c r="Z18" s="181">
        <f t="shared" si="4"/>
        <v>1</v>
      </c>
      <c r="AA18" s="181">
        <f t="shared" si="5"/>
        <v>1</v>
      </c>
      <c r="AB18" s="181">
        <f t="shared" si="6"/>
        <v>1</v>
      </c>
      <c r="AC18" s="181">
        <f t="shared" si="7"/>
        <v>1</v>
      </c>
      <c r="AD18" s="181">
        <f t="shared" si="8"/>
        <v>1</v>
      </c>
      <c r="AE18" s="133"/>
      <c r="AF18" s="133"/>
      <c r="AG18" s="133"/>
      <c r="AJ18" s="8" t="s">
        <v>374</v>
      </c>
      <c r="AK18" s="8" t="s">
        <v>336</v>
      </c>
      <c r="AL18" s="184" t="s">
        <v>186</v>
      </c>
      <c r="AM18" s="184" t="s">
        <v>348</v>
      </c>
      <c r="AN18" s="10" t="s">
        <v>347</v>
      </c>
      <c r="AO18" s="11">
        <v>12</v>
      </c>
      <c r="AP18" s="11">
        <v>12</v>
      </c>
      <c r="AQ18" s="11">
        <v>12</v>
      </c>
      <c r="AR18" s="11">
        <v>12</v>
      </c>
      <c r="AS18" s="11">
        <v>12</v>
      </c>
      <c r="AT18" s="11">
        <v>12</v>
      </c>
      <c r="AU18" s="11">
        <v>12</v>
      </c>
      <c r="AV18" s="11"/>
      <c r="AW18" s="11"/>
      <c r="AX18" s="11"/>
    </row>
    <row r="19" spans="1:50" ht="19.899999999999999" customHeight="1" x14ac:dyDescent="0.3">
      <c r="A19" s="8" t="s">
        <v>375</v>
      </c>
      <c r="B19" s="8" t="s">
        <v>336</v>
      </c>
      <c r="C19" s="184" t="s">
        <v>169</v>
      </c>
      <c r="D19" s="184" t="s">
        <v>348</v>
      </c>
      <c r="E19" s="10" t="s">
        <v>351</v>
      </c>
      <c r="F19" s="130">
        <v>2670592.5874999999</v>
      </c>
      <c r="G19" s="130">
        <v>2710651.4763124995</v>
      </c>
      <c r="H19" s="130">
        <v>2751311.2484571869</v>
      </c>
      <c r="I19" s="130">
        <v>2792580.9171840446</v>
      </c>
      <c r="J19" s="130">
        <v>2834469.630941805</v>
      </c>
      <c r="K19" s="130">
        <v>2876986.6754059317</v>
      </c>
      <c r="L19" s="130">
        <v>2920141.4755370202</v>
      </c>
      <c r="M19" s="130"/>
      <c r="N19" s="130"/>
      <c r="O19" s="130"/>
      <c r="Q19" s="134"/>
      <c r="S19" s="8" t="s">
        <v>375</v>
      </c>
      <c r="T19" s="8" t="s">
        <v>336</v>
      </c>
      <c r="U19" s="184" t="s">
        <v>169</v>
      </c>
      <c r="V19" s="184" t="s">
        <v>348</v>
      </c>
      <c r="W19" s="10" t="s">
        <v>351</v>
      </c>
      <c r="X19" s="181">
        <f t="shared" si="2"/>
        <v>22</v>
      </c>
      <c r="Y19" s="181">
        <f t="shared" si="3"/>
        <v>17.333333333333332</v>
      </c>
      <c r="Z19" s="181">
        <f t="shared" si="4"/>
        <v>13.752712959920752</v>
      </c>
      <c r="AA19" s="181">
        <f t="shared" si="5"/>
        <v>12.986478220798285</v>
      </c>
      <c r="AB19" s="181">
        <f t="shared" si="6"/>
        <v>12.54643745419795</v>
      </c>
      <c r="AC19" s="181">
        <f t="shared" si="7"/>
        <v>11.86901511770589</v>
      </c>
      <c r="AD19" s="181">
        <f t="shared" si="8"/>
        <v>12</v>
      </c>
      <c r="AE19" s="133"/>
      <c r="AF19" s="133"/>
      <c r="AG19" s="133"/>
      <c r="AJ19" s="8" t="s">
        <v>375</v>
      </c>
      <c r="AK19" s="8" t="s">
        <v>336</v>
      </c>
      <c r="AL19" s="184" t="s">
        <v>169</v>
      </c>
      <c r="AM19" s="184" t="s">
        <v>348</v>
      </c>
      <c r="AN19" s="10" t="s">
        <v>351</v>
      </c>
      <c r="AO19" s="11">
        <v>264</v>
      </c>
      <c r="AP19" s="11">
        <v>208</v>
      </c>
      <c r="AQ19" s="11">
        <v>165.03255551904903</v>
      </c>
      <c r="AR19" s="11">
        <v>155.83773864957942</v>
      </c>
      <c r="AS19" s="11">
        <v>150.55724945037539</v>
      </c>
      <c r="AT19" s="11">
        <v>142.42818141247068</v>
      </c>
      <c r="AU19" s="11">
        <v>144</v>
      </c>
      <c r="AV19" s="11"/>
      <c r="AW19" s="11"/>
      <c r="AX19" s="11"/>
    </row>
    <row r="20" spans="1:50" ht="19.899999999999999" customHeight="1" x14ac:dyDescent="0.3">
      <c r="A20" s="8" t="s">
        <v>376</v>
      </c>
      <c r="B20" s="8" t="s">
        <v>336</v>
      </c>
      <c r="C20" s="184" t="s">
        <v>169</v>
      </c>
      <c r="D20" s="184" t="s">
        <v>348</v>
      </c>
      <c r="E20" s="10" t="s">
        <v>352</v>
      </c>
      <c r="F20" s="130">
        <v>2670592.5874999999</v>
      </c>
      <c r="G20" s="130">
        <v>2710651.4763124995</v>
      </c>
      <c r="H20" s="130">
        <v>2751311.2484571869</v>
      </c>
      <c r="I20" s="130">
        <v>2792580.9171840446</v>
      </c>
      <c r="J20" s="130">
        <v>2834469.630941805</v>
      </c>
      <c r="K20" s="130">
        <v>2876986.6754059317</v>
      </c>
      <c r="L20" s="130">
        <v>2920141.4755370202</v>
      </c>
      <c r="M20" s="130"/>
      <c r="N20" s="130"/>
      <c r="O20" s="130"/>
      <c r="S20" s="8" t="s">
        <v>376</v>
      </c>
      <c r="T20" s="8" t="s">
        <v>336</v>
      </c>
      <c r="U20" s="184" t="s">
        <v>169</v>
      </c>
      <c r="V20" s="184" t="s">
        <v>348</v>
      </c>
      <c r="W20" s="10" t="s">
        <v>352</v>
      </c>
      <c r="X20" s="181">
        <f t="shared" si="2"/>
        <v>27.833333333333332</v>
      </c>
      <c r="Y20" s="181">
        <f t="shared" si="3"/>
        <v>20.25</v>
      </c>
      <c r="Z20" s="181">
        <f t="shared" si="4"/>
        <v>19.083333333333332</v>
      </c>
      <c r="AA20" s="181">
        <f t="shared" si="5"/>
        <v>19</v>
      </c>
      <c r="AB20" s="181">
        <f t="shared" si="6"/>
        <v>19</v>
      </c>
      <c r="AC20" s="181">
        <f t="shared" si="7"/>
        <v>19</v>
      </c>
      <c r="AD20" s="181">
        <f t="shared" si="8"/>
        <v>19</v>
      </c>
      <c r="AE20" s="133"/>
      <c r="AF20" s="133"/>
      <c r="AG20" s="133"/>
      <c r="AJ20" s="8" t="s">
        <v>376</v>
      </c>
      <c r="AK20" s="8" t="s">
        <v>336</v>
      </c>
      <c r="AL20" s="184" t="s">
        <v>169</v>
      </c>
      <c r="AM20" s="184" t="s">
        <v>348</v>
      </c>
      <c r="AN20" s="10" t="s">
        <v>352</v>
      </c>
      <c r="AO20" s="11">
        <v>334</v>
      </c>
      <c r="AP20" s="11">
        <v>243</v>
      </c>
      <c r="AQ20" s="11">
        <v>229</v>
      </c>
      <c r="AR20" s="11">
        <v>228</v>
      </c>
      <c r="AS20" s="11">
        <v>228</v>
      </c>
      <c r="AT20" s="11">
        <v>228</v>
      </c>
      <c r="AU20" s="11">
        <v>228</v>
      </c>
      <c r="AV20" s="11"/>
      <c r="AW20" s="11"/>
      <c r="AX20" s="11"/>
    </row>
    <row r="21" spans="1:50" ht="19.899999999999999" customHeight="1" x14ac:dyDescent="0.3">
      <c r="A21" s="8" t="s">
        <v>377</v>
      </c>
      <c r="B21" s="8" t="s">
        <v>336</v>
      </c>
      <c r="C21" s="184" t="s">
        <v>186</v>
      </c>
      <c r="D21" s="184" t="s">
        <v>353</v>
      </c>
      <c r="E21" s="10" t="s">
        <v>354</v>
      </c>
      <c r="F21" s="130">
        <v>5781055.0291666668</v>
      </c>
      <c r="G21" s="130">
        <v>5867770.854604166</v>
      </c>
      <c r="H21" s="130">
        <v>5955787.4174232278</v>
      </c>
      <c r="I21" s="130">
        <v>6045124.2286845753</v>
      </c>
      <c r="J21" s="130">
        <v>6135801.0921148434</v>
      </c>
      <c r="K21" s="130">
        <v>6227838.1084965654</v>
      </c>
      <c r="L21" s="130">
        <v>6321255.6801240137</v>
      </c>
      <c r="M21" s="130"/>
      <c r="N21" s="130"/>
      <c r="O21" s="130"/>
      <c r="S21" s="8" t="s">
        <v>377</v>
      </c>
      <c r="T21" s="8" t="s">
        <v>336</v>
      </c>
      <c r="U21" s="184" t="s">
        <v>186</v>
      </c>
      <c r="V21" s="184" t="s">
        <v>353</v>
      </c>
      <c r="W21" s="10" t="s">
        <v>354</v>
      </c>
      <c r="X21" s="181">
        <f t="shared" si="2"/>
        <v>1</v>
      </c>
      <c r="Y21" s="181">
        <f t="shared" si="3"/>
        <v>1</v>
      </c>
      <c r="Z21" s="181">
        <f t="shared" si="4"/>
        <v>1</v>
      </c>
      <c r="AA21" s="181">
        <f t="shared" si="5"/>
        <v>1</v>
      </c>
      <c r="AB21" s="181">
        <f t="shared" si="6"/>
        <v>1</v>
      </c>
      <c r="AC21" s="181">
        <f t="shared" si="7"/>
        <v>1</v>
      </c>
      <c r="AD21" s="181">
        <f t="shared" si="8"/>
        <v>1</v>
      </c>
      <c r="AE21" s="133"/>
      <c r="AF21" s="133"/>
      <c r="AG21" s="133"/>
      <c r="AJ21" s="8" t="s">
        <v>377</v>
      </c>
      <c r="AK21" s="8" t="s">
        <v>336</v>
      </c>
      <c r="AL21" s="184" t="s">
        <v>186</v>
      </c>
      <c r="AM21" s="184" t="s">
        <v>353</v>
      </c>
      <c r="AN21" s="10" t="s">
        <v>354</v>
      </c>
      <c r="AO21" s="11">
        <v>12</v>
      </c>
      <c r="AP21" s="11">
        <v>12</v>
      </c>
      <c r="AQ21" s="11">
        <v>12</v>
      </c>
      <c r="AR21" s="11">
        <v>12</v>
      </c>
      <c r="AS21" s="11">
        <v>12</v>
      </c>
      <c r="AT21" s="11">
        <v>12</v>
      </c>
      <c r="AU21" s="11">
        <v>12</v>
      </c>
      <c r="AV21" s="11"/>
      <c r="AW21" s="11"/>
      <c r="AX21" s="11"/>
    </row>
    <row r="22" spans="1:50" ht="19.899999999999999" customHeight="1" x14ac:dyDescent="0.3">
      <c r="A22" s="8" t="s">
        <v>378</v>
      </c>
      <c r="B22" s="8" t="s">
        <v>336</v>
      </c>
      <c r="C22" s="184" t="s">
        <v>186</v>
      </c>
      <c r="D22" s="184" t="s">
        <v>353</v>
      </c>
      <c r="E22" s="10" t="s">
        <v>345</v>
      </c>
      <c r="F22" s="130">
        <v>3508024.7833333332</v>
      </c>
      <c r="G22" s="130">
        <v>3560645.1550833327</v>
      </c>
      <c r="H22" s="130">
        <v>3614054.8324095821</v>
      </c>
      <c r="I22" s="130">
        <v>3668265.6548957257</v>
      </c>
      <c r="J22" s="130">
        <v>3723289.6397191612</v>
      </c>
      <c r="K22" s="130">
        <v>3779138.9843149483</v>
      </c>
      <c r="L22" s="130">
        <v>3835826.069079672</v>
      </c>
      <c r="M22" s="130"/>
      <c r="N22" s="130"/>
      <c r="O22" s="130"/>
      <c r="S22" s="8" t="s">
        <v>378</v>
      </c>
      <c r="T22" s="8" t="s">
        <v>336</v>
      </c>
      <c r="U22" s="184" t="s">
        <v>186</v>
      </c>
      <c r="V22" s="184" t="s">
        <v>353</v>
      </c>
      <c r="W22" s="10" t="s">
        <v>345</v>
      </c>
      <c r="X22" s="181">
        <f t="shared" si="2"/>
        <v>5.833333333333333</v>
      </c>
      <c r="Y22" s="181">
        <f t="shared" si="3"/>
        <v>4.583333333333333</v>
      </c>
      <c r="Z22" s="181">
        <f t="shared" si="4"/>
        <v>4</v>
      </c>
      <c r="AA22" s="181">
        <f t="shared" si="5"/>
        <v>3.5833333333333335</v>
      </c>
      <c r="AB22" s="181">
        <f t="shared" si="6"/>
        <v>3</v>
      </c>
      <c r="AC22" s="181">
        <f t="shared" si="7"/>
        <v>2.5833333333333335</v>
      </c>
      <c r="AD22" s="181">
        <f t="shared" si="8"/>
        <v>2</v>
      </c>
      <c r="AE22" s="133"/>
      <c r="AF22" s="133"/>
      <c r="AG22" s="133"/>
      <c r="AJ22" s="8" t="s">
        <v>378</v>
      </c>
      <c r="AK22" s="8" t="s">
        <v>336</v>
      </c>
      <c r="AL22" s="184" t="s">
        <v>186</v>
      </c>
      <c r="AM22" s="184" t="s">
        <v>353</v>
      </c>
      <c r="AN22" s="10" t="s">
        <v>345</v>
      </c>
      <c r="AO22" s="11">
        <v>70</v>
      </c>
      <c r="AP22" s="11">
        <v>55</v>
      </c>
      <c r="AQ22" s="11">
        <v>48</v>
      </c>
      <c r="AR22" s="11">
        <v>43</v>
      </c>
      <c r="AS22" s="11">
        <v>36</v>
      </c>
      <c r="AT22" s="11">
        <v>31</v>
      </c>
      <c r="AU22" s="11">
        <v>24</v>
      </c>
      <c r="AV22" s="11"/>
      <c r="AW22" s="11"/>
      <c r="AX22" s="11"/>
    </row>
    <row r="23" spans="1:50" ht="19.899999999999999" customHeight="1" x14ac:dyDescent="0.3">
      <c r="A23" s="8" t="s">
        <v>379</v>
      </c>
      <c r="B23" s="8" t="s">
        <v>336</v>
      </c>
      <c r="C23" s="184" t="s">
        <v>186</v>
      </c>
      <c r="D23" s="184" t="s">
        <v>353</v>
      </c>
      <c r="E23" s="10" t="s">
        <v>355</v>
      </c>
      <c r="F23" s="130">
        <v>3149125.2708333335</v>
      </c>
      <c r="G23" s="130">
        <v>3196362.1498958333</v>
      </c>
      <c r="H23" s="130">
        <v>3244307.5821442707</v>
      </c>
      <c r="I23" s="130">
        <v>3292972.1958764344</v>
      </c>
      <c r="J23" s="130">
        <v>3342366.7788145808</v>
      </c>
      <c r="K23" s="130">
        <v>3392502.2804967989</v>
      </c>
      <c r="L23" s="130">
        <v>3443389.8147042505</v>
      </c>
      <c r="M23" s="130"/>
      <c r="N23" s="130"/>
      <c r="O23" s="130"/>
      <c r="S23" s="8" t="s">
        <v>379</v>
      </c>
      <c r="T23" s="8" t="s">
        <v>336</v>
      </c>
      <c r="U23" s="184" t="s">
        <v>186</v>
      </c>
      <c r="V23" s="184" t="s">
        <v>353</v>
      </c>
      <c r="W23" s="10" t="s">
        <v>355</v>
      </c>
      <c r="X23" s="181">
        <f t="shared" si="2"/>
        <v>1</v>
      </c>
      <c r="Y23" s="181">
        <f t="shared" si="3"/>
        <v>1</v>
      </c>
      <c r="Z23" s="181">
        <f t="shared" si="4"/>
        <v>1</v>
      </c>
      <c r="AA23" s="181">
        <f t="shared" si="5"/>
        <v>1</v>
      </c>
      <c r="AB23" s="181">
        <f t="shared" si="6"/>
        <v>1</v>
      </c>
      <c r="AC23" s="181">
        <f t="shared" si="7"/>
        <v>1</v>
      </c>
      <c r="AD23" s="181">
        <f t="shared" si="8"/>
        <v>1</v>
      </c>
      <c r="AE23" s="133"/>
      <c r="AF23" s="133"/>
      <c r="AG23" s="133"/>
      <c r="AJ23" s="8" t="s">
        <v>379</v>
      </c>
      <c r="AK23" s="8" t="s">
        <v>336</v>
      </c>
      <c r="AL23" s="184" t="s">
        <v>186</v>
      </c>
      <c r="AM23" s="184" t="s">
        <v>353</v>
      </c>
      <c r="AN23" s="10" t="s">
        <v>355</v>
      </c>
      <c r="AO23" s="11">
        <v>12</v>
      </c>
      <c r="AP23" s="11">
        <v>12</v>
      </c>
      <c r="AQ23" s="11">
        <v>12</v>
      </c>
      <c r="AR23" s="11">
        <v>12</v>
      </c>
      <c r="AS23" s="11">
        <v>12</v>
      </c>
      <c r="AT23" s="11">
        <v>12</v>
      </c>
      <c r="AU23" s="11">
        <v>12</v>
      </c>
      <c r="AV23" s="11"/>
      <c r="AW23" s="11"/>
      <c r="AX23" s="11"/>
    </row>
    <row r="24" spans="1:50" ht="19.899999999999999" customHeight="1" x14ac:dyDescent="0.3">
      <c r="A24" s="8" t="s">
        <v>380</v>
      </c>
      <c r="B24" s="8" t="s">
        <v>336</v>
      </c>
      <c r="C24" s="184" t="s">
        <v>186</v>
      </c>
      <c r="D24" s="184" t="s">
        <v>353</v>
      </c>
      <c r="E24" s="10" t="s">
        <v>356</v>
      </c>
      <c r="F24" s="130">
        <v>2670592.5874999999</v>
      </c>
      <c r="G24" s="130">
        <v>2710651.4763124995</v>
      </c>
      <c r="H24" s="130">
        <v>2751311.2484571869</v>
      </c>
      <c r="I24" s="130">
        <v>2792580.9171840446</v>
      </c>
      <c r="J24" s="130">
        <v>2834469.630941805</v>
      </c>
      <c r="K24" s="130">
        <v>2876986.6754059317</v>
      </c>
      <c r="L24" s="130">
        <v>2920141.4755370202</v>
      </c>
      <c r="M24" s="130"/>
      <c r="N24" s="130"/>
      <c r="O24" s="130"/>
      <c r="S24" s="8" t="s">
        <v>380</v>
      </c>
      <c r="T24" s="8" t="s">
        <v>336</v>
      </c>
      <c r="U24" s="184" t="s">
        <v>186</v>
      </c>
      <c r="V24" s="184" t="s">
        <v>353</v>
      </c>
      <c r="W24" s="10" t="s">
        <v>356</v>
      </c>
      <c r="X24" s="181">
        <f t="shared" si="2"/>
        <v>2.0833333333333335</v>
      </c>
      <c r="Y24" s="181">
        <f t="shared" si="3"/>
        <v>1</v>
      </c>
      <c r="Z24" s="181">
        <f t="shared" si="4"/>
        <v>1</v>
      </c>
      <c r="AA24" s="181">
        <f t="shared" si="5"/>
        <v>1</v>
      </c>
      <c r="AB24" s="181">
        <f t="shared" si="6"/>
        <v>1</v>
      </c>
      <c r="AC24" s="181">
        <f t="shared" si="7"/>
        <v>1</v>
      </c>
      <c r="AD24" s="181">
        <f t="shared" si="8"/>
        <v>1</v>
      </c>
      <c r="AE24" s="133"/>
      <c r="AF24" s="133"/>
      <c r="AG24" s="133"/>
      <c r="AJ24" s="8" t="s">
        <v>380</v>
      </c>
      <c r="AK24" s="8" t="s">
        <v>336</v>
      </c>
      <c r="AL24" s="184" t="s">
        <v>186</v>
      </c>
      <c r="AM24" s="184" t="s">
        <v>353</v>
      </c>
      <c r="AN24" s="10" t="s">
        <v>356</v>
      </c>
      <c r="AO24" s="11">
        <v>25</v>
      </c>
      <c r="AP24" s="11">
        <v>12</v>
      </c>
      <c r="AQ24" s="11">
        <v>12</v>
      </c>
      <c r="AR24" s="11">
        <v>12</v>
      </c>
      <c r="AS24" s="11">
        <v>12</v>
      </c>
      <c r="AT24" s="11">
        <v>12</v>
      </c>
      <c r="AU24" s="11">
        <v>12</v>
      </c>
      <c r="AV24" s="11"/>
      <c r="AW24" s="11"/>
      <c r="AX24" s="11"/>
    </row>
    <row r="25" spans="1:50" ht="19.899999999999999" customHeight="1" x14ac:dyDescent="0.3">
      <c r="A25" s="8" t="s">
        <v>381</v>
      </c>
      <c r="B25" s="8" t="s">
        <v>336</v>
      </c>
      <c r="C25" s="184" t="s">
        <v>169</v>
      </c>
      <c r="D25" s="184" t="s">
        <v>353</v>
      </c>
      <c r="E25" s="10" t="s">
        <v>357</v>
      </c>
      <c r="F25" s="130">
        <v>2670592.5874999999</v>
      </c>
      <c r="G25" s="130">
        <v>2710651.4763124995</v>
      </c>
      <c r="H25" s="130">
        <v>2751311.2484571869</v>
      </c>
      <c r="I25" s="130">
        <v>2792580.9171840446</v>
      </c>
      <c r="J25" s="130">
        <v>2834469.630941805</v>
      </c>
      <c r="K25" s="130">
        <v>2876986.6754059317</v>
      </c>
      <c r="L25" s="130">
        <v>2920141.4755370202</v>
      </c>
      <c r="M25" s="130"/>
      <c r="N25" s="130"/>
      <c r="O25" s="130"/>
      <c r="S25" s="8" t="s">
        <v>381</v>
      </c>
      <c r="T25" s="8" t="s">
        <v>336</v>
      </c>
      <c r="U25" s="184" t="s">
        <v>169</v>
      </c>
      <c r="V25" s="184" t="s">
        <v>353</v>
      </c>
      <c r="W25" s="10" t="s">
        <v>357</v>
      </c>
      <c r="X25" s="181">
        <f t="shared" si="2"/>
        <v>45.083333333333336</v>
      </c>
      <c r="Y25" s="181">
        <f t="shared" si="3"/>
        <v>35.11584896810507</v>
      </c>
      <c r="Z25" s="181">
        <f t="shared" si="4"/>
        <v>31.366666666666664</v>
      </c>
      <c r="AA25" s="181">
        <f t="shared" si="5"/>
        <v>31.337180297094893</v>
      </c>
      <c r="AB25" s="181">
        <f t="shared" si="6"/>
        <v>30.155195457503964</v>
      </c>
      <c r="AC25" s="181">
        <f t="shared" si="7"/>
        <v>28.628101619115508</v>
      </c>
      <c r="AD25" s="181">
        <f t="shared" si="8"/>
        <v>27.416666666666668</v>
      </c>
      <c r="AE25" s="133"/>
      <c r="AF25" s="133"/>
      <c r="AG25" s="133"/>
      <c r="AJ25" s="8" t="s">
        <v>381</v>
      </c>
      <c r="AK25" s="8" t="s">
        <v>336</v>
      </c>
      <c r="AL25" s="184" t="s">
        <v>169</v>
      </c>
      <c r="AM25" s="184" t="s">
        <v>353</v>
      </c>
      <c r="AN25" s="10" t="s">
        <v>357</v>
      </c>
      <c r="AO25" s="11">
        <v>541</v>
      </c>
      <c r="AP25" s="11">
        <v>421.39018761726084</v>
      </c>
      <c r="AQ25" s="11">
        <v>376.4</v>
      </c>
      <c r="AR25" s="11">
        <v>376.04616356513873</v>
      </c>
      <c r="AS25" s="11">
        <v>361.86234549004757</v>
      </c>
      <c r="AT25" s="11">
        <v>343.53721942938608</v>
      </c>
      <c r="AU25" s="11">
        <v>329</v>
      </c>
      <c r="AV25" s="11"/>
      <c r="AW25" s="11"/>
      <c r="AX25" s="11"/>
    </row>
    <row r="26" spans="1:50" ht="19.899999999999999" customHeight="1" x14ac:dyDescent="0.3">
      <c r="A26" s="8" t="s">
        <v>382</v>
      </c>
      <c r="B26" s="8" t="s">
        <v>336</v>
      </c>
      <c r="C26" s="184" t="s">
        <v>186</v>
      </c>
      <c r="D26" s="184" t="s">
        <v>358</v>
      </c>
      <c r="E26" s="10" t="s">
        <v>345</v>
      </c>
      <c r="F26" s="130">
        <v>3508024.7833333332</v>
      </c>
      <c r="G26" s="130">
        <v>3560645.1550833327</v>
      </c>
      <c r="H26" s="130">
        <v>3614054.8324095821</v>
      </c>
      <c r="I26" s="130">
        <v>3668265.6548957257</v>
      </c>
      <c r="J26" s="130">
        <v>3723289.6397191612</v>
      </c>
      <c r="K26" s="130">
        <v>3779138.9843149483</v>
      </c>
      <c r="L26" s="130">
        <v>3835826.069079672</v>
      </c>
      <c r="M26" s="130"/>
      <c r="N26" s="130"/>
      <c r="O26" s="130"/>
      <c r="S26" s="8" t="s">
        <v>382</v>
      </c>
      <c r="T26" s="8" t="s">
        <v>336</v>
      </c>
      <c r="U26" s="184" t="s">
        <v>186</v>
      </c>
      <c r="V26" s="184" t="s">
        <v>358</v>
      </c>
      <c r="W26" s="10" t="s">
        <v>345</v>
      </c>
      <c r="X26" s="181">
        <f t="shared" si="2"/>
        <v>1</v>
      </c>
      <c r="Y26" s="181">
        <f t="shared" si="3"/>
        <v>1</v>
      </c>
      <c r="Z26" s="181">
        <f t="shared" si="4"/>
        <v>1</v>
      </c>
      <c r="AA26" s="181">
        <f t="shared" si="5"/>
        <v>1</v>
      </c>
      <c r="AB26" s="181">
        <f t="shared" si="6"/>
        <v>1</v>
      </c>
      <c r="AC26" s="181">
        <f t="shared" si="7"/>
        <v>1</v>
      </c>
      <c r="AD26" s="181">
        <f t="shared" si="8"/>
        <v>1</v>
      </c>
      <c r="AE26" s="133"/>
      <c r="AF26" s="133"/>
      <c r="AG26" s="133"/>
      <c r="AJ26" s="8" t="s">
        <v>382</v>
      </c>
      <c r="AK26" s="8" t="s">
        <v>336</v>
      </c>
      <c r="AL26" s="184" t="s">
        <v>186</v>
      </c>
      <c r="AM26" s="184" t="s">
        <v>358</v>
      </c>
      <c r="AN26" s="10" t="s">
        <v>345</v>
      </c>
      <c r="AO26" s="11">
        <v>12</v>
      </c>
      <c r="AP26" s="11">
        <v>12</v>
      </c>
      <c r="AQ26" s="11">
        <v>12</v>
      </c>
      <c r="AR26" s="11">
        <v>12</v>
      </c>
      <c r="AS26" s="11">
        <v>12</v>
      </c>
      <c r="AT26" s="11">
        <v>12</v>
      </c>
      <c r="AU26" s="11">
        <v>12</v>
      </c>
      <c r="AV26" s="11"/>
      <c r="AW26" s="11"/>
      <c r="AX26" s="11"/>
    </row>
    <row r="27" spans="1:50" ht="19.899999999999999" customHeight="1" x14ac:dyDescent="0.3">
      <c r="A27" s="8" t="s">
        <v>383</v>
      </c>
      <c r="B27" s="8" t="s">
        <v>336</v>
      </c>
      <c r="C27" s="184" t="s">
        <v>169</v>
      </c>
      <c r="D27" s="184" t="s">
        <v>358</v>
      </c>
      <c r="E27" s="10" t="s">
        <v>358</v>
      </c>
      <c r="F27" s="130">
        <v>2730409.1729166666</v>
      </c>
      <c r="G27" s="130">
        <v>2771365.3105104165</v>
      </c>
      <c r="H27" s="130">
        <v>2812935.7901680726</v>
      </c>
      <c r="I27" s="130">
        <v>2855129.8270205935</v>
      </c>
      <c r="J27" s="130">
        <v>2897956.7744259019</v>
      </c>
      <c r="K27" s="130">
        <v>2941426.1260422901</v>
      </c>
      <c r="L27" s="130">
        <v>2985547.517932924</v>
      </c>
      <c r="M27" s="130"/>
      <c r="N27" s="130"/>
      <c r="O27" s="130"/>
      <c r="S27" s="8" t="s">
        <v>383</v>
      </c>
      <c r="T27" s="8" t="s">
        <v>336</v>
      </c>
      <c r="U27" s="184" t="s">
        <v>169</v>
      </c>
      <c r="V27" s="184" t="s">
        <v>358</v>
      </c>
      <c r="W27" s="10" t="s">
        <v>358</v>
      </c>
      <c r="X27" s="181">
        <f t="shared" si="2"/>
        <v>8.5833333333333339</v>
      </c>
      <c r="Y27" s="181">
        <f t="shared" si="3"/>
        <v>6.166666666666667</v>
      </c>
      <c r="Z27" s="181">
        <f t="shared" si="4"/>
        <v>5</v>
      </c>
      <c r="AA27" s="181">
        <f t="shared" si="5"/>
        <v>5</v>
      </c>
      <c r="AB27" s="181">
        <f t="shared" si="6"/>
        <v>5</v>
      </c>
      <c r="AC27" s="181">
        <f t="shared" si="7"/>
        <v>5</v>
      </c>
      <c r="AD27" s="181">
        <f t="shared" si="8"/>
        <v>5</v>
      </c>
      <c r="AE27" s="133"/>
      <c r="AF27" s="133"/>
      <c r="AG27" s="133"/>
      <c r="AJ27" s="8" t="s">
        <v>383</v>
      </c>
      <c r="AK27" s="8" t="s">
        <v>336</v>
      </c>
      <c r="AL27" s="184" t="s">
        <v>169</v>
      </c>
      <c r="AM27" s="184" t="s">
        <v>358</v>
      </c>
      <c r="AN27" s="10" t="s">
        <v>358</v>
      </c>
      <c r="AO27" s="11">
        <v>103</v>
      </c>
      <c r="AP27" s="11">
        <v>74</v>
      </c>
      <c r="AQ27" s="11">
        <v>60</v>
      </c>
      <c r="AR27" s="11">
        <v>60</v>
      </c>
      <c r="AS27" s="11">
        <v>60</v>
      </c>
      <c r="AT27" s="11">
        <v>60</v>
      </c>
      <c r="AU27" s="11">
        <v>60</v>
      </c>
      <c r="AV27" s="11"/>
      <c r="AW27" s="11"/>
      <c r="AX27" s="11"/>
    </row>
    <row r="28" spans="1:50" ht="19.899999999999999" customHeight="1" x14ac:dyDescent="0.3">
      <c r="A28" s="8" t="s">
        <v>384</v>
      </c>
      <c r="B28" s="8" t="s">
        <v>336</v>
      </c>
      <c r="C28" s="184" t="s">
        <v>169</v>
      </c>
      <c r="D28" s="184" t="s">
        <v>348</v>
      </c>
      <c r="E28" s="10" t="s">
        <v>359</v>
      </c>
      <c r="F28" s="130">
        <v>2670592.5874999999</v>
      </c>
      <c r="G28" s="130">
        <v>2710651.4763124995</v>
      </c>
      <c r="H28" s="130">
        <v>2751311.2484571869</v>
      </c>
      <c r="I28" s="130">
        <v>2792580.9171840446</v>
      </c>
      <c r="J28" s="130">
        <v>2834469.630941805</v>
      </c>
      <c r="K28" s="130">
        <v>2876986.6754059317</v>
      </c>
      <c r="L28" s="130">
        <v>2920141.4755370202</v>
      </c>
      <c r="M28" s="130"/>
      <c r="N28" s="130"/>
      <c r="O28" s="130"/>
      <c r="S28" s="8" t="s">
        <v>384</v>
      </c>
      <c r="T28" s="8" t="s">
        <v>336</v>
      </c>
      <c r="U28" s="184" t="s">
        <v>169</v>
      </c>
      <c r="V28" s="184" t="s">
        <v>348</v>
      </c>
      <c r="W28" s="10" t="s">
        <v>359</v>
      </c>
      <c r="X28" s="181">
        <f t="shared" si="2"/>
        <v>0</v>
      </c>
      <c r="Y28" s="181">
        <f t="shared" si="3"/>
        <v>0</v>
      </c>
      <c r="Z28" s="181">
        <f t="shared" si="4"/>
        <v>0</v>
      </c>
      <c r="AA28" s="181">
        <f t="shared" si="5"/>
        <v>0</v>
      </c>
      <c r="AB28" s="181">
        <f t="shared" si="6"/>
        <v>0</v>
      </c>
      <c r="AC28" s="181">
        <f t="shared" si="7"/>
        <v>0</v>
      </c>
      <c r="AD28" s="181">
        <f t="shared" si="8"/>
        <v>0</v>
      </c>
      <c r="AE28" s="133"/>
      <c r="AF28" s="133"/>
      <c r="AG28" s="133"/>
      <c r="AJ28" s="8" t="s">
        <v>384</v>
      </c>
      <c r="AK28" s="8" t="s">
        <v>336</v>
      </c>
      <c r="AL28" s="184" t="s">
        <v>169</v>
      </c>
      <c r="AM28" s="184" t="s">
        <v>348</v>
      </c>
      <c r="AN28" s="10" t="s">
        <v>359</v>
      </c>
      <c r="AO28" s="11">
        <v>0</v>
      </c>
      <c r="AP28" s="11">
        <v>0</v>
      </c>
      <c r="AQ28" s="11">
        <v>0</v>
      </c>
      <c r="AR28" s="11">
        <v>0</v>
      </c>
      <c r="AS28" s="11">
        <v>0</v>
      </c>
      <c r="AT28" s="11">
        <v>0</v>
      </c>
      <c r="AU28" s="11">
        <v>0</v>
      </c>
      <c r="AV28" s="11"/>
      <c r="AW28" s="11"/>
      <c r="AX28" s="11"/>
    </row>
    <row r="29" spans="1:50" ht="19.899999999999999" customHeight="1" x14ac:dyDescent="0.3">
      <c r="A29" s="8" t="s">
        <v>420</v>
      </c>
      <c r="B29" s="8" t="s">
        <v>336</v>
      </c>
      <c r="C29" s="184" t="s">
        <v>186</v>
      </c>
      <c r="D29" s="184" t="s">
        <v>337</v>
      </c>
      <c r="E29" s="10" t="s">
        <v>416</v>
      </c>
      <c r="F29" s="130">
        <v>0</v>
      </c>
      <c r="G29" s="130">
        <v>0</v>
      </c>
      <c r="H29" s="130">
        <v>0</v>
      </c>
      <c r="I29" s="130">
        <v>0</v>
      </c>
      <c r="J29" s="130">
        <v>0</v>
      </c>
      <c r="K29" s="130">
        <v>0</v>
      </c>
      <c r="L29" s="130">
        <v>0</v>
      </c>
      <c r="M29" s="130"/>
      <c r="N29" s="130"/>
      <c r="O29" s="130"/>
      <c r="S29" s="8" t="s">
        <v>420</v>
      </c>
      <c r="T29" s="8" t="s">
        <v>336</v>
      </c>
      <c r="U29" s="184" t="s">
        <v>186</v>
      </c>
      <c r="V29" s="184" t="s">
        <v>337</v>
      </c>
      <c r="W29" s="10" t="s">
        <v>416</v>
      </c>
      <c r="X29" s="181">
        <f>AO29/12</f>
        <v>0</v>
      </c>
      <c r="Y29" s="181">
        <f t="shared" si="3"/>
        <v>0</v>
      </c>
      <c r="Z29" s="181">
        <f t="shared" si="4"/>
        <v>0</v>
      </c>
      <c r="AA29" s="181">
        <f t="shared" si="5"/>
        <v>0</v>
      </c>
      <c r="AB29" s="181">
        <f t="shared" si="6"/>
        <v>0</v>
      </c>
      <c r="AC29" s="181">
        <f t="shared" si="7"/>
        <v>0</v>
      </c>
      <c r="AD29" s="181">
        <f t="shared" si="8"/>
        <v>0</v>
      </c>
      <c r="AE29" s="133"/>
      <c r="AF29" s="133"/>
      <c r="AG29" s="133"/>
      <c r="AJ29" s="8" t="s">
        <v>420</v>
      </c>
      <c r="AK29" s="8" t="s">
        <v>336</v>
      </c>
      <c r="AL29" s="184" t="s">
        <v>186</v>
      </c>
      <c r="AM29" s="184" t="s">
        <v>337</v>
      </c>
      <c r="AN29" s="10" t="s">
        <v>416</v>
      </c>
      <c r="AO29" s="11">
        <v>0</v>
      </c>
      <c r="AP29" s="11">
        <v>0</v>
      </c>
      <c r="AQ29" s="11">
        <v>0</v>
      </c>
      <c r="AR29" s="11">
        <v>0</v>
      </c>
      <c r="AS29" s="11">
        <v>0</v>
      </c>
      <c r="AT29" s="11">
        <v>0</v>
      </c>
      <c r="AU29" s="11">
        <v>0</v>
      </c>
      <c r="AV29" s="11"/>
      <c r="AW29" s="11"/>
      <c r="AX29" s="11"/>
    </row>
    <row r="30" spans="1:50" ht="19.899999999999999" customHeight="1" x14ac:dyDescent="0.3">
      <c r="A30" s="8" t="s">
        <v>421</v>
      </c>
      <c r="B30" s="8" t="s">
        <v>336</v>
      </c>
      <c r="C30" s="184" t="s">
        <v>186</v>
      </c>
      <c r="D30" s="184" t="s">
        <v>337</v>
      </c>
      <c r="E30" s="10" t="s">
        <v>417</v>
      </c>
      <c r="F30" s="130">
        <v>7723753.8962499993</v>
      </c>
      <c r="G30" s="130">
        <v>7839610.2046937486</v>
      </c>
      <c r="H30" s="130">
        <v>7957204.3577641537</v>
      </c>
      <c r="I30" s="130">
        <v>8076562.4231306156</v>
      </c>
      <c r="J30" s="130">
        <v>8197710.859477574</v>
      </c>
      <c r="K30" s="130">
        <v>8320676.5223697368</v>
      </c>
      <c r="L30" s="130">
        <v>8445486.670205282</v>
      </c>
      <c r="M30" s="130"/>
      <c r="N30" s="130"/>
      <c r="O30" s="130"/>
      <c r="S30" s="8" t="s">
        <v>421</v>
      </c>
      <c r="T30" s="8" t="s">
        <v>336</v>
      </c>
      <c r="U30" s="184" t="s">
        <v>186</v>
      </c>
      <c r="V30" s="184" t="s">
        <v>337</v>
      </c>
      <c r="W30" s="10" t="s">
        <v>417</v>
      </c>
      <c r="X30" s="181">
        <f t="shared" ref="X30:X32" si="9">AO30/12</f>
        <v>0</v>
      </c>
      <c r="Y30" s="181">
        <f t="shared" ref="Y30:Y32" si="10">AP30/12</f>
        <v>0</v>
      </c>
      <c r="Z30" s="181">
        <f t="shared" ref="Z30:Z32" si="11">AQ30/12</f>
        <v>0</v>
      </c>
      <c r="AA30" s="181">
        <f t="shared" ref="AA30:AA32" si="12">AR30/12</f>
        <v>0</v>
      </c>
      <c r="AB30" s="181">
        <f t="shared" ref="AB30:AB32" si="13">AS30/12</f>
        <v>0</v>
      </c>
      <c r="AC30" s="181">
        <f t="shared" ref="AC30:AC32" si="14">AT30/12</f>
        <v>0</v>
      </c>
      <c r="AD30" s="181">
        <f t="shared" ref="AD30:AD32" si="15">AU30/12</f>
        <v>0</v>
      </c>
      <c r="AE30" s="133"/>
      <c r="AF30" s="133"/>
      <c r="AG30" s="133"/>
      <c r="AJ30" s="8" t="s">
        <v>421</v>
      </c>
      <c r="AK30" s="8" t="s">
        <v>336</v>
      </c>
      <c r="AL30" s="184" t="s">
        <v>186</v>
      </c>
      <c r="AM30" s="184" t="s">
        <v>337</v>
      </c>
      <c r="AN30" s="10" t="s">
        <v>417</v>
      </c>
      <c r="AO30" s="11">
        <v>0</v>
      </c>
      <c r="AP30" s="11">
        <v>0</v>
      </c>
      <c r="AQ30" s="11">
        <v>0</v>
      </c>
      <c r="AR30" s="11">
        <v>0</v>
      </c>
      <c r="AS30" s="11">
        <v>0</v>
      </c>
      <c r="AT30" s="11">
        <v>0</v>
      </c>
      <c r="AU30" s="11">
        <v>0</v>
      </c>
      <c r="AV30" s="11"/>
      <c r="AW30" s="11"/>
      <c r="AX30" s="11"/>
    </row>
    <row r="31" spans="1:50" ht="19.899999999999999" customHeight="1" x14ac:dyDescent="0.3">
      <c r="A31" s="8" t="s">
        <v>422</v>
      </c>
      <c r="B31" s="8" t="s">
        <v>336</v>
      </c>
      <c r="C31" s="184" t="s">
        <v>428</v>
      </c>
      <c r="D31" s="186" t="s">
        <v>426</v>
      </c>
      <c r="E31" s="10" t="s">
        <v>418</v>
      </c>
      <c r="F31" s="130">
        <v>6597500</v>
      </c>
      <c r="G31" s="130">
        <v>6696462.3251540596</v>
      </c>
      <c r="H31" s="130">
        <v>6597499.8277379908</v>
      </c>
      <c r="I31" s="130">
        <v>6499999.8302837359</v>
      </c>
      <c r="J31" s="130">
        <v>6403940.7194913654</v>
      </c>
      <c r="K31" s="130">
        <v>6309301.2014693264</v>
      </c>
      <c r="L31" s="130">
        <v>6216060.2970141154</v>
      </c>
      <c r="M31" s="130"/>
      <c r="N31" s="130"/>
      <c r="O31" s="130"/>
      <c r="S31" s="8" t="s">
        <v>422</v>
      </c>
      <c r="T31" s="8" t="s">
        <v>336</v>
      </c>
      <c r="U31" s="184" t="s">
        <v>428</v>
      </c>
      <c r="V31" s="186" t="s">
        <v>426</v>
      </c>
      <c r="W31" s="10" t="s">
        <v>418</v>
      </c>
      <c r="X31" s="181">
        <f t="shared" si="9"/>
        <v>0.83333333333333337</v>
      </c>
      <c r="Y31" s="181">
        <f t="shared" si="10"/>
        <v>0</v>
      </c>
      <c r="Z31" s="181">
        <f t="shared" si="11"/>
        <v>0</v>
      </c>
      <c r="AA31" s="181">
        <f t="shared" si="12"/>
        <v>0</v>
      </c>
      <c r="AB31" s="181">
        <f t="shared" si="13"/>
        <v>0</v>
      </c>
      <c r="AC31" s="181">
        <f t="shared" si="14"/>
        <v>0</v>
      </c>
      <c r="AD31" s="181">
        <f t="shared" si="15"/>
        <v>0</v>
      </c>
      <c r="AE31" s="133"/>
      <c r="AF31" s="133"/>
      <c r="AG31" s="133"/>
      <c r="AJ31" s="8" t="s">
        <v>422</v>
      </c>
      <c r="AK31" s="8" t="s">
        <v>336</v>
      </c>
      <c r="AL31" s="184" t="s">
        <v>428</v>
      </c>
      <c r="AM31" s="186" t="s">
        <v>426</v>
      </c>
      <c r="AN31" s="10" t="s">
        <v>418</v>
      </c>
      <c r="AO31" s="11">
        <v>10</v>
      </c>
      <c r="AP31" s="11">
        <v>0</v>
      </c>
      <c r="AQ31" s="11">
        <v>0</v>
      </c>
      <c r="AR31" s="11">
        <v>0</v>
      </c>
      <c r="AS31" s="11">
        <v>0</v>
      </c>
      <c r="AT31" s="11">
        <v>0</v>
      </c>
      <c r="AU31" s="11">
        <v>0</v>
      </c>
      <c r="AV31" s="11"/>
      <c r="AW31" s="11"/>
      <c r="AX31" s="11"/>
    </row>
    <row r="32" spans="1:50" ht="19.899999999999999" customHeight="1" x14ac:dyDescent="0.3">
      <c r="A32" s="8" t="s">
        <v>423</v>
      </c>
      <c r="B32" s="8" t="s">
        <v>336</v>
      </c>
      <c r="C32" s="184" t="s">
        <v>428</v>
      </c>
      <c r="D32" s="186" t="s">
        <v>426</v>
      </c>
      <c r="E32" s="10" t="s">
        <v>419</v>
      </c>
      <c r="F32" s="130">
        <v>6000000</v>
      </c>
      <c r="G32" s="130">
        <v>6089999.9999999991</v>
      </c>
      <c r="H32" s="130">
        <v>6181349.9999999981</v>
      </c>
      <c r="I32" s="130">
        <v>6274070.2499999972</v>
      </c>
      <c r="J32" s="130">
        <v>6368181.3037499962</v>
      </c>
      <c r="K32" s="130">
        <v>6463704.0233062459</v>
      </c>
      <c r="L32" s="130">
        <v>6560659.5836558389</v>
      </c>
      <c r="M32" s="130"/>
      <c r="N32" s="130"/>
      <c r="O32" s="130"/>
      <c r="S32" s="8" t="s">
        <v>423</v>
      </c>
      <c r="T32" s="8" t="s">
        <v>336</v>
      </c>
      <c r="U32" s="184" t="s">
        <v>428</v>
      </c>
      <c r="V32" s="186" t="s">
        <v>426</v>
      </c>
      <c r="W32" s="10" t="s">
        <v>419</v>
      </c>
      <c r="X32" s="181">
        <f t="shared" si="9"/>
        <v>0.33333333333333331</v>
      </c>
      <c r="Y32" s="181">
        <f t="shared" si="10"/>
        <v>2</v>
      </c>
      <c r="Z32" s="181">
        <f t="shared" si="11"/>
        <v>2</v>
      </c>
      <c r="AA32" s="181">
        <f t="shared" si="12"/>
        <v>2</v>
      </c>
      <c r="AB32" s="181">
        <f t="shared" si="13"/>
        <v>1</v>
      </c>
      <c r="AC32" s="181">
        <f t="shared" si="14"/>
        <v>1</v>
      </c>
      <c r="AD32" s="181">
        <f t="shared" si="15"/>
        <v>1</v>
      </c>
      <c r="AE32" s="133"/>
      <c r="AF32" s="133"/>
      <c r="AG32" s="133"/>
      <c r="AJ32" s="8" t="s">
        <v>423</v>
      </c>
      <c r="AK32" s="8" t="s">
        <v>336</v>
      </c>
      <c r="AL32" s="184" t="s">
        <v>428</v>
      </c>
      <c r="AM32" s="186" t="s">
        <v>426</v>
      </c>
      <c r="AN32" s="10" t="s">
        <v>419</v>
      </c>
      <c r="AO32" s="11">
        <v>4</v>
      </c>
      <c r="AP32" s="11">
        <v>24</v>
      </c>
      <c r="AQ32" s="11">
        <v>24</v>
      </c>
      <c r="AR32" s="11">
        <v>24</v>
      </c>
      <c r="AS32" s="11">
        <v>12</v>
      </c>
      <c r="AT32" s="11">
        <v>12</v>
      </c>
      <c r="AU32" s="11">
        <v>12</v>
      </c>
      <c r="AV32" s="11"/>
      <c r="AW32" s="11"/>
      <c r="AX32" s="11"/>
    </row>
    <row r="33" spans="1:50" ht="19.899999999999999" customHeight="1" x14ac:dyDescent="0.3">
      <c r="A33" s="128"/>
      <c r="B33" s="128"/>
      <c r="C33" s="129"/>
      <c r="D33" s="129"/>
      <c r="E33" s="128"/>
      <c r="F33" s="130"/>
      <c r="G33" s="130"/>
      <c r="H33" s="130"/>
      <c r="I33" s="130"/>
      <c r="J33" s="130"/>
      <c r="K33" s="130"/>
      <c r="L33" s="130"/>
      <c r="M33" s="130"/>
      <c r="N33" s="130"/>
      <c r="O33" s="130"/>
      <c r="S33" s="128"/>
      <c r="T33" s="129"/>
      <c r="U33" s="129"/>
      <c r="V33" s="128"/>
      <c r="W33" s="128"/>
      <c r="X33" s="133"/>
      <c r="Y33" s="133"/>
      <c r="Z33" s="133"/>
      <c r="AA33" s="133"/>
      <c r="AB33" s="133"/>
      <c r="AC33" s="133"/>
      <c r="AD33" s="133"/>
      <c r="AE33" s="133"/>
      <c r="AF33" s="133"/>
      <c r="AG33" s="133"/>
      <c r="AJ33" s="8"/>
      <c r="AK33" s="8"/>
      <c r="AL33" s="184"/>
      <c r="AM33" s="184"/>
      <c r="AN33" s="10"/>
      <c r="AO33" s="11"/>
      <c r="AP33" s="11"/>
      <c r="AQ33" s="11"/>
      <c r="AR33" s="11"/>
      <c r="AS33" s="11"/>
      <c r="AT33" s="11"/>
      <c r="AU33" s="11"/>
      <c r="AV33" s="11"/>
      <c r="AW33" s="11"/>
      <c r="AX33" s="11"/>
    </row>
    <row r="34" spans="1:50" ht="19.899999999999999" customHeight="1" x14ac:dyDescent="0.3">
      <c r="A34" s="128"/>
      <c r="B34" s="128"/>
      <c r="C34" s="129"/>
      <c r="D34" s="129"/>
      <c r="E34" s="128"/>
      <c r="F34" s="130"/>
      <c r="G34" s="130"/>
      <c r="H34" s="130"/>
      <c r="I34" s="130"/>
      <c r="J34" s="130"/>
      <c r="K34" s="130"/>
      <c r="L34" s="130"/>
      <c r="M34" s="130"/>
      <c r="N34" s="130"/>
      <c r="O34" s="130"/>
      <c r="S34" s="128"/>
      <c r="T34" s="129"/>
      <c r="U34" s="129"/>
      <c r="V34" s="128"/>
      <c r="W34" s="128"/>
      <c r="X34" s="133"/>
      <c r="Y34" s="133"/>
      <c r="Z34" s="133"/>
      <c r="AA34" s="133"/>
      <c r="AB34" s="133"/>
      <c r="AC34" s="133"/>
      <c r="AD34" s="133"/>
      <c r="AE34" s="133"/>
      <c r="AF34" s="133"/>
      <c r="AG34" s="133"/>
      <c r="AJ34" s="8"/>
      <c r="AK34" s="8"/>
      <c r="AL34" s="184"/>
      <c r="AM34" s="184"/>
      <c r="AN34" s="10"/>
      <c r="AO34" s="11"/>
      <c r="AP34" s="11"/>
      <c r="AQ34" s="11"/>
      <c r="AR34" s="11"/>
      <c r="AS34" s="11"/>
      <c r="AT34" s="11"/>
      <c r="AU34" s="11"/>
      <c r="AV34" s="11"/>
      <c r="AW34" s="11"/>
      <c r="AX34" s="11"/>
    </row>
    <row r="35" spans="1:50" ht="19.899999999999999" customHeight="1" x14ac:dyDescent="0.3">
      <c r="A35" s="128"/>
      <c r="B35" s="128"/>
      <c r="C35" s="129"/>
      <c r="D35" s="129"/>
      <c r="E35" s="128"/>
      <c r="F35" s="130"/>
      <c r="G35" s="130"/>
      <c r="H35" s="130"/>
      <c r="I35" s="130"/>
      <c r="J35" s="130"/>
      <c r="K35" s="130"/>
      <c r="L35" s="130"/>
      <c r="M35" s="130"/>
      <c r="N35" s="130"/>
      <c r="O35" s="130"/>
      <c r="S35" s="128"/>
      <c r="T35" s="129"/>
      <c r="U35" s="129"/>
      <c r="V35" s="128"/>
      <c r="W35" s="128"/>
      <c r="X35" s="133"/>
      <c r="Y35" s="133"/>
      <c r="Z35" s="133"/>
      <c r="AA35" s="133"/>
      <c r="AB35" s="133"/>
      <c r="AC35" s="133"/>
      <c r="AD35" s="133"/>
      <c r="AE35" s="133"/>
      <c r="AF35" s="133"/>
      <c r="AG35" s="133"/>
      <c r="AJ35" s="8"/>
      <c r="AK35" s="8"/>
      <c r="AL35" s="184"/>
      <c r="AM35" s="184"/>
      <c r="AN35" s="10"/>
      <c r="AO35" s="11"/>
      <c r="AP35" s="11"/>
      <c r="AQ35" s="11"/>
      <c r="AR35" s="11"/>
      <c r="AS35" s="11"/>
      <c r="AT35" s="11"/>
      <c r="AU35" s="11"/>
      <c r="AV35" s="11"/>
      <c r="AW35" s="11"/>
      <c r="AX35" s="11"/>
    </row>
    <row r="36" spans="1:50" ht="19.899999999999999" customHeight="1" x14ac:dyDescent="0.3">
      <c r="A36" s="128"/>
      <c r="B36" s="128"/>
      <c r="C36" s="129"/>
      <c r="D36" s="129"/>
      <c r="E36" s="128"/>
      <c r="F36" s="130"/>
      <c r="G36" s="130"/>
      <c r="H36" s="130"/>
      <c r="I36" s="130"/>
      <c r="J36" s="130"/>
      <c r="K36" s="130"/>
      <c r="L36" s="130"/>
      <c r="M36" s="130"/>
      <c r="N36" s="130"/>
      <c r="O36" s="130"/>
      <c r="S36" s="128"/>
      <c r="T36" s="129"/>
      <c r="U36" s="129"/>
      <c r="V36" s="128"/>
      <c r="W36" s="128"/>
      <c r="X36" s="133"/>
      <c r="Y36" s="133"/>
      <c r="Z36" s="133"/>
      <c r="AA36" s="133"/>
      <c r="AB36" s="133"/>
      <c r="AC36" s="133"/>
      <c r="AD36" s="133"/>
      <c r="AE36" s="133"/>
      <c r="AF36" s="133"/>
      <c r="AG36" s="133"/>
      <c r="AJ36" s="8"/>
      <c r="AK36" s="8"/>
      <c r="AL36" s="184"/>
      <c r="AM36" s="184"/>
      <c r="AN36" s="10"/>
      <c r="AO36" s="11"/>
      <c r="AP36" s="11"/>
      <c r="AQ36" s="11"/>
      <c r="AR36" s="11"/>
      <c r="AS36" s="11"/>
      <c r="AT36" s="11"/>
      <c r="AU36" s="11"/>
      <c r="AV36" s="11"/>
      <c r="AW36" s="11"/>
      <c r="AX36" s="11"/>
    </row>
    <row r="37" spans="1:50" ht="19.899999999999999" customHeight="1" x14ac:dyDescent="0.3">
      <c r="A37" s="128"/>
      <c r="B37" s="128"/>
      <c r="C37" s="129"/>
      <c r="D37" s="129"/>
      <c r="E37" s="128"/>
      <c r="F37" s="130"/>
      <c r="G37" s="130"/>
      <c r="H37" s="130"/>
      <c r="I37" s="130"/>
      <c r="J37" s="130"/>
      <c r="K37" s="130"/>
      <c r="L37" s="130"/>
      <c r="M37" s="130"/>
      <c r="N37" s="130"/>
      <c r="O37" s="130"/>
      <c r="S37" s="128"/>
      <c r="T37" s="129"/>
      <c r="U37" s="129"/>
      <c r="V37" s="128"/>
      <c r="W37" s="128"/>
      <c r="X37" s="133"/>
      <c r="Y37" s="133"/>
      <c r="Z37" s="133"/>
      <c r="AA37" s="133"/>
      <c r="AB37" s="133"/>
      <c r="AC37" s="133"/>
      <c r="AD37" s="133"/>
      <c r="AE37" s="133"/>
      <c r="AF37" s="133"/>
      <c r="AG37" s="133"/>
      <c r="AJ37" s="8"/>
      <c r="AK37" s="8"/>
      <c r="AL37" s="184"/>
      <c r="AM37" s="184"/>
      <c r="AN37" s="10"/>
      <c r="AO37" s="11"/>
      <c r="AP37" s="11"/>
      <c r="AQ37" s="11"/>
      <c r="AR37" s="11"/>
      <c r="AS37" s="11"/>
      <c r="AT37" s="11"/>
      <c r="AU37" s="11"/>
      <c r="AV37" s="11"/>
      <c r="AW37" s="11"/>
      <c r="AX37" s="11"/>
    </row>
    <row r="38" spans="1:50" ht="19.899999999999999" customHeight="1" x14ac:dyDescent="0.3">
      <c r="A38" s="128"/>
      <c r="B38" s="128"/>
      <c r="C38" s="129"/>
      <c r="D38" s="129"/>
      <c r="E38" s="128"/>
      <c r="F38" s="130"/>
      <c r="G38" s="130"/>
      <c r="H38" s="130"/>
      <c r="I38" s="130"/>
      <c r="J38" s="130"/>
      <c r="K38" s="130"/>
      <c r="L38" s="130"/>
      <c r="M38" s="130"/>
      <c r="N38" s="130"/>
      <c r="O38" s="130"/>
      <c r="S38" s="128"/>
      <c r="T38" s="129"/>
      <c r="U38" s="129"/>
      <c r="V38" s="128"/>
      <c r="W38" s="128"/>
      <c r="X38" s="133"/>
      <c r="Y38" s="133"/>
      <c r="Z38" s="133"/>
      <c r="AA38" s="133"/>
      <c r="AB38" s="133"/>
      <c r="AC38" s="133"/>
      <c r="AD38" s="133"/>
      <c r="AE38" s="133"/>
      <c r="AF38" s="133"/>
      <c r="AG38" s="133"/>
      <c r="AJ38" s="8"/>
      <c r="AK38" s="8"/>
      <c r="AL38" s="184"/>
      <c r="AM38" s="184"/>
      <c r="AN38" s="10"/>
      <c r="AO38" s="11"/>
      <c r="AP38" s="11"/>
      <c r="AQ38" s="11"/>
      <c r="AR38" s="11"/>
      <c r="AS38" s="11"/>
      <c r="AT38" s="11"/>
      <c r="AU38" s="11"/>
      <c r="AV38" s="11"/>
      <c r="AW38" s="11"/>
      <c r="AX38" s="11"/>
    </row>
    <row r="39" spans="1:50" ht="19.899999999999999" customHeight="1" x14ac:dyDescent="0.3">
      <c r="A39" s="128"/>
      <c r="B39" s="128"/>
      <c r="C39" s="129"/>
      <c r="D39" s="129"/>
      <c r="E39" s="128"/>
      <c r="F39" s="130"/>
      <c r="G39" s="130"/>
      <c r="H39" s="130"/>
      <c r="I39" s="130"/>
      <c r="J39" s="130"/>
      <c r="K39" s="130"/>
      <c r="L39" s="130"/>
      <c r="M39" s="130"/>
      <c r="N39" s="130"/>
      <c r="O39" s="130"/>
      <c r="S39" s="128"/>
      <c r="T39" s="129"/>
      <c r="U39" s="129"/>
      <c r="V39" s="128"/>
      <c r="W39" s="128"/>
      <c r="X39" s="133"/>
      <c r="Y39" s="133"/>
      <c r="Z39" s="133"/>
      <c r="AA39" s="133"/>
      <c r="AB39" s="133"/>
      <c r="AC39" s="133"/>
      <c r="AD39" s="133"/>
      <c r="AE39" s="133"/>
      <c r="AF39" s="133"/>
      <c r="AG39" s="133"/>
      <c r="AJ39" s="8"/>
      <c r="AK39" s="8"/>
      <c r="AL39" s="184"/>
      <c r="AM39" s="184"/>
      <c r="AN39" s="10"/>
      <c r="AO39" s="11"/>
      <c r="AP39" s="11"/>
      <c r="AQ39" s="11"/>
      <c r="AR39" s="11"/>
      <c r="AS39" s="11"/>
      <c r="AT39" s="11"/>
      <c r="AU39" s="11"/>
      <c r="AV39" s="11"/>
      <c r="AW39" s="11"/>
      <c r="AX39" s="11"/>
    </row>
    <row r="40" spans="1:50" ht="19.899999999999999" customHeight="1" x14ac:dyDescent="0.3">
      <c r="A40" s="128"/>
      <c r="B40" s="128"/>
      <c r="C40" s="129"/>
      <c r="D40" s="129"/>
      <c r="E40" s="128"/>
      <c r="F40" s="130"/>
      <c r="G40" s="130"/>
      <c r="H40" s="130"/>
      <c r="I40" s="130"/>
      <c r="J40" s="130"/>
      <c r="K40" s="130"/>
      <c r="L40" s="130"/>
      <c r="M40" s="130"/>
      <c r="N40" s="130"/>
      <c r="O40" s="130"/>
      <c r="S40" s="128"/>
      <c r="T40" s="129"/>
      <c r="U40" s="129"/>
      <c r="V40" s="128"/>
      <c r="W40" s="128"/>
      <c r="X40" s="133"/>
      <c r="Y40" s="133"/>
      <c r="Z40" s="133"/>
      <c r="AA40" s="133"/>
      <c r="AB40" s="133"/>
      <c r="AC40" s="133"/>
      <c r="AD40" s="133"/>
      <c r="AE40" s="133"/>
      <c r="AF40" s="133"/>
      <c r="AG40" s="133"/>
      <c r="AJ40" s="8"/>
      <c r="AK40" s="8"/>
      <c r="AL40" s="184"/>
      <c r="AM40" s="184"/>
      <c r="AN40" s="10"/>
      <c r="AO40" s="11"/>
      <c r="AP40" s="11"/>
      <c r="AQ40" s="11"/>
      <c r="AR40" s="11"/>
      <c r="AS40" s="11"/>
      <c r="AT40" s="11"/>
      <c r="AU40" s="11"/>
      <c r="AV40" s="11"/>
      <c r="AW40" s="11"/>
      <c r="AX40" s="11"/>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62072-E79E-4DC9-BC01-F39526603937}">
  <sheetPr codeName="Sheet3">
    <tabColor theme="7" tint="-0.249977111117893"/>
  </sheetPr>
  <dimension ref="A1:AO34"/>
  <sheetViews>
    <sheetView zoomScale="70" zoomScaleNormal="70" workbookViewId="0">
      <selection sqref="A1:XFD1"/>
    </sheetView>
  </sheetViews>
  <sheetFormatPr defaultRowHeight="16.5" x14ac:dyDescent="0.3"/>
  <cols>
    <col min="1" max="1" width="10.625" style="378" customWidth="1"/>
    <col min="6" max="6" width="12.25" bestFit="1" customWidth="1"/>
    <col min="30" max="38" width="10.25" bestFit="1" customWidth="1"/>
    <col min="39" max="41" width="10.625" bestFit="1" customWidth="1"/>
  </cols>
  <sheetData>
    <row r="1" spans="1:41" ht="21.75" customHeight="1" thickBot="1" x14ac:dyDescent="0.35">
      <c r="A1" s="377" t="s">
        <v>325</v>
      </c>
      <c r="B1" s="125" t="s">
        <v>578</v>
      </c>
      <c r="F1" s="657"/>
    </row>
    <row r="2" spans="1:41" ht="21" thickTop="1" x14ac:dyDescent="0.3">
      <c r="A2" s="377"/>
      <c r="B2" s="656"/>
      <c r="E2" t="s">
        <v>1218</v>
      </c>
      <c r="F2">
        <v>25</v>
      </c>
      <c r="G2">
        <v>22</v>
      </c>
      <c r="H2">
        <v>24</v>
      </c>
      <c r="I2">
        <v>26</v>
      </c>
      <c r="J2">
        <v>22</v>
      </c>
      <c r="K2">
        <v>23</v>
      </c>
      <c r="L2">
        <v>25</v>
      </c>
      <c r="M2">
        <v>23</v>
      </c>
      <c r="N2">
        <v>25</v>
      </c>
      <c r="O2">
        <v>22</v>
      </c>
      <c r="P2">
        <v>22</v>
      </c>
      <c r="Q2">
        <v>22</v>
      </c>
    </row>
    <row r="3" spans="1:41" x14ac:dyDescent="0.3">
      <c r="A3" s="377"/>
    </row>
    <row r="4" spans="1:41" x14ac:dyDescent="0.3">
      <c r="A4" s="377"/>
      <c r="B4" s="650" t="s">
        <v>2</v>
      </c>
      <c r="C4" s="650" t="s">
        <v>3</v>
      </c>
      <c r="D4" s="650" t="s">
        <v>4</v>
      </c>
      <c r="E4" s="650" t="s">
        <v>580</v>
      </c>
      <c r="F4" s="653" t="s">
        <v>1182</v>
      </c>
      <c r="G4" s="653" t="s">
        <v>1183</v>
      </c>
      <c r="H4" s="653" t="s">
        <v>1184</v>
      </c>
      <c r="I4" s="653" t="s">
        <v>1185</v>
      </c>
      <c r="J4" s="653" t="s">
        <v>1186</v>
      </c>
      <c r="K4" s="653" t="s">
        <v>1187</v>
      </c>
      <c r="L4" s="653" t="s">
        <v>1188</v>
      </c>
      <c r="M4" s="653" t="s">
        <v>1189</v>
      </c>
      <c r="N4" s="653" t="s">
        <v>1190</v>
      </c>
      <c r="O4" s="653" t="s">
        <v>1191</v>
      </c>
      <c r="P4" s="653" t="s">
        <v>1192</v>
      </c>
      <c r="Q4" s="653" t="s">
        <v>1193</v>
      </c>
      <c r="R4" s="654" t="s">
        <v>1194</v>
      </c>
      <c r="S4" s="654" t="s">
        <v>1195</v>
      </c>
      <c r="T4" s="654" t="s">
        <v>1196</v>
      </c>
      <c r="U4" s="654" t="s">
        <v>1197</v>
      </c>
      <c r="V4" s="654" t="s">
        <v>1198</v>
      </c>
      <c r="W4" s="654" t="s">
        <v>1199</v>
      </c>
      <c r="X4" s="654" t="s">
        <v>1200</v>
      </c>
      <c r="Y4" s="654" t="s">
        <v>1201</v>
      </c>
      <c r="Z4" s="654" t="s">
        <v>1202</v>
      </c>
      <c r="AA4" s="654" t="s">
        <v>1203</v>
      </c>
      <c r="AB4" s="654" t="s">
        <v>1204</v>
      </c>
      <c r="AC4" s="654" t="s">
        <v>1205</v>
      </c>
      <c r="AD4" s="653" t="s">
        <v>1206</v>
      </c>
      <c r="AE4" s="653" t="s">
        <v>1207</v>
      </c>
      <c r="AF4" s="653" t="s">
        <v>1208</v>
      </c>
      <c r="AG4" s="653" t="s">
        <v>1209</v>
      </c>
      <c r="AH4" s="653" t="s">
        <v>1210</v>
      </c>
      <c r="AI4" s="653" t="s">
        <v>1211</v>
      </c>
      <c r="AJ4" s="653" t="s">
        <v>1212</v>
      </c>
      <c r="AK4" s="653" t="s">
        <v>1213</v>
      </c>
      <c r="AL4" s="653" t="s">
        <v>1214</v>
      </c>
      <c r="AM4" s="653" t="s">
        <v>1215</v>
      </c>
      <c r="AN4" s="653" t="s">
        <v>1216</v>
      </c>
      <c r="AO4" s="653" t="s">
        <v>1217</v>
      </c>
    </row>
    <row r="5" spans="1:41" x14ac:dyDescent="0.3">
      <c r="A5" s="377"/>
      <c r="B5" s="650" t="s">
        <v>1171</v>
      </c>
      <c r="C5" s="650" t="s">
        <v>1171</v>
      </c>
      <c r="D5" s="650" t="s">
        <v>1172</v>
      </c>
      <c r="E5" s="650"/>
      <c r="F5" s="651">
        <v>2</v>
      </c>
      <c r="G5" s="651">
        <v>2</v>
      </c>
      <c r="H5" s="651">
        <v>2</v>
      </c>
      <c r="I5" s="651">
        <v>2</v>
      </c>
      <c r="J5" s="651">
        <v>2</v>
      </c>
      <c r="K5" s="651">
        <v>2</v>
      </c>
      <c r="L5" s="651">
        <v>2</v>
      </c>
      <c r="M5" s="651">
        <v>2</v>
      </c>
      <c r="N5" s="651">
        <v>2</v>
      </c>
      <c r="O5" s="651">
        <v>2</v>
      </c>
      <c r="P5" s="651">
        <v>2</v>
      </c>
      <c r="Q5" s="651">
        <v>2</v>
      </c>
      <c r="R5" s="655">
        <v>0</v>
      </c>
      <c r="S5" s="655">
        <v>0</v>
      </c>
      <c r="T5" s="655">
        <v>0</v>
      </c>
      <c r="U5" s="655">
        <v>0</v>
      </c>
      <c r="V5" s="655">
        <v>0</v>
      </c>
      <c r="W5" s="655">
        <v>0</v>
      </c>
      <c r="X5" s="655">
        <v>0</v>
      </c>
      <c r="Y5" s="655">
        <v>0</v>
      </c>
      <c r="Z5" s="655">
        <v>0</v>
      </c>
      <c r="AA5" s="655">
        <v>0</v>
      </c>
      <c r="AB5" s="655">
        <v>0</v>
      </c>
      <c r="AC5" s="655">
        <v>0</v>
      </c>
      <c r="AD5" s="652">
        <v>0</v>
      </c>
      <c r="AE5" s="652">
        <v>0</v>
      </c>
      <c r="AF5" s="652">
        <v>0</v>
      </c>
      <c r="AG5" s="652">
        <v>0</v>
      </c>
      <c r="AH5" s="652">
        <v>0</v>
      </c>
      <c r="AI5" s="652">
        <v>0</v>
      </c>
      <c r="AJ5" s="652">
        <v>0</v>
      </c>
      <c r="AK5" s="652">
        <v>0</v>
      </c>
      <c r="AL5" s="652">
        <v>0</v>
      </c>
      <c r="AM5" s="652">
        <v>0</v>
      </c>
      <c r="AN5" s="652">
        <v>0</v>
      </c>
      <c r="AO5" s="652">
        <v>0</v>
      </c>
    </row>
    <row r="6" spans="1:41" x14ac:dyDescent="0.3">
      <c r="B6" s="650" t="s">
        <v>1171</v>
      </c>
      <c r="C6" s="650" t="s">
        <v>1171</v>
      </c>
      <c r="D6" s="650" t="s">
        <v>1173</v>
      </c>
      <c r="E6" s="650"/>
      <c r="F6" s="651">
        <v>12</v>
      </c>
      <c r="G6" s="651">
        <v>12</v>
      </c>
      <c r="H6" s="651">
        <v>12</v>
      </c>
      <c r="I6" s="651">
        <v>12</v>
      </c>
      <c r="J6" s="651">
        <v>12</v>
      </c>
      <c r="K6" s="651">
        <v>12</v>
      </c>
      <c r="L6" s="651">
        <v>12</v>
      </c>
      <c r="M6" s="651">
        <v>12</v>
      </c>
      <c r="N6" s="651">
        <v>12</v>
      </c>
      <c r="O6" s="651">
        <v>12</v>
      </c>
      <c r="P6" s="651">
        <v>12</v>
      </c>
      <c r="Q6" s="651">
        <v>12</v>
      </c>
      <c r="R6" s="655">
        <v>0</v>
      </c>
      <c r="S6" s="655">
        <v>0</v>
      </c>
      <c r="T6" s="655">
        <v>0</v>
      </c>
      <c r="U6" s="655">
        <v>0</v>
      </c>
      <c r="V6" s="655">
        <v>0</v>
      </c>
      <c r="W6" s="655">
        <v>0</v>
      </c>
      <c r="X6" s="655">
        <v>0</v>
      </c>
      <c r="Y6" s="655">
        <v>0</v>
      </c>
      <c r="Z6" s="655">
        <v>0</v>
      </c>
      <c r="AA6" s="655">
        <v>0</v>
      </c>
      <c r="AB6" s="655">
        <v>0</v>
      </c>
      <c r="AC6" s="655">
        <v>0</v>
      </c>
      <c r="AD6" s="652">
        <v>0</v>
      </c>
      <c r="AE6" s="652">
        <v>0</v>
      </c>
      <c r="AF6" s="652">
        <v>0</v>
      </c>
      <c r="AG6" s="652">
        <v>0</v>
      </c>
      <c r="AH6" s="652">
        <v>0</v>
      </c>
      <c r="AI6" s="652">
        <v>0</v>
      </c>
      <c r="AJ6" s="652">
        <v>0</v>
      </c>
      <c r="AK6" s="652">
        <v>0</v>
      </c>
      <c r="AL6" s="652">
        <v>0</v>
      </c>
      <c r="AM6" s="652">
        <v>0</v>
      </c>
      <c r="AN6" s="652">
        <v>0</v>
      </c>
      <c r="AO6" s="652">
        <v>0</v>
      </c>
    </row>
    <row r="7" spans="1:41" x14ac:dyDescent="0.3">
      <c r="B7" s="650" t="s">
        <v>1171</v>
      </c>
      <c r="C7" s="650" t="s">
        <v>1171</v>
      </c>
      <c r="D7" s="650" t="s">
        <v>1174</v>
      </c>
      <c r="E7" s="650"/>
      <c r="F7" s="651">
        <v>5</v>
      </c>
      <c r="G7" s="651">
        <v>5</v>
      </c>
      <c r="H7" s="651">
        <v>5</v>
      </c>
      <c r="I7" s="651">
        <v>5</v>
      </c>
      <c r="J7" s="651">
        <v>5</v>
      </c>
      <c r="K7" s="651">
        <v>5</v>
      </c>
      <c r="L7" s="651">
        <v>5</v>
      </c>
      <c r="M7" s="651">
        <v>5</v>
      </c>
      <c r="N7" s="651">
        <v>5</v>
      </c>
      <c r="O7" s="651">
        <v>5</v>
      </c>
      <c r="P7" s="651">
        <v>5</v>
      </c>
      <c r="Q7" s="651">
        <v>5</v>
      </c>
      <c r="R7" s="655">
        <v>0</v>
      </c>
      <c r="S7" s="655">
        <v>0</v>
      </c>
      <c r="T7" s="655">
        <v>0</v>
      </c>
      <c r="U7" s="655">
        <v>0</v>
      </c>
      <c r="V7" s="655">
        <v>0</v>
      </c>
      <c r="W7" s="655">
        <v>0</v>
      </c>
      <c r="X7" s="655">
        <v>0</v>
      </c>
      <c r="Y7" s="655">
        <v>0</v>
      </c>
      <c r="Z7" s="655">
        <v>0</v>
      </c>
      <c r="AA7" s="655">
        <v>0</v>
      </c>
      <c r="AB7" s="655">
        <v>0</v>
      </c>
      <c r="AC7" s="655">
        <v>0</v>
      </c>
      <c r="AD7" s="652">
        <v>0</v>
      </c>
      <c r="AE7" s="652">
        <v>0</v>
      </c>
      <c r="AF7" s="652">
        <v>0</v>
      </c>
      <c r="AG7" s="652">
        <v>0</v>
      </c>
      <c r="AH7" s="652">
        <v>0</v>
      </c>
      <c r="AI7" s="652">
        <v>0</v>
      </c>
      <c r="AJ7" s="652">
        <v>0</v>
      </c>
      <c r="AK7" s="652">
        <v>0</v>
      </c>
      <c r="AL7" s="652">
        <v>0</v>
      </c>
      <c r="AM7" s="652">
        <v>0</v>
      </c>
      <c r="AN7" s="652">
        <v>0</v>
      </c>
      <c r="AO7" s="652">
        <v>0</v>
      </c>
    </row>
    <row r="8" spans="1:41" x14ac:dyDescent="0.3">
      <c r="B8" s="650" t="s">
        <v>1171</v>
      </c>
      <c r="C8" s="650" t="s">
        <v>1171</v>
      </c>
      <c r="D8" s="650" t="s">
        <v>1175</v>
      </c>
      <c r="E8" s="650"/>
      <c r="F8" s="651">
        <v>22</v>
      </c>
      <c r="G8" s="651">
        <v>22</v>
      </c>
      <c r="H8" s="651">
        <v>22</v>
      </c>
      <c r="I8" s="651">
        <v>22</v>
      </c>
      <c r="J8" s="651">
        <v>22</v>
      </c>
      <c r="K8" s="651">
        <v>22</v>
      </c>
      <c r="L8" s="651">
        <v>22</v>
      </c>
      <c r="M8" s="651">
        <v>22</v>
      </c>
      <c r="N8" s="651">
        <v>22</v>
      </c>
      <c r="O8" s="651">
        <v>22</v>
      </c>
      <c r="P8" s="651">
        <v>22</v>
      </c>
      <c r="Q8" s="651">
        <v>22</v>
      </c>
      <c r="R8" s="655">
        <v>0</v>
      </c>
      <c r="S8" s="655">
        <v>0</v>
      </c>
      <c r="T8" s="655">
        <v>0</v>
      </c>
      <c r="U8" s="655">
        <v>0</v>
      </c>
      <c r="V8" s="655">
        <v>0</v>
      </c>
      <c r="W8" s="655">
        <v>0</v>
      </c>
      <c r="X8" s="655">
        <v>0</v>
      </c>
      <c r="Y8" s="655">
        <v>0</v>
      </c>
      <c r="Z8" s="655">
        <v>0</v>
      </c>
      <c r="AA8" s="655">
        <v>0</v>
      </c>
      <c r="AB8" s="655">
        <v>0</v>
      </c>
      <c r="AC8" s="655">
        <v>0</v>
      </c>
      <c r="AD8" s="652">
        <v>0</v>
      </c>
      <c r="AE8" s="652">
        <v>0</v>
      </c>
      <c r="AF8" s="652">
        <v>0</v>
      </c>
      <c r="AG8" s="652">
        <v>0</v>
      </c>
      <c r="AH8" s="652">
        <v>0</v>
      </c>
      <c r="AI8" s="652">
        <v>0</v>
      </c>
      <c r="AJ8" s="652">
        <v>0</v>
      </c>
      <c r="AK8" s="652">
        <v>0</v>
      </c>
      <c r="AL8" s="652">
        <v>0</v>
      </c>
      <c r="AM8" s="652">
        <v>0</v>
      </c>
      <c r="AN8" s="652">
        <v>0</v>
      </c>
      <c r="AO8" s="652">
        <v>0</v>
      </c>
    </row>
    <row r="9" spans="1:41" x14ac:dyDescent="0.3">
      <c r="B9" s="650" t="s">
        <v>1171</v>
      </c>
      <c r="C9" s="650" t="s">
        <v>1171</v>
      </c>
      <c r="D9" s="650" t="s">
        <v>1176</v>
      </c>
      <c r="E9" s="650"/>
      <c r="F9" s="651">
        <v>20</v>
      </c>
      <c r="G9" s="651">
        <v>20</v>
      </c>
      <c r="H9" s="651">
        <v>20</v>
      </c>
      <c r="I9" s="651">
        <v>20</v>
      </c>
      <c r="J9" s="651">
        <v>20</v>
      </c>
      <c r="K9" s="651">
        <v>20</v>
      </c>
      <c r="L9" s="651">
        <v>20</v>
      </c>
      <c r="M9" s="651">
        <v>20</v>
      </c>
      <c r="N9" s="651">
        <v>20</v>
      </c>
      <c r="O9" s="651">
        <v>20</v>
      </c>
      <c r="P9" s="651">
        <v>20</v>
      </c>
      <c r="Q9" s="651">
        <v>20</v>
      </c>
      <c r="R9" s="655">
        <v>0</v>
      </c>
      <c r="S9" s="655">
        <v>0</v>
      </c>
      <c r="T9" s="655">
        <v>0</v>
      </c>
      <c r="U9" s="655">
        <v>0</v>
      </c>
      <c r="V9" s="655">
        <v>0</v>
      </c>
      <c r="W9" s="655">
        <v>0</v>
      </c>
      <c r="X9" s="655">
        <v>0</v>
      </c>
      <c r="Y9" s="655">
        <v>0</v>
      </c>
      <c r="Z9" s="655">
        <v>0</v>
      </c>
      <c r="AA9" s="655">
        <v>0</v>
      </c>
      <c r="AB9" s="655">
        <v>0</v>
      </c>
      <c r="AC9" s="655">
        <v>0</v>
      </c>
      <c r="AD9" s="652">
        <v>0</v>
      </c>
      <c r="AE9" s="652">
        <v>0</v>
      </c>
      <c r="AF9" s="652">
        <v>0</v>
      </c>
      <c r="AG9" s="652">
        <v>0</v>
      </c>
      <c r="AH9" s="652">
        <v>0</v>
      </c>
      <c r="AI9" s="652">
        <v>0</v>
      </c>
      <c r="AJ9" s="652">
        <v>0</v>
      </c>
      <c r="AK9" s="652">
        <v>0</v>
      </c>
      <c r="AL9" s="652">
        <v>0</v>
      </c>
      <c r="AM9" s="652">
        <v>0</v>
      </c>
      <c r="AN9" s="652">
        <v>0</v>
      </c>
      <c r="AO9" s="652">
        <v>0</v>
      </c>
    </row>
    <row r="10" spans="1:41" x14ac:dyDescent="0.3">
      <c r="B10" s="650" t="s">
        <v>1177</v>
      </c>
      <c r="C10" s="650" t="s">
        <v>391</v>
      </c>
      <c r="D10" s="650" t="s">
        <v>1178</v>
      </c>
      <c r="E10" s="650"/>
      <c r="F10" s="652">
        <f>IFERROR(AD10/F$2/R10,0)</f>
        <v>67.414780600461896</v>
      </c>
      <c r="G10" s="652">
        <f t="shared" ref="G10:Q10" si="0">IFERROR(AE10/G$2/S10,0)</f>
        <v>76.607705227797609</v>
      </c>
      <c r="H10" s="652">
        <f t="shared" si="0"/>
        <v>70.223729792147807</v>
      </c>
      <c r="I10" s="652">
        <f t="shared" si="0"/>
        <v>64.821904423521048</v>
      </c>
      <c r="J10" s="652">
        <f t="shared" si="0"/>
        <v>76.607705227797609</v>
      </c>
      <c r="K10" s="652">
        <f t="shared" si="0"/>
        <v>73.27693543528467</v>
      </c>
      <c r="L10" s="652">
        <f t="shared" si="0"/>
        <v>67.414780600461896</v>
      </c>
      <c r="M10" s="652">
        <f t="shared" si="0"/>
        <v>73.27693543528467</v>
      </c>
      <c r="N10" s="652">
        <f t="shared" si="0"/>
        <v>67.414780600461896</v>
      </c>
      <c r="O10" s="652">
        <f t="shared" si="0"/>
        <v>76.607705227797609</v>
      </c>
      <c r="P10" s="652">
        <f t="shared" si="0"/>
        <v>76.607705227797609</v>
      </c>
      <c r="Q10" s="652">
        <f t="shared" si="0"/>
        <v>76.607705227797609</v>
      </c>
      <c r="R10" s="652">
        <v>86.6</v>
      </c>
      <c r="S10" s="652">
        <v>86.6</v>
      </c>
      <c r="T10" s="652">
        <v>86.6</v>
      </c>
      <c r="U10" s="652">
        <v>86.6</v>
      </c>
      <c r="V10" s="652">
        <v>86.6</v>
      </c>
      <c r="W10" s="652">
        <v>86.6</v>
      </c>
      <c r="X10" s="652">
        <v>86.6</v>
      </c>
      <c r="Y10" s="652">
        <v>86.6</v>
      </c>
      <c r="Z10" s="652">
        <v>86.6</v>
      </c>
      <c r="AA10" s="652">
        <v>86.6</v>
      </c>
      <c r="AB10" s="652">
        <v>86.6</v>
      </c>
      <c r="AC10" s="652">
        <v>86.6</v>
      </c>
      <c r="AD10" s="652">
        <v>145953</v>
      </c>
      <c r="AE10" s="652">
        <v>145953</v>
      </c>
      <c r="AF10" s="652">
        <v>145953</v>
      </c>
      <c r="AG10" s="652">
        <v>145953</v>
      </c>
      <c r="AH10" s="652">
        <v>145953</v>
      </c>
      <c r="AI10" s="652">
        <v>145953</v>
      </c>
      <c r="AJ10" s="652">
        <v>145953</v>
      </c>
      <c r="AK10" s="652">
        <v>145953</v>
      </c>
      <c r="AL10" s="652">
        <v>145953</v>
      </c>
      <c r="AM10" s="652">
        <v>145953</v>
      </c>
      <c r="AN10" s="652">
        <v>145953</v>
      </c>
      <c r="AO10" s="652">
        <v>145953</v>
      </c>
    </row>
    <row r="11" spans="1:41" x14ac:dyDescent="0.3">
      <c r="B11" s="650" t="s">
        <v>1177</v>
      </c>
      <c r="C11" s="650" t="s">
        <v>391</v>
      </c>
      <c r="D11" s="650" t="s">
        <v>1178</v>
      </c>
      <c r="E11" s="650"/>
      <c r="F11" s="652">
        <f t="shared" ref="F11:F21" si="1">IFERROR(AD11/F$2/R11,0)</f>
        <v>67.859269282814608</v>
      </c>
      <c r="G11" s="652">
        <f t="shared" ref="G11:G21" si="2">IFERROR(AE11/G$2/S11,0)</f>
        <v>77.112806003198429</v>
      </c>
      <c r="H11" s="652">
        <f t="shared" ref="H11:H21" si="3">IFERROR(AF11/H$2/T11,0)</f>
        <v>70.686738836265221</v>
      </c>
      <c r="I11" s="652">
        <f t="shared" ref="I11:I21" si="4">IFERROR(AG11/I$2/U11,0)</f>
        <v>65.249297387321747</v>
      </c>
      <c r="J11" s="652">
        <f t="shared" ref="J11:J21" si="5">IFERROR(AH11/J$2/V11,0)</f>
        <v>77.112806003198429</v>
      </c>
      <c r="K11" s="652">
        <f t="shared" ref="K11:K21" si="6">IFERROR(AI11/K$2/W11,0)</f>
        <v>73.760075307407178</v>
      </c>
      <c r="L11" s="652">
        <f t="shared" ref="L11:L21" si="7">IFERROR(AJ11/L$2/X11,0)</f>
        <v>67.859269282814608</v>
      </c>
      <c r="M11" s="652">
        <f t="shared" ref="M11:M21" si="8">IFERROR(AK11/M$2/Y11,0)</f>
        <v>73.760075307407178</v>
      </c>
      <c r="N11" s="652">
        <f t="shared" ref="N11:N21" si="9">IFERROR(AL11/N$2/Z11,0)</f>
        <v>67.859269282814608</v>
      </c>
      <c r="O11" s="652">
        <f t="shared" ref="O11:O21" si="10">IFERROR(AM11/O$2/AA11,0)</f>
        <v>77.112806003198429</v>
      </c>
      <c r="P11" s="652">
        <f t="shared" ref="P11:P21" si="11">IFERROR(AN11/P$2/AB11,0)</f>
        <v>77.112806003198429</v>
      </c>
      <c r="Q11" s="652">
        <f t="shared" ref="Q11:Q21" si="12">IFERROR(AO11/Q$2/AC11,0)</f>
        <v>77.112806003198429</v>
      </c>
      <c r="R11" s="652">
        <v>73.900000000000006</v>
      </c>
      <c r="S11" s="652">
        <v>73.900000000000006</v>
      </c>
      <c r="T11" s="652">
        <v>73.900000000000006</v>
      </c>
      <c r="U11" s="652">
        <v>73.900000000000006</v>
      </c>
      <c r="V11" s="652">
        <v>73.900000000000006</v>
      </c>
      <c r="W11" s="652">
        <v>73.900000000000006</v>
      </c>
      <c r="X11" s="652">
        <v>73.900000000000006</v>
      </c>
      <c r="Y11" s="652">
        <v>73.900000000000006</v>
      </c>
      <c r="Z11" s="652">
        <v>73.900000000000006</v>
      </c>
      <c r="AA11" s="652">
        <v>73.900000000000006</v>
      </c>
      <c r="AB11" s="652">
        <v>73.900000000000006</v>
      </c>
      <c r="AC11" s="652">
        <v>73.900000000000006</v>
      </c>
      <c r="AD11" s="652">
        <v>125370</v>
      </c>
      <c r="AE11" s="652">
        <v>125370</v>
      </c>
      <c r="AF11" s="652">
        <v>125370</v>
      </c>
      <c r="AG11" s="652">
        <v>125370</v>
      </c>
      <c r="AH11" s="652">
        <v>125370</v>
      </c>
      <c r="AI11" s="652">
        <v>125370</v>
      </c>
      <c r="AJ11" s="652">
        <v>125370</v>
      </c>
      <c r="AK11" s="652">
        <v>125370</v>
      </c>
      <c r="AL11" s="652">
        <v>125370</v>
      </c>
      <c r="AM11" s="652">
        <v>125370</v>
      </c>
      <c r="AN11" s="652">
        <v>125370</v>
      </c>
      <c r="AO11" s="652">
        <v>125370</v>
      </c>
    </row>
    <row r="12" spans="1:41" x14ac:dyDescent="0.3">
      <c r="B12" s="650" t="s">
        <v>1177</v>
      </c>
      <c r="C12" s="650" t="s">
        <v>391</v>
      </c>
      <c r="D12" s="650" t="s">
        <v>1179</v>
      </c>
      <c r="E12" s="650"/>
      <c r="F12" s="652">
        <f t="shared" si="1"/>
        <v>0</v>
      </c>
      <c r="G12" s="652">
        <f t="shared" si="2"/>
        <v>0</v>
      </c>
      <c r="H12" s="652">
        <f t="shared" si="3"/>
        <v>0</v>
      </c>
      <c r="I12" s="652">
        <f t="shared" si="4"/>
        <v>0</v>
      </c>
      <c r="J12" s="652">
        <f t="shared" si="5"/>
        <v>0</v>
      </c>
      <c r="K12" s="652">
        <f t="shared" si="6"/>
        <v>0</v>
      </c>
      <c r="L12" s="652">
        <f t="shared" si="7"/>
        <v>0</v>
      </c>
      <c r="M12" s="652">
        <f t="shared" si="8"/>
        <v>0</v>
      </c>
      <c r="N12" s="652">
        <f t="shared" si="9"/>
        <v>0</v>
      </c>
      <c r="O12" s="652">
        <f t="shared" si="10"/>
        <v>0</v>
      </c>
      <c r="P12" s="652">
        <f t="shared" si="11"/>
        <v>0</v>
      </c>
      <c r="Q12" s="652">
        <f t="shared" si="12"/>
        <v>0</v>
      </c>
      <c r="R12" s="652">
        <v>0</v>
      </c>
      <c r="S12" s="652">
        <v>0</v>
      </c>
      <c r="T12" s="652">
        <v>0</v>
      </c>
      <c r="U12" s="652">
        <v>0</v>
      </c>
      <c r="V12" s="652">
        <v>0</v>
      </c>
      <c r="W12" s="652">
        <v>0</v>
      </c>
      <c r="X12" s="652">
        <v>0</v>
      </c>
      <c r="Y12" s="652">
        <v>0</v>
      </c>
      <c r="Z12" s="652">
        <v>0</v>
      </c>
      <c r="AA12" s="652">
        <v>0</v>
      </c>
      <c r="AB12" s="652">
        <v>0</v>
      </c>
      <c r="AC12" s="652">
        <v>0</v>
      </c>
      <c r="AD12" s="652"/>
      <c r="AE12" s="652"/>
      <c r="AF12" s="652"/>
      <c r="AG12" s="652"/>
      <c r="AH12" s="652"/>
      <c r="AI12" s="652"/>
      <c r="AJ12" s="652"/>
      <c r="AK12" s="652"/>
      <c r="AL12" s="652"/>
      <c r="AM12" s="652"/>
      <c r="AN12" s="652"/>
      <c r="AO12" s="652"/>
    </row>
    <row r="13" spans="1:41" x14ac:dyDescent="0.3">
      <c r="B13" s="650" t="s">
        <v>1177</v>
      </c>
      <c r="C13" s="650" t="s">
        <v>391</v>
      </c>
      <c r="D13" s="650" t="s">
        <v>1179</v>
      </c>
      <c r="E13" s="650"/>
      <c r="F13" s="652">
        <f t="shared" si="1"/>
        <v>0</v>
      </c>
      <c r="G13" s="652">
        <f t="shared" si="2"/>
        <v>0</v>
      </c>
      <c r="H13" s="652">
        <f t="shared" si="3"/>
        <v>0</v>
      </c>
      <c r="I13" s="652">
        <f t="shared" si="4"/>
        <v>0</v>
      </c>
      <c r="J13" s="652">
        <f t="shared" si="5"/>
        <v>0</v>
      </c>
      <c r="K13" s="652">
        <f t="shared" si="6"/>
        <v>0</v>
      </c>
      <c r="L13" s="652">
        <f t="shared" si="7"/>
        <v>0</v>
      </c>
      <c r="M13" s="652">
        <f t="shared" si="8"/>
        <v>0</v>
      </c>
      <c r="N13" s="652">
        <f t="shared" si="9"/>
        <v>0</v>
      </c>
      <c r="O13" s="652">
        <f t="shared" si="10"/>
        <v>0</v>
      </c>
      <c r="P13" s="652">
        <f t="shared" si="11"/>
        <v>0</v>
      </c>
      <c r="Q13" s="652">
        <f t="shared" si="12"/>
        <v>0</v>
      </c>
      <c r="R13" s="652">
        <v>0</v>
      </c>
      <c r="S13" s="652">
        <v>0</v>
      </c>
      <c r="T13" s="652">
        <v>0</v>
      </c>
      <c r="U13" s="652">
        <v>0</v>
      </c>
      <c r="V13" s="652">
        <v>0</v>
      </c>
      <c r="W13" s="652">
        <v>0</v>
      </c>
      <c r="X13" s="652">
        <v>0</v>
      </c>
      <c r="Y13" s="652">
        <v>0</v>
      </c>
      <c r="Z13" s="652">
        <v>0</v>
      </c>
      <c r="AA13" s="652">
        <v>0</v>
      </c>
      <c r="AB13" s="652">
        <v>0</v>
      </c>
      <c r="AC13" s="652">
        <v>0</v>
      </c>
      <c r="AD13" s="652"/>
      <c r="AE13" s="652"/>
      <c r="AF13" s="652"/>
      <c r="AG13" s="652"/>
      <c r="AH13" s="652"/>
      <c r="AI13" s="652"/>
      <c r="AJ13" s="652"/>
      <c r="AK13" s="652"/>
      <c r="AL13" s="652"/>
      <c r="AM13" s="652"/>
      <c r="AN13" s="652"/>
      <c r="AO13" s="652"/>
    </row>
    <row r="14" spans="1:41" x14ac:dyDescent="0.3">
      <c r="B14" s="650" t="s">
        <v>1177</v>
      </c>
      <c r="C14" s="650" t="s">
        <v>391</v>
      </c>
      <c r="D14" s="650" t="s">
        <v>1180</v>
      </c>
      <c r="E14" s="650"/>
      <c r="F14" s="652">
        <f t="shared" si="1"/>
        <v>4.034782608695652</v>
      </c>
      <c r="G14" s="652">
        <f t="shared" si="2"/>
        <v>4.5849802371541504</v>
      </c>
      <c r="H14" s="652">
        <f t="shared" si="3"/>
        <v>4.2028985507246377</v>
      </c>
      <c r="I14" s="652">
        <f t="shared" si="4"/>
        <v>3.8795986622073575</v>
      </c>
      <c r="J14" s="652">
        <f t="shared" si="5"/>
        <v>4.5849802371541504</v>
      </c>
      <c r="K14" s="652">
        <f t="shared" si="6"/>
        <v>4.3856332703213612</v>
      </c>
      <c r="L14" s="652">
        <f t="shared" si="7"/>
        <v>4.034782608695652</v>
      </c>
      <c r="M14" s="652">
        <f t="shared" si="8"/>
        <v>4.3856332703213612</v>
      </c>
      <c r="N14" s="652">
        <f t="shared" si="9"/>
        <v>4.034782608695652</v>
      </c>
      <c r="O14" s="652">
        <f t="shared" si="10"/>
        <v>4.5849802371541504</v>
      </c>
      <c r="P14" s="652">
        <f t="shared" si="11"/>
        <v>4.5849802371541504</v>
      </c>
      <c r="Q14" s="652">
        <f t="shared" si="12"/>
        <v>4.5849802371541504</v>
      </c>
      <c r="R14" s="652">
        <v>23</v>
      </c>
      <c r="S14" s="652">
        <v>23</v>
      </c>
      <c r="T14" s="652">
        <v>23</v>
      </c>
      <c r="U14" s="652">
        <v>23</v>
      </c>
      <c r="V14" s="652">
        <v>23</v>
      </c>
      <c r="W14" s="652">
        <v>23</v>
      </c>
      <c r="X14" s="652">
        <v>23</v>
      </c>
      <c r="Y14" s="652">
        <v>23</v>
      </c>
      <c r="Z14" s="652">
        <v>23</v>
      </c>
      <c r="AA14" s="652">
        <v>23</v>
      </c>
      <c r="AB14" s="652">
        <v>23</v>
      </c>
      <c r="AC14" s="652">
        <v>23</v>
      </c>
      <c r="AD14" s="652">
        <v>2320</v>
      </c>
      <c r="AE14" s="652">
        <v>2320</v>
      </c>
      <c r="AF14" s="652">
        <v>2320</v>
      </c>
      <c r="AG14" s="652">
        <v>2320</v>
      </c>
      <c r="AH14" s="652">
        <v>2320</v>
      </c>
      <c r="AI14" s="652">
        <v>2320</v>
      </c>
      <c r="AJ14" s="652">
        <v>2320</v>
      </c>
      <c r="AK14" s="652">
        <v>2320</v>
      </c>
      <c r="AL14" s="652">
        <v>2320</v>
      </c>
      <c r="AM14" s="652">
        <v>2320</v>
      </c>
      <c r="AN14" s="652">
        <v>2320</v>
      </c>
      <c r="AO14" s="652">
        <v>2320</v>
      </c>
    </row>
    <row r="15" spans="1:41" x14ac:dyDescent="0.3">
      <c r="B15" s="650" t="s">
        <v>1177</v>
      </c>
      <c r="C15" s="650" t="s">
        <v>391</v>
      </c>
      <c r="D15" s="650" t="s">
        <v>1180</v>
      </c>
      <c r="E15" s="650"/>
      <c r="F15" s="652">
        <f t="shared" si="1"/>
        <v>2.2250226654578422</v>
      </c>
      <c r="G15" s="652">
        <f t="shared" si="2"/>
        <v>2.5284348471111842</v>
      </c>
      <c r="H15" s="652">
        <f t="shared" si="3"/>
        <v>2.3177319431852523</v>
      </c>
      <c r="I15" s="652">
        <f t="shared" si="4"/>
        <v>2.1394448706325409</v>
      </c>
      <c r="J15" s="652">
        <f t="shared" si="5"/>
        <v>2.5284348471111842</v>
      </c>
      <c r="K15" s="652">
        <f t="shared" si="6"/>
        <v>2.418502897236785</v>
      </c>
      <c r="L15" s="652">
        <f t="shared" si="7"/>
        <v>2.2250226654578422</v>
      </c>
      <c r="M15" s="652">
        <f t="shared" si="8"/>
        <v>2.418502897236785</v>
      </c>
      <c r="N15" s="652">
        <f t="shared" si="9"/>
        <v>2.2250226654578422</v>
      </c>
      <c r="O15" s="652">
        <f t="shared" si="10"/>
        <v>2.5284348471111842</v>
      </c>
      <c r="P15" s="652">
        <f t="shared" si="11"/>
        <v>2.5284348471111842</v>
      </c>
      <c r="Q15" s="652">
        <f t="shared" si="12"/>
        <v>2.5284348471111842</v>
      </c>
      <c r="R15" s="652">
        <v>220.6</v>
      </c>
      <c r="S15" s="652">
        <v>220.6</v>
      </c>
      <c r="T15" s="652">
        <v>220.6</v>
      </c>
      <c r="U15" s="652">
        <v>220.6</v>
      </c>
      <c r="V15" s="652">
        <v>220.6</v>
      </c>
      <c r="W15" s="652">
        <v>220.6</v>
      </c>
      <c r="X15" s="652">
        <v>220.6</v>
      </c>
      <c r="Y15" s="652">
        <v>220.6</v>
      </c>
      <c r="Z15" s="652">
        <v>220.6</v>
      </c>
      <c r="AA15" s="652">
        <v>220.6</v>
      </c>
      <c r="AB15" s="652">
        <v>220.6</v>
      </c>
      <c r="AC15" s="652">
        <v>220.6</v>
      </c>
      <c r="AD15" s="652">
        <v>12271</v>
      </c>
      <c r="AE15" s="652">
        <v>12271</v>
      </c>
      <c r="AF15" s="652">
        <v>12271</v>
      </c>
      <c r="AG15" s="652">
        <v>12271</v>
      </c>
      <c r="AH15" s="652">
        <v>12271</v>
      </c>
      <c r="AI15" s="652">
        <v>12271</v>
      </c>
      <c r="AJ15" s="652">
        <v>12271</v>
      </c>
      <c r="AK15" s="652">
        <v>12271</v>
      </c>
      <c r="AL15" s="652">
        <v>12271</v>
      </c>
      <c r="AM15" s="652">
        <v>12271</v>
      </c>
      <c r="AN15" s="652">
        <v>12271</v>
      </c>
      <c r="AO15" s="652">
        <v>12271</v>
      </c>
    </row>
    <row r="16" spans="1:41" x14ac:dyDescent="0.3">
      <c r="B16" s="650" t="s">
        <v>1177</v>
      </c>
      <c r="C16" s="650" t="s">
        <v>392</v>
      </c>
      <c r="D16" s="650" t="s">
        <v>1178</v>
      </c>
      <c r="E16" s="650"/>
      <c r="F16" s="652">
        <f t="shared" si="1"/>
        <v>1.3760330578512396</v>
      </c>
      <c r="G16" s="652">
        <f t="shared" si="2"/>
        <v>1.5636739293764088</v>
      </c>
      <c r="H16" s="652">
        <f t="shared" si="3"/>
        <v>1.4333677685950414</v>
      </c>
      <c r="I16" s="652">
        <f t="shared" si="4"/>
        <v>1.3231087094723457</v>
      </c>
      <c r="J16" s="652">
        <f t="shared" si="5"/>
        <v>1.5636739293764088</v>
      </c>
      <c r="K16" s="652">
        <f t="shared" si="6"/>
        <v>1.4956881063600433</v>
      </c>
      <c r="L16" s="652">
        <f t="shared" si="7"/>
        <v>1.3760330578512396</v>
      </c>
      <c r="M16" s="652">
        <f t="shared" si="8"/>
        <v>1.4956881063600433</v>
      </c>
      <c r="N16" s="652">
        <f t="shared" si="9"/>
        <v>1.3760330578512396</v>
      </c>
      <c r="O16" s="652">
        <f t="shared" si="10"/>
        <v>1.5636739293764088</v>
      </c>
      <c r="P16" s="652">
        <f t="shared" si="11"/>
        <v>1.5636739293764088</v>
      </c>
      <c r="Q16" s="652">
        <f t="shared" si="12"/>
        <v>1.5636739293764088</v>
      </c>
      <c r="R16" s="652">
        <v>48.4</v>
      </c>
      <c r="S16" s="652">
        <v>48.4</v>
      </c>
      <c r="T16" s="652">
        <v>48.4</v>
      </c>
      <c r="U16" s="652">
        <v>48.4</v>
      </c>
      <c r="V16" s="652">
        <v>48.4</v>
      </c>
      <c r="W16" s="652">
        <v>48.4</v>
      </c>
      <c r="X16" s="652">
        <v>48.4</v>
      </c>
      <c r="Y16" s="652">
        <v>48.4</v>
      </c>
      <c r="Z16" s="652">
        <v>48.4</v>
      </c>
      <c r="AA16" s="652">
        <v>48.4</v>
      </c>
      <c r="AB16" s="652">
        <v>48.4</v>
      </c>
      <c r="AC16" s="652">
        <v>48.4</v>
      </c>
      <c r="AD16" s="652">
        <v>1665</v>
      </c>
      <c r="AE16" s="652">
        <v>1665</v>
      </c>
      <c r="AF16" s="652">
        <v>1665</v>
      </c>
      <c r="AG16" s="652">
        <v>1665</v>
      </c>
      <c r="AH16" s="652">
        <v>1665</v>
      </c>
      <c r="AI16" s="652">
        <v>1665</v>
      </c>
      <c r="AJ16" s="652">
        <v>1665</v>
      </c>
      <c r="AK16" s="652">
        <v>1665</v>
      </c>
      <c r="AL16" s="652">
        <v>1665</v>
      </c>
      <c r="AM16" s="652">
        <v>1665</v>
      </c>
      <c r="AN16" s="652">
        <v>1665</v>
      </c>
      <c r="AO16" s="652">
        <v>1665</v>
      </c>
    </row>
    <row r="17" spans="2:41" x14ac:dyDescent="0.3">
      <c r="B17" s="650" t="s">
        <v>1177</v>
      </c>
      <c r="C17" s="650" t="s">
        <v>392</v>
      </c>
      <c r="D17" s="650" t="s">
        <v>1178</v>
      </c>
      <c r="E17" s="650"/>
      <c r="F17" s="652">
        <f t="shared" si="1"/>
        <v>57.479279279279282</v>
      </c>
      <c r="G17" s="652">
        <f t="shared" si="2"/>
        <v>65.31736281736282</v>
      </c>
      <c r="H17" s="652">
        <f t="shared" si="3"/>
        <v>59.874249249249246</v>
      </c>
      <c r="I17" s="652">
        <f t="shared" si="4"/>
        <v>55.268537768537776</v>
      </c>
      <c r="J17" s="652">
        <f t="shared" si="5"/>
        <v>65.31736281736282</v>
      </c>
      <c r="K17" s="652">
        <f t="shared" si="6"/>
        <v>62.477477477477478</v>
      </c>
      <c r="L17" s="652">
        <f t="shared" si="7"/>
        <v>57.479279279279282</v>
      </c>
      <c r="M17" s="652">
        <f t="shared" si="8"/>
        <v>62.477477477477478</v>
      </c>
      <c r="N17" s="652">
        <f t="shared" si="9"/>
        <v>57.479279279279282</v>
      </c>
      <c r="O17" s="652">
        <f t="shared" si="10"/>
        <v>65.31736281736282</v>
      </c>
      <c r="P17" s="652">
        <f t="shared" si="11"/>
        <v>65.31736281736282</v>
      </c>
      <c r="Q17" s="652">
        <f t="shared" si="12"/>
        <v>65.31736281736282</v>
      </c>
      <c r="R17" s="652">
        <v>44.4</v>
      </c>
      <c r="S17" s="652">
        <v>44.4</v>
      </c>
      <c r="T17" s="652">
        <v>44.4</v>
      </c>
      <c r="U17" s="652">
        <v>44.4</v>
      </c>
      <c r="V17" s="652">
        <v>44.4</v>
      </c>
      <c r="W17" s="652">
        <v>44.4</v>
      </c>
      <c r="X17" s="652">
        <v>44.4</v>
      </c>
      <c r="Y17" s="652">
        <v>44.4</v>
      </c>
      <c r="Z17" s="652">
        <v>44.4</v>
      </c>
      <c r="AA17" s="652">
        <v>44.4</v>
      </c>
      <c r="AB17" s="652">
        <v>44.4</v>
      </c>
      <c r="AC17" s="652">
        <v>44.4</v>
      </c>
      <c r="AD17" s="652">
        <v>63802</v>
      </c>
      <c r="AE17" s="652">
        <v>63802</v>
      </c>
      <c r="AF17" s="652">
        <v>63802</v>
      </c>
      <c r="AG17" s="652">
        <v>63802</v>
      </c>
      <c r="AH17" s="652">
        <v>63802</v>
      </c>
      <c r="AI17" s="652">
        <v>63802</v>
      </c>
      <c r="AJ17" s="652">
        <v>63802</v>
      </c>
      <c r="AK17" s="652">
        <v>63802</v>
      </c>
      <c r="AL17" s="652">
        <v>63802</v>
      </c>
      <c r="AM17" s="652">
        <v>63802</v>
      </c>
      <c r="AN17" s="652">
        <v>63802</v>
      </c>
      <c r="AO17" s="652">
        <v>63802</v>
      </c>
    </row>
    <row r="18" spans="2:41" x14ac:dyDescent="0.3">
      <c r="B18" s="650" t="s">
        <v>1177</v>
      </c>
      <c r="C18" s="650" t="s">
        <v>392</v>
      </c>
      <c r="D18" s="650" t="s">
        <v>1179</v>
      </c>
      <c r="E18" s="650"/>
      <c r="F18" s="652">
        <f t="shared" si="1"/>
        <v>33.664028268551235</v>
      </c>
      <c r="G18" s="652">
        <f t="shared" si="2"/>
        <v>38.254577577899134</v>
      </c>
      <c r="H18" s="652">
        <f t="shared" si="3"/>
        <v>35.066696113074208</v>
      </c>
      <c r="I18" s="652">
        <f t="shared" si="4"/>
        <v>32.369257950530034</v>
      </c>
      <c r="J18" s="652">
        <f t="shared" si="5"/>
        <v>38.254577577899134</v>
      </c>
      <c r="K18" s="652">
        <f t="shared" si="6"/>
        <v>36.591335074512209</v>
      </c>
      <c r="L18" s="652">
        <f t="shared" si="7"/>
        <v>33.664028268551235</v>
      </c>
      <c r="M18" s="652">
        <f t="shared" si="8"/>
        <v>36.591335074512209</v>
      </c>
      <c r="N18" s="652">
        <f t="shared" si="9"/>
        <v>33.664028268551235</v>
      </c>
      <c r="O18" s="652">
        <f t="shared" si="10"/>
        <v>38.254577577899134</v>
      </c>
      <c r="P18" s="652">
        <f t="shared" si="11"/>
        <v>38.254577577899134</v>
      </c>
      <c r="Q18" s="652">
        <f t="shared" si="12"/>
        <v>38.254577577899134</v>
      </c>
      <c r="R18" s="652">
        <v>283</v>
      </c>
      <c r="S18" s="652">
        <v>283</v>
      </c>
      <c r="T18" s="652">
        <v>283</v>
      </c>
      <c r="U18" s="652">
        <v>283</v>
      </c>
      <c r="V18" s="652">
        <v>283</v>
      </c>
      <c r="W18" s="652">
        <v>283</v>
      </c>
      <c r="X18" s="652">
        <v>283</v>
      </c>
      <c r="Y18" s="652">
        <v>283</v>
      </c>
      <c r="Z18" s="652">
        <v>283</v>
      </c>
      <c r="AA18" s="652">
        <v>283</v>
      </c>
      <c r="AB18" s="652">
        <v>283</v>
      </c>
      <c r="AC18" s="652">
        <v>283</v>
      </c>
      <c r="AD18" s="652">
        <v>238173</v>
      </c>
      <c r="AE18" s="652">
        <v>238173</v>
      </c>
      <c r="AF18" s="652">
        <v>238173</v>
      </c>
      <c r="AG18" s="652">
        <v>238173</v>
      </c>
      <c r="AH18" s="652">
        <v>238173</v>
      </c>
      <c r="AI18" s="652">
        <v>238173</v>
      </c>
      <c r="AJ18" s="652">
        <v>238173</v>
      </c>
      <c r="AK18" s="652">
        <v>238173</v>
      </c>
      <c r="AL18" s="652">
        <v>238173</v>
      </c>
      <c r="AM18" s="652">
        <v>238173</v>
      </c>
      <c r="AN18" s="652">
        <v>238173</v>
      </c>
      <c r="AO18" s="652">
        <v>238173</v>
      </c>
    </row>
    <row r="19" spans="2:41" x14ac:dyDescent="0.3">
      <c r="B19" s="650" t="s">
        <v>1177</v>
      </c>
      <c r="C19" s="650" t="s">
        <v>392</v>
      </c>
      <c r="D19" s="650" t="s">
        <v>1179</v>
      </c>
      <c r="E19" s="650"/>
      <c r="F19" s="652">
        <f t="shared" si="1"/>
        <v>0</v>
      </c>
      <c r="G19" s="652">
        <f t="shared" si="2"/>
        <v>0</v>
      </c>
      <c r="H19" s="652">
        <f t="shared" si="3"/>
        <v>0</v>
      </c>
      <c r="I19" s="652">
        <f t="shared" si="4"/>
        <v>0</v>
      </c>
      <c r="J19" s="652">
        <f t="shared" si="5"/>
        <v>0</v>
      </c>
      <c r="K19" s="652">
        <f t="shared" si="6"/>
        <v>0</v>
      </c>
      <c r="L19" s="652">
        <f t="shared" si="7"/>
        <v>0</v>
      </c>
      <c r="M19" s="652">
        <f t="shared" si="8"/>
        <v>0</v>
      </c>
      <c r="N19" s="652">
        <f t="shared" si="9"/>
        <v>0</v>
      </c>
      <c r="O19" s="652">
        <f t="shared" si="10"/>
        <v>0</v>
      </c>
      <c r="P19" s="652">
        <f t="shared" si="11"/>
        <v>0</v>
      </c>
      <c r="Q19" s="652">
        <f t="shared" si="12"/>
        <v>0</v>
      </c>
      <c r="R19" s="652">
        <v>0</v>
      </c>
      <c r="S19" s="652">
        <v>0</v>
      </c>
      <c r="T19" s="652">
        <v>0</v>
      </c>
      <c r="U19" s="652">
        <v>0</v>
      </c>
      <c r="V19" s="652">
        <v>0</v>
      </c>
      <c r="W19" s="652">
        <v>0</v>
      </c>
      <c r="X19" s="652">
        <v>0</v>
      </c>
      <c r="Y19" s="652">
        <v>0</v>
      </c>
      <c r="Z19" s="652">
        <v>0</v>
      </c>
      <c r="AA19" s="652">
        <v>0</v>
      </c>
      <c r="AB19" s="652">
        <v>0</v>
      </c>
      <c r="AC19" s="652">
        <v>0</v>
      </c>
      <c r="AD19" s="652">
        <v>0</v>
      </c>
      <c r="AE19" s="652">
        <v>0</v>
      </c>
      <c r="AF19" s="652">
        <v>0</v>
      </c>
      <c r="AG19" s="652">
        <v>0</v>
      </c>
      <c r="AH19" s="652">
        <v>0</v>
      </c>
      <c r="AI19" s="652">
        <v>0</v>
      </c>
      <c r="AJ19" s="652">
        <v>0</v>
      </c>
      <c r="AK19" s="652">
        <v>0</v>
      </c>
      <c r="AL19" s="652">
        <v>0</v>
      </c>
      <c r="AM19" s="652">
        <v>0</v>
      </c>
      <c r="AN19" s="652">
        <v>0</v>
      </c>
      <c r="AO19" s="652">
        <v>0</v>
      </c>
    </row>
    <row r="20" spans="2:41" x14ac:dyDescent="0.3">
      <c r="B20" s="650" t="s">
        <v>1177</v>
      </c>
      <c r="C20" s="650" t="s">
        <v>392</v>
      </c>
      <c r="D20" s="650" t="s">
        <v>1180</v>
      </c>
      <c r="E20" s="650"/>
      <c r="F20" s="652">
        <f t="shared" si="1"/>
        <v>2.2318465227817743</v>
      </c>
      <c r="G20" s="652">
        <f t="shared" si="2"/>
        <v>2.5361892304338345</v>
      </c>
      <c r="H20" s="652">
        <f t="shared" si="3"/>
        <v>2.3248401278976818</v>
      </c>
      <c r="I20" s="652">
        <f t="shared" si="4"/>
        <v>2.1460062719055526</v>
      </c>
      <c r="J20" s="652">
        <f t="shared" si="5"/>
        <v>2.5361892304338345</v>
      </c>
      <c r="K20" s="652">
        <f t="shared" si="6"/>
        <v>2.4259201334584506</v>
      </c>
      <c r="L20" s="652">
        <f t="shared" si="7"/>
        <v>2.2318465227817743</v>
      </c>
      <c r="M20" s="652">
        <f t="shared" si="8"/>
        <v>2.4259201334584506</v>
      </c>
      <c r="N20" s="652">
        <f t="shared" si="9"/>
        <v>2.2318465227817743</v>
      </c>
      <c r="O20" s="652">
        <f t="shared" si="10"/>
        <v>2.5361892304338345</v>
      </c>
      <c r="P20" s="652">
        <f t="shared" si="11"/>
        <v>2.5361892304338345</v>
      </c>
      <c r="Q20" s="652">
        <f t="shared" si="12"/>
        <v>2.5361892304338345</v>
      </c>
      <c r="R20" s="652">
        <v>834</v>
      </c>
      <c r="S20" s="652">
        <v>834</v>
      </c>
      <c r="T20" s="652">
        <v>834</v>
      </c>
      <c r="U20" s="652">
        <v>834</v>
      </c>
      <c r="V20" s="652">
        <v>834</v>
      </c>
      <c r="W20" s="652">
        <v>834</v>
      </c>
      <c r="X20" s="652">
        <v>834</v>
      </c>
      <c r="Y20" s="652">
        <v>834</v>
      </c>
      <c r="Z20" s="652">
        <v>834</v>
      </c>
      <c r="AA20" s="652">
        <v>834</v>
      </c>
      <c r="AB20" s="652">
        <v>834</v>
      </c>
      <c r="AC20" s="652">
        <v>834</v>
      </c>
      <c r="AD20" s="652">
        <v>46534</v>
      </c>
      <c r="AE20" s="652">
        <v>46534</v>
      </c>
      <c r="AF20" s="652">
        <v>46534</v>
      </c>
      <c r="AG20" s="652">
        <v>46534</v>
      </c>
      <c r="AH20" s="652">
        <v>46534</v>
      </c>
      <c r="AI20" s="652">
        <v>46534</v>
      </c>
      <c r="AJ20" s="652">
        <v>46534</v>
      </c>
      <c r="AK20" s="652">
        <v>46534</v>
      </c>
      <c r="AL20" s="652">
        <v>46534</v>
      </c>
      <c r="AM20" s="652">
        <v>46534</v>
      </c>
      <c r="AN20" s="652">
        <v>46534</v>
      </c>
      <c r="AO20" s="652">
        <v>46534</v>
      </c>
    </row>
    <row r="21" spans="2:41" x14ac:dyDescent="0.3">
      <c r="B21" s="650" t="s">
        <v>1177</v>
      </c>
      <c r="C21" s="650" t="s">
        <v>392</v>
      </c>
      <c r="D21" s="650" t="s">
        <v>1180</v>
      </c>
      <c r="E21" s="650"/>
      <c r="F21" s="652">
        <f t="shared" si="1"/>
        <v>0.10277486910994764</v>
      </c>
      <c r="G21" s="652">
        <f t="shared" si="2"/>
        <v>0.11678962398857688</v>
      </c>
      <c r="H21" s="652">
        <f t="shared" si="3"/>
        <v>0.10705715532286214</v>
      </c>
      <c r="I21" s="652">
        <f t="shared" si="4"/>
        <v>9.8821989528795812E-2</v>
      </c>
      <c r="J21" s="652">
        <f t="shared" si="5"/>
        <v>0.11678962398857688</v>
      </c>
      <c r="K21" s="652">
        <f t="shared" si="6"/>
        <v>0.11171181424994309</v>
      </c>
      <c r="L21" s="652">
        <f t="shared" si="7"/>
        <v>0.10277486910994764</v>
      </c>
      <c r="M21" s="652">
        <f t="shared" si="8"/>
        <v>0.11171181424994309</v>
      </c>
      <c r="N21" s="652">
        <f t="shared" si="9"/>
        <v>0.10277486910994764</v>
      </c>
      <c r="O21" s="652">
        <f t="shared" si="10"/>
        <v>0.11678962398857688</v>
      </c>
      <c r="P21" s="652">
        <f t="shared" si="11"/>
        <v>0.11678962398857688</v>
      </c>
      <c r="Q21" s="652">
        <f t="shared" si="12"/>
        <v>0.11678962398857688</v>
      </c>
      <c r="R21" s="652">
        <v>1528</v>
      </c>
      <c r="S21" s="652">
        <v>1528</v>
      </c>
      <c r="T21" s="652">
        <v>1528</v>
      </c>
      <c r="U21" s="652">
        <v>1528</v>
      </c>
      <c r="V21" s="652">
        <v>1528</v>
      </c>
      <c r="W21" s="652">
        <v>1528</v>
      </c>
      <c r="X21" s="652">
        <v>1528</v>
      </c>
      <c r="Y21" s="652">
        <v>1528</v>
      </c>
      <c r="Z21" s="652">
        <v>1528</v>
      </c>
      <c r="AA21" s="652">
        <v>1528</v>
      </c>
      <c r="AB21" s="652">
        <v>1528</v>
      </c>
      <c r="AC21" s="652">
        <v>1528</v>
      </c>
      <c r="AD21" s="652">
        <v>3926</v>
      </c>
      <c r="AE21" s="652">
        <v>3926</v>
      </c>
      <c r="AF21" s="652">
        <v>3926</v>
      </c>
      <c r="AG21" s="652">
        <v>3926</v>
      </c>
      <c r="AH21" s="652">
        <v>3926</v>
      </c>
      <c r="AI21" s="652">
        <v>3926</v>
      </c>
      <c r="AJ21" s="652">
        <v>3926</v>
      </c>
      <c r="AK21" s="652">
        <v>3926</v>
      </c>
      <c r="AL21" s="652">
        <v>3926</v>
      </c>
      <c r="AM21" s="652">
        <v>3926</v>
      </c>
      <c r="AN21" s="652">
        <v>3926</v>
      </c>
      <c r="AO21" s="652">
        <v>3926</v>
      </c>
    </row>
    <row r="34" spans="6:6" x14ac:dyDescent="0.3">
      <c r="F34" t="s">
        <v>1181</v>
      </c>
    </row>
  </sheetData>
  <phoneticPr fontId="1" type="noConversion"/>
  <hyperlinks>
    <hyperlink ref="A1" location="HOME!A1" display="HOME" xr:uid="{F53C68CB-C1CC-4BC3-B23C-CC66424C1F1D}"/>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5_Sheet">
    <tabColor theme="7" tint="-0.249977111117893"/>
  </sheetPr>
  <dimension ref="A1:R40"/>
  <sheetViews>
    <sheetView showGridLines="0" workbookViewId="0">
      <selection activeCell="J14" sqref="J14"/>
    </sheetView>
  </sheetViews>
  <sheetFormatPr defaultColWidth="14.875" defaultRowHeight="12" x14ac:dyDescent="0.3"/>
  <cols>
    <col min="1" max="1" width="4.5" style="2" customWidth="1"/>
    <col min="2" max="2" width="8.75" style="115" customWidth="1"/>
    <col min="3" max="13" width="8.75" style="2" customWidth="1"/>
    <col min="14" max="16384" width="14.875" style="2"/>
  </cols>
  <sheetData>
    <row r="1" spans="2:13" ht="21.75" customHeight="1" x14ac:dyDescent="0.3">
      <c r="B1" s="115" t="s">
        <v>327</v>
      </c>
    </row>
    <row r="2" spans="2:13" x14ac:dyDescent="0.3">
      <c r="B2" s="116" t="s">
        <v>221</v>
      </c>
      <c r="C2" s="32" t="s">
        <v>41</v>
      </c>
      <c r="D2" s="32" t="s">
        <v>258</v>
      </c>
      <c r="E2" s="32" t="s">
        <v>259</v>
      </c>
      <c r="F2" s="32" t="s">
        <v>260</v>
      </c>
      <c r="G2" s="32" t="s">
        <v>261</v>
      </c>
      <c r="H2" s="32" t="s">
        <v>262</v>
      </c>
      <c r="I2" s="32" t="s">
        <v>263</v>
      </c>
      <c r="J2" s="32" t="s">
        <v>264</v>
      </c>
      <c r="K2" s="32" t="s">
        <v>265</v>
      </c>
      <c r="L2" s="32" t="s">
        <v>266</v>
      </c>
      <c r="M2" s="32" t="s">
        <v>182</v>
      </c>
    </row>
    <row r="3" spans="2:13" x14ac:dyDescent="0.3">
      <c r="B3" s="15" t="s">
        <v>389</v>
      </c>
      <c r="C3" s="18">
        <v>0</v>
      </c>
      <c r="D3" s="18">
        <v>4.9000000000000002E-2</v>
      </c>
      <c r="E3" s="18">
        <v>0.06</v>
      </c>
      <c r="F3" s="18">
        <v>0.06</v>
      </c>
      <c r="G3" s="18">
        <v>0.06</v>
      </c>
      <c r="H3" s="18">
        <v>0.06</v>
      </c>
      <c r="I3" s="18">
        <v>0.06</v>
      </c>
      <c r="J3" s="63"/>
      <c r="K3" s="63"/>
      <c r="L3" s="63"/>
      <c r="M3" s="63"/>
    </row>
    <row r="4" spans="2:13" x14ac:dyDescent="0.3">
      <c r="B4" s="15" t="s">
        <v>388</v>
      </c>
      <c r="C4" s="18">
        <v>0</v>
      </c>
      <c r="D4" s="18">
        <v>0.1</v>
      </c>
      <c r="E4" s="18">
        <v>0.12000000000000001</v>
      </c>
      <c r="F4" s="18">
        <v>0.14000000000000001</v>
      </c>
      <c r="G4" s="18">
        <v>0.16</v>
      </c>
      <c r="H4" s="18">
        <v>0.18</v>
      </c>
      <c r="I4" s="18">
        <v>0.19999999999999998</v>
      </c>
      <c r="J4" s="63"/>
      <c r="K4" s="63"/>
      <c r="L4" s="63"/>
      <c r="M4" s="63"/>
    </row>
    <row r="5" spans="2:13" x14ac:dyDescent="0.3">
      <c r="B5" s="117"/>
      <c r="C5" s="63"/>
      <c r="D5" s="63"/>
      <c r="E5" s="63"/>
      <c r="F5" s="63"/>
      <c r="G5" s="63"/>
      <c r="H5" s="63"/>
      <c r="I5" s="63"/>
      <c r="J5" s="63"/>
      <c r="K5" s="63"/>
      <c r="L5" s="63"/>
      <c r="M5" s="63"/>
    </row>
    <row r="6" spans="2:13" x14ac:dyDescent="0.3">
      <c r="B6" s="117"/>
      <c r="C6" s="64"/>
      <c r="D6" s="64"/>
      <c r="E6" s="64"/>
      <c r="F6" s="64"/>
      <c r="G6" s="64"/>
      <c r="H6" s="64"/>
      <c r="I6" s="64"/>
      <c r="J6" s="64"/>
      <c r="K6" s="64"/>
      <c r="L6" s="64"/>
      <c r="M6" s="64"/>
    </row>
    <row r="8" spans="2:13" ht="30" customHeight="1" x14ac:dyDescent="0.3">
      <c r="B8" s="115" t="s">
        <v>1022</v>
      </c>
    </row>
    <row r="9" spans="2:13" x14ac:dyDescent="0.3">
      <c r="B9" s="116" t="s">
        <v>1</v>
      </c>
      <c r="C9" s="32" t="s">
        <v>41</v>
      </c>
      <c r="D9" s="32" t="s">
        <v>258</v>
      </c>
      <c r="E9" s="32" t="s">
        <v>259</v>
      </c>
      <c r="F9" s="32" t="s">
        <v>260</v>
      </c>
      <c r="G9" s="32" t="s">
        <v>261</v>
      </c>
      <c r="H9" s="32" t="s">
        <v>262</v>
      </c>
      <c r="I9" s="32" t="s">
        <v>263</v>
      </c>
      <c r="J9" s="32" t="s">
        <v>264</v>
      </c>
      <c r="K9" s="32" t="s">
        <v>265</v>
      </c>
      <c r="L9" s="32" t="s">
        <v>266</v>
      </c>
      <c r="M9" s="32" t="s">
        <v>182</v>
      </c>
    </row>
    <row r="10" spans="2:13" x14ac:dyDescent="0.3">
      <c r="B10" s="15" t="s">
        <v>389</v>
      </c>
      <c r="C10" s="18">
        <v>0</v>
      </c>
      <c r="D10" s="18">
        <v>0</v>
      </c>
      <c r="E10" s="18">
        <v>0</v>
      </c>
      <c r="F10" s="18">
        <v>0</v>
      </c>
      <c r="G10" s="18">
        <v>0</v>
      </c>
      <c r="H10" s="18">
        <v>0</v>
      </c>
      <c r="I10" s="18">
        <v>0</v>
      </c>
      <c r="J10" s="12"/>
      <c r="K10" s="12"/>
      <c r="L10" s="12"/>
      <c r="M10" s="12"/>
    </row>
    <row r="11" spans="2:13" x14ac:dyDescent="0.3">
      <c r="B11" s="15" t="s">
        <v>388</v>
      </c>
      <c r="C11" s="18">
        <v>0</v>
      </c>
      <c r="D11" s="18">
        <v>0.16999999999999996</v>
      </c>
      <c r="E11" s="18">
        <v>0.16999999999999996</v>
      </c>
      <c r="F11" s="18">
        <v>0.16999999999999996</v>
      </c>
      <c r="G11" s="18">
        <v>0.16999999999999996</v>
      </c>
      <c r="H11" s="18">
        <v>0.16999999999999996</v>
      </c>
      <c r="I11" s="18">
        <v>0.16999999999999996</v>
      </c>
      <c r="J11" s="12"/>
      <c r="K11" s="12"/>
      <c r="L11" s="12"/>
      <c r="M11" s="12"/>
    </row>
    <row r="12" spans="2:13" x14ac:dyDescent="0.3">
      <c r="B12" s="117"/>
      <c r="C12" s="12"/>
      <c r="D12" s="12"/>
      <c r="E12" s="12"/>
      <c r="F12" s="12"/>
      <c r="G12" s="12"/>
      <c r="H12" s="12"/>
      <c r="I12" s="12"/>
      <c r="J12" s="12"/>
      <c r="K12" s="12"/>
      <c r="L12" s="12"/>
      <c r="M12" s="12"/>
    </row>
    <row r="14" spans="2:13" ht="30" customHeight="1" x14ac:dyDescent="0.3">
      <c r="B14" s="115" t="s">
        <v>328</v>
      </c>
    </row>
    <row r="15" spans="2:13" x14ac:dyDescent="0.3">
      <c r="B15" s="116" t="s">
        <v>1</v>
      </c>
      <c r="C15" s="32" t="s">
        <v>41</v>
      </c>
      <c r="D15" s="32" t="s">
        <v>258</v>
      </c>
      <c r="E15" s="32" t="s">
        <v>259</v>
      </c>
      <c r="F15" s="32" t="s">
        <v>260</v>
      </c>
      <c r="G15" s="32" t="s">
        <v>261</v>
      </c>
      <c r="H15" s="32" t="s">
        <v>262</v>
      </c>
      <c r="I15" s="32" t="s">
        <v>263</v>
      </c>
      <c r="J15" s="32" t="s">
        <v>264</v>
      </c>
      <c r="K15" s="32" t="s">
        <v>265</v>
      </c>
      <c r="L15" s="32" t="s">
        <v>266</v>
      </c>
      <c r="M15" s="32" t="s">
        <v>182</v>
      </c>
    </row>
    <row r="16" spans="2:13" x14ac:dyDescent="0.3">
      <c r="B16" s="117"/>
      <c r="C16" s="12"/>
      <c r="D16" s="12"/>
      <c r="E16" s="12"/>
      <c r="F16" s="12"/>
      <c r="G16" s="12"/>
      <c r="H16" s="12"/>
      <c r="I16" s="12"/>
      <c r="J16" s="12"/>
      <c r="K16" s="12"/>
      <c r="L16" s="12"/>
      <c r="M16" s="12"/>
    </row>
    <row r="17" spans="1:18" x14ac:dyDescent="0.3">
      <c r="B17" s="117"/>
      <c r="C17" s="12"/>
      <c r="D17" s="12"/>
      <c r="E17" s="12"/>
      <c r="F17" s="12"/>
      <c r="G17" s="12"/>
      <c r="H17" s="12"/>
      <c r="I17" s="12"/>
      <c r="J17" s="12"/>
      <c r="K17" s="12"/>
      <c r="L17" s="12"/>
      <c r="M17" s="12"/>
    </row>
    <row r="18" spans="1:18" x14ac:dyDescent="0.3">
      <c r="B18" s="117"/>
      <c r="C18" s="12"/>
      <c r="D18" s="12"/>
      <c r="E18" s="12"/>
      <c r="F18" s="12"/>
      <c r="G18" s="12"/>
      <c r="H18" s="12"/>
      <c r="I18" s="12"/>
      <c r="J18" s="12"/>
      <c r="K18" s="12"/>
      <c r="L18" s="12"/>
      <c r="M18" s="12"/>
    </row>
    <row r="22" spans="1:18" s="3" customFormat="1" x14ac:dyDescent="0.3">
      <c r="B22" s="115"/>
      <c r="E22" s="3" t="s">
        <v>230</v>
      </c>
      <c r="F22" s="3" t="s">
        <v>231</v>
      </c>
      <c r="I22" s="3" t="s">
        <v>232</v>
      </c>
      <c r="K22" s="3" t="s">
        <v>240</v>
      </c>
      <c r="N22" s="3" t="s">
        <v>241</v>
      </c>
      <c r="O22" s="3" t="s">
        <v>242</v>
      </c>
      <c r="P22" s="3" t="s">
        <v>244</v>
      </c>
      <c r="Q22" s="17" t="s">
        <v>245</v>
      </c>
      <c r="R22" s="3" t="s">
        <v>246</v>
      </c>
    </row>
    <row r="24" spans="1:18" s="3" customFormat="1" x14ac:dyDescent="0.3">
      <c r="A24" s="3" t="s">
        <v>1</v>
      </c>
      <c r="B24" s="118" t="s">
        <v>221</v>
      </c>
      <c r="C24" s="16" t="s">
        <v>222</v>
      </c>
      <c r="D24" s="16" t="s">
        <v>223</v>
      </c>
      <c r="E24" s="16" t="s">
        <v>224</v>
      </c>
      <c r="F24" s="16" t="s">
        <v>225</v>
      </c>
      <c r="G24" s="16" t="s">
        <v>226</v>
      </c>
      <c r="H24" s="16" t="s">
        <v>227</v>
      </c>
      <c r="I24" s="16" t="s">
        <v>228</v>
      </c>
      <c r="J24" s="16" t="s">
        <v>229</v>
      </c>
      <c r="K24" s="16" t="s">
        <v>233</v>
      </c>
      <c r="L24" s="16" t="s">
        <v>234</v>
      </c>
      <c r="M24" s="16" t="s">
        <v>235</v>
      </c>
      <c r="N24" s="16" t="s">
        <v>236</v>
      </c>
      <c r="O24" s="16" t="s">
        <v>243</v>
      </c>
      <c r="P24" s="16" t="s">
        <v>237</v>
      </c>
      <c r="Q24" s="16" t="s">
        <v>238</v>
      </c>
      <c r="R24" s="16" t="s">
        <v>239</v>
      </c>
    </row>
    <row r="25" spans="1:18" x14ac:dyDescent="0.3">
      <c r="A25" s="3" t="s">
        <v>157</v>
      </c>
      <c r="B25" s="117" t="s">
        <v>220</v>
      </c>
      <c r="C25" s="12">
        <v>938846</v>
      </c>
      <c r="D25" s="13">
        <v>0.9</v>
      </c>
      <c r="E25" s="12">
        <f>C25*G25</f>
        <v>224384194</v>
      </c>
      <c r="F25" s="12">
        <f>E25/12/21</f>
        <v>890413.46825396817</v>
      </c>
      <c r="G25" s="12">
        <v>239</v>
      </c>
      <c r="H25" s="12">
        <v>31</v>
      </c>
      <c r="I25" s="12">
        <f>J25*0.8/50</f>
        <v>30460864</v>
      </c>
      <c r="J25" s="12">
        <v>1903804000</v>
      </c>
      <c r="K25" s="14">
        <f>F25*L25*M25</f>
        <v>26712.404047619046</v>
      </c>
      <c r="L25" s="25">
        <v>0.06</v>
      </c>
      <c r="M25" s="25">
        <v>0.5</v>
      </c>
      <c r="N25" s="15">
        <f>K25/G25</f>
        <v>111.76738095238095</v>
      </c>
      <c r="O25" s="14">
        <f>N25/H25</f>
        <v>3.6053993855606756</v>
      </c>
      <c r="P25" s="12">
        <f>O25*I25</f>
        <v>109823580.34924731</v>
      </c>
      <c r="Q25" s="18">
        <f>P25/J25</f>
        <v>5.7686390168970814E-2</v>
      </c>
      <c r="R25" s="12">
        <f>P25*10</f>
        <v>1098235803.4924731</v>
      </c>
    </row>
    <row r="26" spans="1:18" x14ac:dyDescent="0.3">
      <c r="A26" s="3" t="s">
        <v>217</v>
      </c>
      <c r="B26" s="117" t="s">
        <v>220</v>
      </c>
      <c r="C26" s="12">
        <v>680036</v>
      </c>
      <c r="D26" s="13"/>
      <c r="E26" s="12">
        <f>C26*G26</f>
        <v>144847668</v>
      </c>
      <c r="F26" s="12">
        <f>E26/12/30</f>
        <v>402354.63333333336</v>
      </c>
      <c r="G26" s="12">
        <v>213</v>
      </c>
      <c r="H26" s="12">
        <v>33</v>
      </c>
      <c r="I26" s="12">
        <f>J26*0.77/(0.77*54)</f>
        <v>44303398.833333336</v>
      </c>
      <c r="J26" s="12">
        <v>2392383537</v>
      </c>
      <c r="K26" s="14">
        <f>F26*L26*M26</f>
        <v>12070.639000000001</v>
      </c>
      <c r="L26" s="25">
        <v>0.06</v>
      </c>
      <c r="M26" s="25">
        <v>0.5</v>
      </c>
      <c r="N26" s="15">
        <f>K26/G26</f>
        <v>56.669666666666672</v>
      </c>
      <c r="O26" s="14">
        <f>N26/H26</f>
        <v>1.7172626262626265</v>
      </c>
      <c r="P26" s="12">
        <f>O26*I26</f>
        <v>76080571.032890588</v>
      </c>
      <c r="Q26" s="18">
        <f>P26/J26</f>
        <v>3.1801159745604199E-2</v>
      </c>
      <c r="R26" s="12">
        <f>P26*10</f>
        <v>760805710.32890582</v>
      </c>
    </row>
    <row r="27" spans="1:18" x14ac:dyDescent="0.3">
      <c r="A27" s="3"/>
      <c r="B27" s="119"/>
      <c r="C27" s="20"/>
      <c r="D27" s="21"/>
      <c r="E27" s="20"/>
      <c r="F27" s="3" t="s">
        <v>254</v>
      </c>
      <c r="G27" s="20"/>
      <c r="H27" s="20"/>
      <c r="I27" s="20"/>
      <c r="J27" s="20"/>
      <c r="K27" s="22"/>
      <c r="L27" s="23"/>
      <c r="M27" s="23"/>
      <c r="N27" s="24"/>
      <c r="O27" s="22"/>
      <c r="P27" s="20"/>
      <c r="Q27" s="23"/>
      <c r="R27" s="20"/>
    </row>
    <row r="28" spans="1:18" x14ac:dyDescent="0.3">
      <c r="A28" s="3"/>
      <c r="B28" s="119"/>
      <c r="C28" s="20"/>
      <c r="D28" s="21"/>
      <c r="E28" s="20"/>
      <c r="F28" s="20"/>
      <c r="G28" s="20"/>
      <c r="H28" s="20"/>
      <c r="I28" s="20"/>
      <c r="J28" s="20"/>
      <c r="K28" s="22"/>
      <c r="L28" s="23"/>
      <c r="M28" s="23"/>
      <c r="N28" s="24"/>
      <c r="O28" s="22"/>
      <c r="P28" s="20"/>
      <c r="Q28" s="23"/>
      <c r="R28" s="20"/>
    </row>
    <row r="29" spans="1:18" x14ac:dyDescent="0.3">
      <c r="K29" s="2" t="s">
        <v>248</v>
      </c>
      <c r="O29" s="2" t="s">
        <v>252</v>
      </c>
      <c r="P29" s="2" t="s">
        <v>244</v>
      </c>
      <c r="Q29" s="17" t="s">
        <v>245</v>
      </c>
      <c r="R29" s="3" t="s">
        <v>246</v>
      </c>
    </row>
    <row r="30" spans="1:18" s="3" customFormat="1" x14ac:dyDescent="0.3">
      <c r="A30" s="3" t="s">
        <v>1</v>
      </c>
      <c r="B30" s="118" t="s">
        <v>221</v>
      </c>
      <c r="C30" s="16" t="s">
        <v>222</v>
      </c>
      <c r="D30" s="16" t="s">
        <v>223</v>
      </c>
      <c r="E30" s="16" t="s">
        <v>224</v>
      </c>
      <c r="F30" s="16" t="s">
        <v>225</v>
      </c>
      <c r="G30" s="16" t="s">
        <v>226</v>
      </c>
      <c r="H30" s="16" t="s">
        <v>227</v>
      </c>
      <c r="I30" s="16" t="s">
        <v>228</v>
      </c>
      <c r="J30" s="16" t="s">
        <v>229</v>
      </c>
      <c r="K30" s="16" t="s">
        <v>249</v>
      </c>
      <c r="L30" s="16" t="s">
        <v>251</v>
      </c>
      <c r="M30" s="16" t="s">
        <v>250</v>
      </c>
      <c r="N30" s="16" t="s">
        <v>236</v>
      </c>
      <c r="O30" s="16" t="s">
        <v>243</v>
      </c>
      <c r="P30" s="16" t="s">
        <v>237</v>
      </c>
      <c r="Q30" s="16" t="s">
        <v>238</v>
      </c>
      <c r="R30" s="16" t="s">
        <v>239</v>
      </c>
    </row>
    <row r="31" spans="1:18" x14ac:dyDescent="0.3">
      <c r="A31" s="3" t="s">
        <v>157</v>
      </c>
      <c r="B31" s="117" t="s">
        <v>247</v>
      </c>
      <c r="C31" s="12">
        <v>794409</v>
      </c>
      <c r="D31" s="13"/>
      <c r="E31" s="12"/>
      <c r="F31" s="12"/>
      <c r="G31" s="12"/>
      <c r="H31" s="12">
        <f>H25</f>
        <v>31</v>
      </c>
      <c r="I31" s="12">
        <f>I25</f>
        <v>30460864</v>
      </c>
      <c r="J31" s="12">
        <f>J25</f>
        <v>1903804000</v>
      </c>
      <c r="K31" s="14">
        <f>(C31/12/21)*L31*M31</f>
        <v>104.97547499999999</v>
      </c>
      <c r="L31" s="25">
        <v>0.15</v>
      </c>
      <c r="M31" s="26">
        <v>0.222</v>
      </c>
      <c r="N31" s="15"/>
      <c r="O31" s="14">
        <f>K31/H31</f>
        <v>3.3863056451612898</v>
      </c>
      <c r="P31" s="12">
        <f>O31*I31</f>
        <v>103149795.71969031</v>
      </c>
      <c r="Q31" s="18">
        <f>P31/J31</f>
        <v>5.4180890322580638E-2</v>
      </c>
      <c r="R31" s="19">
        <f>P31*10</f>
        <v>1031497957.1969031</v>
      </c>
    </row>
    <row r="32" spans="1:18" x14ac:dyDescent="0.3">
      <c r="A32" s="3" t="s">
        <v>217</v>
      </c>
      <c r="B32" s="117" t="s">
        <v>247</v>
      </c>
      <c r="C32" s="12">
        <v>533901</v>
      </c>
      <c r="D32" s="15"/>
      <c r="E32" s="15"/>
      <c r="F32" s="15"/>
      <c r="G32" s="15"/>
      <c r="H32" s="12">
        <v>31</v>
      </c>
      <c r="I32" s="12">
        <f>I26</f>
        <v>44303398.833333336</v>
      </c>
      <c r="J32" s="12">
        <f>J26</f>
        <v>2392383537</v>
      </c>
      <c r="K32" s="14">
        <f>(C32/12/30)*L32*M32</f>
        <v>49.385842500000003</v>
      </c>
      <c r="L32" s="25">
        <v>0.15</v>
      </c>
      <c r="M32" s="26">
        <v>0.222</v>
      </c>
      <c r="N32" s="15"/>
      <c r="O32" s="14">
        <f>K32/H32</f>
        <v>1.5930916935483872</v>
      </c>
      <c r="P32" s="12">
        <f>O32*I32</f>
        <v>70579376.67734465</v>
      </c>
      <c r="Q32" s="18">
        <f>P32/J32</f>
        <v>2.9501698028673841E-2</v>
      </c>
      <c r="R32" s="19">
        <f>P32*10</f>
        <v>705793766.77344656</v>
      </c>
    </row>
    <row r="33" spans="1:18" x14ac:dyDescent="0.3">
      <c r="K33" s="2" t="s">
        <v>253</v>
      </c>
    </row>
    <row r="34" spans="1:18" s="3" customFormat="1" x14ac:dyDescent="0.3">
      <c r="A34" s="3" t="s">
        <v>1</v>
      </c>
      <c r="B34" s="118" t="s">
        <v>221</v>
      </c>
      <c r="C34" s="16" t="s">
        <v>222</v>
      </c>
      <c r="D34" s="16" t="s">
        <v>223</v>
      </c>
      <c r="E34" s="16" t="s">
        <v>224</v>
      </c>
      <c r="F34" s="16" t="s">
        <v>225</v>
      </c>
      <c r="G34" s="16" t="s">
        <v>226</v>
      </c>
      <c r="H34" s="16" t="s">
        <v>227</v>
      </c>
      <c r="I34" s="16" t="s">
        <v>228</v>
      </c>
      <c r="J34" s="16" t="s">
        <v>229</v>
      </c>
      <c r="K34" s="16" t="s">
        <v>233</v>
      </c>
      <c r="L34" s="16" t="s">
        <v>251</v>
      </c>
      <c r="M34" s="16" t="s">
        <v>250</v>
      </c>
      <c r="N34" s="16" t="s">
        <v>236</v>
      </c>
      <c r="O34" s="16" t="s">
        <v>243</v>
      </c>
      <c r="P34" s="16" t="s">
        <v>237</v>
      </c>
      <c r="Q34" s="16" t="s">
        <v>238</v>
      </c>
      <c r="R34" s="16" t="s">
        <v>239</v>
      </c>
    </row>
    <row r="35" spans="1:18" x14ac:dyDescent="0.3">
      <c r="A35" s="3" t="s">
        <v>219</v>
      </c>
      <c r="B35" s="117" t="s">
        <v>247</v>
      </c>
      <c r="C35" s="12">
        <v>808037</v>
      </c>
      <c r="D35" s="13"/>
      <c r="E35" s="12">
        <f>C35*G35</f>
        <v>143022549</v>
      </c>
      <c r="F35" s="12">
        <f>E35/12/30</f>
        <v>397284.85833333334</v>
      </c>
      <c r="G35" s="12">
        <v>177</v>
      </c>
      <c r="H35" s="12">
        <v>32</v>
      </c>
      <c r="I35" s="12">
        <f>J35*0.81/(68*0.81)</f>
        <v>26666359.338235293</v>
      </c>
      <c r="J35" s="12">
        <v>1813312435</v>
      </c>
      <c r="K35" s="14">
        <f>F35*L35*M35</f>
        <v>11918.545749999999</v>
      </c>
      <c r="L35" s="25">
        <v>0.06</v>
      </c>
      <c r="M35" s="25">
        <v>0.5</v>
      </c>
      <c r="N35" s="12">
        <f>K35/G35</f>
        <v>67.336416666666665</v>
      </c>
      <c r="O35" s="14">
        <f>N35/H35</f>
        <v>2.1042630208333333</v>
      </c>
      <c r="P35" s="12">
        <f>O35*I35</f>
        <v>56113033.855702162</v>
      </c>
      <c r="Q35" s="18">
        <f>K35/F35</f>
        <v>0.03</v>
      </c>
      <c r="R35" s="19">
        <f>P35*10</f>
        <v>561130338.55702162</v>
      </c>
    </row>
    <row r="39" spans="1:18" x14ac:dyDescent="0.3">
      <c r="B39" s="115" t="s">
        <v>247</v>
      </c>
      <c r="C39" s="28">
        <f>L31*M31</f>
        <v>3.3299999999999996E-2</v>
      </c>
    </row>
    <row r="40" spans="1:18" x14ac:dyDescent="0.3">
      <c r="B40" s="115" t="s">
        <v>268</v>
      </c>
      <c r="C40" s="28">
        <v>3.5000000000000003E-2</v>
      </c>
    </row>
  </sheetData>
  <phoneticPr fontId="1" type="noConversion"/>
  <pageMargins left="0.7" right="0.7" top="0.75" bottom="0.75" header="0.3" footer="0.3"/>
  <ignoredErrors>
    <ignoredError sqref="P25" formula="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2_Sheet">
    <tabColor theme="4" tint="0.59999389629810485"/>
  </sheetPr>
  <dimension ref="A1:S32"/>
  <sheetViews>
    <sheetView topLeftCell="A4" zoomScale="70" zoomScaleNormal="70" workbookViewId="0">
      <selection activeCell="A4" sqref="A4:XFD4"/>
    </sheetView>
  </sheetViews>
  <sheetFormatPr defaultRowHeight="16.5" x14ac:dyDescent="0.3"/>
  <cols>
    <col min="6" max="6" width="16.625" bestFit="1" customWidth="1"/>
    <col min="7" max="7" width="17.875" bestFit="1" customWidth="1"/>
    <col min="8" max="13" width="16.625" bestFit="1" customWidth="1"/>
    <col min="14" max="15" width="3.5" bestFit="1" customWidth="1"/>
  </cols>
  <sheetData>
    <row r="1" spans="1:19" ht="18" thickTop="1" thickBot="1" x14ac:dyDescent="0.35">
      <c r="A1" s="249" t="s">
        <v>486</v>
      </c>
      <c r="B1" s="250"/>
      <c r="C1" s="250"/>
      <c r="D1" s="251"/>
      <c r="E1" s="251"/>
      <c r="F1" s="250"/>
      <c r="G1" s="250"/>
      <c r="H1" s="252"/>
      <c r="I1" s="250"/>
      <c r="J1" s="250"/>
      <c r="K1" s="250"/>
      <c r="L1" s="250"/>
      <c r="M1" s="250"/>
      <c r="N1" s="250"/>
      <c r="O1" s="250"/>
      <c r="P1" s="250"/>
      <c r="Q1" s="250"/>
      <c r="R1" s="253"/>
      <c r="S1" s="250"/>
    </row>
    <row r="2" spans="1:19" ht="27" thickTop="1" x14ac:dyDescent="0.3">
      <c r="A2" s="254">
        <v>4</v>
      </c>
      <c r="B2" s="254" t="s">
        <v>487</v>
      </c>
      <c r="C2" s="255"/>
      <c r="D2" s="255"/>
      <c r="E2" s="255"/>
      <c r="F2" s="256"/>
      <c r="G2" s="255"/>
      <c r="H2" s="257"/>
      <c r="I2" s="250"/>
      <c r="J2" s="250"/>
      <c r="K2" s="250"/>
      <c r="L2" s="250"/>
      <c r="M2" s="252"/>
      <c r="N2" s="250"/>
      <c r="O2" s="250"/>
      <c r="P2" s="250"/>
      <c r="Q2" s="250"/>
      <c r="R2" s="250"/>
      <c r="S2" s="250"/>
    </row>
    <row r="3" spans="1:19" ht="26.25" x14ac:dyDescent="0.3">
      <c r="A3" s="251"/>
      <c r="B3" s="258" t="s">
        <v>488</v>
      </c>
      <c r="C3" s="255"/>
      <c r="D3" s="255"/>
      <c r="E3" s="255"/>
      <c r="F3" s="255"/>
      <c r="G3" s="255"/>
      <c r="H3" s="259"/>
      <c r="I3" s="259"/>
      <c r="J3" s="259"/>
      <c r="K3" s="259"/>
      <c r="L3" s="259"/>
      <c r="M3" s="259"/>
      <c r="N3" s="260"/>
      <c r="O3" s="250"/>
      <c r="P3" s="250"/>
      <c r="Q3" s="250"/>
      <c r="R3" s="250"/>
      <c r="S3" s="250"/>
    </row>
    <row r="4" spans="1:19" ht="21.75" customHeight="1" x14ac:dyDescent="0.3">
      <c r="A4" s="113" t="s">
        <v>325</v>
      </c>
      <c r="B4" s="261"/>
      <c r="C4" s="255"/>
      <c r="D4" s="255"/>
      <c r="E4" s="255"/>
      <c r="F4" s="255"/>
      <c r="G4" s="255"/>
      <c r="H4" s="255"/>
      <c r="I4" s="250"/>
      <c r="J4" s="250"/>
      <c r="K4" s="250"/>
      <c r="L4" s="250"/>
      <c r="M4" s="250"/>
      <c r="N4" s="250"/>
      <c r="O4" s="250"/>
      <c r="P4" s="250"/>
      <c r="Q4" s="250"/>
      <c r="R4" s="250"/>
      <c r="S4" s="250"/>
    </row>
    <row r="5" spans="1:19" ht="18" thickBot="1" x14ac:dyDescent="0.35">
      <c r="A5" s="262"/>
      <c r="B5" s="263"/>
      <c r="C5" s="250"/>
      <c r="D5" s="251"/>
      <c r="E5" s="251"/>
      <c r="F5" s="250"/>
      <c r="G5" s="250"/>
      <c r="H5" s="250"/>
      <c r="I5" s="250"/>
      <c r="J5" s="250"/>
      <c r="K5" s="264"/>
      <c r="L5" s="264"/>
      <c r="M5" s="264"/>
      <c r="N5" s="264"/>
      <c r="O5" s="264"/>
      <c r="P5" s="250"/>
      <c r="Q5" s="264" t="s">
        <v>489</v>
      </c>
      <c r="R5" s="250"/>
      <c r="S5" s="250"/>
    </row>
    <row r="6" spans="1:19" x14ac:dyDescent="0.3">
      <c r="A6" s="250"/>
      <c r="B6" s="567" t="s">
        <v>490</v>
      </c>
      <c r="C6" s="568"/>
      <c r="D6" s="569" t="s">
        <v>491</v>
      </c>
      <c r="E6" s="570"/>
      <c r="F6" s="265" t="s">
        <v>492</v>
      </c>
      <c r="G6" s="265" t="s">
        <v>446</v>
      </c>
      <c r="H6" s="265" t="s">
        <v>258</v>
      </c>
      <c r="I6" s="265" t="s">
        <v>259</v>
      </c>
      <c r="J6" s="265" t="s">
        <v>260</v>
      </c>
      <c r="K6" s="265" t="s">
        <v>261</v>
      </c>
      <c r="L6" s="265" t="s">
        <v>262</v>
      </c>
      <c r="M6" s="265" t="s">
        <v>263</v>
      </c>
      <c r="N6" s="265" t="s">
        <v>264</v>
      </c>
      <c r="O6" s="265" t="s">
        <v>265</v>
      </c>
      <c r="P6" s="571" t="s">
        <v>493</v>
      </c>
      <c r="Q6" s="571"/>
      <c r="R6" s="572"/>
      <c r="S6" s="266"/>
    </row>
    <row r="7" spans="1:19" x14ac:dyDescent="0.3">
      <c r="A7" s="250"/>
      <c r="B7" s="573" t="s">
        <v>462</v>
      </c>
      <c r="C7" s="577" t="s">
        <v>494</v>
      </c>
      <c r="D7" s="580" t="s">
        <v>495</v>
      </c>
      <c r="E7" s="581"/>
      <c r="F7" s="267">
        <v>15600000</v>
      </c>
      <c r="G7" s="267">
        <v>178780500</v>
      </c>
      <c r="H7" s="267">
        <v>178780500</v>
      </c>
      <c r="I7" s="267">
        <v>178780500</v>
      </c>
      <c r="J7" s="267">
        <v>178780500</v>
      </c>
      <c r="K7" s="267">
        <v>178780500</v>
      </c>
      <c r="L7" s="267">
        <v>178780500</v>
      </c>
      <c r="M7" s="267">
        <v>0</v>
      </c>
      <c r="N7" s="268"/>
      <c r="O7" s="268"/>
      <c r="P7" s="582" t="s">
        <v>496</v>
      </c>
      <c r="Q7" s="583"/>
      <c r="R7" s="584"/>
      <c r="S7" s="266"/>
    </row>
    <row r="8" spans="1:19" x14ac:dyDescent="0.3">
      <c r="A8" s="250"/>
      <c r="B8" s="574"/>
      <c r="C8" s="578"/>
      <c r="D8" s="580" t="s">
        <v>497</v>
      </c>
      <c r="E8" s="581"/>
      <c r="F8" s="269">
        <v>4806607788.4835911</v>
      </c>
      <c r="G8" s="269">
        <v>4581290726.8450003</v>
      </c>
      <c r="H8" s="269">
        <v>4280458483.9063249</v>
      </c>
      <c r="I8" s="269">
        <v>4123718006.4876471</v>
      </c>
      <c r="J8" s="269">
        <v>3953416288.7299218</v>
      </c>
      <c r="K8" s="269">
        <v>3848050785.1491747</v>
      </c>
      <c r="L8" s="269">
        <v>3903596760.5510283</v>
      </c>
      <c r="M8" s="267">
        <v>0</v>
      </c>
      <c r="N8" s="268"/>
      <c r="O8" s="268"/>
      <c r="P8" s="585"/>
      <c r="Q8" s="586"/>
      <c r="R8" s="587"/>
      <c r="S8" s="266"/>
    </row>
    <row r="9" spans="1:19" x14ac:dyDescent="0.3">
      <c r="A9" s="250"/>
      <c r="B9" s="574"/>
      <c r="C9" s="578"/>
      <c r="D9" s="591" t="s">
        <v>498</v>
      </c>
      <c r="E9" s="592"/>
      <c r="F9" s="269">
        <v>4122148935.9110465</v>
      </c>
      <c r="G9" s="269">
        <v>3172068923.5528708</v>
      </c>
      <c r="H9" s="269">
        <v>2874453292.4590735</v>
      </c>
      <c r="I9" s="269">
        <v>2869770795.6518164</v>
      </c>
      <c r="J9" s="269">
        <v>2831583342.2522488</v>
      </c>
      <c r="K9" s="269">
        <v>2767715616.581336</v>
      </c>
      <c r="L9" s="269">
        <v>2733012285.39399</v>
      </c>
      <c r="M9" s="267">
        <v>0</v>
      </c>
      <c r="N9" s="268"/>
      <c r="O9" s="268"/>
      <c r="P9" s="585"/>
      <c r="Q9" s="586"/>
      <c r="R9" s="587"/>
      <c r="S9" s="266"/>
    </row>
    <row r="10" spans="1:19" x14ac:dyDescent="0.3">
      <c r="A10" s="250"/>
      <c r="B10" s="574"/>
      <c r="C10" s="578"/>
      <c r="D10" s="593" t="s">
        <v>499</v>
      </c>
      <c r="E10" s="594"/>
      <c r="F10" s="267">
        <v>579903446.40602899</v>
      </c>
      <c r="G10" s="267">
        <v>336542577.19735622</v>
      </c>
      <c r="H10" s="267">
        <v>227040489.31509945</v>
      </c>
      <c r="I10" s="267">
        <v>228471022.18720093</v>
      </c>
      <c r="J10" s="267">
        <v>229923013.05238396</v>
      </c>
      <c r="K10" s="267">
        <v>231396783.7805447</v>
      </c>
      <c r="L10" s="267">
        <v>232892661.06962782</v>
      </c>
      <c r="M10" s="267">
        <v>0</v>
      </c>
      <c r="N10" s="268"/>
      <c r="O10" s="268"/>
      <c r="P10" s="585"/>
      <c r="Q10" s="586"/>
      <c r="R10" s="587"/>
      <c r="S10" s="266"/>
    </row>
    <row r="11" spans="1:19" x14ac:dyDescent="0.3">
      <c r="A11" s="250"/>
      <c r="B11" s="574"/>
      <c r="C11" s="578"/>
      <c r="D11" s="593" t="s">
        <v>500</v>
      </c>
      <c r="E11" s="594"/>
      <c r="F11" s="270">
        <v>5148000</v>
      </c>
      <c r="G11" s="270">
        <v>10296000</v>
      </c>
      <c r="H11" s="270">
        <v>82434534</v>
      </c>
      <c r="I11" s="270">
        <v>82434534</v>
      </c>
      <c r="J11" s="270">
        <v>101163495.19999999</v>
      </c>
      <c r="K11" s="270">
        <v>101163495.19999999</v>
      </c>
      <c r="L11" s="270">
        <v>101163495.19999999</v>
      </c>
      <c r="M11" s="270">
        <v>0</v>
      </c>
      <c r="N11" s="271"/>
      <c r="O11" s="271"/>
      <c r="P11" s="585"/>
      <c r="Q11" s="586"/>
      <c r="R11" s="587"/>
      <c r="S11" s="266"/>
    </row>
    <row r="12" spans="1:19" ht="17.25" thickBot="1" x14ac:dyDescent="0.35">
      <c r="A12" s="250"/>
      <c r="B12" s="574"/>
      <c r="C12" s="579"/>
      <c r="D12" s="542" t="s">
        <v>501</v>
      </c>
      <c r="E12" s="542"/>
      <c r="F12" s="272">
        <v>9529408170.8006668</v>
      </c>
      <c r="G12" s="272">
        <v>8278978727.5952272</v>
      </c>
      <c r="H12" s="272">
        <v>7643167299.6804981</v>
      </c>
      <c r="I12" s="272">
        <v>7483174858.326664</v>
      </c>
      <c r="J12" s="272">
        <v>7294866639.2345543</v>
      </c>
      <c r="K12" s="272">
        <v>7127107180.7110548</v>
      </c>
      <c r="L12" s="272">
        <v>7149445702.2146463</v>
      </c>
      <c r="M12" s="272">
        <v>0</v>
      </c>
      <c r="N12" s="272">
        <v>0</v>
      </c>
      <c r="O12" s="272">
        <v>0</v>
      </c>
      <c r="P12" s="588"/>
      <c r="Q12" s="589"/>
      <c r="R12" s="590"/>
      <c r="S12" s="266"/>
    </row>
    <row r="13" spans="1:19" ht="18" thickTop="1" thickBot="1" x14ac:dyDescent="0.35">
      <c r="A13" s="273">
        <v>4.9000000000000002E-2</v>
      </c>
      <c r="B13" s="575"/>
      <c r="C13" s="556" t="s">
        <v>502</v>
      </c>
      <c r="D13" s="563" t="s">
        <v>503</v>
      </c>
      <c r="E13" s="552"/>
      <c r="F13" s="269">
        <v>441936224.59533721</v>
      </c>
      <c r="G13" s="269">
        <v>442174291.67529821</v>
      </c>
      <c r="H13" s="269">
        <v>460643698.90380377</v>
      </c>
      <c r="I13" s="269">
        <v>479888278.14002889</v>
      </c>
      <c r="J13" s="269">
        <v>499939582.75001472</v>
      </c>
      <c r="K13" s="269">
        <v>520830387.86009699</v>
      </c>
      <c r="L13" s="269">
        <v>542796333.65522313</v>
      </c>
      <c r="M13" s="267">
        <v>0</v>
      </c>
      <c r="N13" s="268"/>
      <c r="O13" s="268"/>
      <c r="P13" s="595" t="s">
        <v>504</v>
      </c>
      <c r="Q13" s="596"/>
      <c r="R13" s="597"/>
      <c r="S13" s="266"/>
    </row>
    <row r="14" spans="1:19" ht="17.25" thickTop="1" x14ac:dyDescent="0.3">
      <c r="A14" s="250"/>
      <c r="B14" s="574"/>
      <c r="C14" s="556"/>
      <c r="D14" s="563" t="s">
        <v>505</v>
      </c>
      <c r="E14" s="552"/>
      <c r="F14" s="267">
        <v>225000000</v>
      </c>
      <c r="G14" s="267">
        <v>0</v>
      </c>
      <c r="H14" s="267">
        <v>0</v>
      </c>
      <c r="I14" s="267">
        <v>0</v>
      </c>
      <c r="J14" s="267">
        <v>0</v>
      </c>
      <c r="K14" s="267">
        <v>0</v>
      </c>
      <c r="L14" s="267">
        <v>0</v>
      </c>
      <c r="M14" s="267">
        <v>0</v>
      </c>
      <c r="N14" s="268"/>
      <c r="O14" s="268"/>
      <c r="P14" s="596"/>
      <c r="Q14" s="596"/>
      <c r="R14" s="597"/>
      <c r="S14" s="266"/>
    </row>
    <row r="15" spans="1:19" x14ac:dyDescent="0.3">
      <c r="A15" s="250"/>
      <c r="B15" s="574"/>
      <c r="C15" s="556"/>
      <c r="D15" s="550" t="s">
        <v>528</v>
      </c>
      <c r="E15" s="551"/>
      <c r="F15" s="274"/>
      <c r="G15" s="274">
        <v>0</v>
      </c>
      <c r="H15" s="274">
        <v>0</v>
      </c>
      <c r="I15" s="274">
        <v>0</v>
      </c>
      <c r="J15" s="274">
        <v>0</v>
      </c>
      <c r="K15" s="274">
        <v>0</v>
      </c>
      <c r="L15" s="274">
        <v>0</v>
      </c>
      <c r="M15" s="274">
        <v>0</v>
      </c>
      <c r="N15" s="268"/>
      <c r="O15" s="268"/>
      <c r="P15" s="596"/>
      <c r="Q15" s="596"/>
      <c r="R15" s="597"/>
      <c r="S15" s="266"/>
    </row>
    <row r="16" spans="1:19" x14ac:dyDescent="0.3">
      <c r="A16" s="250"/>
      <c r="B16" s="574"/>
      <c r="C16" s="556"/>
      <c r="D16" s="552" t="s">
        <v>506</v>
      </c>
      <c r="E16" s="552"/>
      <c r="F16" s="268"/>
      <c r="G16" s="268"/>
      <c r="H16" s="268"/>
      <c r="I16" s="268"/>
      <c r="J16" s="268"/>
      <c r="K16" s="268"/>
      <c r="L16" s="268"/>
      <c r="M16" s="268"/>
      <c r="N16" s="268"/>
      <c r="O16" s="268"/>
      <c r="P16" s="596"/>
      <c r="Q16" s="596"/>
      <c r="R16" s="597"/>
      <c r="S16" s="266"/>
    </row>
    <row r="17" spans="1:19" x14ac:dyDescent="0.3">
      <c r="A17" s="250"/>
      <c r="B17" s="574"/>
      <c r="C17" s="556"/>
      <c r="D17" s="542" t="s">
        <v>501</v>
      </c>
      <c r="E17" s="542"/>
      <c r="F17" s="272">
        <v>666936224.59533715</v>
      </c>
      <c r="G17" s="272">
        <v>442174291.67529821</v>
      </c>
      <c r="H17" s="272">
        <v>460643698.90380377</v>
      </c>
      <c r="I17" s="272">
        <v>479888278.14002889</v>
      </c>
      <c r="J17" s="272">
        <v>499939582.75001472</v>
      </c>
      <c r="K17" s="272">
        <v>520830387.86009699</v>
      </c>
      <c r="L17" s="272">
        <v>542796333.65522313</v>
      </c>
      <c r="M17" s="272">
        <v>0</v>
      </c>
      <c r="N17" s="272">
        <v>0</v>
      </c>
      <c r="O17" s="272">
        <v>0</v>
      </c>
      <c r="P17" s="596"/>
      <c r="Q17" s="596"/>
      <c r="R17" s="597"/>
      <c r="S17" s="266"/>
    </row>
    <row r="18" spans="1:19" x14ac:dyDescent="0.3">
      <c r="A18" s="250"/>
      <c r="B18" s="574"/>
      <c r="C18" s="556" t="s">
        <v>507</v>
      </c>
      <c r="D18" s="552" t="s">
        <v>508</v>
      </c>
      <c r="E18" s="552"/>
      <c r="F18" s="268"/>
      <c r="G18" s="268"/>
      <c r="H18" s="268"/>
      <c r="I18" s="268"/>
      <c r="J18" s="268"/>
      <c r="K18" s="268"/>
      <c r="L18" s="268"/>
      <c r="M18" s="268"/>
      <c r="N18" s="268"/>
      <c r="O18" s="268"/>
      <c r="P18" s="557" t="s">
        <v>509</v>
      </c>
      <c r="Q18" s="558"/>
      <c r="R18" s="559"/>
      <c r="S18" s="251"/>
    </row>
    <row r="19" spans="1:19" x14ac:dyDescent="0.3">
      <c r="A19" s="250"/>
      <c r="B19" s="574"/>
      <c r="C19" s="556"/>
      <c r="D19" s="552" t="s">
        <v>510</v>
      </c>
      <c r="E19" s="552"/>
      <c r="F19" s="268"/>
      <c r="G19" s="268"/>
      <c r="H19" s="268"/>
      <c r="I19" s="268"/>
      <c r="J19" s="268"/>
      <c r="K19" s="268"/>
      <c r="L19" s="268"/>
      <c r="M19" s="268"/>
      <c r="N19" s="268"/>
      <c r="O19" s="268"/>
      <c r="P19" s="558"/>
      <c r="Q19" s="558"/>
      <c r="R19" s="559"/>
      <c r="S19" s="251"/>
    </row>
    <row r="20" spans="1:19" x14ac:dyDescent="0.3">
      <c r="A20" s="250"/>
      <c r="B20" s="574"/>
      <c r="C20" s="556"/>
      <c r="D20" s="542" t="s">
        <v>511</v>
      </c>
      <c r="E20" s="542"/>
      <c r="F20" s="275">
        <v>0</v>
      </c>
      <c r="G20" s="275">
        <v>0</v>
      </c>
      <c r="H20" s="275">
        <v>0</v>
      </c>
      <c r="I20" s="275">
        <v>0</v>
      </c>
      <c r="J20" s="275">
        <v>0</v>
      </c>
      <c r="K20" s="275">
        <v>0</v>
      </c>
      <c r="L20" s="275">
        <v>0</v>
      </c>
      <c r="M20" s="275">
        <v>0</v>
      </c>
      <c r="N20" s="275">
        <v>0</v>
      </c>
      <c r="O20" s="275">
        <v>0</v>
      </c>
      <c r="P20" s="558"/>
      <c r="Q20" s="558"/>
      <c r="R20" s="559"/>
      <c r="S20" s="251"/>
    </row>
    <row r="21" spans="1:19" x14ac:dyDescent="0.3">
      <c r="A21" s="250"/>
      <c r="B21" s="574"/>
      <c r="C21" s="560" t="s">
        <v>512</v>
      </c>
      <c r="D21" s="563" t="s">
        <v>513</v>
      </c>
      <c r="E21" s="552"/>
      <c r="F21" s="268"/>
      <c r="G21" s="268"/>
      <c r="H21" s="268"/>
      <c r="I21" s="268"/>
      <c r="J21" s="268"/>
      <c r="K21" s="268"/>
      <c r="L21" s="268"/>
      <c r="M21" s="268"/>
      <c r="N21" s="268"/>
      <c r="O21" s="268"/>
      <c r="P21" s="564" t="s">
        <v>514</v>
      </c>
      <c r="Q21" s="565"/>
      <c r="R21" s="566"/>
      <c r="S21" s="251"/>
    </row>
    <row r="22" spans="1:19" x14ac:dyDescent="0.3">
      <c r="A22" s="250"/>
      <c r="B22" s="574"/>
      <c r="C22" s="561"/>
      <c r="D22" s="563" t="s">
        <v>515</v>
      </c>
      <c r="E22" s="552"/>
      <c r="F22" s="268">
        <v>167142885.71428573</v>
      </c>
      <c r="G22" s="268">
        <v>77726605.714285716</v>
      </c>
      <c r="H22" s="268">
        <v>83076661.714285731</v>
      </c>
      <c r="I22" s="268">
        <v>83076661.714285731</v>
      </c>
      <c r="J22" s="268">
        <v>83076661.714285731</v>
      </c>
      <c r="K22" s="268">
        <v>83076661.714285731</v>
      </c>
      <c r="L22" s="268">
        <v>84076661.714285731</v>
      </c>
      <c r="M22" s="268">
        <v>0</v>
      </c>
      <c r="N22" s="268"/>
      <c r="O22" s="268"/>
      <c r="P22" s="565"/>
      <c r="Q22" s="565"/>
      <c r="R22" s="566"/>
      <c r="S22" s="251"/>
    </row>
    <row r="23" spans="1:19" x14ac:dyDescent="0.3">
      <c r="A23" s="250"/>
      <c r="B23" s="574"/>
      <c r="C23" s="561"/>
      <c r="D23" s="563" t="s">
        <v>516</v>
      </c>
      <c r="E23" s="552"/>
      <c r="F23" s="268">
        <v>0</v>
      </c>
      <c r="G23" s="268">
        <v>145786732.74443725</v>
      </c>
      <c r="H23" s="268">
        <v>187734262.010986</v>
      </c>
      <c r="I23" s="268">
        <v>233002541.05131567</v>
      </c>
      <c r="J23" s="268">
        <v>281792816.86228812</v>
      </c>
      <c r="K23" s="268">
        <v>334316856.95083588</v>
      </c>
      <c r="L23" s="268">
        <v>391419019.13441128</v>
      </c>
      <c r="M23" s="268">
        <v>0</v>
      </c>
      <c r="N23" s="268"/>
      <c r="O23" s="268"/>
      <c r="P23" s="565"/>
      <c r="Q23" s="565"/>
      <c r="R23" s="566"/>
      <c r="S23" s="250"/>
    </row>
    <row r="24" spans="1:19" x14ac:dyDescent="0.3">
      <c r="A24" s="250"/>
      <c r="B24" s="574"/>
      <c r="C24" s="561"/>
      <c r="D24" s="552" t="s">
        <v>517</v>
      </c>
      <c r="E24" s="552"/>
      <c r="F24" s="268">
        <v>300000000</v>
      </c>
      <c r="G24" s="268">
        <v>0</v>
      </c>
      <c r="H24" s="268">
        <v>0</v>
      </c>
      <c r="I24" s="268">
        <v>0</v>
      </c>
      <c r="J24" s="268">
        <v>0</v>
      </c>
      <c r="K24" s="268">
        <v>0</v>
      </c>
      <c r="L24" s="268">
        <v>0</v>
      </c>
      <c r="M24" s="268">
        <v>0</v>
      </c>
      <c r="N24" s="268"/>
      <c r="O24" s="268"/>
      <c r="P24" s="565"/>
      <c r="Q24" s="565"/>
      <c r="R24" s="566"/>
      <c r="S24" s="250"/>
    </row>
    <row r="25" spans="1:19" x14ac:dyDescent="0.3">
      <c r="A25" s="250"/>
      <c r="B25" s="574"/>
      <c r="C25" s="562"/>
      <c r="D25" s="542" t="s">
        <v>511</v>
      </c>
      <c r="E25" s="542"/>
      <c r="F25" s="275">
        <v>467142885.71428573</v>
      </c>
      <c r="G25" s="275">
        <v>223513338.45872295</v>
      </c>
      <c r="H25" s="275">
        <v>270810923.7252717</v>
      </c>
      <c r="I25" s="275">
        <v>316079202.7656014</v>
      </c>
      <c r="J25" s="275">
        <v>364869478.57657385</v>
      </c>
      <c r="K25" s="275">
        <v>417393518.66512161</v>
      </c>
      <c r="L25" s="275">
        <v>475495680.84869701</v>
      </c>
      <c r="M25" s="275">
        <v>0</v>
      </c>
      <c r="N25" s="275">
        <v>0</v>
      </c>
      <c r="O25" s="275">
        <v>0</v>
      </c>
      <c r="P25" s="543"/>
      <c r="Q25" s="544"/>
      <c r="R25" s="545"/>
      <c r="S25" s="250"/>
    </row>
    <row r="26" spans="1:19" x14ac:dyDescent="0.3">
      <c r="A26" s="250"/>
      <c r="B26" s="576"/>
      <c r="C26" s="276" t="s">
        <v>518</v>
      </c>
      <c r="D26" s="546" t="s">
        <v>519</v>
      </c>
      <c r="E26" s="546"/>
      <c r="F26" s="277">
        <v>43331116.055555567</v>
      </c>
      <c r="G26" s="277">
        <v>519973392.66666681</v>
      </c>
      <c r="H26" s="277">
        <v>519973392.66666681</v>
      </c>
      <c r="I26" s="277">
        <v>519973392.66666681</v>
      </c>
      <c r="J26" s="277">
        <v>519973392.66666681</v>
      </c>
      <c r="K26" s="277">
        <v>519973392.66666681</v>
      </c>
      <c r="L26" s="277">
        <v>476642276.61111122</v>
      </c>
      <c r="M26" s="277">
        <v>0</v>
      </c>
      <c r="N26" s="277">
        <v>0</v>
      </c>
      <c r="O26" s="277">
        <v>0</v>
      </c>
      <c r="P26" s="540" t="s">
        <v>520</v>
      </c>
      <c r="Q26" s="540"/>
      <c r="R26" s="541"/>
      <c r="S26" s="251"/>
    </row>
    <row r="27" spans="1:19" x14ac:dyDescent="0.3">
      <c r="A27" s="250"/>
      <c r="B27" s="547" t="s">
        <v>521</v>
      </c>
      <c r="C27" s="548"/>
      <c r="D27" s="548"/>
      <c r="E27" s="549"/>
      <c r="F27" s="278">
        <v>10706818397.165844</v>
      </c>
      <c r="G27" s="278">
        <v>9464639750.3959141</v>
      </c>
      <c r="H27" s="278">
        <v>8894595314.9762402</v>
      </c>
      <c r="I27" s="278">
        <v>8799115731.8989601</v>
      </c>
      <c r="J27" s="278">
        <v>8679649093.227808</v>
      </c>
      <c r="K27" s="278">
        <v>8585304479.9029408</v>
      </c>
      <c r="L27" s="278">
        <v>8644379993.3296776</v>
      </c>
      <c r="M27" s="278">
        <v>0</v>
      </c>
      <c r="N27" s="278">
        <v>0</v>
      </c>
      <c r="O27" s="278">
        <v>0</v>
      </c>
      <c r="P27" s="553"/>
      <c r="Q27" s="554"/>
      <c r="R27" s="555"/>
      <c r="S27" s="251"/>
    </row>
    <row r="28" spans="1:19" x14ac:dyDescent="0.25">
      <c r="A28" s="250"/>
      <c r="B28" s="529" t="s">
        <v>522</v>
      </c>
      <c r="C28" s="531" t="s">
        <v>523</v>
      </c>
      <c r="D28" s="532"/>
      <c r="E28" s="533"/>
      <c r="F28" s="279"/>
      <c r="G28" s="279"/>
      <c r="H28" s="279"/>
      <c r="I28" s="279"/>
      <c r="J28" s="279"/>
      <c r="K28" s="279"/>
      <c r="L28" s="279"/>
      <c r="M28" s="279"/>
      <c r="N28" s="279"/>
      <c r="O28" s="279"/>
      <c r="P28" s="534"/>
      <c r="Q28" s="535"/>
      <c r="R28" s="536"/>
      <c r="S28" s="251"/>
    </row>
    <row r="29" spans="1:19" x14ac:dyDescent="0.25">
      <c r="A29" s="250"/>
      <c r="B29" s="530"/>
      <c r="C29" s="531" t="s">
        <v>524</v>
      </c>
      <c r="D29" s="532"/>
      <c r="E29" s="533"/>
      <c r="F29" s="279"/>
      <c r="G29" s="279"/>
      <c r="H29" s="279"/>
      <c r="I29" s="279"/>
      <c r="J29" s="279"/>
      <c r="K29" s="279"/>
      <c r="L29" s="279"/>
      <c r="M29" s="279"/>
      <c r="N29" s="279"/>
      <c r="O29" s="279"/>
      <c r="P29" s="534"/>
      <c r="Q29" s="535"/>
      <c r="R29" s="536"/>
      <c r="S29" s="251"/>
    </row>
    <row r="30" spans="1:19" x14ac:dyDescent="0.3">
      <c r="A30" s="250"/>
      <c r="B30" s="530"/>
      <c r="C30" s="537" t="s">
        <v>525</v>
      </c>
      <c r="D30" s="538"/>
      <c r="E30" s="539"/>
      <c r="F30" s="277">
        <v>0</v>
      </c>
      <c r="G30" s="277">
        <v>0</v>
      </c>
      <c r="H30" s="277">
        <v>0</v>
      </c>
      <c r="I30" s="277">
        <v>0</v>
      </c>
      <c r="J30" s="277">
        <v>0</v>
      </c>
      <c r="K30" s="277">
        <v>0</v>
      </c>
      <c r="L30" s="277">
        <v>0</v>
      </c>
      <c r="M30" s="277">
        <v>0</v>
      </c>
      <c r="N30" s="277">
        <v>0</v>
      </c>
      <c r="O30" s="277">
        <v>0</v>
      </c>
      <c r="P30" s="540" t="s">
        <v>520</v>
      </c>
      <c r="Q30" s="540"/>
      <c r="R30" s="541"/>
      <c r="S30" s="251"/>
    </row>
    <row r="31" spans="1:19" x14ac:dyDescent="0.25">
      <c r="A31" s="250"/>
      <c r="B31" s="547" t="s">
        <v>526</v>
      </c>
      <c r="C31" s="548"/>
      <c r="D31" s="548"/>
      <c r="E31" s="549"/>
      <c r="F31" s="278">
        <v>0</v>
      </c>
      <c r="G31" s="278">
        <v>0</v>
      </c>
      <c r="H31" s="278">
        <v>0</v>
      </c>
      <c r="I31" s="278">
        <v>0</v>
      </c>
      <c r="J31" s="278">
        <v>0</v>
      </c>
      <c r="K31" s="278">
        <v>0</v>
      </c>
      <c r="L31" s="278">
        <v>0</v>
      </c>
      <c r="M31" s="278">
        <v>0</v>
      </c>
      <c r="N31" s="278">
        <v>0</v>
      </c>
      <c r="O31" s="278">
        <v>0</v>
      </c>
      <c r="P31" s="534"/>
      <c r="Q31" s="535"/>
      <c r="R31" s="536"/>
      <c r="S31" s="251"/>
    </row>
    <row r="32" spans="1:19" ht="17.25" thickBot="1" x14ac:dyDescent="0.35">
      <c r="A32" s="250"/>
      <c r="B32" s="523" t="s">
        <v>527</v>
      </c>
      <c r="C32" s="524"/>
      <c r="D32" s="524"/>
      <c r="E32" s="525"/>
      <c r="F32" s="280">
        <v>10706818397.165844</v>
      </c>
      <c r="G32" s="280">
        <v>9464639750.3959141</v>
      </c>
      <c r="H32" s="280">
        <v>8894595314.9762402</v>
      </c>
      <c r="I32" s="280">
        <v>8799115731.8989601</v>
      </c>
      <c r="J32" s="280">
        <v>8679649093.227808</v>
      </c>
      <c r="K32" s="280">
        <v>8585304479.9029408</v>
      </c>
      <c r="L32" s="280">
        <v>8644379993.3296776</v>
      </c>
      <c r="M32" s="280">
        <v>0</v>
      </c>
      <c r="N32" s="280">
        <v>0</v>
      </c>
      <c r="O32" s="280">
        <v>0</v>
      </c>
      <c r="P32" s="526"/>
      <c r="Q32" s="527"/>
      <c r="R32" s="528"/>
      <c r="S32" s="251"/>
    </row>
  </sheetData>
  <mergeCells count="47">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D25:E25"/>
    <mergeCell ref="P25:R25"/>
    <mergeCell ref="D26:E26"/>
    <mergeCell ref="P26:R26"/>
    <mergeCell ref="B31:E31"/>
    <mergeCell ref="P31:R31"/>
    <mergeCell ref="B32:E32"/>
    <mergeCell ref="P32:R32"/>
    <mergeCell ref="B28:B30"/>
    <mergeCell ref="C28:E28"/>
    <mergeCell ref="P28:R28"/>
    <mergeCell ref="C29:E29"/>
    <mergeCell ref="P29:R29"/>
    <mergeCell ref="C30:E30"/>
    <mergeCell ref="P30:R30"/>
  </mergeCells>
  <phoneticPr fontId="1" type="noConversion"/>
  <hyperlinks>
    <hyperlink ref="A1" location="목차!A1" display="H" xr:uid="{00000000-0004-0000-0200-000000000000}"/>
    <hyperlink ref="A4" location="HOME!A1" display="HOME" xr:uid="{2737DE26-D680-4347-A591-46E6742A70E3}"/>
  </hyperlink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3_Sheet">
    <tabColor theme="4" tint="0.59999389629810485"/>
  </sheetPr>
  <dimension ref="A1:M11"/>
  <sheetViews>
    <sheetView zoomScale="70" zoomScaleNormal="70" workbookViewId="0">
      <selection sqref="A1:XFD1"/>
    </sheetView>
  </sheetViews>
  <sheetFormatPr defaultRowHeight="16.5" x14ac:dyDescent="0.3"/>
  <cols>
    <col min="1" max="1" width="9.125" customWidth="1"/>
    <col min="2" max="2" width="19.125" bestFit="1" customWidth="1"/>
    <col min="4" max="7" width="16.625" bestFit="1" customWidth="1"/>
    <col min="8" max="10" width="17.875" bestFit="1" customWidth="1"/>
    <col min="11" max="12" width="4" bestFit="1" customWidth="1"/>
    <col min="13" max="13" width="13.5" bestFit="1" customWidth="1"/>
  </cols>
  <sheetData>
    <row r="1" spans="1:13" ht="21.75" customHeight="1" x14ac:dyDescent="0.3">
      <c r="A1" s="113" t="s">
        <v>325</v>
      </c>
      <c r="B1" s="255"/>
      <c r="C1" s="255"/>
      <c r="D1" s="255"/>
      <c r="E1" s="255"/>
      <c r="F1" s="255"/>
      <c r="G1" s="255"/>
      <c r="H1" s="255"/>
      <c r="I1" s="250"/>
      <c r="J1" s="250"/>
      <c r="K1" s="250"/>
      <c r="L1" s="250"/>
      <c r="M1" s="1"/>
    </row>
    <row r="2" spans="1:13" ht="26.25" x14ac:dyDescent="0.3">
      <c r="A2" s="254"/>
      <c r="B2" s="254" t="s">
        <v>1164</v>
      </c>
      <c r="C2" s="255"/>
      <c r="D2" s="281" t="s">
        <v>529</v>
      </c>
      <c r="E2" s="282"/>
      <c r="F2" s="283"/>
      <c r="G2" s="1"/>
      <c r="H2" s="255"/>
      <c r="I2" s="250"/>
      <c r="J2" s="250"/>
      <c r="K2" s="250"/>
      <c r="L2" s="250"/>
      <c r="M2" s="1"/>
    </row>
    <row r="3" spans="1:13" ht="26.25" x14ac:dyDescent="0.3">
      <c r="A3" s="250"/>
      <c r="B3" s="250" t="s">
        <v>530</v>
      </c>
      <c r="C3" s="255"/>
      <c r="D3" s="284">
        <f>'[1]1. 사업성분석'!O22</f>
        <v>498234354.72102785</v>
      </c>
      <c r="E3" s="285"/>
      <c r="F3" s="285"/>
      <c r="G3" s="1"/>
      <c r="H3" s="255"/>
      <c r="I3" s="250"/>
      <c r="J3" s="250"/>
      <c r="K3" s="250"/>
      <c r="L3" s="250"/>
      <c r="M3" s="1"/>
    </row>
    <row r="4" spans="1:13" ht="27" thickBot="1" x14ac:dyDescent="0.35">
      <c r="A4" s="250"/>
      <c r="B4" s="255"/>
      <c r="C4" s="250"/>
      <c r="D4" s="252"/>
      <c r="E4" s="252"/>
      <c r="F4" s="252"/>
      <c r="G4" s="252"/>
      <c r="H4" s="252"/>
      <c r="I4" s="252"/>
      <c r="J4" s="252"/>
      <c r="K4" s="252"/>
      <c r="L4" s="250"/>
      <c r="M4" s="250" t="s">
        <v>489</v>
      </c>
    </row>
    <row r="5" spans="1:13" x14ac:dyDescent="0.3">
      <c r="A5" s="250"/>
      <c r="B5" s="602" t="s">
        <v>531</v>
      </c>
      <c r="C5" s="603"/>
      <c r="D5" s="286" t="s">
        <v>492</v>
      </c>
      <c r="E5" s="286" t="s">
        <v>532</v>
      </c>
      <c r="F5" s="286" t="s">
        <v>258</v>
      </c>
      <c r="G5" s="286" t="s">
        <v>259</v>
      </c>
      <c r="H5" s="286" t="s">
        <v>260</v>
      </c>
      <c r="I5" s="286" t="s">
        <v>261</v>
      </c>
      <c r="J5" s="286" t="s">
        <v>262</v>
      </c>
      <c r="K5" s="286" t="s">
        <v>263</v>
      </c>
      <c r="L5" s="286" t="s">
        <v>264</v>
      </c>
      <c r="M5" s="286" t="s">
        <v>265</v>
      </c>
    </row>
    <row r="6" spans="1:13" x14ac:dyDescent="0.3">
      <c r="A6" s="250"/>
      <c r="B6" s="600" t="s">
        <v>533</v>
      </c>
      <c r="C6" s="601"/>
      <c r="D6" s="287">
        <v>9019106624.3946362</v>
      </c>
      <c r="E6" s="287">
        <v>9023965136.2305756</v>
      </c>
      <c r="F6" s="287">
        <v>9400891814.3633423</v>
      </c>
      <c r="G6" s="287">
        <v>9793638329.3883438</v>
      </c>
      <c r="H6" s="287">
        <v>10202848627.551321</v>
      </c>
      <c r="I6" s="287">
        <v>10629191588.981571</v>
      </c>
      <c r="J6" s="287">
        <v>11077476197.04537</v>
      </c>
      <c r="K6" s="288">
        <v>0</v>
      </c>
      <c r="L6" s="289"/>
      <c r="M6" s="289"/>
    </row>
    <row r="7" spans="1:13" x14ac:dyDescent="0.3">
      <c r="A7" s="250"/>
      <c r="B7" s="604" t="s">
        <v>528</v>
      </c>
      <c r="C7" s="605"/>
      <c r="D7" s="290"/>
      <c r="E7" s="290">
        <v>0</v>
      </c>
      <c r="F7" s="290">
        <v>0</v>
      </c>
      <c r="G7" s="290">
        <v>0</v>
      </c>
      <c r="H7" s="290">
        <v>0</v>
      </c>
      <c r="I7" s="290">
        <v>0</v>
      </c>
      <c r="J7" s="290">
        <v>0</v>
      </c>
      <c r="K7" s="290">
        <v>0</v>
      </c>
      <c r="L7" s="289"/>
      <c r="M7" s="289"/>
    </row>
    <row r="8" spans="1:13" x14ac:dyDescent="0.3">
      <c r="A8" s="250"/>
      <c r="B8" s="600" t="s">
        <v>534</v>
      </c>
      <c r="C8" s="601"/>
      <c r="D8" s="288"/>
      <c r="E8" s="289"/>
      <c r="F8" s="289"/>
      <c r="G8" s="289"/>
      <c r="H8" s="289"/>
      <c r="I8" s="289"/>
      <c r="J8" s="289"/>
      <c r="K8" s="289"/>
      <c r="L8" s="289"/>
      <c r="M8" s="289"/>
    </row>
    <row r="9" spans="1:13" x14ac:dyDescent="0.3">
      <c r="A9" s="250"/>
      <c r="B9" s="600" t="s">
        <v>535</v>
      </c>
      <c r="C9" s="601"/>
      <c r="D9" s="288"/>
      <c r="E9" s="289"/>
      <c r="F9" s="289"/>
      <c r="G9" s="289"/>
      <c r="H9" s="289"/>
      <c r="I9" s="289"/>
      <c r="J9" s="289"/>
      <c r="K9" s="289"/>
      <c r="L9" s="289"/>
      <c r="M9" s="289"/>
    </row>
    <row r="10" spans="1:13" x14ac:dyDescent="0.3">
      <c r="A10" s="250"/>
      <c r="B10" s="600" t="s">
        <v>536</v>
      </c>
      <c r="C10" s="601"/>
      <c r="D10" s="288"/>
      <c r="E10" s="289"/>
      <c r="F10" s="289"/>
      <c r="G10" s="289"/>
      <c r="H10" s="289"/>
      <c r="I10" s="289"/>
      <c r="J10" s="289"/>
      <c r="K10" s="289"/>
      <c r="L10" s="289"/>
      <c r="M10" s="289"/>
    </row>
    <row r="11" spans="1:13" ht="17.25" thickBot="1" x14ac:dyDescent="0.35">
      <c r="A11" s="250"/>
      <c r="B11" s="598" t="s">
        <v>537</v>
      </c>
      <c r="C11" s="599"/>
      <c r="D11" s="291">
        <v>9019106624.3946362</v>
      </c>
      <c r="E11" s="291">
        <v>9023965136.2305756</v>
      </c>
      <c r="F11" s="291">
        <v>9400891814.3633423</v>
      </c>
      <c r="G11" s="291">
        <v>9793638329.3883438</v>
      </c>
      <c r="H11" s="291">
        <v>10202848627.551321</v>
      </c>
      <c r="I11" s="291">
        <v>10629191588.981571</v>
      </c>
      <c r="J11" s="291">
        <v>11077476197.04537</v>
      </c>
      <c r="K11" s="291">
        <v>0</v>
      </c>
      <c r="L11" s="291">
        <v>0</v>
      </c>
      <c r="M11" s="291">
        <v>0</v>
      </c>
    </row>
  </sheetData>
  <mergeCells count="7">
    <mergeCell ref="B11:C11"/>
    <mergeCell ref="B6:C6"/>
    <mergeCell ref="B5:C5"/>
    <mergeCell ref="B7:C7"/>
    <mergeCell ref="B8:C8"/>
    <mergeCell ref="B9:C9"/>
    <mergeCell ref="B10:C10"/>
  </mergeCells>
  <phoneticPr fontId="1" type="noConversion"/>
  <dataValidations count="1">
    <dataValidation type="list" allowBlank="1" showInputMessage="1" showErrorMessage="1" sqref="B7:C7" xr:uid="{00000000-0002-0000-0300-000000000000}">
      <formula1>"Case 0, Case 1, Case 2, Case 3"</formula1>
    </dataValidation>
  </dataValidations>
  <hyperlinks>
    <hyperlink ref="A1" location="HOME!A1" display="HOME" xr:uid="{EE1E7F8C-C96B-47E0-B261-21C761B28092}"/>
  </hyperlink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4_Sheet">
    <tabColor theme="4" tint="0.59999389629810485"/>
  </sheetPr>
  <dimension ref="A1:W114"/>
  <sheetViews>
    <sheetView zoomScale="70" zoomScaleNormal="70" workbookViewId="0">
      <selection sqref="A1:XFD1"/>
    </sheetView>
  </sheetViews>
  <sheetFormatPr defaultColWidth="8.875" defaultRowHeight="16.5" x14ac:dyDescent="0.3"/>
  <cols>
    <col min="1" max="1" width="10.125" style="250" customWidth="1"/>
    <col min="2" max="2" width="13.375" style="1" customWidth="1"/>
    <col min="3" max="3" width="31.375" style="1" customWidth="1"/>
    <col min="4" max="5" width="15.625" style="1" bestFit="1" customWidth="1"/>
    <col min="6" max="7" width="13.25" style="1" customWidth="1"/>
    <col min="8" max="8" width="13.125" style="1" customWidth="1"/>
    <col min="9" max="9" width="13.375" style="1" customWidth="1"/>
    <col min="10" max="10" width="13.875" style="1" customWidth="1"/>
    <col min="11" max="11" width="13.75" style="1" customWidth="1"/>
    <col min="12" max="12" width="11.625" style="1" customWidth="1"/>
    <col min="13" max="13" width="13.375" style="1" customWidth="1"/>
    <col min="14" max="14" width="13.25" style="1" customWidth="1"/>
    <col min="15" max="16" width="10.25" style="1" customWidth="1"/>
    <col min="17" max="17" width="8.875" style="1"/>
    <col min="18" max="20" width="10.375" style="1" bestFit="1" customWidth="1"/>
    <col min="21" max="21" width="9.375" style="1" bestFit="1" customWidth="1"/>
    <col min="22" max="256" width="8.875" style="1"/>
    <col min="257" max="257" width="5" style="1" bestFit="1" customWidth="1"/>
    <col min="258" max="258" width="13.375" style="1" customWidth="1"/>
    <col min="259" max="259" width="31.375" style="1" customWidth="1"/>
    <col min="260" max="261" width="13.75" style="1" bestFit="1" customWidth="1"/>
    <col min="262" max="263" width="13.25" style="1" customWidth="1"/>
    <col min="264" max="264" width="13.125" style="1" customWidth="1"/>
    <col min="265" max="265" width="13.375" style="1" customWidth="1"/>
    <col min="266" max="266" width="13.875" style="1" customWidth="1"/>
    <col min="267" max="267" width="13.75" style="1" customWidth="1"/>
    <col min="268" max="268" width="11.625" style="1" customWidth="1"/>
    <col min="269" max="269" width="13.375" style="1" customWidth="1"/>
    <col min="270" max="270" width="13.25" style="1" customWidth="1"/>
    <col min="271" max="272" width="10.25" style="1" customWidth="1"/>
    <col min="273" max="273" width="8.875" style="1"/>
    <col min="274" max="276" width="10.375" style="1" bestFit="1" customWidth="1"/>
    <col min="277" max="277" width="9.375" style="1" bestFit="1" customWidth="1"/>
    <col min="278" max="512" width="8.875" style="1"/>
    <col min="513" max="513" width="5" style="1" bestFit="1" customWidth="1"/>
    <col min="514" max="514" width="13.375" style="1" customWidth="1"/>
    <col min="515" max="515" width="31.375" style="1" customWidth="1"/>
    <col min="516" max="517" width="13.75" style="1" bestFit="1" customWidth="1"/>
    <col min="518" max="519" width="13.25" style="1" customWidth="1"/>
    <col min="520" max="520" width="13.125" style="1" customWidth="1"/>
    <col min="521" max="521" width="13.375" style="1" customWidth="1"/>
    <col min="522" max="522" width="13.875" style="1" customWidth="1"/>
    <col min="523" max="523" width="13.75" style="1" customWidth="1"/>
    <col min="524" max="524" width="11.625" style="1" customWidth="1"/>
    <col min="525" max="525" width="13.375" style="1" customWidth="1"/>
    <col min="526" max="526" width="13.25" style="1" customWidth="1"/>
    <col min="527" max="528" width="10.25" style="1" customWidth="1"/>
    <col min="529" max="529" width="8.875" style="1"/>
    <col min="530" max="532" width="10.375" style="1" bestFit="1" customWidth="1"/>
    <col min="533" max="533" width="9.375" style="1" bestFit="1" customWidth="1"/>
    <col min="534" max="768" width="8.875" style="1"/>
    <col min="769" max="769" width="5" style="1" bestFit="1" customWidth="1"/>
    <col min="770" max="770" width="13.375" style="1" customWidth="1"/>
    <col min="771" max="771" width="31.375" style="1" customWidth="1"/>
    <col min="772" max="773" width="13.75" style="1" bestFit="1" customWidth="1"/>
    <col min="774" max="775" width="13.25" style="1" customWidth="1"/>
    <col min="776" max="776" width="13.125" style="1" customWidth="1"/>
    <col min="777" max="777" width="13.375" style="1" customWidth="1"/>
    <col min="778" max="778" width="13.875" style="1" customWidth="1"/>
    <col min="779" max="779" width="13.75" style="1" customWidth="1"/>
    <col min="780" max="780" width="11.625" style="1" customWidth="1"/>
    <col min="781" max="781" width="13.375" style="1" customWidth="1"/>
    <col min="782" max="782" width="13.25" style="1" customWidth="1"/>
    <col min="783" max="784" width="10.25" style="1" customWidth="1"/>
    <col min="785" max="785" width="8.875" style="1"/>
    <col min="786" max="788" width="10.375" style="1" bestFit="1" customWidth="1"/>
    <col min="789" max="789" width="9.375" style="1" bestFit="1" customWidth="1"/>
    <col min="790" max="1024" width="8.875" style="1"/>
    <col min="1025" max="1025" width="5" style="1" bestFit="1" customWidth="1"/>
    <col min="1026" max="1026" width="13.375" style="1" customWidth="1"/>
    <col min="1027" max="1027" width="31.375" style="1" customWidth="1"/>
    <col min="1028" max="1029" width="13.75" style="1" bestFit="1" customWidth="1"/>
    <col min="1030" max="1031" width="13.25" style="1" customWidth="1"/>
    <col min="1032" max="1032" width="13.125" style="1" customWidth="1"/>
    <col min="1033" max="1033" width="13.375" style="1" customWidth="1"/>
    <col min="1034" max="1034" width="13.875" style="1" customWidth="1"/>
    <col min="1035" max="1035" width="13.75" style="1" customWidth="1"/>
    <col min="1036" max="1036" width="11.625" style="1" customWidth="1"/>
    <col min="1037" max="1037" width="13.375" style="1" customWidth="1"/>
    <col min="1038" max="1038" width="13.25" style="1" customWidth="1"/>
    <col min="1039" max="1040" width="10.25" style="1" customWidth="1"/>
    <col min="1041" max="1041" width="8.875" style="1"/>
    <col min="1042" max="1044" width="10.375" style="1" bestFit="1" customWidth="1"/>
    <col min="1045" max="1045" width="9.375" style="1" bestFit="1" customWidth="1"/>
    <col min="1046" max="1280" width="8.875" style="1"/>
    <col min="1281" max="1281" width="5" style="1" bestFit="1" customWidth="1"/>
    <col min="1282" max="1282" width="13.375" style="1" customWidth="1"/>
    <col min="1283" max="1283" width="31.375" style="1" customWidth="1"/>
    <col min="1284" max="1285" width="13.75" style="1" bestFit="1" customWidth="1"/>
    <col min="1286" max="1287" width="13.25" style="1" customWidth="1"/>
    <col min="1288" max="1288" width="13.125" style="1" customWidth="1"/>
    <col min="1289" max="1289" width="13.375" style="1" customWidth="1"/>
    <col min="1290" max="1290" width="13.875" style="1" customWidth="1"/>
    <col min="1291" max="1291" width="13.75" style="1" customWidth="1"/>
    <col min="1292" max="1292" width="11.625" style="1" customWidth="1"/>
    <col min="1293" max="1293" width="13.375" style="1" customWidth="1"/>
    <col min="1294" max="1294" width="13.25" style="1" customWidth="1"/>
    <col min="1295" max="1296" width="10.25" style="1" customWidth="1"/>
    <col min="1297" max="1297" width="8.875" style="1"/>
    <col min="1298" max="1300" width="10.375" style="1" bestFit="1" customWidth="1"/>
    <col min="1301" max="1301" width="9.375" style="1" bestFit="1" customWidth="1"/>
    <col min="1302" max="1536" width="8.875" style="1"/>
    <col min="1537" max="1537" width="5" style="1" bestFit="1" customWidth="1"/>
    <col min="1538" max="1538" width="13.375" style="1" customWidth="1"/>
    <col min="1539" max="1539" width="31.375" style="1" customWidth="1"/>
    <col min="1540" max="1541" width="13.75" style="1" bestFit="1" customWidth="1"/>
    <col min="1542" max="1543" width="13.25" style="1" customWidth="1"/>
    <col min="1544" max="1544" width="13.125" style="1" customWidth="1"/>
    <col min="1545" max="1545" width="13.375" style="1" customWidth="1"/>
    <col min="1546" max="1546" width="13.875" style="1" customWidth="1"/>
    <col min="1547" max="1547" width="13.75" style="1" customWidth="1"/>
    <col min="1548" max="1548" width="11.625" style="1" customWidth="1"/>
    <col min="1549" max="1549" width="13.375" style="1" customWidth="1"/>
    <col min="1550" max="1550" width="13.25" style="1" customWidth="1"/>
    <col min="1551" max="1552" width="10.25" style="1" customWidth="1"/>
    <col min="1553" max="1553" width="8.875" style="1"/>
    <col min="1554" max="1556" width="10.375" style="1" bestFit="1" customWidth="1"/>
    <col min="1557" max="1557" width="9.375" style="1" bestFit="1" customWidth="1"/>
    <col min="1558" max="1792" width="8.875" style="1"/>
    <col min="1793" max="1793" width="5" style="1" bestFit="1" customWidth="1"/>
    <col min="1794" max="1794" width="13.375" style="1" customWidth="1"/>
    <col min="1795" max="1795" width="31.375" style="1" customWidth="1"/>
    <col min="1796" max="1797" width="13.75" style="1" bestFit="1" customWidth="1"/>
    <col min="1798" max="1799" width="13.25" style="1" customWidth="1"/>
    <col min="1800" max="1800" width="13.125" style="1" customWidth="1"/>
    <col min="1801" max="1801" width="13.375" style="1" customWidth="1"/>
    <col min="1802" max="1802" width="13.875" style="1" customWidth="1"/>
    <col min="1803" max="1803" width="13.75" style="1" customWidth="1"/>
    <col min="1804" max="1804" width="11.625" style="1" customWidth="1"/>
    <col min="1805" max="1805" width="13.375" style="1" customWidth="1"/>
    <col min="1806" max="1806" width="13.25" style="1" customWidth="1"/>
    <col min="1807" max="1808" width="10.25" style="1" customWidth="1"/>
    <col min="1809" max="1809" width="8.875" style="1"/>
    <col min="1810" max="1812" width="10.375" style="1" bestFit="1" customWidth="1"/>
    <col min="1813" max="1813" width="9.375" style="1" bestFit="1" customWidth="1"/>
    <col min="1814" max="2048" width="8.875" style="1"/>
    <col min="2049" max="2049" width="5" style="1" bestFit="1" customWidth="1"/>
    <col min="2050" max="2050" width="13.375" style="1" customWidth="1"/>
    <col min="2051" max="2051" width="31.375" style="1" customWidth="1"/>
    <col min="2052" max="2053" width="13.75" style="1" bestFit="1" customWidth="1"/>
    <col min="2054" max="2055" width="13.25" style="1" customWidth="1"/>
    <col min="2056" max="2056" width="13.125" style="1" customWidth="1"/>
    <col min="2057" max="2057" width="13.375" style="1" customWidth="1"/>
    <col min="2058" max="2058" width="13.875" style="1" customWidth="1"/>
    <col min="2059" max="2059" width="13.75" style="1" customWidth="1"/>
    <col min="2060" max="2060" width="11.625" style="1" customWidth="1"/>
    <col min="2061" max="2061" width="13.375" style="1" customWidth="1"/>
    <col min="2062" max="2062" width="13.25" style="1" customWidth="1"/>
    <col min="2063" max="2064" width="10.25" style="1" customWidth="1"/>
    <col min="2065" max="2065" width="8.875" style="1"/>
    <col min="2066" max="2068" width="10.375" style="1" bestFit="1" customWidth="1"/>
    <col min="2069" max="2069" width="9.375" style="1" bestFit="1" customWidth="1"/>
    <col min="2070" max="2304" width="8.875" style="1"/>
    <col min="2305" max="2305" width="5" style="1" bestFit="1" customWidth="1"/>
    <col min="2306" max="2306" width="13.375" style="1" customWidth="1"/>
    <col min="2307" max="2307" width="31.375" style="1" customWidth="1"/>
    <col min="2308" max="2309" width="13.75" style="1" bestFit="1" customWidth="1"/>
    <col min="2310" max="2311" width="13.25" style="1" customWidth="1"/>
    <col min="2312" max="2312" width="13.125" style="1" customWidth="1"/>
    <col min="2313" max="2313" width="13.375" style="1" customWidth="1"/>
    <col min="2314" max="2314" width="13.875" style="1" customWidth="1"/>
    <col min="2315" max="2315" width="13.75" style="1" customWidth="1"/>
    <col min="2316" max="2316" width="11.625" style="1" customWidth="1"/>
    <col min="2317" max="2317" width="13.375" style="1" customWidth="1"/>
    <col min="2318" max="2318" width="13.25" style="1" customWidth="1"/>
    <col min="2319" max="2320" width="10.25" style="1" customWidth="1"/>
    <col min="2321" max="2321" width="8.875" style="1"/>
    <col min="2322" max="2324" width="10.375" style="1" bestFit="1" customWidth="1"/>
    <col min="2325" max="2325" width="9.375" style="1" bestFit="1" customWidth="1"/>
    <col min="2326" max="2560" width="8.875" style="1"/>
    <col min="2561" max="2561" width="5" style="1" bestFit="1" customWidth="1"/>
    <col min="2562" max="2562" width="13.375" style="1" customWidth="1"/>
    <col min="2563" max="2563" width="31.375" style="1" customWidth="1"/>
    <col min="2564" max="2565" width="13.75" style="1" bestFit="1" customWidth="1"/>
    <col min="2566" max="2567" width="13.25" style="1" customWidth="1"/>
    <col min="2568" max="2568" width="13.125" style="1" customWidth="1"/>
    <col min="2569" max="2569" width="13.375" style="1" customWidth="1"/>
    <col min="2570" max="2570" width="13.875" style="1" customWidth="1"/>
    <col min="2571" max="2571" width="13.75" style="1" customWidth="1"/>
    <col min="2572" max="2572" width="11.625" style="1" customWidth="1"/>
    <col min="2573" max="2573" width="13.375" style="1" customWidth="1"/>
    <col min="2574" max="2574" width="13.25" style="1" customWidth="1"/>
    <col min="2575" max="2576" width="10.25" style="1" customWidth="1"/>
    <col min="2577" max="2577" width="8.875" style="1"/>
    <col min="2578" max="2580" width="10.375" style="1" bestFit="1" customWidth="1"/>
    <col min="2581" max="2581" width="9.375" style="1" bestFit="1" customWidth="1"/>
    <col min="2582" max="2816" width="8.875" style="1"/>
    <col min="2817" max="2817" width="5" style="1" bestFit="1" customWidth="1"/>
    <col min="2818" max="2818" width="13.375" style="1" customWidth="1"/>
    <col min="2819" max="2819" width="31.375" style="1" customWidth="1"/>
    <col min="2820" max="2821" width="13.75" style="1" bestFit="1" customWidth="1"/>
    <col min="2822" max="2823" width="13.25" style="1" customWidth="1"/>
    <col min="2824" max="2824" width="13.125" style="1" customWidth="1"/>
    <col min="2825" max="2825" width="13.375" style="1" customWidth="1"/>
    <col min="2826" max="2826" width="13.875" style="1" customWidth="1"/>
    <col min="2827" max="2827" width="13.75" style="1" customWidth="1"/>
    <col min="2828" max="2828" width="11.625" style="1" customWidth="1"/>
    <col min="2829" max="2829" width="13.375" style="1" customWidth="1"/>
    <col min="2830" max="2830" width="13.25" style="1" customWidth="1"/>
    <col min="2831" max="2832" width="10.25" style="1" customWidth="1"/>
    <col min="2833" max="2833" width="8.875" style="1"/>
    <col min="2834" max="2836" width="10.375" style="1" bestFit="1" customWidth="1"/>
    <col min="2837" max="2837" width="9.375" style="1" bestFit="1" customWidth="1"/>
    <col min="2838" max="3072" width="8.875" style="1"/>
    <col min="3073" max="3073" width="5" style="1" bestFit="1" customWidth="1"/>
    <col min="3074" max="3074" width="13.375" style="1" customWidth="1"/>
    <col min="3075" max="3075" width="31.375" style="1" customWidth="1"/>
    <col min="3076" max="3077" width="13.75" style="1" bestFit="1" customWidth="1"/>
    <col min="3078" max="3079" width="13.25" style="1" customWidth="1"/>
    <col min="3080" max="3080" width="13.125" style="1" customWidth="1"/>
    <col min="3081" max="3081" width="13.375" style="1" customWidth="1"/>
    <col min="3082" max="3082" width="13.875" style="1" customWidth="1"/>
    <col min="3083" max="3083" width="13.75" style="1" customWidth="1"/>
    <col min="3084" max="3084" width="11.625" style="1" customWidth="1"/>
    <col min="3085" max="3085" width="13.375" style="1" customWidth="1"/>
    <col min="3086" max="3086" width="13.25" style="1" customWidth="1"/>
    <col min="3087" max="3088" width="10.25" style="1" customWidth="1"/>
    <col min="3089" max="3089" width="8.875" style="1"/>
    <col min="3090" max="3092" width="10.375" style="1" bestFit="1" customWidth="1"/>
    <col min="3093" max="3093" width="9.375" style="1" bestFit="1" customWidth="1"/>
    <col min="3094" max="3328" width="8.875" style="1"/>
    <col min="3329" max="3329" width="5" style="1" bestFit="1" customWidth="1"/>
    <col min="3330" max="3330" width="13.375" style="1" customWidth="1"/>
    <col min="3331" max="3331" width="31.375" style="1" customWidth="1"/>
    <col min="3332" max="3333" width="13.75" style="1" bestFit="1" customWidth="1"/>
    <col min="3334" max="3335" width="13.25" style="1" customWidth="1"/>
    <col min="3336" max="3336" width="13.125" style="1" customWidth="1"/>
    <col min="3337" max="3337" width="13.375" style="1" customWidth="1"/>
    <col min="3338" max="3338" width="13.875" style="1" customWidth="1"/>
    <col min="3339" max="3339" width="13.75" style="1" customWidth="1"/>
    <col min="3340" max="3340" width="11.625" style="1" customWidth="1"/>
    <col min="3341" max="3341" width="13.375" style="1" customWidth="1"/>
    <col min="3342" max="3342" width="13.25" style="1" customWidth="1"/>
    <col min="3343" max="3344" width="10.25" style="1" customWidth="1"/>
    <col min="3345" max="3345" width="8.875" style="1"/>
    <col min="3346" max="3348" width="10.375" style="1" bestFit="1" customWidth="1"/>
    <col min="3349" max="3349" width="9.375" style="1" bestFit="1" customWidth="1"/>
    <col min="3350" max="3584" width="8.875" style="1"/>
    <col min="3585" max="3585" width="5" style="1" bestFit="1" customWidth="1"/>
    <col min="3586" max="3586" width="13.375" style="1" customWidth="1"/>
    <col min="3587" max="3587" width="31.375" style="1" customWidth="1"/>
    <col min="3588" max="3589" width="13.75" style="1" bestFit="1" customWidth="1"/>
    <col min="3590" max="3591" width="13.25" style="1" customWidth="1"/>
    <col min="3592" max="3592" width="13.125" style="1" customWidth="1"/>
    <col min="3593" max="3593" width="13.375" style="1" customWidth="1"/>
    <col min="3594" max="3594" width="13.875" style="1" customWidth="1"/>
    <col min="3595" max="3595" width="13.75" style="1" customWidth="1"/>
    <col min="3596" max="3596" width="11.625" style="1" customWidth="1"/>
    <col min="3597" max="3597" width="13.375" style="1" customWidth="1"/>
    <col min="3598" max="3598" width="13.25" style="1" customWidth="1"/>
    <col min="3599" max="3600" width="10.25" style="1" customWidth="1"/>
    <col min="3601" max="3601" width="8.875" style="1"/>
    <col min="3602" max="3604" width="10.375" style="1" bestFit="1" customWidth="1"/>
    <col min="3605" max="3605" width="9.375" style="1" bestFit="1" customWidth="1"/>
    <col min="3606" max="3840" width="8.875" style="1"/>
    <col min="3841" max="3841" width="5" style="1" bestFit="1" customWidth="1"/>
    <col min="3842" max="3842" width="13.375" style="1" customWidth="1"/>
    <col min="3843" max="3843" width="31.375" style="1" customWidth="1"/>
    <col min="3844" max="3845" width="13.75" style="1" bestFit="1" customWidth="1"/>
    <col min="3846" max="3847" width="13.25" style="1" customWidth="1"/>
    <col min="3848" max="3848" width="13.125" style="1" customWidth="1"/>
    <col min="3849" max="3849" width="13.375" style="1" customWidth="1"/>
    <col min="3850" max="3850" width="13.875" style="1" customWidth="1"/>
    <col min="3851" max="3851" width="13.75" style="1" customWidth="1"/>
    <col min="3852" max="3852" width="11.625" style="1" customWidth="1"/>
    <col min="3853" max="3853" width="13.375" style="1" customWidth="1"/>
    <col min="3854" max="3854" width="13.25" style="1" customWidth="1"/>
    <col min="3855" max="3856" width="10.25" style="1" customWidth="1"/>
    <col min="3857" max="3857" width="8.875" style="1"/>
    <col min="3858" max="3860" width="10.375" style="1" bestFit="1" customWidth="1"/>
    <col min="3861" max="3861" width="9.375" style="1" bestFit="1" customWidth="1"/>
    <col min="3862" max="4096" width="8.875" style="1"/>
    <col min="4097" max="4097" width="5" style="1" bestFit="1" customWidth="1"/>
    <col min="4098" max="4098" width="13.375" style="1" customWidth="1"/>
    <col min="4099" max="4099" width="31.375" style="1" customWidth="1"/>
    <col min="4100" max="4101" width="13.75" style="1" bestFit="1" customWidth="1"/>
    <col min="4102" max="4103" width="13.25" style="1" customWidth="1"/>
    <col min="4104" max="4104" width="13.125" style="1" customWidth="1"/>
    <col min="4105" max="4105" width="13.375" style="1" customWidth="1"/>
    <col min="4106" max="4106" width="13.875" style="1" customWidth="1"/>
    <col min="4107" max="4107" width="13.75" style="1" customWidth="1"/>
    <col min="4108" max="4108" width="11.625" style="1" customWidth="1"/>
    <col min="4109" max="4109" width="13.375" style="1" customWidth="1"/>
    <col min="4110" max="4110" width="13.25" style="1" customWidth="1"/>
    <col min="4111" max="4112" width="10.25" style="1" customWidth="1"/>
    <col min="4113" max="4113" width="8.875" style="1"/>
    <col min="4114" max="4116" width="10.375" style="1" bestFit="1" customWidth="1"/>
    <col min="4117" max="4117" width="9.375" style="1" bestFit="1" customWidth="1"/>
    <col min="4118" max="4352" width="8.875" style="1"/>
    <col min="4353" max="4353" width="5" style="1" bestFit="1" customWidth="1"/>
    <col min="4354" max="4354" width="13.375" style="1" customWidth="1"/>
    <col min="4355" max="4355" width="31.375" style="1" customWidth="1"/>
    <col min="4356" max="4357" width="13.75" style="1" bestFit="1" customWidth="1"/>
    <col min="4358" max="4359" width="13.25" style="1" customWidth="1"/>
    <col min="4360" max="4360" width="13.125" style="1" customWidth="1"/>
    <col min="4361" max="4361" width="13.375" style="1" customWidth="1"/>
    <col min="4362" max="4362" width="13.875" style="1" customWidth="1"/>
    <col min="4363" max="4363" width="13.75" style="1" customWidth="1"/>
    <col min="4364" max="4364" width="11.625" style="1" customWidth="1"/>
    <col min="4365" max="4365" width="13.375" style="1" customWidth="1"/>
    <col min="4366" max="4366" width="13.25" style="1" customWidth="1"/>
    <col min="4367" max="4368" width="10.25" style="1" customWidth="1"/>
    <col min="4369" max="4369" width="8.875" style="1"/>
    <col min="4370" max="4372" width="10.375" style="1" bestFit="1" customWidth="1"/>
    <col min="4373" max="4373" width="9.375" style="1" bestFit="1" customWidth="1"/>
    <col min="4374" max="4608" width="8.875" style="1"/>
    <col min="4609" max="4609" width="5" style="1" bestFit="1" customWidth="1"/>
    <col min="4610" max="4610" width="13.375" style="1" customWidth="1"/>
    <col min="4611" max="4611" width="31.375" style="1" customWidth="1"/>
    <col min="4612" max="4613" width="13.75" style="1" bestFit="1" customWidth="1"/>
    <col min="4614" max="4615" width="13.25" style="1" customWidth="1"/>
    <col min="4616" max="4616" width="13.125" style="1" customWidth="1"/>
    <col min="4617" max="4617" width="13.375" style="1" customWidth="1"/>
    <col min="4618" max="4618" width="13.875" style="1" customWidth="1"/>
    <col min="4619" max="4619" width="13.75" style="1" customWidth="1"/>
    <col min="4620" max="4620" width="11.625" style="1" customWidth="1"/>
    <col min="4621" max="4621" width="13.375" style="1" customWidth="1"/>
    <col min="4622" max="4622" width="13.25" style="1" customWidth="1"/>
    <col min="4623" max="4624" width="10.25" style="1" customWidth="1"/>
    <col min="4625" max="4625" width="8.875" style="1"/>
    <col min="4626" max="4628" width="10.375" style="1" bestFit="1" customWidth="1"/>
    <col min="4629" max="4629" width="9.375" style="1" bestFit="1" customWidth="1"/>
    <col min="4630" max="4864" width="8.875" style="1"/>
    <col min="4865" max="4865" width="5" style="1" bestFit="1" customWidth="1"/>
    <col min="4866" max="4866" width="13.375" style="1" customWidth="1"/>
    <col min="4867" max="4867" width="31.375" style="1" customWidth="1"/>
    <col min="4868" max="4869" width="13.75" style="1" bestFit="1" customWidth="1"/>
    <col min="4870" max="4871" width="13.25" style="1" customWidth="1"/>
    <col min="4872" max="4872" width="13.125" style="1" customWidth="1"/>
    <col min="4873" max="4873" width="13.375" style="1" customWidth="1"/>
    <col min="4874" max="4874" width="13.875" style="1" customWidth="1"/>
    <col min="4875" max="4875" width="13.75" style="1" customWidth="1"/>
    <col min="4876" max="4876" width="11.625" style="1" customWidth="1"/>
    <col min="4877" max="4877" width="13.375" style="1" customWidth="1"/>
    <col min="4878" max="4878" width="13.25" style="1" customWidth="1"/>
    <col min="4879" max="4880" width="10.25" style="1" customWidth="1"/>
    <col min="4881" max="4881" width="8.875" style="1"/>
    <col min="4882" max="4884" width="10.375" style="1" bestFit="1" customWidth="1"/>
    <col min="4885" max="4885" width="9.375" style="1" bestFit="1" customWidth="1"/>
    <col min="4886" max="5120" width="8.875" style="1"/>
    <col min="5121" max="5121" width="5" style="1" bestFit="1" customWidth="1"/>
    <col min="5122" max="5122" width="13.375" style="1" customWidth="1"/>
    <col min="5123" max="5123" width="31.375" style="1" customWidth="1"/>
    <col min="5124" max="5125" width="13.75" style="1" bestFit="1" customWidth="1"/>
    <col min="5126" max="5127" width="13.25" style="1" customWidth="1"/>
    <col min="5128" max="5128" width="13.125" style="1" customWidth="1"/>
    <col min="5129" max="5129" width="13.375" style="1" customWidth="1"/>
    <col min="5130" max="5130" width="13.875" style="1" customWidth="1"/>
    <col min="5131" max="5131" width="13.75" style="1" customWidth="1"/>
    <col min="5132" max="5132" width="11.625" style="1" customWidth="1"/>
    <col min="5133" max="5133" width="13.375" style="1" customWidth="1"/>
    <col min="5134" max="5134" width="13.25" style="1" customWidth="1"/>
    <col min="5135" max="5136" width="10.25" style="1" customWidth="1"/>
    <col min="5137" max="5137" width="8.875" style="1"/>
    <col min="5138" max="5140" width="10.375" style="1" bestFit="1" customWidth="1"/>
    <col min="5141" max="5141" width="9.375" style="1" bestFit="1" customWidth="1"/>
    <col min="5142" max="5376" width="8.875" style="1"/>
    <col min="5377" max="5377" width="5" style="1" bestFit="1" customWidth="1"/>
    <col min="5378" max="5378" width="13.375" style="1" customWidth="1"/>
    <col min="5379" max="5379" width="31.375" style="1" customWidth="1"/>
    <col min="5380" max="5381" width="13.75" style="1" bestFit="1" customWidth="1"/>
    <col min="5382" max="5383" width="13.25" style="1" customWidth="1"/>
    <col min="5384" max="5384" width="13.125" style="1" customWidth="1"/>
    <col min="5385" max="5385" width="13.375" style="1" customWidth="1"/>
    <col min="5386" max="5386" width="13.875" style="1" customWidth="1"/>
    <col min="5387" max="5387" width="13.75" style="1" customWidth="1"/>
    <col min="5388" max="5388" width="11.625" style="1" customWidth="1"/>
    <col min="5389" max="5389" width="13.375" style="1" customWidth="1"/>
    <col min="5390" max="5390" width="13.25" style="1" customWidth="1"/>
    <col min="5391" max="5392" width="10.25" style="1" customWidth="1"/>
    <col min="5393" max="5393" width="8.875" style="1"/>
    <col min="5394" max="5396" width="10.375" style="1" bestFit="1" customWidth="1"/>
    <col min="5397" max="5397" width="9.375" style="1" bestFit="1" customWidth="1"/>
    <col min="5398" max="5632" width="8.875" style="1"/>
    <col min="5633" max="5633" width="5" style="1" bestFit="1" customWidth="1"/>
    <col min="5634" max="5634" width="13.375" style="1" customWidth="1"/>
    <col min="5635" max="5635" width="31.375" style="1" customWidth="1"/>
    <col min="5636" max="5637" width="13.75" style="1" bestFit="1" customWidth="1"/>
    <col min="5638" max="5639" width="13.25" style="1" customWidth="1"/>
    <col min="5640" max="5640" width="13.125" style="1" customWidth="1"/>
    <col min="5641" max="5641" width="13.375" style="1" customWidth="1"/>
    <col min="5642" max="5642" width="13.875" style="1" customWidth="1"/>
    <col min="5643" max="5643" width="13.75" style="1" customWidth="1"/>
    <col min="5644" max="5644" width="11.625" style="1" customWidth="1"/>
    <col min="5645" max="5645" width="13.375" style="1" customWidth="1"/>
    <col min="5646" max="5646" width="13.25" style="1" customWidth="1"/>
    <col min="5647" max="5648" width="10.25" style="1" customWidth="1"/>
    <col min="5649" max="5649" width="8.875" style="1"/>
    <col min="5650" max="5652" width="10.375" style="1" bestFit="1" customWidth="1"/>
    <col min="5653" max="5653" width="9.375" style="1" bestFit="1" customWidth="1"/>
    <col min="5654" max="5888" width="8.875" style="1"/>
    <col min="5889" max="5889" width="5" style="1" bestFit="1" customWidth="1"/>
    <col min="5890" max="5890" width="13.375" style="1" customWidth="1"/>
    <col min="5891" max="5891" width="31.375" style="1" customWidth="1"/>
    <col min="5892" max="5893" width="13.75" style="1" bestFit="1" customWidth="1"/>
    <col min="5894" max="5895" width="13.25" style="1" customWidth="1"/>
    <col min="5896" max="5896" width="13.125" style="1" customWidth="1"/>
    <col min="5897" max="5897" width="13.375" style="1" customWidth="1"/>
    <col min="5898" max="5898" width="13.875" style="1" customWidth="1"/>
    <col min="5899" max="5899" width="13.75" style="1" customWidth="1"/>
    <col min="5900" max="5900" width="11.625" style="1" customWidth="1"/>
    <col min="5901" max="5901" width="13.375" style="1" customWidth="1"/>
    <col min="5902" max="5902" width="13.25" style="1" customWidth="1"/>
    <col min="5903" max="5904" width="10.25" style="1" customWidth="1"/>
    <col min="5905" max="5905" width="8.875" style="1"/>
    <col min="5906" max="5908" width="10.375" style="1" bestFit="1" customWidth="1"/>
    <col min="5909" max="5909" width="9.375" style="1" bestFit="1" customWidth="1"/>
    <col min="5910" max="6144" width="8.875" style="1"/>
    <col min="6145" max="6145" width="5" style="1" bestFit="1" customWidth="1"/>
    <col min="6146" max="6146" width="13.375" style="1" customWidth="1"/>
    <col min="6147" max="6147" width="31.375" style="1" customWidth="1"/>
    <col min="6148" max="6149" width="13.75" style="1" bestFit="1" customWidth="1"/>
    <col min="6150" max="6151" width="13.25" style="1" customWidth="1"/>
    <col min="6152" max="6152" width="13.125" style="1" customWidth="1"/>
    <col min="6153" max="6153" width="13.375" style="1" customWidth="1"/>
    <col min="6154" max="6154" width="13.875" style="1" customWidth="1"/>
    <col min="6155" max="6155" width="13.75" style="1" customWidth="1"/>
    <col min="6156" max="6156" width="11.625" style="1" customWidth="1"/>
    <col min="6157" max="6157" width="13.375" style="1" customWidth="1"/>
    <col min="6158" max="6158" width="13.25" style="1" customWidth="1"/>
    <col min="6159" max="6160" width="10.25" style="1" customWidth="1"/>
    <col min="6161" max="6161" width="8.875" style="1"/>
    <col min="6162" max="6164" width="10.375" style="1" bestFit="1" customWidth="1"/>
    <col min="6165" max="6165" width="9.375" style="1" bestFit="1" customWidth="1"/>
    <col min="6166" max="6400" width="8.875" style="1"/>
    <col min="6401" max="6401" width="5" style="1" bestFit="1" customWidth="1"/>
    <col min="6402" max="6402" width="13.375" style="1" customWidth="1"/>
    <col min="6403" max="6403" width="31.375" style="1" customWidth="1"/>
    <col min="6404" max="6405" width="13.75" style="1" bestFit="1" customWidth="1"/>
    <col min="6406" max="6407" width="13.25" style="1" customWidth="1"/>
    <col min="6408" max="6408" width="13.125" style="1" customWidth="1"/>
    <col min="6409" max="6409" width="13.375" style="1" customWidth="1"/>
    <col min="6410" max="6410" width="13.875" style="1" customWidth="1"/>
    <col min="6411" max="6411" width="13.75" style="1" customWidth="1"/>
    <col min="6412" max="6412" width="11.625" style="1" customWidth="1"/>
    <col min="6413" max="6413" width="13.375" style="1" customWidth="1"/>
    <col min="6414" max="6414" width="13.25" style="1" customWidth="1"/>
    <col min="6415" max="6416" width="10.25" style="1" customWidth="1"/>
    <col min="6417" max="6417" width="8.875" style="1"/>
    <col min="6418" max="6420" width="10.375" style="1" bestFit="1" customWidth="1"/>
    <col min="6421" max="6421" width="9.375" style="1" bestFit="1" customWidth="1"/>
    <col min="6422" max="6656" width="8.875" style="1"/>
    <col min="6657" max="6657" width="5" style="1" bestFit="1" customWidth="1"/>
    <col min="6658" max="6658" width="13.375" style="1" customWidth="1"/>
    <col min="6659" max="6659" width="31.375" style="1" customWidth="1"/>
    <col min="6660" max="6661" width="13.75" style="1" bestFit="1" customWidth="1"/>
    <col min="6662" max="6663" width="13.25" style="1" customWidth="1"/>
    <col min="6664" max="6664" width="13.125" style="1" customWidth="1"/>
    <col min="6665" max="6665" width="13.375" style="1" customWidth="1"/>
    <col min="6666" max="6666" width="13.875" style="1" customWidth="1"/>
    <col min="6667" max="6667" width="13.75" style="1" customWidth="1"/>
    <col min="6668" max="6668" width="11.625" style="1" customWidth="1"/>
    <col min="6669" max="6669" width="13.375" style="1" customWidth="1"/>
    <col min="6670" max="6670" width="13.25" style="1" customWidth="1"/>
    <col min="6671" max="6672" width="10.25" style="1" customWidth="1"/>
    <col min="6673" max="6673" width="8.875" style="1"/>
    <col min="6674" max="6676" width="10.375" style="1" bestFit="1" customWidth="1"/>
    <col min="6677" max="6677" width="9.375" style="1" bestFit="1" customWidth="1"/>
    <col min="6678" max="6912" width="8.875" style="1"/>
    <col min="6913" max="6913" width="5" style="1" bestFit="1" customWidth="1"/>
    <col min="6914" max="6914" width="13.375" style="1" customWidth="1"/>
    <col min="6915" max="6915" width="31.375" style="1" customWidth="1"/>
    <col min="6916" max="6917" width="13.75" style="1" bestFit="1" customWidth="1"/>
    <col min="6918" max="6919" width="13.25" style="1" customWidth="1"/>
    <col min="6920" max="6920" width="13.125" style="1" customWidth="1"/>
    <col min="6921" max="6921" width="13.375" style="1" customWidth="1"/>
    <col min="6922" max="6922" width="13.875" style="1" customWidth="1"/>
    <col min="6923" max="6923" width="13.75" style="1" customWidth="1"/>
    <col min="6924" max="6924" width="11.625" style="1" customWidth="1"/>
    <col min="6925" max="6925" width="13.375" style="1" customWidth="1"/>
    <col min="6926" max="6926" width="13.25" style="1" customWidth="1"/>
    <col min="6927" max="6928" width="10.25" style="1" customWidth="1"/>
    <col min="6929" max="6929" width="8.875" style="1"/>
    <col min="6930" max="6932" width="10.375" style="1" bestFit="1" customWidth="1"/>
    <col min="6933" max="6933" width="9.375" style="1" bestFit="1" customWidth="1"/>
    <col min="6934" max="7168" width="8.875" style="1"/>
    <col min="7169" max="7169" width="5" style="1" bestFit="1" customWidth="1"/>
    <col min="7170" max="7170" width="13.375" style="1" customWidth="1"/>
    <col min="7171" max="7171" width="31.375" style="1" customWidth="1"/>
    <col min="7172" max="7173" width="13.75" style="1" bestFit="1" customWidth="1"/>
    <col min="7174" max="7175" width="13.25" style="1" customWidth="1"/>
    <col min="7176" max="7176" width="13.125" style="1" customWidth="1"/>
    <col min="7177" max="7177" width="13.375" style="1" customWidth="1"/>
    <col min="7178" max="7178" width="13.875" style="1" customWidth="1"/>
    <col min="7179" max="7179" width="13.75" style="1" customWidth="1"/>
    <col min="7180" max="7180" width="11.625" style="1" customWidth="1"/>
    <col min="7181" max="7181" width="13.375" style="1" customWidth="1"/>
    <col min="7182" max="7182" width="13.25" style="1" customWidth="1"/>
    <col min="7183" max="7184" width="10.25" style="1" customWidth="1"/>
    <col min="7185" max="7185" width="8.875" style="1"/>
    <col min="7186" max="7188" width="10.375" style="1" bestFit="1" customWidth="1"/>
    <col min="7189" max="7189" width="9.375" style="1" bestFit="1" customWidth="1"/>
    <col min="7190" max="7424" width="8.875" style="1"/>
    <col min="7425" max="7425" width="5" style="1" bestFit="1" customWidth="1"/>
    <col min="7426" max="7426" width="13.375" style="1" customWidth="1"/>
    <col min="7427" max="7427" width="31.375" style="1" customWidth="1"/>
    <col min="7428" max="7429" width="13.75" style="1" bestFit="1" customWidth="1"/>
    <col min="7430" max="7431" width="13.25" style="1" customWidth="1"/>
    <col min="7432" max="7432" width="13.125" style="1" customWidth="1"/>
    <col min="7433" max="7433" width="13.375" style="1" customWidth="1"/>
    <col min="7434" max="7434" width="13.875" style="1" customWidth="1"/>
    <col min="7435" max="7435" width="13.75" style="1" customWidth="1"/>
    <col min="7436" max="7436" width="11.625" style="1" customWidth="1"/>
    <col min="7437" max="7437" width="13.375" style="1" customWidth="1"/>
    <col min="7438" max="7438" width="13.25" style="1" customWidth="1"/>
    <col min="7439" max="7440" width="10.25" style="1" customWidth="1"/>
    <col min="7441" max="7441" width="8.875" style="1"/>
    <col min="7442" max="7444" width="10.375" style="1" bestFit="1" customWidth="1"/>
    <col min="7445" max="7445" width="9.375" style="1" bestFit="1" customWidth="1"/>
    <col min="7446" max="7680" width="8.875" style="1"/>
    <col min="7681" max="7681" width="5" style="1" bestFit="1" customWidth="1"/>
    <col min="7682" max="7682" width="13.375" style="1" customWidth="1"/>
    <col min="7683" max="7683" width="31.375" style="1" customWidth="1"/>
    <col min="7684" max="7685" width="13.75" style="1" bestFit="1" customWidth="1"/>
    <col min="7686" max="7687" width="13.25" style="1" customWidth="1"/>
    <col min="7688" max="7688" width="13.125" style="1" customWidth="1"/>
    <col min="7689" max="7689" width="13.375" style="1" customWidth="1"/>
    <col min="7690" max="7690" width="13.875" style="1" customWidth="1"/>
    <col min="7691" max="7691" width="13.75" style="1" customWidth="1"/>
    <col min="7692" max="7692" width="11.625" style="1" customWidth="1"/>
    <col min="7693" max="7693" width="13.375" style="1" customWidth="1"/>
    <col min="7694" max="7694" width="13.25" style="1" customWidth="1"/>
    <col min="7695" max="7696" width="10.25" style="1" customWidth="1"/>
    <col min="7697" max="7697" width="8.875" style="1"/>
    <col min="7698" max="7700" width="10.375" style="1" bestFit="1" customWidth="1"/>
    <col min="7701" max="7701" width="9.375" style="1" bestFit="1" customWidth="1"/>
    <col min="7702" max="7936" width="8.875" style="1"/>
    <col min="7937" max="7937" width="5" style="1" bestFit="1" customWidth="1"/>
    <col min="7938" max="7938" width="13.375" style="1" customWidth="1"/>
    <col min="7939" max="7939" width="31.375" style="1" customWidth="1"/>
    <col min="7940" max="7941" width="13.75" style="1" bestFit="1" customWidth="1"/>
    <col min="7942" max="7943" width="13.25" style="1" customWidth="1"/>
    <col min="7944" max="7944" width="13.125" style="1" customWidth="1"/>
    <col min="7945" max="7945" width="13.375" style="1" customWidth="1"/>
    <col min="7946" max="7946" width="13.875" style="1" customWidth="1"/>
    <col min="7947" max="7947" width="13.75" style="1" customWidth="1"/>
    <col min="7948" max="7948" width="11.625" style="1" customWidth="1"/>
    <col min="7949" max="7949" width="13.375" style="1" customWidth="1"/>
    <col min="7950" max="7950" width="13.25" style="1" customWidth="1"/>
    <col min="7951" max="7952" width="10.25" style="1" customWidth="1"/>
    <col min="7953" max="7953" width="8.875" style="1"/>
    <col min="7954" max="7956" width="10.375" style="1" bestFit="1" customWidth="1"/>
    <col min="7957" max="7957" width="9.375" style="1" bestFit="1" customWidth="1"/>
    <col min="7958" max="8192" width="8.875" style="1"/>
    <col min="8193" max="8193" width="5" style="1" bestFit="1" customWidth="1"/>
    <col min="8194" max="8194" width="13.375" style="1" customWidth="1"/>
    <col min="8195" max="8195" width="31.375" style="1" customWidth="1"/>
    <col min="8196" max="8197" width="13.75" style="1" bestFit="1" customWidth="1"/>
    <col min="8198" max="8199" width="13.25" style="1" customWidth="1"/>
    <col min="8200" max="8200" width="13.125" style="1" customWidth="1"/>
    <col min="8201" max="8201" width="13.375" style="1" customWidth="1"/>
    <col min="8202" max="8202" width="13.875" style="1" customWidth="1"/>
    <col min="8203" max="8203" width="13.75" style="1" customWidth="1"/>
    <col min="8204" max="8204" width="11.625" style="1" customWidth="1"/>
    <col min="8205" max="8205" width="13.375" style="1" customWidth="1"/>
    <col min="8206" max="8206" width="13.25" style="1" customWidth="1"/>
    <col min="8207" max="8208" width="10.25" style="1" customWidth="1"/>
    <col min="8209" max="8209" width="8.875" style="1"/>
    <col min="8210" max="8212" width="10.375" style="1" bestFit="1" customWidth="1"/>
    <col min="8213" max="8213" width="9.375" style="1" bestFit="1" customWidth="1"/>
    <col min="8214" max="8448" width="8.875" style="1"/>
    <col min="8449" max="8449" width="5" style="1" bestFit="1" customWidth="1"/>
    <col min="8450" max="8450" width="13.375" style="1" customWidth="1"/>
    <col min="8451" max="8451" width="31.375" style="1" customWidth="1"/>
    <col min="8452" max="8453" width="13.75" style="1" bestFit="1" customWidth="1"/>
    <col min="8454" max="8455" width="13.25" style="1" customWidth="1"/>
    <col min="8456" max="8456" width="13.125" style="1" customWidth="1"/>
    <col min="8457" max="8457" width="13.375" style="1" customWidth="1"/>
    <col min="8458" max="8458" width="13.875" style="1" customWidth="1"/>
    <col min="8459" max="8459" width="13.75" style="1" customWidth="1"/>
    <col min="8460" max="8460" width="11.625" style="1" customWidth="1"/>
    <col min="8461" max="8461" width="13.375" style="1" customWidth="1"/>
    <col min="8462" max="8462" width="13.25" style="1" customWidth="1"/>
    <col min="8463" max="8464" width="10.25" style="1" customWidth="1"/>
    <col min="8465" max="8465" width="8.875" style="1"/>
    <col min="8466" max="8468" width="10.375" style="1" bestFit="1" customWidth="1"/>
    <col min="8469" max="8469" width="9.375" style="1" bestFit="1" customWidth="1"/>
    <col min="8470" max="8704" width="8.875" style="1"/>
    <col min="8705" max="8705" width="5" style="1" bestFit="1" customWidth="1"/>
    <col min="8706" max="8706" width="13.375" style="1" customWidth="1"/>
    <col min="8707" max="8707" width="31.375" style="1" customWidth="1"/>
    <col min="8708" max="8709" width="13.75" style="1" bestFit="1" customWidth="1"/>
    <col min="8710" max="8711" width="13.25" style="1" customWidth="1"/>
    <col min="8712" max="8712" width="13.125" style="1" customWidth="1"/>
    <col min="8713" max="8713" width="13.375" style="1" customWidth="1"/>
    <col min="8714" max="8714" width="13.875" style="1" customWidth="1"/>
    <col min="8715" max="8715" width="13.75" style="1" customWidth="1"/>
    <col min="8716" max="8716" width="11.625" style="1" customWidth="1"/>
    <col min="8717" max="8717" width="13.375" style="1" customWidth="1"/>
    <col min="8718" max="8718" width="13.25" style="1" customWidth="1"/>
    <col min="8719" max="8720" width="10.25" style="1" customWidth="1"/>
    <col min="8721" max="8721" width="8.875" style="1"/>
    <col min="8722" max="8724" width="10.375" style="1" bestFit="1" customWidth="1"/>
    <col min="8725" max="8725" width="9.375" style="1" bestFit="1" customWidth="1"/>
    <col min="8726" max="8960" width="8.875" style="1"/>
    <col min="8961" max="8961" width="5" style="1" bestFit="1" customWidth="1"/>
    <col min="8962" max="8962" width="13.375" style="1" customWidth="1"/>
    <col min="8963" max="8963" width="31.375" style="1" customWidth="1"/>
    <col min="8964" max="8965" width="13.75" style="1" bestFit="1" customWidth="1"/>
    <col min="8966" max="8967" width="13.25" style="1" customWidth="1"/>
    <col min="8968" max="8968" width="13.125" style="1" customWidth="1"/>
    <col min="8969" max="8969" width="13.375" style="1" customWidth="1"/>
    <col min="8970" max="8970" width="13.875" style="1" customWidth="1"/>
    <col min="8971" max="8971" width="13.75" style="1" customWidth="1"/>
    <col min="8972" max="8972" width="11.625" style="1" customWidth="1"/>
    <col min="8973" max="8973" width="13.375" style="1" customWidth="1"/>
    <col min="8974" max="8974" width="13.25" style="1" customWidth="1"/>
    <col min="8975" max="8976" width="10.25" style="1" customWidth="1"/>
    <col min="8977" max="8977" width="8.875" style="1"/>
    <col min="8978" max="8980" width="10.375" style="1" bestFit="1" customWidth="1"/>
    <col min="8981" max="8981" width="9.375" style="1" bestFit="1" customWidth="1"/>
    <col min="8982" max="9216" width="8.875" style="1"/>
    <col min="9217" max="9217" width="5" style="1" bestFit="1" customWidth="1"/>
    <col min="9218" max="9218" width="13.375" style="1" customWidth="1"/>
    <col min="9219" max="9219" width="31.375" style="1" customWidth="1"/>
    <col min="9220" max="9221" width="13.75" style="1" bestFit="1" customWidth="1"/>
    <col min="9222" max="9223" width="13.25" style="1" customWidth="1"/>
    <col min="9224" max="9224" width="13.125" style="1" customWidth="1"/>
    <col min="9225" max="9225" width="13.375" style="1" customWidth="1"/>
    <col min="9226" max="9226" width="13.875" style="1" customWidth="1"/>
    <col min="9227" max="9227" width="13.75" style="1" customWidth="1"/>
    <col min="9228" max="9228" width="11.625" style="1" customWidth="1"/>
    <col min="9229" max="9229" width="13.375" style="1" customWidth="1"/>
    <col min="9230" max="9230" width="13.25" style="1" customWidth="1"/>
    <col min="9231" max="9232" width="10.25" style="1" customWidth="1"/>
    <col min="9233" max="9233" width="8.875" style="1"/>
    <col min="9234" max="9236" width="10.375" style="1" bestFit="1" customWidth="1"/>
    <col min="9237" max="9237" width="9.375" style="1" bestFit="1" customWidth="1"/>
    <col min="9238" max="9472" width="8.875" style="1"/>
    <col min="9473" max="9473" width="5" style="1" bestFit="1" customWidth="1"/>
    <col min="9474" max="9474" width="13.375" style="1" customWidth="1"/>
    <col min="9475" max="9475" width="31.375" style="1" customWidth="1"/>
    <col min="9476" max="9477" width="13.75" style="1" bestFit="1" customWidth="1"/>
    <col min="9478" max="9479" width="13.25" style="1" customWidth="1"/>
    <col min="9480" max="9480" width="13.125" style="1" customWidth="1"/>
    <col min="9481" max="9481" width="13.375" style="1" customWidth="1"/>
    <col min="9482" max="9482" width="13.875" style="1" customWidth="1"/>
    <col min="9483" max="9483" width="13.75" style="1" customWidth="1"/>
    <col min="9484" max="9484" width="11.625" style="1" customWidth="1"/>
    <col min="9485" max="9485" width="13.375" style="1" customWidth="1"/>
    <col min="9486" max="9486" width="13.25" style="1" customWidth="1"/>
    <col min="9487" max="9488" width="10.25" style="1" customWidth="1"/>
    <col min="9489" max="9489" width="8.875" style="1"/>
    <col min="9490" max="9492" width="10.375" style="1" bestFit="1" customWidth="1"/>
    <col min="9493" max="9493" width="9.375" style="1" bestFit="1" customWidth="1"/>
    <col min="9494" max="9728" width="8.875" style="1"/>
    <col min="9729" max="9729" width="5" style="1" bestFit="1" customWidth="1"/>
    <col min="9730" max="9730" width="13.375" style="1" customWidth="1"/>
    <col min="9731" max="9731" width="31.375" style="1" customWidth="1"/>
    <col min="9732" max="9733" width="13.75" style="1" bestFit="1" customWidth="1"/>
    <col min="9734" max="9735" width="13.25" style="1" customWidth="1"/>
    <col min="9736" max="9736" width="13.125" style="1" customWidth="1"/>
    <col min="9737" max="9737" width="13.375" style="1" customWidth="1"/>
    <col min="9738" max="9738" width="13.875" style="1" customWidth="1"/>
    <col min="9739" max="9739" width="13.75" style="1" customWidth="1"/>
    <col min="9740" max="9740" width="11.625" style="1" customWidth="1"/>
    <col min="9741" max="9741" width="13.375" style="1" customWidth="1"/>
    <col min="9742" max="9742" width="13.25" style="1" customWidth="1"/>
    <col min="9743" max="9744" width="10.25" style="1" customWidth="1"/>
    <col min="9745" max="9745" width="8.875" style="1"/>
    <col min="9746" max="9748" width="10.375" style="1" bestFit="1" customWidth="1"/>
    <col min="9749" max="9749" width="9.375" style="1" bestFit="1" customWidth="1"/>
    <col min="9750" max="9984" width="8.875" style="1"/>
    <col min="9985" max="9985" width="5" style="1" bestFit="1" customWidth="1"/>
    <col min="9986" max="9986" width="13.375" style="1" customWidth="1"/>
    <col min="9987" max="9987" width="31.375" style="1" customWidth="1"/>
    <col min="9988" max="9989" width="13.75" style="1" bestFit="1" customWidth="1"/>
    <col min="9990" max="9991" width="13.25" style="1" customWidth="1"/>
    <col min="9992" max="9992" width="13.125" style="1" customWidth="1"/>
    <col min="9993" max="9993" width="13.375" style="1" customWidth="1"/>
    <col min="9994" max="9994" width="13.875" style="1" customWidth="1"/>
    <col min="9995" max="9995" width="13.75" style="1" customWidth="1"/>
    <col min="9996" max="9996" width="11.625" style="1" customWidth="1"/>
    <col min="9997" max="9997" width="13.375" style="1" customWidth="1"/>
    <col min="9998" max="9998" width="13.25" style="1" customWidth="1"/>
    <col min="9999" max="10000" width="10.25" style="1" customWidth="1"/>
    <col min="10001" max="10001" width="8.875" style="1"/>
    <col min="10002" max="10004" width="10.375" style="1" bestFit="1" customWidth="1"/>
    <col min="10005" max="10005" width="9.375" style="1" bestFit="1" customWidth="1"/>
    <col min="10006" max="10240" width="8.875" style="1"/>
    <col min="10241" max="10241" width="5" style="1" bestFit="1" customWidth="1"/>
    <col min="10242" max="10242" width="13.375" style="1" customWidth="1"/>
    <col min="10243" max="10243" width="31.375" style="1" customWidth="1"/>
    <col min="10244" max="10245" width="13.75" style="1" bestFit="1" customWidth="1"/>
    <col min="10246" max="10247" width="13.25" style="1" customWidth="1"/>
    <col min="10248" max="10248" width="13.125" style="1" customWidth="1"/>
    <col min="10249" max="10249" width="13.375" style="1" customWidth="1"/>
    <col min="10250" max="10250" width="13.875" style="1" customWidth="1"/>
    <col min="10251" max="10251" width="13.75" style="1" customWidth="1"/>
    <col min="10252" max="10252" width="11.625" style="1" customWidth="1"/>
    <col min="10253" max="10253" width="13.375" style="1" customWidth="1"/>
    <col min="10254" max="10254" width="13.25" style="1" customWidth="1"/>
    <col min="10255" max="10256" width="10.25" style="1" customWidth="1"/>
    <col min="10257" max="10257" width="8.875" style="1"/>
    <col min="10258" max="10260" width="10.375" style="1" bestFit="1" customWidth="1"/>
    <col min="10261" max="10261" width="9.375" style="1" bestFit="1" customWidth="1"/>
    <col min="10262" max="10496" width="8.875" style="1"/>
    <col min="10497" max="10497" width="5" style="1" bestFit="1" customWidth="1"/>
    <col min="10498" max="10498" width="13.375" style="1" customWidth="1"/>
    <col min="10499" max="10499" width="31.375" style="1" customWidth="1"/>
    <col min="10500" max="10501" width="13.75" style="1" bestFit="1" customWidth="1"/>
    <col min="10502" max="10503" width="13.25" style="1" customWidth="1"/>
    <col min="10504" max="10504" width="13.125" style="1" customWidth="1"/>
    <col min="10505" max="10505" width="13.375" style="1" customWidth="1"/>
    <col min="10506" max="10506" width="13.875" style="1" customWidth="1"/>
    <col min="10507" max="10507" width="13.75" style="1" customWidth="1"/>
    <col min="10508" max="10508" width="11.625" style="1" customWidth="1"/>
    <col min="10509" max="10509" width="13.375" style="1" customWidth="1"/>
    <col min="10510" max="10510" width="13.25" style="1" customWidth="1"/>
    <col min="10511" max="10512" width="10.25" style="1" customWidth="1"/>
    <col min="10513" max="10513" width="8.875" style="1"/>
    <col min="10514" max="10516" width="10.375" style="1" bestFit="1" customWidth="1"/>
    <col min="10517" max="10517" width="9.375" style="1" bestFit="1" customWidth="1"/>
    <col min="10518" max="10752" width="8.875" style="1"/>
    <col min="10753" max="10753" width="5" style="1" bestFit="1" customWidth="1"/>
    <col min="10754" max="10754" width="13.375" style="1" customWidth="1"/>
    <col min="10755" max="10755" width="31.375" style="1" customWidth="1"/>
    <col min="10756" max="10757" width="13.75" style="1" bestFit="1" customWidth="1"/>
    <col min="10758" max="10759" width="13.25" style="1" customWidth="1"/>
    <col min="10760" max="10760" width="13.125" style="1" customWidth="1"/>
    <col min="10761" max="10761" width="13.375" style="1" customWidth="1"/>
    <col min="10762" max="10762" width="13.875" style="1" customWidth="1"/>
    <col min="10763" max="10763" width="13.75" style="1" customWidth="1"/>
    <col min="10764" max="10764" width="11.625" style="1" customWidth="1"/>
    <col min="10765" max="10765" width="13.375" style="1" customWidth="1"/>
    <col min="10766" max="10766" width="13.25" style="1" customWidth="1"/>
    <col min="10767" max="10768" width="10.25" style="1" customWidth="1"/>
    <col min="10769" max="10769" width="8.875" style="1"/>
    <col min="10770" max="10772" width="10.375" style="1" bestFit="1" customWidth="1"/>
    <col min="10773" max="10773" width="9.375" style="1" bestFit="1" customWidth="1"/>
    <col min="10774" max="11008" width="8.875" style="1"/>
    <col min="11009" max="11009" width="5" style="1" bestFit="1" customWidth="1"/>
    <col min="11010" max="11010" width="13.375" style="1" customWidth="1"/>
    <col min="11011" max="11011" width="31.375" style="1" customWidth="1"/>
    <col min="11012" max="11013" width="13.75" style="1" bestFit="1" customWidth="1"/>
    <col min="11014" max="11015" width="13.25" style="1" customWidth="1"/>
    <col min="11016" max="11016" width="13.125" style="1" customWidth="1"/>
    <col min="11017" max="11017" width="13.375" style="1" customWidth="1"/>
    <col min="11018" max="11018" width="13.875" style="1" customWidth="1"/>
    <col min="11019" max="11019" width="13.75" style="1" customWidth="1"/>
    <col min="11020" max="11020" width="11.625" style="1" customWidth="1"/>
    <col min="11021" max="11021" width="13.375" style="1" customWidth="1"/>
    <col min="11022" max="11022" width="13.25" style="1" customWidth="1"/>
    <col min="11023" max="11024" width="10.25" style="1" customWidth="1"/>
    <col min="11025" max="11025" width="8.875" style="1"/>
    <col min="11026" max="11028" width="10.375" style="1" bestFit="1" customWidth="1"/>
    <col min="11029" max="11029" width="9.375" style="1" bestFit="1" customWidth="1"/>
    <col min="11030" max="11264" width="8.875" style="1"/>
    <col min="11265" max="11265" width="5" style="1" bestFit="1" customWidth="1"/>
    <col min="11266" max="11266" width="13.375" style="1" customWidth="1"/>
    <col min="11267" max="11267" width="31.375" style="1" customWidth="1"/>
    <col min="11268" max="11269" width="13.75" style="1" bestFit="1" customWidth="1"/>
    <col min="11270" max="11271" width="13.25" style="1" customWidth="1"/>
    <col min="11272" max="11272" width="13.125" style="1" customWidth="1"/>
    <col min="11273" max="11273" width="13.375" style="1" customWidth="1"/>
    <col min="11274" max="11274" width="13.875" style="1" customWidth="1"/>
    <col min="11275" max="11275" width="13.75" style="1" customWidth="1"/>
    <col min="11276" max="11276" width="11.625" style="1" customWidth="1"/>
    <col min="11277" max="11277" width="13.375" style="1" customWidth="1"/>
    <col min="11278" max="11278" width="13.25" style="1" customWidth="1"/>
    <col min="11279" max="11280" width="10.25" style="1" customWidth="1"/>
    <col min="11281" max="11281" width="8.875" style="1"/>
    <col min="11282" max="11284" width="10.375" style="1" bestFit="1" customWidth="1"/>
    <col min="11285" max="11285" width="9.375" style="1" bestFit="1" customWidth="1"/>
    <col min="11286" max="11520" width="8.875" style="1"/>
    <col min="11521" max="11521" width="5" style="1" bestFit="1" customWidth="1"/>
    <col min="11522" max="11522" width="13.375" style="1" customWidth="1"/>
    <col min="11523" max="11523" width="31.375" style="1" customWidth="1"/>
    <col min="11524" max="11525" width="13.75" style="1" bestFit="1" customWidth="1"/>
    <col min="11526" max="11527" width="13.25" style="1" customWidth="1"/>
    <col min="11528" max="11528" width="13.125" style="1" customWidth="1"/>
    <col min="11529" max="11529" width="13.375" style="1" customWidth="1"/>
    <col min="11530" max="11530" width="13.875" style="1" customWidth="1"/>
    <col min="11531" max="11531" width="13.75" style="1" customWidth="1"/>
    <col min="11532" max="11532" width="11.625" style="1" customWidth="1"/>
    <col min="11533" max="11533" width="13.375" style="1" customWidth="1"/>
    <col min="11534" max="11534" width="13.25" style="1" customWidth="1"/>
    <col min="11535" max="11536" width="10.25" style="1" customWidth="1"/>
    <col min="11537" max="11537" width="8.875" style="1"/>
    <col min="11538" max="11540" width="10.375" style="1" bestFit="1" customWidth="1"/>
    <col min="11541" max="11541" width="9.375" style="1" bestFit="1" customWidth="1"/>
    <col min="11542" max="11776" width="8.875" style="1"/>
    <col min="11777" max="11777" width="5" style="1" bestFit="1" customWidth="1"/>
    <col min="11778" max="11778" width="13.375" style="1" customWidth="1"/>
    <col min="11779" max="11779" width="31.375" style="1" customWidth="1"/>
    <col min="11780" max="11781" width="13.75" style="1" bestFit="1" customWidth="1"/>
    <col min="11782" max="11783" width="13.25" style="1" customWidth="1"/>
    <col min="11784" max="11784" width="13.125" style="1" customWidth="1"/>
    <col min="11785" max="11785" width="13.375" style="1" customWidth="1"/>
    <col min="11786" max="11786" width="13.875" style="1" customWidth="1"/>
    <col min="11787" max="11787" width="13.75" style="1" customWidth="1"/>
    <col min="11788" max="11788" width="11.625" style="1" customWidth="1"/>
    <col min="11789" max="11789" width="13.375" style="1" customWidth="1"/>
    <col min="11790" max="11790" width="13.25" style="1" customWidth="1"/>
    <col min="11791" max="11792" width="10.25" style="1" customWidth="1"/>
    <col min="11793" max="11793" width="8.875" style="1"/>
    <col min="11794" max="11796" width="10.375" style="1" bestFit="1" customWidth="1"/>
    <col min="11797" max="11797" width="9.375" style="1" bestFit="1" customWidth="1"/>
    <col min="11798" max="12032" width="8.875" style="1"/>
    <col min="12033" max="12033" width="5" style="1" bestFit="1" customWidth="1"/>
    <col min="12034" max="12034" width="13.375" style="1" customWidth="1"/>
    <col min="12035" max="12035" width="31.375" style="1" customWidth="1"/>
    <col min="12036" max="12037" width="13.75" style="1" bestFit="1" customWidth="1"/>
    <col min="12038" max="12039" width="13.25" style="1" customWidth="1"/>
    <col min="12040" max="12040" width="13.125" style="1" customWidth="1"/>
    <col min="12041" max="12041" width="13.375" style="1" customWidth="1"/>
    <col min="12042" max="12042" width="13.875" style="1" customWidth="1"/>
    <col min="12043" max="12043" width="13.75" style="1" customWidth="1"/>
    <col min="12044" max="12044" width="11.625" style="1" customWidth="1"/>
    <col min="12045" max="12045" width="13.375" style="1" customWidth="1"/>
    <col min="12046" max="12046" width="13.25" style="1" customWidth="1"/>
    <col min="12047" max="12048" width="10.25" style="1" customWidth="1"/>
    <col min="12049" max="12049" width="8.875" style="1"/>
    <col min="12050" max="12052" width="10.375" style="1" bestFit="1" customWidth="1"/>
    <col min="12053" max="12053" width="9.375" style="1" bestFit="1" customWidth="1"/>
    <col min="12054" max="12288" width="8.875" style="1"/>
    <col min="12289" max="12289" width="5" style="1" bestFit="1" customWidth="1"/>
    <col min="12290" max="12290" width="13.375" style="1" customWidth="1"/>
    <col min="12291" max="12291" width="31.375" style="1" customWidth="1"/>
    <col min="12292" max="12293" width="13.75" style="1" bestFit="1" customWidth="1"/>
    <col min="12294" max="12295" width="13.25" style="1" customWidth="1"/>
    <col min="12296" max="12296" width="13.125" style="1" customWidth="1"/>
    <col min="12297" max="12297" width="13.375" style="1" customWidth="1"/>
    <col min="12298" max="12298" width="13.875" style="1" customWidth="1"/>
    <col min="12299" max="12299" width="13.75" style="1" customWidth="1"/>
    <col min="12300" max="12300" width="11.625" style="1" customWidth="1"/>
    <col min="12301" max="12301" width="13.375" style="1" customWidth="1"/>
    <col min="12302" max="12302" width="13.25" style="1" customWidth="1"/>
    <col min="12303" max="12304" width="10.25" style="1" customWidth="1"/>
    <col min="12305" max="12305" width="8.875" style="1"/>
    <col min="12306" max="12308" width="10.375" style="1" bestFit="1" customWidth="1"/>
    <col min="12309" max="12309" width="9.375" style="1" bestFit="1" customWidth="1"/>
    <col min="12310" max="12544" width="8.875" style="1"/>
    <col min="12545" max="12545" width="5" style="1" bestFit="1" customWidth="1"/>
    <col min="12546" max="12546" width="13.375" style="1" customWidth="1"/>
    <col min="12547" max="12547" width="31.375" style="1" customWidth="1"/>
    <col min="12548" max="12549" width="13.75" style="1" bestFit="1" customWidth="1"/>
    <col min="12550" max="12551" width="13.25" style="1" customWidth="1"/>
    <col min="12552" max="12552" width="13.125" style="1" customWidth="1"/>
    <col min="12553" max="12553" width="13.375" style="1" customWidth="1"/>
    <col min="12554" max="12554" width="13.875" style="1" customWidth="1"/>
    <col min="12555" max="12555" width="13.75" style="1" customWidth="1"/>
    <col min="12556" max="12556" width="11.625" style="1" customWidth="1"/>
    <col min="12557" max="12557" width="13.375" style="1" customWidth="1"/>
    <col min="12558" max="12558" width="13.25" style="1" customWidth="1"/>
    <col min="12559" max="12560" width="10.25" style="1" customWidth="1"/>
    <col min="12561" max="12561" width="8.875" style="1"/>
    <col min="12562" max="12564" width="10.375" style="1" bestFit="1" customWidth="1"/>
    <col min="12565" max="12565" width="9.375" style="1" bestFit="1" customWidth="1"/>
    <col min="12566" max="12800" width="8.875" style="1"/>
    <col min="12801" max="12801" width="5" style="1" bestFit="1" customWidth="1"/>
    <col min="12802" max="12802" width="13.375" style="1" customWidth="1"/>
    <col min="12803" max="12803" width="31.375" style="1" customWidth="1"/>
    <col min="12804" max="12805" width="13.75" style="1" bestFit="1" customWidth="1"/>
    <col min="12806" max="12807" width="13.25" style="1" customWidth="1"/>
    <col min="12808" max="12808" width="13.125" style="1" customWidth="1"/>
    <col min="12809" max="12809" width="13.375" style="1" customWidth="1"/>
    <col min="12810" max="12810" width="13.875" style="1" customWidth="1"/>
    <col min="12811" max="12811" width="13.75" style="1" customWidth="1"/>
    <col min="12812" max="12812" width="11.625" style="1" customWidth="1"/>
    <col min="12813" max="12813" width="13.375" style="1" customWidth="1"/>
    <col min="12814" max="12814" width="13.25" style="1" customWidth="1"/>
    <col min="12815" max="12816" width="10.25" style="1" customWidth="1"/>
    <col min="12817" max="12817" width="8.875" style="1"/>
    <col min="12818" max="12820" width="10.375" style="1" bestFit="1" customWidth="1"/>
    <col min="12821" max="12821" width="9.375" style="1" bestFit="1" customWidth="1"/>
    <col min="12822" max="13056" width="8.875" style="1"/>
    <col min="13057" max="13057" width="5" style="1" bestFit="1" customWidth="1"/>
    <col min="13058" max="13058" width="13.375" style="1" customWidth="1"/>
    <col min="13059" max="13059" width="31.375" style="1" customWidth="1"/>
    <col min="13060" max="13061" width="13.75" style="1" bestFit="1" customWidth="1"/>
    <col min="13062" max="13063" width="13.25" style="1" customWidth="1"/>
    <col min="13064" max="13064" width="13.125" style="1" customWidth="1"/>
    <col min="13065" max="13065" width="13.375" style="1" customWidth="1"/>
    <col min="13066" max="13066" width="13.875" style="1" customWidth="1"/>
    <col min="13067" max="13067" width="13.75" style="1" customWidth="1"/>
    <col min="13068" max="13068" width="11.625" style="1" customWidth="1"/>
    <col min="13069" max="13069" width="13.375" style="1" customWidth="1"/>
    <col min="13070" max="13070" width="13.25" style="1" customWidth="1"/>
    <col min="13071" max="13072" width="10.25" style="1" customWidth="1"/>
    <col min="13073" max="13073" width="8.875" style="1"/>
    <col min="13074" max="13076" width="10.375" style="1" bestFit="1" customWidth="1"/>
    <col min="13077" max="13077" width="9.375" style="1" bestFit="1" customWidth="1"/>
    <col min="13078" max="13312" width="8.875" style="1"/>
    <col min="13313" max="13313" width="5" style="1" bestFit="1" customWidth="1"/>
    <col min="13314" max="13314" width="13.375" style="1" customWidth="1"/>
    <col min="13315" max="13315" width="31.375" style="1" customWidth="1"/>
    <col min="13316" max="13317" width="13.75" style="1" bestFit="1" customWidth="1"/>
    <col min="13318" max="13319" width="13.25" style="1" customWidth="1"/>
    <col min="13320" max="13320" width="13.125" style="1" customWidth="1"/>
    <col min="13321" max="13321" width="13.375" style="1" customWidth="1"/>
    <col min="13322" max="13322" width="13.875" style="1" customWidth="1"/>
    <col min="13323" max="13323" width="13.75" style="1" customWidth="1"/>
    <col min="13324" max="13324" width="11.625" style="1" customWidth="1"/>
    <col min="13325" max="13325" width="13.375" style="1" customWidth="1"/>
    <col min="13326" max="13326" width="13.25" style="1" customWidth="1"/>
    <col min="13327" max="13328" width="10.25" style="1" customWidth="1"/>
    <col min="13329" max="13329" width="8.875" style="1"/>
    <col min="13330" max="13332" width="10.375" style="1" bestFit="1" customWidth="1"/>
    <col min="13333" max="13333" width="9.375" style="1" bestFit="1" customWidth="1"/>
    <col min="13334" max="13568" width="8.875" style="1"/>
    <col min="13569" max="13569" width="5" style="1" bestFit="1" customWidth="1"/>
    <col min="13570" max="13570" width="13.375" style="1" customWidth="1"/>
    <col min="13571" max="13571" width="31.375" style="1" customWidth="1"/>
    <col min="13572" max="13573" width="13.75" style="1" bestFit="1" customWidth="1"/>
    <col min="13574" max="13575" width="13.25" style="1" customWidth="1"/>
    <col min="13576" max="13576" width="13.125" style="1" customWidth="1"/>
    <col min="13577" max="13577" width="13.375" style="1" customWidth="1"/>
    <col min="13578" max="13578" width="13.875" style="1" customWidth="1"/>
    <col min="13579" max="13579" width="13.75" style="1" customWidth="1"/>
    <col min="13580" max="13580" width="11.625" style="1" customWidth="1"/>
    <col min="13581" max="13581" width="13.375" style="1" customWidth="1"/>
    <col min="13582" max="13582" width="13.25" style="1" customWidth="1"/>
    <col min="13583" max="13584" width="10.25" style="1" customWidth="1"/>
    <col min="13585" max="13585" width="8.875" style="1"/>
    <col min="13586" max="13588" width="10.375" style="1" bestFit="1" customWidth="1"/>
    <col min="13589" max="13589" width="9.375" style="1" bestFit="1" customWidth="1"/>
    <col min="13590" max="13824" width="8.875" style="1"/>
    <col min="13825" max="13825" width="5" style="1" bestFit="1" customWidth="1"/>
    <col min="13826" max="13826" width="13.375" style="1" customWidth="1"/>
    <col min="13827" max="13827" width="31.375" style="1" customWidth="1"/>
    <col min="13828" max="13829" width="13.75" style="1" bestFit="1" customWidth="1"/>
    <col min="13830" max="13831" width="13.25" style="1" customWidth="1"/>
    <col min="13832" max="13832" width="13.125" style="1" customWidth="1"/>
    <col min="13833" max="13833" width="13.375" style="1" customWidth="1"/>
    <col min="13834" max="13834" width="13.875" style="1" customWidth="1"/>
    <col min="13835" max="13835" width="13.75" style="1" customWidth="1"/>
    <col min="13836" max="13836" width="11.625" style="1" customWidth="1"/>
    <col min="13837" max="13837" width="13.375" style="1" customWidth="1"/>
    <col min="13838" max="13838" width="13.25" style="1" customWidth="1"/>
    <col min="13839" max="13840" width="10.25" style="1" customWidth="1"/>
    <col min="13841" max="13841" width="8.875" style="1"/>
    <col min="13842" max="13844" width="10.375" style="1" bestFit="1" customWidth="1"/>
    <col min="13845" max="13845" width="9.375" style="1" bestFit="1" customWidth="1"/>
    <col min="13846" max="14080" width="8.875" style="1"/>
    <col min="14081" max="14081" width="5" style="1" bestFit="1" customWidth="1"/>
    <col min="14082" max="14082" width="13.375" style="1" customWidth="1"/>
    <col min="14083" max="14083" width="31.375" style="1" customWidth="1"/>
    <col min="14084" max="14085" width="13.75" style="1" bestFit="1" customWidth="1"/>
    <col min="14086" max="14087" width="13.25" style="1" customWidth="1"/>
    <col min="14088" max="14088" width="13.125" style="1" customWidth="1"/>
    <col min="14089" max="14089" width="13.375" style="1" customWidth="1"/>
    <col min="14090" max="14090" width="13.875" style="1" customWidth="1"/>
    <col min="14091" max="14091" width="13.75" style="1" customWidth="1"/>
    <col min="14092" max="14092" width="11.625" style="1" customWidth="1"/>
    <col min="14093" max="14093" width="13.375" style="1" customWidth="1"/>
    <col min="14094" max="14094" width="13.25" style="1" customWidth="1"/>
    <col min="14095" max="14096" width="10.25" style="1" customWidth="1"/>
    <col min="14097" max="14097" width="8.875" style="1"/>
    <col min="14098" max="14100" width="10.375" style="1" bestFit="1" customWidth="1"/>
    <col min="14101" max="14101" width="9.375" style="1" bestFit="1" customWidth="1"/>
    <col min="14102" max="14336" width="8.875" style="1"/>
    <col min="14337" max="14337" width="5" style="1" bestFit="1" customWidth="1"/>
    <col min="14338" max="14338" width="13.375" style="1" customWidth="1"/>
    <col min="14339" max="14339" width="31.375" style="1" customWidth="1"/>
    <col min="14340" max="14341" width="13.75" style="1" bestFit="1" customWidth="1"/>
    <col min="14342" max="14343" width="13.25" style="1" customWidth="1"/>
    <col min="14344" max="14344" width="13.125" style="1" customWidth="1"/>
    <col min="14345" max="14345" width="13.375" style="1" customWidth="1"/>
    <col min="14346" max="14346" width="13.875" style="1" customWidth="1"/>
    <col min="14347" max="14347" width="13.75" style="1" customWidth="1"/>
    <col min="14348" max="14348" width="11.625" style="1" customWidth="1"/>
    <col min="14349" max="14349" width="13.375" style="1" customWidth="1"/>
    <col min="14350" max="14350" width="13.25" style="1" customWidth="1"/>
    <col min="14351" max="14352" width="10.25" style="1" customWidth="1"/>
    <col min="14353" max="14353" width="8.875" style="1"/>
    <col min="14354" max="14356" width="10.375" style="1" bestFit="1" customWidth="1"/>
    <col min="14357" max="14357" width="9.375" style="1" bestFit="1" customWidth="1"/>
    <col min="14358" max="14592" width="8.875" style="1"/>
    <col min="14593" max="14593" width="5" style="1" bestFit="1" customWidth="1"/>
    <col min="14594" max="14594" width="13.375" style="1" customWidth="1"/>
    <col min="14595" max="14595" width="31.375" style="1" customWidth="1"/>
    <col min="14596" max="14597" width="13.75" style="1" bestFit="1" customWidth="1"/>
    <col min="14598" max="14599" width="13.25" style="1" customWidth="1"/>
    <col min="14600" max="14600" width="13.125" style="1" customWidth="1"/>
    <col min="14601" max="14601" width="13.375" style="1" customWidth="1"/>
    <col min="14602" max="14602" width="13.875" style="1" customWidth="1"/>
    <col min="14603" max="14603" width="13.75" style="1" customWidth="1"/>
    <col min="14604" max="14604" width="11.625" style="1" customWidth="1"/>
    <col min="14605" max="14605" width="13.375" style="1" customWidth="1"/>
    <col min="14606" max="14606" width="13.25" style="1" customWidth="1"/>
    <col min="14607" max="14608" width="10.25" style="1" customWidth="1"/>
    <col min="14609" max="14609" width="8.875" style="1"/>
    <col min="14610" max="14612" width="10.375" style="1" bestFit="1" customWidth="1"/>
    <col min="14613" max="14613" width="9.375" style="1" bestFit="1" customWidth="1"/>
    <col min="14614" max="14848" width="8.875" style="1"/>
    <col min="14849" max="14849" width="5" style="1" bestFit="1" customWidth="1"/>
    <col min="14850" max="14850" width="13.375" style="1" customWidth="1"/>
    <col min="14851" max="14851" width="31.375" style="1" customWidth="1"/>
    <col min="14852" max="14853" width="13.75" style="1" bestFit="1" customWidth="1"/>
    <col min="14854" max="14855" width="13.25" style="1" customWidth="1"/>
    <col min="14856" max="14856" width="13.125" style="1" customWidth="1"/>
    <col min="14857" max="14857" width="13.375" style="1" customWidth="1"/>
    <col min="14858" max="14858" width="13.875" style="1" customWidth="1"/>
    <col min="14859" max="14859" width="13.75" style="1" customWidth="1"/>
    <col min="14860" max="14860" width="11.625" style="1" customWidth="1"/>
    <col min="14861" max="14861" width="13.375" style="1" customWidth="1"/>
    <col min="14862" max="14862" width="13.25" style="1" customWidth="1"/>
    <col min="14863" max="14864" width="10.25" style="1" customWidth="1"/>
    <col min="14865" max="14865" width="8.875" style="1"/>
    <col min="14866" max="14868" width="10.375" style="1" bestFit="1" customWidth="1"/>
    <col min="14869" max="14869" width="9.375" style="1" bestFit="1" customWidth="1"/>
    <col min="14870" max="15104" width="8.875" style="1"/>
    <col min="15105" max="15105" width="5" style="1" bestFit="1" customWidth="1"/>
    <col min="15106" max="15106" width="13.375" style="1" customWidth="1"/>
    <col min="15107" max="15107" width="31.375" style="1" customWidth="1"/>
    <col min="15108" max="15109" width="13.75" style="1" bestFit="1" customWidth="1"/>
    <col min="15110" max="15111" width="13.25" style="1" customWidth="1"/>
    <col min="15112" max="15112" width="13.125" style="1" customWidth="1"/>
    <col min="15113" max="15113" width="13.375" style="1" customWidth="1"/>
    <col min="15114" max="15114" width="13.875" style="1" customWidth="1"/>
    <col min="15115" max="15115" width="13.75" style="1" customWidth="1"/>
    <col min="15116" max="15116" width="11.625" style="1" customWidth="1"/>
    <col min="15117" max="15117" width="13.375" style="1" customWidth="1"/>
    <col min="15118" max="15118" width="13.25" style="1" customWidth="1"/>
    <col min="15119" max="15120" width="10.25" style="1" customWidth="1"/>
    <col min="15121" max="15121" width="8.875" style="1"/>
    <col min="15122" max="15124" width="10.375" style="1" bestFit="1" customWidth="1"/>
    <col min="15125" max="15125" width="9.375" style="1" bestFit="1" customWidth="1"/>
    <col min="15126" max="15360" width="8.875" style="1"/>
    <col min="15361" max="15361" width="5" style="1" bestFit="1" customWidth="1"/>
    <col min="15362" max="15362" width="13.375" style="1" customWidth="1"/>
    <col min="15363" max="15363" width="31.375" style="1" customWidth="1"/>
    <col min="15364" max="15365" width="13.75" style="1" bestFit="1" customWidth="1"/>
    <col min="15366" max="15367" width="13.25" style="1" customWidth="1"/>
    <col min="15368" max="15368" width="13.125" style="1" customWidth="1"/>
    <col min="15369" max="15369" width="13.375" style="1" customWidth="1"/>
    <col min="15370" max="15370" width="13.875" style="1" customWidth="1"/>
    <col min="15371" max="15371" width="13.75" style="1" customWidth="1"/>
    <col min="15372" max="15372" width="11.625" style="1" customWidth="1"/>
    <col min="15373" max="15373" width="13.375" style="1" customWidth="1"/>
    <col min="15374" max="15374" width="13.25" style="1" customWidth="1"/>
    <col min="15375" max="15376" width="10.25" style="1" customWidth="1"/>
    <col min="15377" max="15377" width="8.875" style="1"/>
    <col min="15378" max="15380" width="10.375" style="1" bestFit="1" customWidth="1"/>
    <col min="15381" max="15381" width="9.375" style="1" bestFit="1" customWidth="1"/>
    <col min="15382" max="15616" width="8.875" style="1"/>
    <col min="15617" max="15617" width="5" style="1" bestFit="1" customWidth="1"/>
    <col min="15618" max="15618" width="13.375" style="1" customWidth="1"/>
    <col min="15619" max="15619" width="31.375" style="1" customWidth="1"/>
    <col min="15620" max="15621" width="13.75" style="1" bestFit="1" customWidth="1"/>
    <col min="15622" max="15623" width="13.25" style="1" customWidth="1"/>
    <col min="15624" max="15624" width="13.125" style="1" customWidth="1"/>
    <col min="15625" max="15625" width="13.375" style="1" customWidth="1"/>
    <col min="15626" max="15626" width="13.875" style="1" customWidth="1"/>
    <col min="15627" max="15627" width="13.75" style="1" customWidth="1"/>
    <col min="15628" max="15628" width="11.625" style="1" customWidth="1"/>
    <col min="15629" max="15629" width="13.375" style="1" customWidth="1"/>
    <col min="15630" max="15630" width="13.25" style="1" customWidth="1"/>
    <col min="15631" max="15632" width="10.25" style="1" customWidth="1"/>
    <col min="15633" max="15633" width="8.875" style="1"/>
    <col min="15634" max="15636" width="10.375" style="1" bestFit="1" customWidth="1"/>
    <col min="15637" max="15637" width="9.375" style="1" bestFit="1" customWidth="1"/>
    <col min="15638" max="15872" width="8.875" style="1"/>
    <col min="15873" max="15873" width="5" style="1" bestFit="1" customWidth="1"/>
    <col min="15874" max="15874" width="13.375" style="1" customWidth="1"/>
    <col min="15875" max="15875" width="31.375" style="1" customWidth="1"/>
    <col min="15876" max="15877" width="13.75" style="1" bestFit="1" customWidth="1"/>
    <col min="15878" max="15879" width="13.25" style="1" customWidth="1"/>
    <col min="15880" max="15880" width="13.125" style="1" customWidth="1"/>
    <col min="15881" max="15881" width="13.375" style="1" customWidth="1"/>
    <col min="15882" max="15882" width="13.875" style="1" customWidth="1"/>
    <col min="15883" max="15883" width="13.75" style="1" customWidth="1"/>
    <col min="15884" max="15884" width="11.625" style="1" customWidth="1"/>
    <col min="15885" max="15885" width="13.375" style="1" customWidth="1"/>
    <col min="15886" max="15886" width="13.25" style="1" customWidth="1"/>
    <col min="15887" max="15888" width="10.25" style="1" customWidth="1"/>
    <col min="15889" max="15889" width="8.875" style="1"/>
    <col min="15890" max="15892" width="10.375" style="1" bestFit="1" customWidth="1"/>
    <col min="15893" max="15893" width="9.375" style="1" bestFit="1" customWidth="1"/>
    <col min="15894" max="16128" width="8.875" style="1"/>
    <col min="16129" max="16129" width="5" style="1" bestFit="1" customWidth="1"/>
    <col min="16130" max="16130" width="13.375" style="1" customWidth="1"/>
    <col min="16131" max="16131" width="31.375" style="1" customWidth="1"/>
    <col min="16132" max="16133" width="13.75" style="1" bestFit="1" customWidth="1"/>
    <col min="16134" max="16135" width="13.25" style="1" customWidth="1"/>
    <col min="16136" max="16136" width="13.125" style="1" customWidth="1"/>
    <col min="16137" max="16137" width="13.375" style="1" customWidth="1"/>
    <col min="16138" max="16138" width="13.875" style="1" customWidth="1"/>
    <col min="16139" max="16139" width="13.75" style="1" customWidth="1"/>
    <col min="16140" max="16140" width="11.625" style="1" customWidth="1"/>
    <col min="16141" max="16141" width="13.375" style="1" customWidth="1"/>
    <col min="16142" max="16142" width="13.25" style="1" customWidth="1"/>
    <col min="16143" max="16144" width="10.25" style="1" customWidth="1"/>
    <col min="16145" max="16145" width="8.875" style="1"/>
    <col min="16146" max="16148" width="10.375" style="1" bestFit="1" customWidth="1"/>
    <col min="16149" max="16149" width="9.375" style="1" bestFit="1" customWidth="1"/>
    <col min="16150" max="16384" width="8.875" style="1"/>
  </cols>
  <sheetData>
    <row r="1" spans="1:17" s="250" customFormat="1" ht="21.75" customHeight="1" x14ac:dyDescent="0.3">
      <c r="A1" s="113" t="s">
        <v>325</v>
      </c>
    </row>
    <row r="2" spans="1:17" s="250" customFormat="1" ht="26.25" x14ac:dyDescent="0.3">
      <c r="A2" s="254"/>
      <c r="B2" s="254" t="s">
        <v>1165</v>
      </c>
      <c r="C2" s="255"/>
      <c r="D2" s="255"/>
      <c r="E2" s="255"/>
      <c r="F2" s="255"/>
      <c r="G2" s="255"/>
      <c r="H2" s="255"/>
    </row>
    <row r="3" spans="1:17" s="250" customFormat="1" ht="26.25" x14ac:dyDescent="0.3">
      <c r="A3" s="251"/>
      <c r="B3" s="258" t="s">
        <v>538</v>
      </c>
      <c r="C3" s="255"/>
      <c r="D3" s="255"/>
      <c r="E3" s="255"/>
      <c r="F3" s="255"/>
      <c r="G3" s="255"/>
      <c r="H3" s="255"/>
    </row>
    <row r="4" spans="1:17" s="250" customFormat="1" ht="17.25" thickBot="1" x14ac:dyDescent="0.35">
      <c r="A4" s="292"/>
      <c r="D4" s="250">
        <f>'[1]1. 사업성분석'!O22</f>
        <v>498234354.72102785</v>
      </c>
      <c r="E4" s="293">
        <v>450000000</v>
      </c>
    </row>
    <row r="5" spans="1:17" ht="18" customHeight="1" x14ac:dyDescent="0.3">
      <c r="A5" s="294"/>
      <c r="B5" s="615" t="s">
        <v>531</v>
      </c>
      <c r="C5" s="616"/>
      <c r="D5" s="295" t="s">
        <v>539</v>
      </c>
      <c r="E5" s="295" t="s">
        <v>532</v>
      </c>
      <c r="F5" s="295" t="s">
        <v>540</v>
      </c>
      <c r="G5" s="295" t="s">
        <v>259</v>
      </c>
      <c r="H5" s="295" t="s">
        <v>260</v>
      </c>
      <c r="I5" s="295" t="s">
        <v>261</v>
      </c>
      <c r="J5" s="295" t="s">
        <v>262</v>
      </c>
      <c r="K5" s="295" t="s">
        <v>263</v>
      </c>
      <c r="L5" s="295" t="s">
        <v>264</v>
      </c>
      <c r="M5" s="295" t="s">
        <v>265</v>
      </c>
      <c r="N5" s="296" t="s">
        <v>541</v>
      </c>
      <c r="O5" s="297" t="s">
        <v>542</v>
      </c>
      <c r="Q5" s="250"/>
    </row>
    <row r="6" spans="1:17" ht="18" customHeight="1" x14ac:dyDescent="0.3">
      <c r="A6" s="294"/>
      <c r="B6" s="617" t="s">
        <v>543</v>
      </c>
      <c r="C6" s="298" t="s">
        <v>544</v>
      </c>
      <c r="D6" s="299">
        <f>'[1]2. Cost Sheet'!$N$25-'[1]2. Cost Sheet'!$N$37-'[1]2. Cost Sheet'!N40+'[1]2. Cost Sheet'!N40</f>
        <v>3119840356.000001</v>
      </c>
      <c r="E6" s="299"/>
      <c r="F6" s="299"/>
      <c r="G6" s="299"/>
      <c r="H6" s="299"/>
      <c r="I6" s="299"/>
      <c r="J6" s="299"/>
      <c r="K6" s="299"/>
      <c r="L6" s="299"/>
      <c r="M6" s="299"/>
      <c r="N6" s="300" t="s">
        <v>545</v>
      </c>
      <c r="O6" s="301">
        <v>6</v>
      </c>
      <c r="Q6" s="250"/>
    </row>
    <row r="7" spans="1:17" ht="18" customHeight="1" x14ac:dyDescent="0.3">
      <c r="A7" s="294"/>
      <c r="B7" s="618"/>
      <c r="C7" s="302" t="s">
        <v>546</v>
      </c>
      <c r="D7" s="299"/>
      <c r="E7" s="299"/>
      <c r="F7" s="299"/>
      <c r="G7" s="299"/>
      <c r="H7" s="299"/>
      <c r="I7" s="299"/>
      <c r="J7" s="299"/>
      <c r="K7" s="299"/>
      <c r="L7" s="299"/>
      <c r="M7" s="299"/>
      <c r="N7" s="300" t="s">
        <v>545</v>
      </c>
      <c r="O7" s="301">
        <v>6</v>
      </c>
      <c r="Q7" s="250"/>
    </row>
    <row r="8" spans="1:17" ht="18" customHeight="1" x14ac:dyDescent="0.3">
      <c r="A8" s="294"/>
      <c r="B8" s="618"/>
      <c r="C8" s="302" t="s">
        <v>547</v>
      </c>
      <c r="D8" s="299"/>
      <c r="E8" s="299"/>
      <c r="F8" s="299"/>
      <c r="G8" s="299"/>
      <c r="H8" s="299"/>
      <c r="I8" s="299"/>
      <c r="J8" s="299"/>
      <c r="K8" s="299"/>
      <c r="L8" s="299"/>
      <c r="M8" s="299"/>
      <c r="N8" s="300" t="s">
        <v>545</v>
      </c>
      <c r="O8" s="301">
        <v>6</v>
      </c>
      <c r="Q8" s="250"/>
    </row>
    <row r="9" spans="1:17" ht="18" customHeight="1" x14ac:dyDescent="0.3">
      <c r="A9" s="294"/>
      <c r="B9" s="618"/>
      <c r="C9" s="303" t="s">
        <v>506</v>
      </c>
      <c r="D9" s="299"/>
      <c r="E9" s="299"/>
      <c r="F9" s="299"/>
      <c r="G9" s="299"/>
      <c r="H9" s="299"/>
      <c r="I9" s="299"/>
      <c r="J9" s="299"/>
      <c r="K9" s="299"/>
      <c r="L9" s="299"/>
      <c r="M9" s="299"/>
      <c r="N9" s="300" t="s">
        <v>545</v>
      </c>
      <c r="O9" s="301">
        <v>6</v>
      </c>
      <c r="Q9" s="250"/>
    </row>
    <row r="10" spans="1:17" ht="18" customHeight="1" x14ac:dyDescent="0.3">
      <c r="A10" s="294"/>
      <c r="B10" s="618"/>
      <c r="C10" s="304" t="s">
        <v>501</v>
      </c>
      <c r="D10" s="305">
        <f t="shared" ref="D10:M10" si="0">SUM(D6:D9)</f>
        <v>3119840356.000001</v>
      </c>
      <c r="E10" s="305">
        <f t="shared" si="0"/>
        <v>0</v>
      </c>
      <c r="F10" s="305">
        <f t="shared" si="0"/>
        <v>0</v>
      </c>
      <c r="G10" s="305">
        <f t="shared" si="0"/>
        <v>0</v>
      </c>
      <c r="H10" s="305">
        <f t="shared" si="0"/>
        <v>0</v>
      </c>
      <c r="I10" s="305">
        <f t="shared" si="0"/>
        <v>0</v>
      </c>
      <c r="J10" s="305">
        <f t="shared" si="0"/>
        <v>0</v>
      </c>
      <c r="K10" s="305">
        <f t="shared" si="0"/>
        <v>0</v>
      </c>
      <c r="L10" s="305">
        <f t="shared" si="0"/>
        <v>0</v>
      </c>
      <c r="M10" s="305">
        <f t="shared" si="0"/>
        <v>0</v>
      </c>
      <c r="N10" s="306"/>
      <c r="O10" s="307"/>
      <c r="Q10" s="250"/>
    </row>
    <row r="11" spans="1:17" ht="18" customHeight="1" x14ac:dyDescent="0.3">
      <c r="A11" s="294"/>
      <c r="B11" s="619" t="s">
        <v>548</v>
      </c>
      <c r="C11" s="308" t="s">
        <v>523</v>
      </c>
      <c r="D11" s="309"/>
      <c r="E11" s="309"/>
      <c r="F11" s="309"/>
      <c r="G11" s="309"/>
      <c r="H11" s="299"/>
      <c r="I11" s="299"/>
      <c r="J11" s="299"/>
      <c r="K11" s="299"/>
      <c r="L11" s="299"/>
      <c r="M11" s="299"/>
      <c r="N11" s="300" t="s">
        <v>545</v>
      </c>
      <c r="O11" s="301">
        <v>6</v>
      </c>
      <c r="Q11" s="250"/>
    </row>
    <row r="12" spans="1:17" ht="18" customHeight="1" x14ac:dyDescent="0.3">
      <c r="A12" s="294"/>
      <c r="B12" s="620"/>
      <c r="C12" s="308" t="s">
        <v>549</v>
      </c>
      <c r="D12" s="309"/>
      <c r="E12" s="309"/>
      <c r="F12" s="309"/>
      <c r="G12" s="309"/>
      <c r="H12" s="299"/>
      <c r="I12" s="299"/>
      <c r="J12" s="299"/>
      <c r="K12" s="299"/>
      <c r="L12" s="299"/>
      <c r="M12" s="299"/>
      <c r="N12" s="300" t="s">
        <v>545</v>
      </c>
      <c r="O12" s="301">
        <v>6</v>
      </c>
      <c r="Q12" s="250"/>
    </row>
    <row r="13" spans="1:17" ht="18" customHeight="1" x14ac:dyDescent="0.3">
      <c r="A13" s="294"/>
      <c r="B13" s="621"/>
      <c r="C13" s="304" t="s">
        <v>501</v>
      </c>
      <c r="D13" s="305">
        <f t="shared" ref="D13:M13" si="1">SUM(D11:D12)</f>
        <v>0</v>
      </c>
      <c r="E13" s="305">
        <f t="shared" si="1"/>
        <v>0</v>
      </c>
      <c r="F13" s="305">
        <f t="shared" si="1"/>
        <v>0</v>
      </c>
      <c r="G13" s="305">
        <f t="shared" si="1"/>
        <v>0</v>
      </c>
      <c r="H13" s="305">
        <f t="shared" si="1"/>
        <v>0</v>
      </c>
      <c r="I13" s="305">
        <f t="shared" si="1"/>
        <v>0</v>
      </c>
      <c r="J13" s="305">
        <f t="shared" si="1"/>
        <v>0</v>
      </c>
      <c r="K13" s="305">
        <f t="shared" si="1"/>
        <v>0</v>
      </c>
      <c r="L13" s="305">
        <f t="shared" si="1"/>
        <v>0</v>
      </c>
      <c r="M13" s="305">
        <f t="shared" si="1"/>
        <v>0</v>
      </c>
      <c r="N13" s="306"/>
      <c r="O13" s="307"/>
      <c r="Q13" s="250"/>
    </row>
    <row r="14" spans="1:17" ht="18" customHeight="1" thickBot="1" x14ac:dyDescent="0.35">
      <c r="A14" s="294"/>
      <c r="B14" s="612" t="s">
        <v>550</v>
      </c>
      <c r="C14" s="613"/>
      <c r="D14" s="310">
        <f t="shared" ref="D14:M14" si="2">D10+D13</f>
        <v>3119840356.000001</v>
      </c>
      <c r="E14" s="310">
        <f t="shared" si="2"/>
        <v>0</v>
      </c>
      <c r="F14" s="310">
        <f t="shared" si="2"/>
        <v>0</v>
      </c>
      <c r="G14" s="310">
        <f t="shared" si="2"/>
        <v>0</v>
      </c>
      <c r="H14" s="310">
        <f t="shared" si="2"/>
        <v>0</v>
      </c>
      <c r="I14" s="310">
        <f t="shared" si="2"/>
        <v>0</v>
      </c>
      <c r="J14" s="310">
        <f t="shared" si="2"/>
        <v>0</v>
      </c>
      <c r="K14" s="310">
        <f t="shared" si="2"/>
        <v>0</v>
      </c>
      <c r="L14" s="310">
        <f t="shared" si="2"/>
        <v>0</v>
      </c>
      <c r="M14" s="310">
        <f t="shared" si="2"/>
        <v>0</v>
      </c>
      <c r="N14" s="250"/>
      <c r="O14" s="306"/>
      <c r="P14" s="307"/>
      <c r="Q14" s="250"/>
    </row>
    <row r="15" spans="1:17" s="250" customFormat="1" ht="18" customHeight="1" x14ac:dyDescent="0.3">
      <c r="A15" s="294"/>
      <c r="B15" s="311"/>
      <c r="C15" s="311"/>
      <c r="D15" s="312"/>
      <c r="E15" s="312"/>
      <c r="F15" s="312"/>
      <c r="G15" s="312"/>
      <c r="H15" s="312"/>
      <c r="I15" s="312"/>
      <c r="J15" s="294"/>
    </row>
    <row r="16" spans="1:17" s="250" customFormat="1" ht="3.75" customHeight="1" x14ac:dyDescent="0.3">
      <c r="A16" s="294"/>
      <c r="B16" s="311"/>
      <c r="C16" s="311"/>
      <c r="D16" s="312"/>
      <c r="E16" s="312"/>
      <c r="F16" s="312"/>
      <c r="G16" s="312"/>
      <c r="H16" s="312"/>
      <c r="I16" s="312"/>
      <c r="J16" s="294"/>
    </row>
    <row r="17" spans="1:17" s="250" customFormat="1" ht="23.25" customHeight="1" x14ac:dyDescent="0.3">
      <c r="A17" s="313" t="s">
        <v>551</v>
      </c>
      <c r="B17" s="314" t="s">
        <v>552</v>
      </c>
      <c r="D17" s="251"/>
      <c r="E17" s="251"/>
      <c r="L17" s="253"/>
      <c r="O17" s="251"/>
      <c r="P17" s="315"/>
    </row>
    <row r="18" spans="1:17" s="250" customFormat="1" ht="23.25" customHeight="1" x14ac:dyDescent="0.3">
      <c r="A18" s="262"/>
      <c r="B18" s="316" t="s">
        <v>553</v>
      </c>
      <c r="C18" s="317"/>
      <c r="D18" s="318"/>
      <c r="E18" s="318"/>
      <c r="F18" s="317"/>
      <c r="G18" s="317"/>
      <c r="H18" s="317"/>
      <c r="I18" s="317"/>
      <c r="J18" s="319"/>
      <c r="L18" s="253"/>
      <c r="O18" s="251"/>
      <c r="P18" s="315"/>
    </row>
    <row r="19" spans="1:17" s="250" customFormat="1" ht="23.25" customHeight="1" x14ac:dyDescent="0.3">
      <c r="A19" s="262"/>
      <c r="B19" s="320"/>
      <c r="D19" s="251"/>
      <c r="E19" s="251"/>
      <c r="J19" s="321"/>
      <c r="L19" s="253"/>
      <c r="O19" s="251"/>
      <c r="P19" s="315"/>
    </row>
    <row r="20" spans="1:17" s="250" customFormat="1" ht="23.25" customHeight="1" x14ac:dyDescent="0.3">
      <c r="A20" s="262"/>
      <c r="B20" s="320"/>
      <c r="D20" s="251"/>
      <c r="E20" s="251"/>
      <c r="J20" s="321"/>
      <c r="L20" s="253"/>
      <c r="O20" s="251"/>
      <c r="P20" s="315"/>
    </row>
    <row r="21" spans="1:17" s="250" customFormat="1" ht="23.25" customHeight="1" x14ac:dyDescent="0.3">
      <c r="A21" s="262"/>
      <c r="B21" s="320"/>
      <c r="D21" s="251"/>
      <c r="E21" s="251"/>
      <c r="J21" s="321"/>
      <c r="L21" s="253"/>
      <c r="O21" s="251"/>
      <c r="P21" s="315"/>
    </row>
    <row r="22" spans="1:17" s="250" customFormat="1" ht="23.25" customHeight="1" x14ac:dyDescent="0.3">
      <c r="A22" s="262"/>
      <c r="B22" s="320"/>
      <c r="D22" s="251"/>
      <c r="E22" s="251"/>
      <c r="J22" s="321"/>
      <c r="L22" s="253"/>
      <c r="O22" s="251"/>
      <c r="P22" s="315"/>
    </row>
    <row r="23" spans="1:17" s="250" customFormat="1" ht="23.25" customHeight="1" x14ac:dyDescent="0.3">
      <c r="A23" s="262"/>
      <c r="B23" s="320"/>
      <c r="D23" s="251"/>
      <c r="E23" s="251"/>
      <c r="J23" s="321"/>
      <c r="L23" s="253"/>
      <c r="O23" s="251"/>
      <c r="P23" s="315"/>
    </row>
    <row r="24" spans="1:17" s="250" customFormat="1" ht="23.25" customHeight="1" x14ac:dyDescent="0.3">
      <c r="A24" s="262"/>
      <c r="B24" s="320"/>
      <c r="D24" s="251"/>
      <c r="E24" s="251"/>
      <c r="J24" s="321"/>
      <c r="L24" s="253"/>
      <c r="O24" s="251"/>
      <c r="P24" s="315"/>
    </row>
    <row r="25" spans="1:17" s="250" customFormat="1" ht="23.25" customHeight="1" x14ac:dyDescent="0.3">
      <c r="A25" s="262"/>
      <c r="B25" s="320"/>
      <c r="D25" s="251"/>
      <c r="E25" s="251"/>
      <c r="J25" s="321"/>
      <c r="L25" s="253"/>
      <c r="O25" s="251"/>
      <c r="P25" s="315"/>
    </row>
    <row r="26" spans="1:17" s="250" customFormat="1" ht="23.25" customHeight="1" x14ac:dyDescent="0.3">
      <c r="A26" s="262"/>
      <c r="B26" s="320"/>
      <c r="D26" s="251"/>
      <c r="E26" s="251"/>
      <c r="J26" s="321"/>
      <c r="L26" s="253"/>
      <c r="O26" s="251"/>
      <c r="P26" s="315"/>
    </row>
    <row r="27" spans="1:17" s="250" customFormat="1" ht="23.25" customHeight="1" x14ac:dyDescent="0.3">
      <c r="A27" s="262"/>
      <c r="B27" s="322" t="s">
        <v>554</v>
      </c>
      <c r="D27" s="251"/>
      <c r="E27" s="251"/>
      <c r="J27" s="321"/>
      <c r="L27" s="253"/>
      <c r="O27" s="251"/>
      <c r="P27" s="315"/>
    </row>
    <row r="28" spans="1:17" s="250" customFormat="1" ht="23.25" customHeight="1" x14ac:dyDescent="0.3">
      <c r="A28" s="262"/>
      <c r="B28" s="320"/>
      <c r="D28" s="251"/>
      <c r="E28" s="251"/>
      <c r="J28" s="321"/>
      <c r="L28" s="253"/>
      <c r="O28" s="251"/>
      <c r="P28" s="315"/>
    </row>
    <row r="29" spans="1:17" s="250" customFormat="1" ht="23.25" customHeight="1" x14ac:dyDescent="0.3">
      <c r="A29" s="262"/>
      <c r="B29" s="320"/>
      <c r="D29" s="251"/>
      <c r="E29" s="251"/>
      <c r="J29" s="321"/>
      <c r="L29" s="253"/>
      <c r="O29" s="251"/>
      <c r="P29" s="315"/>
    </row>
    <row r="30" spans="1:17" s="250" customFormat="1" ht="23.25" customHeight="1" x14ac:dyDescent="0.3">
      <c r="A30" s="262"/>
      <c r="B30" s="323"/>
      <c r="C30" s="324"/>
      <c r="D30" s="325"/>
      <c r="E30" s="325"/>
      <c r="F30" s="324"/>
      <c r="G30" s="324"/>
      <c r="H30" s="324"/>
      <c r="I30" s="324"/>
      <c r="J30" s="326"/>
      <c r="L30" s="253"/>
      <c r="O30" s="251"/>
      <c r="P30" s="315"/>
    </row>
    <row r="31" spans="1:17" s="250" customFormat="1" x14ac:dyDescent="0.3">
      <c r="B31" s="258" t="s">
        <v>555</v>
      </c>
      <c r="D31" s="251"/>
      <c r="E31" s="251"/>
      <c r="L31" s="253"/>
      <c r="O31" s="251"/>
      <c r="P31" s="315"/>
      <c r="Q31" s="253"/>
    </row>
    <row r="32" spans="1:17" s="250" customFormat="1" x14ac:dyDescent="0.3">
      <c r="B32" s="258" t="s">
        <v>556</v>
      </c>
      <c r="D32" s="251"/>
      <c r="E32" s="251"/>
      <c r="L32" s="253"/>
      <c r="O32" s="251"/>
      <c r="P32" s="315"/>
      <c r="Q32" s="253"/>
    </row>
    <row r="33" spans="1:17" s="330" customFormat="1" ht="26.25" x14ac:dyDescent="0.3">
      <c r="A33" s="313" t="s">
        <v>557</v>
      </c>
      <c r="B33" s="314" t="s">
        <v>548</v>
      </c>
      <c r="C33" s="327"/>
      <c r="D33" s="328"/>
      <c r="E33" s="328"/>
      <c r="F33" s="328"/>
      <c r="G33" s="328"/>
      <c r="H33" s="328"/>
      <c r="I33" s="328"/>
      <c r="J33" s="329"/>
    </row>
    <row r="34" spans="1:17" s="250" customFormat="1" x14ac:dyDescent="0.3">
      <c r="A34" s="294"/>
      <c r="B34" s="250" t="s">
        <v>558</v>
      </c>
      <c r="C34" s="307"/>
      <c r="D34" s="331"/>
      <c r="E34" s="331"/>
      <c r="F34" s="331"/>
      <c r="G34" s="332"/>
      <c r="H34" s="332"/>
      <c r="I34" s="332"/>
      <c r="J34" s="333"/>
      <c r="K34" s="334"/>
      <c r="L34" s="334"/>
      <c r="M34" s="334"/>
    </row>
    <row r="35" spans="1:17" s="250" customFormat="1" ht="17.25" x14ac:dyDescent="0.3">
      <c r="A35" s="294"/>
      <c r="B35" s="263" t="s">
        <v>559</v>
      </c>
      <c r="C35" s="307"/>
      <c r="D35" s="331"/>
      <c r="E35" s="331"/>
      <c r="F35" s="331"/>
      <c r="G35" s="332"/>
      <c r="H35" s="332"/>
      <c r="I35" s="332"/>
      <c r="J35" s="333"/>
      <c r="K35" s="334"/>
      <c r="L35" s="334"/>
      <c r="M35" s="334"/>
    </row>
    <row r="36" spans="1:17" s="250" customFormat="1" ht="17.25" x14ac:dyDescent="0.3">
      <c r="A36" s="294"/>
      <c r="B36" s="263"/>
      <c r="C36" s="307"/>
      <c r="D36" s="331"/>
      <c r="E36" s="331"/>
      <c r="F36" s="331"/>
      <c r="G36" s="332"/>
      <c r="H36" s="332"/>
      <c r="I36" s="332"/>
      <c r="J36" s="333"/>
      <c r="K36" s="334"/>
      <c r="L36" s="334"/>
      <c r="M36" s="334"/>
    </row>
    <row r="37" spans="1:17" s="330" customFormat="1" ht="26.25" x14ac:dyDescent="0.3">
      <c r="A37" s="313" t="s">
        <v>560</v>
      </c>
      <c r="B37" s="314" t="s">
        <v>561</v>
      </c>
      <c r="G37" s="335"/>
      <c r="H37" s="335"/>
      <c r="I37" s="335"/>
      <c r="J37" s="335"/>
      <c r="K37" s="335"/>
      <c r="L37" s="335"/>
      <c r="M37" s="335"/>
    </row>
    <row r="38" spans="1:17" s="250" customFormat="1" ht="20.25" x14ac:dyDescent="0.3">
      <c r="A38" s="336"/>
      <c r="B38" s="250" t="s">
        <v>562</v>
      </c>
      <c r="H38" s="337">
        <v>1</v>
      </c>
      <c r="I38" s="337">
        <v>2</v>
      </c>
      <c r="J38" s="337">
        <v>3</v>
      </c>
      <c r="K38" s="337">
        <v>4</v>
      </c>
      <c r="L38" s="337">
        <v>5</v>
      </c>
      <c r="M38" s="337">
        <v>6</v>
      </c>
    </row>
    <row r="39" spans="1:17" s="334" customFormat="1" ht="17.25" x14ac:dyDescent="0.3">
      <c r="A39" s="338"/>
      <c r="B39" s="339"/>
      <c r="C39" s="340"/>
      <c r="G39" s="341"/>
      <c r="H39" s="341"/>
      <c r="I39" s="341"/>
      <c r="J39" s="341"/>
      <c r="K39" s="341"/>
      <c r="L39" s="341"/>
      <c r="M39" s="250"/>
      <c r="N39" s="339"/>
    </row>
    <row r="40" spans="1:17" s="334" customFormat="1" ht="18" thickBot="1" x14ac:dyDescent="0.35">
      <c r="A40" s="338"/>
      <c r="B40" s="342" t="s">
        <v>563</v>
      </c>
      <c r="C40" s="250"/>
      <c r="D40" s="250"/>
      <c r="E40" s="250"/>
      <c r="F40" s="250"/>
      <c r="G40" s="250"/>
      <c r="I40" s="339"/>
      <c r="J40" s="339"/>
      <c r="K40" s="339"/>
      <c r="M40" s="343" t="s">
        <v>564</v>
      </c>
    </row>
    <row r="41" spans="1:17" s="344" customFormat="1" ht="17.25" x14ac:dyDescent="0.3">
      <c r="A41" s="338"/>
      <c r="B41" s="615" t="s">
        <v>531</v>
      </c>
      <c r="C41" s="616"/>
      <c r="D41" s="295" t="s">
        <v>539</v>
      </c>
      <c r="E41" s="295" t="s">
        <v>532</v>
      </c>
      <c r="F41" s="295" t="s">
        <v>540</v>
      </c>
      <c r="G41" s="295" t="s">
        <v>259</v>
      </c>
      <c r="H41" s="295" t="s">
        <v>260</v>
      </c>
      <c r="I41" s="295" t="s">
        <v>261</v>
      </c>
      <c r="J41" s="295" t="s">
        <v>262</v>
      </c>
      <c r="K41" s="295" t="s">
        <v>263</v>
      </c>
      <c r="L41" s="295" t="s">
        <v>264</v>
      </c>
      <c r="M41" s="295" t="s">
        <v>265</v>
      </c>
      <c r="N41" s="334"/>
      <c r="O41" s="334"/>
      <c r="P41" s="334"/>
    </row>
    <row r="42" spans="1:17" s="344" customFormat="1" ht="17.25" x14ac:dyDescent="0.3">
      <c r="A42" s="338"/>
      <c r="B42" s="610" t="s">
        <v>565</v>
      </c>
      <c r="C42" s="611"/>
      <c r="D42" s="309">
        <f>H58+H69+H80+H91</f>
        <v>43331116.055555567</v>
      </c>
      <c r="E42" s="309">
        <f t="shared" ref="E42:K42" si="3">I58+I69+I80+I91</f>
        <v>519973392.66666681</v>
      </c>
      <c r="F42" s="309">
        <f t="shared" si="3"/>
        <v>519973392.66666681</v>
      </c>
      <c r="G42" s="309">
        <f t="shared" si="3"/>
        <v>519973392.66666681</v>
      </c>
      <c r="H42" s="309">
        <f t="shared" si="3"/>
        <v>519973392.66666681</v>
      </c>
      <c r="I42" s="309">
        <f t="shared" si="3"/>
        <v>519973392.66666681</v>
      </c>
      <c r="J42" s="309">
        <f t="shared" si="3"/>
        <v>476642276.61111122</v>
      </c>
      <c r="K42" s="309">
        <f t="shared" si="3"/>
        <v>0</v>
      </c>
      <c r="L42" s="309">
        <f>P58+P69+P80+P91</f>
        <v>0</v>
      </c>
      <c r="M42" s="309">
        <f>Q58+Q69+Q80+Q91+SUM(R52:U55)</f>
        <v>0</v>
      </c>
      <c r="N42" s="334"/>
      <c r="O42" s="334"/>
      <c r="P42" s="334"/>
    </row>
    <row r="43" spans="1:17" s="344" customFormat="1" ht="17.25" x14ac:dyDescent="0.3">
      <c r="A43" s="338"/>
      <c r="B43" s="610" t="s">
        <v>566</v>
      </c>
      <c r="C43" s="611"/>
      <c r="D43" s="299">
        <f t="shared" ref="D43:M43" si="4">H102+H113</f>
        <v>0</v>
      </c>
      <c r="E43" s="299">
        <f t="shared" si="4"/>
        <v>0</v>
      </c>
      <c r="F43" s="299">
        <f t="shared" si="4"/>
        <v>0</v>
      </c>
      <c r="G43" s="299">
        <f t="shared" si="4"/>
        <v>0</v>
      </c>
      <c r="H43" s="299">
        <f t="shared" si="4"/>
        <v>0</v>
      </c>
      <c r="I43" s="299">
        <f t="shared" si="4"/>
        <v>0</v>
      </c>
      <c r="J43" s="299">
        <f t="shared" si="4"/>
        <v>0</v>
      </c>
      <c r="K43" s="299">
        <f t="shared" si="4"/>
        <v>0</v>
      </c>
      <c r="L43" s="299">
        <f t="shared" si="4"/>
        <v>0</v>
      </c>
      <c r="M43" s="299">
        <f t="shared" si="4"/>
        <v>0</v>
      </c>
      <c r="N43" s="334"/>
      <c r="O43" s="334"/>
      <c r="P43" s="334"/>
    </row>
    <row r="44" spans="1:17" s="344" customFormat="1" ht="18" thickBot="1" x14ac:dyDescent="0.35">
      <c r="A44" s="338"/>
      <c r="B44" s="612" t="s">
        <v>550</v>
      </c>
      <c r="C44" s="613"/>
      <c r="D44" s="310">
        <f t="shared" ref="D44:M44" si="5">SUM(D42:D43)</f>
        <v>43331116.055555567</v>
      </c>
      <c r="E44" s="310">
        <f t="shared" si="5"/>
        <v>519973392.66666681</v>
      </c>
      <c r="F44" s="310">
        <f t="shared" si="5"/>
        <v>519973392.66666681</v>
      </c>
      <c r="G44" s="310">
        <f t="shared" si="5"/>
        <v>519973392.66666681</v>
      </c>
      <c r="H44" s="310">
        <f t="shared" si="5"/>
        <v>519973392.66666681</v>
      </c>
      <c r="I44" s="310">
        <f t="shared" si="5"/>
        <v>519973392.66666681</v>
      </c>
      <c r="J44" s="310">
        <f t="shared" si="5"/>
        <v>476642276.61111122</v>
      </c>
      <c r="K44" s="310">
        <f t="shared" si="5"/>
        <v>0</v>
      </c>
      <c r="L44" s="310">
        <f t="shared" si="5"/>
        <v>0</v>
      </c>
      <c r="M44" s="310">
        <f t="shared" si="5"/>
        <v>0</v>
      </c>
      <c r="N44" s="334"/>
      <c r="O44" s="334"/>
      <c r="P44" s="334"/>
    </row>
    <row r="45" spans="1:17" s="344" customFormat="1" ht="17.25" x14ac:dyDescent="0.3">
      <c r="A45" s="338"/>
      <c r="B45" s="339"/>
      <c r="C45" s="340"/>
      <c r="D45" s="334"/>
      <c r="E45" s="334"/>
      <c r="F45" s="334"/>
      <c r="G45" s="339"/>
      <c r="H45" s="339"/>
      <c r="I45" s="339"/>
      <c r="J45" s="339"/>
      <c r="K45" s="339"/>
      <c r="L45" s="339"/>
      <c r="M45" s="334"/>
      <c r="N45" s="339"/>
      <c r="O45" s="334"/>
      <c r="P45" s="334"/>
    </row>
    <row r="46" spans="1:17" s="344" customFormat="1" x14ac:dyDescent="0.25">
      <c r="A46" s="334"/>
      <c r="B46" s="345" t="s">
        <v>564</v>
      </c>
      <c r="C46" s="340"/>
      <c r="D46" s="346"/>
      <c r="E46" s="346"/>
      <c r="F46" s="334"/>
      <c r="G46" s="339"/>
      <c r="H46" s="339"/>
      <c r="I46" s="339"/>
      <c r="J46" s="339"/>
      <c r="K46" s="339"/>
      <c r="L46" s="339"/>
      <c r="M46" s="347"/>
      <c r="N46" s="339"/>
      <c r="O46" s="334"/>
      <c r="P46" s="334"/>
    </row>
    <row r="47" spans="1:17" s="78" customFormat="1" ht="13.5" customHeight="1" x14ac:dyDescent="0.3">
      <c r="A47" s="348"/>
      <c r="B47" s="349" t="s">
        <v>531</v>
      </c>
      <c r="C47" s="350" t="s">
        <v>567</v>
      </c>
      <c r="D47" s="350" t="s">
        <v>568</v>
      </c>
      <c r="E47" s="350" t="s">
        <v>541</v>
      </c>
      <c r="F47" s="350" t="s">
        <v>542</v>
      </c>
      <c r="G47" s="350" t="s">
        <v>569</v>
      </c>
      <c r="H47" s="351" t="s">
        <v>539</v>
      </c>
      <c r="I47" s="351" t="s">
        <v>532</v>
      </c>
      <c r="J47" s="351" t="s">
        <v>540</v>
      </c>
      <c r="K47" s="351" t="s">
        <v>259</v>
      </c>
      <c r="L47" s="351" t="s">
        <v>260</v>
      </c>
      <c r="M47" s="351" t="s">
        <v>261</v>
      </c>
      <c r="N47" s="351" t="s">
        <v>262</v>
      </c>
      <c r="O47" s="351" t="s">
        <v>263</v>
      </c>
      <c r="P47" s="351" t="s">
        <v>264</v>
      </c>
      <c r="Q47" s="351" t="s">
        <v>265</v>
      </c>
    </row>
    <row r="48" spans="1:17" s="78" customFormat="1" ht="13.5" customHeight="1" x14ac:dyDescent="0.3">
      <c r="B48" s="614" t="s">
        <v>570</v>
      </c>
      <c r="C48" s="352" t="s">
        <v>492</v>
      </c>
      <c r="D48" s="353">
        <f>D6</f>
        <v>3119840356.000001</v>
      </c>
      <c r="E48" s="354" t="str">
        <f t="shared" ref="E48:F57" si="6">N$6</f>
        <v>정액</v>
      </c>
      <c r="F48" s="354">
        <f t="shared" si="6"/>
        <v>6</v>
      </c>
      <c r="G48" s="355">
        <f>1/F48</f>
        <v>0.16666666666666666</v>
      </c>
      <c r="H48" s="356">
        <f>$D48*$G48*(1/12)</f>
        <v>43331116.055555567</v>
      </c>
      <c r="I48" s="356">
        <f>$D48*$G48</f>
        <v>519973392.66666681</v>
      </c>
      <c r="J48" s="356">
        <f>$D48*$G48</f>
        <v>519973392.66666681</v>
      </c>
      <c r="K48" s="356">
        <f>$D48*$G48</f>
        <v>519973392.66666681</v>
      </c>
      <c r="L48" s="356">
        <f>$D48*$G48</f>
        <v>519973392.66666681</v>
      </c>
      <c r="M48" s="356">
        <f>$D48*$G48</f>
        <v>519973392.66666681</v>
      </c>
      <c r="N48" s="357">
        <f>$D48*$G48*(11/12)</f>
        <v>476642276.61111122</v>
      </c>
    </row>
    <row r="49" spans="2:23" s="78" customFormat="1" ht="13.5" customHeight="1" x14ac:dyDescent="0.3">
      <c r="B49" s="614"/>
      <c r="C49" s="352" t="s">
        <v>532</v>
      </c>
      <c r="D49" s="352">
        <f>E6</f>
        <v>0</v>
      </c>
      <c r="E49" s="354" t="str">
        <f t="shared" si="6"/>
        <v>정액</v>
      </c>
      <c r="F49" s="354">
        <f t="shared" si="6"/>
        <v>6</v>
      </c>
      <c r="G49" s="355">
        <f t="shared" ref="G49:G107" si="7">1/F49</f>
        <v>0.16666666666666666</v>
      </c>
      <c r="H49" s="356"/>
      <c r="I49" s="356">
        <f>$D49*$G49*(6/12)</f>
        <v>0</v>
      </c>
      <c r="J49" s="356">
        <f t="shared" ref="J49:Q52" si="8">$D49*$G49</f>
        <v>0</v>
      </c>
      <c r="K49" s="356">
        <f t="shared" si="8"/>
        <v>0</v>
      </c>
      <c r="L49" s="356">
        <f t="shared" si="8"/>
        <v>0</v>
      </c>
      <c r="M49" s="356">
        <f t="shared" si="8"/>
        <v>0</v>
      </c>
      <c r="N49" s="356">
        <f t="shared" si="8"/>
        <v>0</v>
      </c>
      <c r="O49" s="78">
        <f>I49</f>
        <v>0</v>
      </c>
    </row>
    <row r="50" spans="2:23" s="78" customFormat="1" ht="13.5" customHeight="1" x14ac:dyDescent="0.3">
      <c r="B50" s="614"/>
      <c r="C50" s="352" t="s">
        <v>540</v>
      </c>
      <c r="D50" s="352">
        <f>F6</f>
        <v>0</v>
      </c>
      <c r="E50" s="354" t="str">
        <f t="shared" si="6"/>
        <v>정액</v>
      </c>
      <c r="F50" s="354">
        <f t="shared" si="6"/>
        <v>6</v>
      </c>
      <c r="G50" s="355">
        <f t="shared" si="7"/>
        <v>0.16666666666666666</v>
      </c>
      <c r="H50" s="356"/>
      <c r="I50" s="356"/>
      <c r="J50" s="356">
        <f>$D50*$G50*(6/12)</f>
        <v>0</v>
      </c>
      <c r="K50" s="356">
        <f t="shared" si="8"/>
        <v>0</v>
      </c>
      <c r="L50" s="356">
        <f t="shared" si="8"/>
        <v>0</v>
      </c>
      <c r="M50" s="356">
        <f t="shared" si="8"/>
        <v>0</v>
      </c>
      <c r="N50" s="356">
        <f t="shared" si="8"/>
        <v>0</v>
      </c>
      <c r="O50" s="356">
        <f t="shared" si="8"/>
        <v>0</v>
      </c>
      <c r="P50" s="78">
        <f>J50</f>
        <v>0</v>
      </c>
    </row>
    <row r="51" spans="2:23" s="78" customFormat="1" ht="13.5" customHeight="1" x14ac:dyDescent="0.3">
      <c r="B51" s="614"/>
      <c r="C51" s="352" t="s">
        <v>571</v>
      </c>
      <c r="D51" s="352">
        <f>G6</f>
        <v>0</v>
      </c>
      <c r="E51" s="354" t="str">
        <f t="shared" si="6"/>
        <v>정액</v>
      </c>
      <c r="F51" s="354">
        <f t="shared" si="6"/>
        <v>6</v>
      </c>
      <c r="G51" s="355">
        <f t="shared" si="7"/>
        <v>0.16666666666666666</v>
      </c>
      <c r="H51" s="356"/>
      <c r="I51" s="356"/>
      <c r="J51" s="356"/>
      <c r="K51" s="356">
        <f>$D51*$G51*(6/12)</f>
        <v>0</v>
      </c>
      <c r="L51" s="356">
        <f t="shared" si="8"/>
        <v>0</v>
      </c>
      <c r="M51" s="356">
        <f t="shared" si="8"/>
        <v>0</v>
      </c>
      <c r="N51" s="356">
        <f t="shared" si="8"/>
        <v>0</v>
      </c>
      <c r="O51" s="356">
        <f t="shared" si="8"/>
        <v>0</v>
      </c>
      <c r="P51" s="356">
        <f t="shared" si="8"/>
        <v>0</v>
      </c>
      <c r="Q51" s="358">
        <f>K51</f>
        <v>0</v>
      </c>
    </row>
    <row r="52" spans="2:23" s="78" customFormat="1" ht="13.5" customHeight="1" x14ac:dyDescent="0.3">
      <c r="B52" s="614"/>
      <c r="C52" s="354" t="s">
        <v>572</v>
      </c>
      <c r="D52" s="352">
        <f>H6</f>
        <v>0</v>
      </c>
      <c r="E52" s="354" t="str">
        <f t="shared" si="6"/>
        <v>정액</v>
      </c>
      <c r="F52" s="354">
        <f t="shared" si="6"/>
        <v>6</v>
      </c>
      <c r="G52" s="355">
        <f t="shared" si="7"/>
        <v>0.16666666666666666</v>
      </c>
      <c r="H52" s="356"/>
      <c r="I52" s="356"/>
      <c r="J52" s="356"/>
      <c r="K52" s="356"/>
      <c r="L52" s="356">
        <f>$D52*$G52*(6/12)</f>
        <v>0</v>
      </c>
      <c r="M52" s="356">
        <f t="shared" si="8"/>
        <v>0</v>
      </c>
      <c r="N52" s="356">
        <f t="shared" si="8"/>
        <v>0</v>
      </c>
      <c r="O52" s="356">
        <f t="shared" si="8"/>
        <v>0</v>
      </c>
      <c r="P52" s="356">
        <f t="shared" si="8"/>
        <v>0</v>
      </c>
      <c r="Q52" s="356">
        <f t="shared" si="8"/>
        <v>0</v>
      </c>
      <c r="R52" s="359">
        <f>L52</f>
        <v>0</v>
      </c>
      <c r="S52" s="360"/>
      <c r="T52" s="360"/>
      <c r="U52" s="360"/>
    </row>
    <row r="53" spans="2:23" s="78" customFormat="1" ht="13.5" customHeight="1" x14ac:dyDescent="0.3">
      <c r="B53" s="614"/>
      <c r="C53" s="354" t="s">
        <v>261</v>
      </c>
      <c r="D53" s="352">
        <f>I6</f>
        <v>0</v>
      </c>
      <c r="E53" s="354" t="str">
        <f t="shared" si="6"/>
        <v>정액</v>
      </c>
      <c r="F53" s="354">
        <f t="shared" si="6"/>
        <v>6</v>
      </c>
      <c r="G53" s="355">
        <f t="shared" si="7"/>
        <v>0.16666666666666666</v>
      </c>
      <c r="H53" s="356"/>
      <c r="I53" s="356"/>
      <c r="J53" s="356"/>
      <c r="K53" s="356"/>
      <c r="L53" s="356"/>
      <c r="M53" s="356">
        <f>$D53*$G53*(6/12)</f>
        <v>0</v>
      </c>
      <c r="N53" s="356">
        <f>$D53*$G53</f>
        <v>0</v>
      </c>
      <c r="O53" s="356">
        <f>$D53*$G53</f>
        <v>0</v>
      </c>
      <c r="P53" s="356">
        <f>$D53*$G53</f>
        <v>0</v>
      </c>
      <c r="Q53" s="356">
        <f>$D53*$G53</f>
        <v>0</v>
      </c>
      <c r="R53" s="361">
        <f>$D53*$G53</f>
        <v>0</v>
      </c>
      <c r="S53" s="359">
        <f>M53</f>
        <v>0</v>
      </c>
      <c r="T53" s="360"/>
      <c r="U53" s="360"/>
    </row>
    <row r="54" spans="2:23" s="78" customFormat="1" ht="13.5" customHeight="1" x14ac:dyDescent="0.3">
      <c r="B54" s="614"/>
      <c r="C54" s="354" t="s">
        <v>262</v>
      </c>
      <c r="D54" s="352">
        <f>J6</f>
        <v>0</v>
      </c>
      <c r="E54" s="354" t="str">
        <f t="shared" si="6"/>
        <v>정액</v>
      </c>
      <c r="F54" s="354">
        <f t="shared" si="6"/>
        <v>6</v>
      </c>
      <c r="G54" s="355">
        <f t="shared" si="7"/>
        <v>0.16666666666666666</v>
      </c>
      <c r="H54" s="356"/>
      <c r="I54" s="356"/>
      <c r="J54" s="356"/>
      <c r="K54" s="356"/>
      <c r="L54" s="356"/>
      <c r="M54" s="356"/>
      <c r="N54" s="356">
        <f>$D54*$G54*(6/12)</f>
        <v>0</v>
      </c>
      <c r="O54" s="356">
        <f>$D54*$G54</f>
        <v>0</v>
      </c>
      <c r="P54" s="356">
        <f>$D54*$G54</f>
        <v>0</v>
      </c>
      <c r="Q54" s="356">
        <f>$D54*$G54</f>
        <v>0</v>
      </c>
      <c r="R54" s="361">
        <f>$D54*$G54</f>
        <v>0</v>
      </c>
      <c r="S54" s="361">
        <f>$D54*$G54</f>
        <v>0</v>
      </c>
      <c r="T54" s="359">
        <f>N54</f>
        <v>0</v>
      </c>
      <c r="U54" s="360"/>
    </row>
    <row r="55" spans="2:23" s="78" customFormat="1" ht="13.5" customHeight="1" x14ac:dyDescent="0.3">
      <c r="B55" s="614"/>
      <c r="C55" s="354" t="s">
        <v>263</v>
      </c>
      <c r="D55" s="352">
        <f>K6</f>
        <v>0</v>
      </c>
      <c r="E55" s="354" t="str">
        <f t="shared" si="6"/>
        <v>정액</v>
      </c>
      <c r="F55" s="354">
        <f t="shared" si="6"/>
        <v>6</v>
      </c>
      <c r="G55" s="355">
        <f t="shared" si="7"/>
        <v>0.16666666666666666</v>
      </c>
      <c r="H55" s="356"/>
      <c r="I55" s="356"/>
      <c r="J55" s="356"/>
      <c r="K55" s="356"/>
      <c r="L55" s="356"/>
      <c r="M55" s="356"/>
      <c r="N55" s="356"/>
      <c r="O55" s="356">
        <f>$D55*$G55*(6/12)</f>
        <v>0</v>
      </c>
      <c r="P55" s="356">
        <f>$D55*$G55</f>
        <v>0</v>
      </c>
      <c r="Q55" s="356">
        <f>$D55*$G55</f>
        <v>0</v>
      </c>
      <c r="R55" s="361">
        <f>$D55*$G55</f>
        <v>0</v>
      </c>
      <c r="S55" s="361">
        <f>$D55*$G55</f>
        <v>0</v>
      </c>
      <c r="T55" s="361">
        <f>$D55*$G55</f>
        <v>0</v>
      </c>
      <c r="U55" s="359">
        <f>O55</f>
        <v>0</v>
      </c>
    </row>
    <row r="56" spans="2:23" s="78" customFormat="1" ht="13.5" customHeight="1" x14ac:dyDescent="0.3">
      <c r="B56" s="614"/>
      <c r="C56" s="354" t="s">
        <v>264</v>
      </c>
      <c r="D56" s="352">
        <f>L6</f>
        <v>0</v>
      </c>
      <c r="E56" s="354" t="str">
        <f t="shared" si="6"/>
        <v>정액</v>
      </c>
      <c r="F56" s="354">
        <f t="shared" si="6"/>
        <v>6</v>
      </c>
      <c r="G56" s="355">
        <f t="shared" si="7"/>
        <v>0.16666666666666666</v>
      </c>
      <c r="H56" s="356"/>
      <c r="I56" s="356"/>
      <c r="J56" s="356"/>
      <c r="K56" s="356"/>
      <c r="L56" s="356"/>
      <c r="M56" s="356"/>
      <c r="N56" s="356"/>
      <c r="O56" s="356"/>
      <c r="P56" s="356">
        <f>$D56*$G56*(6/12)</f>
        <v>0</v>
      </c>
      <c r="Q56" s="356">
        <f>$D56*$G56</f>
        <v>0</v>
      </c>
      <c r="R56" s="361">
        <f>$D56*$G56</f>
        <v>0</v>
      </c>
      <c r="S56" s="361">
        <f>$D56*$G56</f>
        <v>0</v>
      </c>
      <c r="T56" s="361">
        <f>$D56*$G56</f>
        <v>0</v>
      </c>
      <c r="U56" s="361">
        <f>$D56*$G56</f>
        <v>0</v>
      </c>
      <c r="V56" s="357"/>
    </row>
    <row r="57" spans="2:23" s="78" customFormat="1" ht="13.5" customHeight="1" x14ac:dyDescent="0.3">
      <c r="B57" s="614"/>
      <c r="C57" s="354" t="s">
        <v>265</v>
      </c>
      <c r="D57" s="352">
        <f>M6</f>
        <v>0</v>
      </c>
      <c r="E57" s="354" t="str">
        <f t="shared" si="6"/>
        <v>정액</v>
      </c>
      <c r="F57" s="354">
        <f t="shared" si="6"/>
        <v>6</v>
      </c>
      <c r="G57" s="355">
        <f t="shared" si="7"/>
        <v>0.16666666666666666</v>
      </c>
      <c r="H57" s="356"/>
      <c r="I57" s="356"/>
      <c r="J57" s="356"/>
      <c r="K57" s="356"/>
      <c r="L57" s="356"/>
      <c r="M57" s="356"/>
      <c r="N57" s="356"/>
      <c r="O57" s="356"/>
      <c r="P57" s="356"/>
      <c r="Q57" s="356">
        <f>$D57*$G57*(6/12)</f>
        <v>0</v>
      </c>
      <c r="R57" s="361">
        <f>$D57*$G57</f>
        <v>0</v>
      </c>
      <c r="S57" s="361">
        <f>$D57*$G57</f>
        <v>0</v>
      </c>
      <c r="T57" s="361">
        <f>$D57*$G57</f>
        <v>0</v>
      </c>
      <c r="U57" s="361">
        <f>$D57*$G57</f>
        <v>0</v>
      </c>
      <c r="V57" s="356">
        <f>$D57*$G57</f>
        <v>0</v>
      </c>
      <c r="W57" s="357"/>
    </row>
    <row r="58" spans="2:23" s="78" customFormat="1" ht="13.5" customHeight="1" x14ac:dyDescent="0.3">
      <c r="B58" s="614"/>
      <c r="C58" s="362" t="s">
        <v>501</v>
      </c>
      <c r="D58" s="363">
        <f>SUM(D48:D57)</f>
        <v>3119840356.000001</v>
      </c>
      <c r="E58" s="363"/>
      <c r="F58" s="363"/>
      <c r="G58" s="364"/>
      <c r="H58" s="363">
        <f>SUM(H48:H57)</f>
        <v>43331116.055555567</v>
      </c>
      <c r="I58" s="363">
        <f t="shared" ref="I58:V58" si="9">SUM(I48:I57)</f>
        <v>519973392.66666681</v>
      </c>
      <c r="J58" s="363">
        <f t="shared" si="9"/>
        <v>519973392.66666681</v>
      </c>
      <c r="K58" s="363">
        <f t="shared" si="9"/>
        <v>519973392.66666681</v>
      </c>
      <c r="L58" s="363">
        <f t="shared" si="9"/>
        <v>519973392.66666681</v>
      </c>
      <c r="M58" s="363">
        <f t="shared" si="9"/>
        <v>519973392.66666681</v>
      </c>
      <c r="N58" s="363">
        <f t="shared" si="9"/>
        <v>476642276.61111122</v>
      </c>
      <c r="O58" s="363">
        <f t="shared" si="9"/>
        <v>0</v>
      </c>
      <c r="P58" s="363">
        <f t="shared" si="9"/>
        <v>0</v>
      </c>
      <c r="Q58" s="363">
        <f t="shared" si="9"/>
        <v>0</v>
      </c>
      <c r="R58" s="365">
        <f t="shared" si="9"/>
        <v>0</v>
      </c>
      <c r="S58" s="365">
        <f t="shared" si="9"/>
        <v>0</v>
      </c>
      <c r="T58" s="365">
        <f t="shared" si="9"/>
        <v>0</v>
      </c>
      <c r="U58" s="365">
        <f t="shared" si="9"/>
        <v>0</v>
      </c>
      <c r="V58" s="363">
        <f t="shared" si="9"/>
        <v>0</v>
      </c>
    </row>
    <row r="59" spans="2:23" s="366" customFormat="1" ht="13.5" customHeight="1" x14ac:dyDescent="0.3">
      <c r="B59" s="614" t="s">
        <v>573</v>
      </c>
      <c r="C59" s="353" t="s">
        <v>492</v>
      </c>
      <c r="D59" s="353">
        <f>D7</f>
        <v>0</v>
      </c>
      <c r="E59" s="354" t="str">
        <f t="shared" ref="E59:F68" si="10">N$7</f>
        <v>정액</v>
      </c>
      <c r="F59" s="354">
        <f t="shared" si="10"/>
        <v>6</v>
      </c>
      <c r="G59" s="355">
        <f t="shared" si="7"/>
        <v>0.16666666666666666</v>
      </c>
      <c r="H59" s="356">
        <f>$D59*$G59*(6/12)</f>
        <v>0</v>
      </c>
      <c r="I59" s="356">
        <f>$D59*$G59</f>
        <v>0</v>
      </c>
      <c r="J59" s="356">
        <f>$D59*$G59</f>
        <v>0</v>
      </c>
      <c r="K59" s="356">
        <f>$D59*$G59</f>
        <v>0</v>
      </c>
      <c r="L59" s="356">
        <f>$D59*$G59</f>
        <v>0</v>
      </c>
      <c r="M59" s="356">
        <f>$D59*$G59</f>
        <v>0</v>
      </c>
      <c r="N59" s="357"/>
      <c r="O59" s="78"/>
      <c r="P59" s="78"/>
      <c r="Q59" s="78"/>
    </row>
    <row r="60" spans="2:23" s="366" customFormat="1" ht="13.5" customHeight="1" x14ac:dyDescent="0.3">
      <c r="B60" s="614"/>
      <c r="C60" s="353" t="s">
        <v>532</v>
      </c>
      <c r="D60" s="353">
        <f>E7</f>
        <v>0</v>
      </c>
      <c r="E60" s="354" t="str">
        <f t="shared" si="10"/>
        <v>정액</v>
      </c>
      <c r="F60" s="354">
        <f t="shared" si="10"/>
        <v>6</v>
      </c>
      <c r="G60" s="355">
        <f t="shared" si="7"/>
        <v>0.16666666666666666</v>
      </c>
      <c r="H60" s="356"/>
      <c r="I60" s="356">
        <f>$D60*$G60*(6/12)</f>
        <v>0</v>
      </c>
      <c r="J60" s="356">
        <f t="shared" ref="J60:Q63" si="11">$D60*$G60</f>
        <v>0</v>
      </c>
      <c r="K60" s="356">
        <f t="shared" si="11"/>
        <v>0</v>
      </c>
      <c r="L60" s="356">
        <f t="shared" si="11"/>
        <v>0</v>
      </c>
      <c r="M60" s="356">
        <f t="shared" si="11"/>
        <v>0</v>
      </c>
      <c r="N60" s="356">
        <f t="shared" si="11"/>
        <v>0</v>
      </c>
      <c r="O60" s="357">
        <f>I60</f>
        <v>0</v>
      </c>
      <c r="P60" s="78"/>
      <c r="Q60" s="78"/>
    </row>
    <row r="61" spans="2:23" s="366" customFormat="1" ht="13.5" customHeight="1" x14ac:dyDescent="0.3">
      <c r="B61" s="614"/>
      <c r="C61" s="353" t="s">
        <v>540</v>
      </c>
      <c r="D61" s="353">
        <f>F7</f>
        <v>0</v>
      </c>
      <c r="E61" s="354" t="str">
        <f t="shared" si="10"/>
        <v>정액</v>
      </c>
      <c r="F61" s="354">
        <f t="shared" si="10"/>
        <v>6</v>
      </c>
      <c r="G61" s="355">
        <f t="shared" si="7"/>
        <v>0.16666666666666666</v>
      </c>
      <c r="H61" s="356"/>
      <c r="I61" s="356"/>
      <c r="J61" s="356">
        <f>$D61*$G61*(6/12)</f>
        <v>0</v>
      </c>
      <c r="K61" s="356">
        <f t="shared" si="11"/>
        <v>0</v>
      </c>
      <c r="L61" s="356">
        <f t="shared" si="11"/>
        <v>0</v>
      </c>
      <c r="M61" s="356">
        <f t="shared" si="11"/>
        <v>0</v>
      </c>
      <c r="N61" s="356">
        <f t="shared" si="11"/>
        <v>0</v>
      </c>
      <c r="O61" s="356">
        <f t="shared" si="11"/>
        <v>0</v>
      </c>
      <c r="P61" s="78"/>
      <c r="Q61" s="78"/>
    </row>
    <row r="62" spans="2:23" s="366" customFormat="1" ht="13.5" customHeight="1" x14ac:dyDescent="0.3">
      <c r="B62" s="614"/>
      <c r="C62" s="353" t="s">
        <v>571</v>
      </c>
      <c r="D62" s="353">
        <f>G7</f>
        <v>0</v>
      </c>
      <c r="E62" s="354" t="str">
        <f t="shared" si="10"/>
        <v>정액</v>
      </c>
      <c r="F62" s="354">
        <f t="shared" si="10"/>
        <v>6</v>
      </c>
      <c r="G62" s="355">
        <f t="shared" si="7"/>
        <v>0.16666666666666666</v>
      </c>
      <c r="H62" s="356"/>
      <c r="I62" s="356"/>
      <c r="J62" s="356"/>
      <c r="K62" s="356">
        <f>$D62*$G62*(6/12)</f>
        <v>0</v>
      </c>
      <c r="L62" s="356">
        <f t="shared" si="11"/>
        <v>0</v>
      </c>
      <c r="M62" s="356">
        <f t="shared" si="11"/>
        <v>0</v>
      </c>
      <c r="N62" s="356">
        <f t="shared" si="11"/>
        <v>0</v>
      </c>
      <c r="O62" s="356">
        <f t="shared" si="11"/>
        <v>0</v>
      </c>
      <c r="P62" s="356">
        <f t="shared" si="11"/>
        <v>0</v>
      </c>
      <c r="Q62" s="78"/>
    </row>
    <row r="63" spans="2:23" s="366" customFormat="1" ht="13.5" customHeight="1" x14ac:dyDescent="0.3">
      <c r="B63" s="614"/>
      <c r="C63" s="367" t="s">
        <v>572</v>
      </c>
      <c r="D63" s="353">
        <f>H7</f>
        <v>0</v>
      </c>
      <c r="E63" s="354" t="str">
        <f t="shared" si="10"/>
        <v>정액</v>
      </c>
      <c r="F63" s="354">
        <f t="shared" si="10"/>
        <v>6</v>
      </c>
      <c r="G63" s="355">
        <f t="shared" si="7"/>
        <v>0.16666666666666666</v>
      </c>
      <c r="H63" s="356"/>
      <c r="I63" s="356"/>
      <c r="J63" s="356"/>
      <c r="K63" s="356"/>
      <c r="L63" s="356">
        <f>$D63*$G63*(6/12)</f>
        <v>0</v>
      </c>
      <c r="M63" s="356">
        <f t="shared" si="11"/>
        <v>0</v>
      </c>
      <c r="N63" s="356">
        <f t="shared" si="11"/>
        <v>0</v>
      </c>
      <c r="O63" s="356">
        <f t="shared" si="11"/>
        <v>0</v>
      </c>
      <c r="P63" s="356">
        <f t="shared" si="11"/>
        <v>0</v>
      </c>
      <c r="Q63" s="356">
        <f t="shared" si="11"/>
        <v>0</v>
      </c>
    </row>
    <row r="64" spans="2:23" s="366" customFormat="1" ht="13.5" customHeight="1" x14ac:dyDescent="0.3">
      <c r="B64" s="614"/>
      <c r="C64" s="353" t="s">
        <v>261</v>
      </c>
      <c r="D64" s="353">
        <f>I7</f>
        <v>0</v>
      </c>
      <c r="E64" s="354" t="str">
        <f t="shared" si="10"/>
        <v>정액</v>
      </c>
      <c r="F64" s="354">
        <f t="shared" si="10"/>
        <v>6</v>
      </c>
      <c r="G64" s="355">
        <f>1/F64</f>
        <v>0.16666666666666666</v>
      </c>
      <c r="H64" s="356"/>
      <c r="I64" s="356"/>
      <c r="J64" s="356"/>
      <c r="K64" s="356"/>
      <c r="L64" s="356"/>
      <c r="M64" s="356">
        <f>$D64*$G64*(6/12)</f>
        <v>0</v>
      </c>
      <c r="N64" s="356">
        <f>$D64*$G64</f>
        <v>0</v>
      </c>
      <c r="O64" s="356">
        <f>$D64*$G64</f>
        <v>0</v>
      </c>
      <c r="P64" s="356">
        <f>$D64*$G64</f>
        <v>0</v>
      </c>
      <c r="Q64" s="356">
        <f>$D64*$G64</f>
        <v>0</v>
      </c>
      <c r="R64" s="356">
        <f>$D64*$G64</f>
        <v>0</v>
      </c>
      <c r="S64" s="357"/>
      <c r="T64" s="78"/>
      <c r="U64" s="78"/>
      <c r="V64" s="78"/>
      <c r="W64" s="78"/>
    </row>
    <row r="65" spans="2:23" s="366" customFormat="1" ht="13.5" customHeight="1" x14ac:dyDescent="0.3">
      <c r="B65" s="614"/>
      <c r="C65" s="367" t="s">
        <v>262</v>
      </c>
      <c r="D65" s="353">
        <f>J7</f>
        <v>0</v>
      </c>
      <c r="E65" s="354" t="str">
        <f t="shared" si="10"/>
        <v>정액</v>
      </c>
      <c r="F65" s="354">
        <f t="shared" si="10"/>
        <v>6</v>
      </c>
      <c r="G65" s="355">
        <f>1/F65</f>
        <v>0.16666666666666666</v>
      </c>
      <c r="H65" s="356"/>
      <c r="I65" s="356"/>
      <c r="J65" s="356"/>
      <c r="K65" s="356"/>
      <c r="L65" s="356"/>
      <c r="M65" s="356"/>
      <c r="N65" s="356">
        <f>$D65*$G65*(6/12)</f>
        <v>0</v>
      </c>
      <c r="O65" s="356">
        <f>$D65*$G65</f>
        <v>0</v>
      </c>
      <c r="P65" s="356">
        <f>$D65*$G65</f>
        <v>0</v>
      </c>
      <c r="Q65" s="356">
        <f>$D65*$G65</f>
        <v>0</v>
      </c>
      <c r="R65" s="356">
        <f>$D65*$G65</f>
        <v>0</v>
      </c>
      <c r="S65" s="356">
        <f>$D65*$G65</f>
        <v>0</v>
      </c>
      <c r="T65" s="357"/>
      <c r="U65" s="78"/>
      <c r="V65" s="78"/>
      <c r="W65" s="78"/>
    </row>
    <row r="66" spans="2:23" s="366" customFormat="1" ht="13.5" customHeight="1" x14ac:dyDescent="0.3">
      <c r="B66" s="614"/>
      <c r="C66" s="353" t="s">
        <v>263</v>
      </c>
      <c r="D66" s="353">
        <f>K7</f>
        <v>0</v>
      </c>
      <c r="E66" s="354" t="str">
        <f t="shared" si="10"/>
        <v>정액</v>
      </c>
      <c r="F66" s="354">
        <f t="shared" si="10"/>
        <v>6</v>
      </c>
      <c r="G66" s="355">
        <f>1/F66</f>
        <v>0.16666666666666666</v>
      </c>
      <c r="H66" s="356"/>
      <c r="I66" s="356"/>
      <c r="J66" s="356"/>
      <c r="K66" s="356"/>
      <c r="L66" s="356"/>
      <c r="M66" s="356"/>
      <c r="N66" s="356"/>
      <c r="O66" s="356">
        <f>$D66*$G66*(6/12)</f>
        <v>0</v>
      </c>
      <c r="P66" s="356">
        <f>$D66*$G66</f>
        <v>0</v>
      </c>
      <c r="Q66" s="356">
        <f>$D66*$G66</f>
        <v>0</v>
      </c>
      <c r="R66" s="356">
        <f>$D66*$G66</f>
        <v>0</v>
      </c>
      <c r="S66" s="356">
        <f>$D66*$G66</f>
        <v>0</v>
      </c>
      <c r="T66" s="356">
        <f>$D66*$G66</f>
        <v>0</v>
      </c>
      <c r="U66" s="357"/>
      <c r="V66" s="78"/>
      <c r="W66" s="78"/>
    </row>
    <row r="67" spans="2:23" s="366" customFormat="1" ht="13.5" customHeight="1" x14ac:dyDescent="0.3">
      <c r="B67" s="614"/>
      <c r="C67" s="367" t="s">
        <v>264</v>
      </c>
      <c r="D67" s="353">
        <f>L7</f>
        <v>0</v>
      </c>
      <c r="E67" s="354" t="str">
        <f t="shared" si="10"/>
        <v>정액</v>
      </c>
      <c r="F67" s="354">
        <f t="shared" si="10"/>
        <v>6</v>
      </c>
      <c r="G67" s="355">
        <f>1/F67</f>
        <v>0.16666666666666666</v>
      </c>
      <c r="H67" s="356"/>
      <c r="I67" s="356"/>
      <c r="J67" s="356"/>
      <c r="K67" s="356"/>
      <c r="L67" s="356"/>
      <c r="M67" s="356"/>
      <c r="N67" s="356"/>
      <c r="O67" s="356"/>
      <c r="P67" s="356">
        <f>$D67*$G67*(6/12)</f>
        <v>0</v>
      </c>
      <c r="Q67" s="356">
        <f>$D67*$G67</f>
        <v>0</v>
      </c>
      <c r="R67" s="356">
        <f>$D67*$G67</f>
        <v>0</v>
      </c>
      <c r="S67" s="356">
        <f>$D67*$G67</f>
        <v>0</v>
      </c>
      <c r="T67" s="356">
        <f>$D67*$G67</f>
        <v>0</v>
      </c>
      <c r="U67" s="356">
        <f>$D67*$G67</f>
        <v>0</v>
      </c>
      <c r="V67" s="357"/>
      <c r="W67" s="78"/>
    </row>
    <row r="68" spans="2:23" s="366" customFormat="1" ht="13.5" customHeight="1" x14ac:dyDescent="0.3">
      <c r="B68" s="614"/>
      <c r="C68" s="353" t="s">
        <v>265</v>
      </c>
      <c r="D68" s="353">
        <f>M7</f>
        <v>0</v>
      </c>
      <c r="E68" s="354" t="str">
        <f t="shared" si="10"/>
        <v>정액</v>
      </c>
      <c r="F68" s="354">
        <f t="shared" si="10"/>
        <v>6</v>
      </c>
      <c r="G68" s="355">
        <f>1/F68</f>
        <v>0.16666666666666666</v>
      </c>
      <c r="H68" s="356"/>
      <c r="I68" s="356"/>
      <c r="J68" s="356"/>
      <c r="K68" s="356"/>
      <c r="L68" s="356"/>
      <c r="M68" s="356"/>
      <c r="N68" s="356"/>
      <c r="O68" s="356"/>
      <c r="P68" s="356"/>
      <c r="Q68" s="356">
        <f>$D68*$G68*(6/12)</f>
        <v>0</v>
      </c>
      <c r="R68" s="356">
        <f>$D68*$G68</f>
        <v>0</v>
      </c>
      <c r="S68" s="356">
        <f>$D68*$G68</f>
        <v>0</v>
      </c>
      <c r="T68" s="356">
        <f>$D68*$G68</f>
        <v>0</v>
      </c>
      <c r="U68" s="356">
        <f>$D68*$G68</f>
        <v>0</v>
      </c>
      <c r="V68" s="356">
        <f>$D68*$G68</f>
        <v>0</v>
      </c>
      <c r="W68" s="357"/>
    </row>
    <row r="69" spans="2:23" s="366" customFormat="1" ht="13.5" customHeight="1" x14ac:dyDescent="0.3">
      <c r="B69" s="614"/>
      <c r="C69" s="368" t="s">
        <v>501</v>
      </c>
      <c r="D69" s="363">
        <f>SUM(D59:D68)</f>
        <v>0</v>
      </c>
      <c r="E69" s="369"/>
      <c r="F69" s="369"/>
      <c r="G69" s="370"/>
      <c r="H69" s="363">
        <f t="shared" ref="H69:V69" si="12">SUM(H59:H68)</f>
        <v>0</v>
      </c>
      <c r="I69" s="363">
        <f t="shared" si="12"/>
        <v>0</v>
      </c>
      <c r="J69" s="363">
        <f t="shared" si="12"/>
        <v>0</v>
      </c>
      <c r="K69" s="363">
        <f t="shared" si="12"/>
        <v>0</v>
      </c>
      <c r="L69" s="363">
        <f t="shared" si="12"/>
        <v>0</v>
      </c>
      <c r="M69" s="363">
        <f t="shared" si="12"/>
        <v>0</v>
      </c>
      <c r="N69" s="363">
        <f t="shared" si="12"/>
        <v>0</v>
      </c>
      <c r="O69" s="363">
        <f t="shared" si="12"/>
        <v>0</v>
      </c>
      <c r="P69" s="363">
        <f t="shared" si="12"/>
        <v>0</v>
      </c>
      <c r="Q69" s="363">
        <f t="shared" si="12"/>
        <v>0</v>
      </c>
      <c r="R69" s="363">
        <f t="shared" si="12"/>
        <v>0</v>
      </c>
      <c r="S69" s="363">
        <f t="shared" si="12"/>
        <v>0</v>
      </c>
      <c r="T69" s="363">
        <f t="shared" si="12"/>
        <v>0</v>
      </c>
      <c r="U69" s="363">
        <f t="shared" si="12"/>
        <v>0</v>
      </c>
      <c r="V69" s="363">
        <f t="shared" si="12"/>
        <v>0</v>
      </c>
      <c r="W69" s="78"/>
    </row>
    <row r="70" spans="2:23" s="366" customFormat="1" ht="13.5" customHeight="1" x14ac:dyDescent="0.3">
      <c r="B70" s="614" t="s">
        <v>574</v>
      </c>
      <c r="C70" s="353" t="s">
        <v>492</v>
      </c>
      <c r="D70" s="353">
        <f>D8</f>
        <v>0</v>
      </c>
      <c r="E70" s="354" t="str">
        <f t="shared" ref="E70:F79" si="13">N$8</f>
        <v>정액</v>
      </c>
      <c r="F70" s="354">
        <f t="shared" si="13"/>
        <v>6</v>
      </c>
      <c r="G70" s="355">
        <f t="shared" si="7"/>
        <v>0.16666666666666666</v>
      </c>
      <c r="H70" s="356">
        <f>$D70*$G70*(6/12)</f>
        <v>0</v>
      </c>
      <c r="I70" s="356">
        <f>$D70*$G70</f>
        <v>0</v>
      </c>
      <c r="J70" s="356">
        <f>$D70*$G70</f>
        <v>0</v>
      </c>
      <c r="K70" s="356">
        <f>$D70*$G70</f>
        <v>0</v>
      </c>
      <c r="L70" s="356">
        <f>$D70*$G70</f>
        <v>0</v>
      </c>
      <c r="M70" s="356">
        <f>$D70*$G70</f>
        <v>0</v>
      </c>
      <c r="N70" s="357"/>
      <c r="O70" s="78"/>
      <c r="P70" s="78"/>
      <c r="Q70" s="78"/>
    </row>
    <row r="71" spans="2:23" s="366" customFormat="1" ht="13.5" customHeight="1" x14ac:dyDescent="0.3">
      <c r="B71" s="614"/>
      <c r="C71" s="353" t="s">
        <v>532</v>
      </c>
      <c r="D71" s="353">
        <f>E8</f>
        <v>0</v>
      </c>
      <c r="E71" s="354" t="str">
        <f t="shared" si="13"/>
        <v>정액</v>
      </c>
      <c r="F71" s="354">
        <f t="shared" si="13"/>
        <v>6</v>
      </c>
      <c r="G71" s="355">
        <f t="shared" si="7"/>
        <v>0.16666666666666666</v>
      </c>
      <c r="H71" s="356"/>
      <c r="I71" s="356">
        <f>$D71*$G71*(6/12)</f>
        <v>0</v>
      </c>
      <c r="J71" s="356">
        <f t="shared" ref="J71:Q74" si="14">$D71*$G71</f>
        <v>0</v>
      </c>
      <c r="K71" s="356">
        <f t="shared" si="14"/>
        <v>0</v>
      </c>
      <c r="L71" s="356">
        <f t="shared" si="14"/>
        <v>0</v>
      </c>
      <c r="M71" s="356">
        <f t="shared" si="14"/>
        <v>0</v>
      </c>
      <c r="N71" s="356">
        <f t="shared" si="14"/>
        <v>0</v>
      </c>
      <c r="O71" s="78"/>
      <c r="P71" s="78"/>
      <c r="Q71" s="78"/>
    </row>
    <row r="72" spans="2:23" s="366" customFormat="1" ht="13.5" customHeight="1" x14ac:dyDescent="0.3">
      <c r="B72" s="614"/>
      <c r="C72" s="353" t="s">
        <v>540</v>
      </c>
      <c r="D72" s="353">
        <f>F8</f>
        <v>0</v>
      </c>
      <c r="E72" s="354" t="str">
        <f t="shared" si="13"/>
        <v>정액</v>
      </c>
      <c r="F72" s="354">
        <f t="shared" si="13"/>
        <v>6</v>
      </c>
      <c r="G72" s="355">
        <f t="shared" si="7"/>
        <v>0.16666666666666666</v>
      </c>
      <c r="H72" s="356"/>
      <c r="I72" s="356"/>
      <c r="J72" s="356">
        <f>$D72*$G72*(6/12)</f>
        <v>0</v>
      </c>
      <c r="K72" s="356">
        <f t="shared" si="14"/>
        <v>0</v>
      </c>
      <c r="L72" s="356">
        <f t="shared" si="14"/>
        <v>0</v>
      </c>
      <c r="M72" s="356">
        <f t="shared" si="14"/>
        <v>0</v>
      </c>
      <c r="N72" s="356">
        <f t="shared" si="14"/>
        <v>0</v>
      </c>
      <c r="O72" s="356">
        <f t="shared" si="14"/>
        <v>0</v>
      </c>
      <c r="P72" s="78"/>
      <c r="Q72" s="78"/>
    </row>
    <row r="73" spans="2:23" s="366" customFormat="1" ht="13.5" customHeight="1" x14ac:dyDescent="0.3">
      <c r="B73" s="614"/>
      <c r="C73" s="353" t="s">
        <v>571</v>
      </c>
      <c r="D73" s="353">
        <f>G8</f>
        <v>0</v>
      </c>
      <c r="E73" s="354" t="str">
        <f t="shared" si="13"/>
        <v>정액</v>
      </c>
      <c r="F73" s="354">
        <f t="shared" si="13"/>
        <v>6</v>
      </c>
      <c r="G73" s="355">
        <f t="shared" si="7"/>
        <v>0.16666666666666666</v>
      </c>
      <c r="H73" s="356"/>
      <c r="I73" s="356"/>
      <c r="J73" s="356"/>
      <c r="K73" s="356">
        <f>$D73*$G73*(6/12)</f>
        <v>0</v>
      </c>
      <c r="L73" s="356">
        <f t="shared" si="14"/>
        <v>0</v>
      </c>
      <c r="M73" s="356">
        <f t="shared" si="14"/>
        <v>0</v>
      </c>
      <c r="N73" s="356">
        <f t="shared" si="14"/>
        <v>0</v>
      </c>
      <c r="O73" s="356">
        <f t="shared" si="14"/>
        <v>0</v>
      </c>
      <c r="P73" s="356">
        <f t="shared" si="14"/>
        <v>0</v>
      </c>
      <c r="Q73" s="78"/>
    </row>
    <row r="74" spans="2:23" s="366" customFormat="1" ht="13.5" customHeight="1" x14ac:dyDescent="0.3">
      <c r="B74" s="614"/>
      <c r="C74" s="367" t="s">
        <v>572</v>
      </c>
      <c r="D74" s="353">
        <f>H8</f>
        <v>0</v>
      </c>
      <c r="E74" s="354" t="str">
        <f t="shared" si="13"/>
        <v>정액</v>
      </c>
      <c r="F74" s="354">
        <f t="shared" si="13"/>
        <v>6</v>
      </c>
      <c r="G74" s="355">
        <f t="shared" si="7"/>
        <v>0.16666666666666666</v>
      </c>
      <c r="H74" s="356"/>
      <c r="I74" s="356"/>
      <c r="J74" s="356"/>
      <c r="K74" s="356"/>
      <c r="L74" s="356">
        <f>$D74*$G74*(6/12)</f>
        <v>0</v>
      </c>
      <c r="M74" s="356">
        <f t="shared" si="14"/>
        <v>0</v>
      </c>
      <c r="N74" s="356">
        <f t="shared" si="14"/>
        <v>0</v>
      </c>
      <c r="O74" s="356">
        <f t="shared" si="14"/>
        <v>0</v>
      </c>
      <c r="P74" s="356">
        <f t="shared" si="14"/>
        <v>0</v>
      </c>
      <c r="Q74" s="356">
        <f t="shared" si="14"/>
        <v>0</v>
      </c>
    </row>
    <row r="75" spans="2:23" s="366" customFormat="1" ht="13.5" customHeight="1" x14ac:dyDescent="0.3">
      <c r="B75" s="614"/>
      <c r="C75" s="367" t="s">
        <v>261</v>
      </c>
      <c r="D75" s="353">
        <f>I8</f>
        <v>0</v>
      </c>
      <c r="E75" s="354" t="str">
        <f t="shared" si="13"/>
        <v>정액</v>
      </c>
      <c r="F75" s="354">
        <f t="shared" si="13"/>
        <v>6</v>
      </c>
      <c r="G75" s="355">
        <f>1/F75</f>
        <v>0.16666666666666666</v>
      </c>
      <c r="H75" s="356"/>
      <c r="I75" s="356"/>
      <c r="J75" s="356"/>
      <c r="K75" s="356"/>
      <c r="L75" s="356"/>
      <c r="M75" s="356">
        <f>$D75*$G75*(6/12)</f>
        <v>0</v>
      </c>
      <c r="N75" s="356">
        <f>$D75*$G75</f>
        <v>0</v>
      </c>
      <c r="O75" s="356">
        <f>$D75*$G75</f>
        <v>0</v>
      </c>
      <c r="P75" s="356">
        <f>$D75*$G75</f>
        <v>0</v>
      </c>
      <c r="Q75" s="356">
        <f>$D75*$G75</f>
        <v>0</v>
      </c>
      <c r="R75" s="356">
        <f>$D75*$G75</f>
        <v>0</v>
      </c>
      <c r="S75" s="357"/>
      <c r="T75" s="78"/>
      <c r="U75" s="78"/>
      <c r="V75" s="78"/>
      <c r="W75" s="78"/>
    </row>
    <row r="76" spans="2:23" s="366" customFormat="1" ht="13.5" customHeight="1" x14ac:dyDescent="0.3">
      <c r="B76" s="614"/>
      <c r="C76" s="367" t="s">
        <v>262</v>
      </c>
      <c r="D76" s="353">
        <f>J8</f>
        <v>0</v>
      </c>
      <c r="E76" s="354" t="str">
        <f t="shared" si="13"/>
        <v>정액</v>
      </c>
      <c r="F76" s="354">
        <f t="shared" si="13"/>
        <v>6</v>
      </c>
      <c r="G76" s="355">
        <f>1/F76</f>
        <v>0.16666666666666666</v>
      </c>
      <c r="H76" s="356"/>
      <c r="I76" s="356"/>
      <c r="J76" s="356"/>
      <c r="K76" s="356"/>
      <c r="L76" s="356"/>
      <c r="M76" s="356"/>
      <c r="N76" s="356">
        <f>$D76*$G76*(6/12)</f>
        <v>0</v>
      </c>
      <c r="O76" s="356">
        <f>$D76*$G76</f>
        <v>0</v>
      </c>
      <c r="P76" s="356">
        <f>$D76*$G76</f>
        <v>0</v>
      </c>
      <c r="Q76" s="356">
        <f>$D76*$G76</f>
        <v>0</v>
      </c>
      <c r="R76" s="356">
        <f>$D76*$G76</f>
        <v>0</v>
      </c>
      <c r="S76" s="356">
        <f>$D76*$G76</f>
        <v>0</v>
      </c>
      <c r="T76" s="357"/>
      <c r="U76" s="78"/>
      <c r="V76" s="78"/>
      <c r="W76" s="78"/>
    </row>
    <row r="77" spans="2:23" s="366" customFormat="1" ht="13.5" customHeight="1" x14ac:dyDescent="0.3">
      <c r="B77" s="614"/>
      <c r="C77" s="367" t="s">
        <v>263</v>
      </c>
      <c r="D77" s="353">
        <f>K8</f>
        <v>0</v>
      </c>
      <c r="E77" s="354" t="str">
        <f t="shared" si="13"/>
        <v>정액</v>
      </c>
      <c r="F77" s="354">
        <f t="shared" si="13"/>
        <v>6</v>
      </c>
      <c r="G77" s="355">
        <f>1/F77</f>
        <v>0.16666666666666666</v>
      </c>
      <c r="H77" s="356"/>
      <c r="I77" s="356"/>
      <c r="J77" s="356"/>
      <c r="K77" s="356"/>
      <c r="L77" s="356"/>
      <c r="M77" s="356"/>
      <c r="N77" s="356"/>
      <c r="O77" s="356">
        <f>$D77*$G77*(6/12)</f>
        <v>0</v>
      </c>
      <c r="P77" s="356">
        <f>$D77*$G77</f>
        <v>0</v>
      </c>
      <c r="Q77" s="356">
        <f>$D77*$G77</f>
        <v>0</v>
      </c>
      <c r="R77" s="356">
        <f>$D77*$G77</f>
        <v>0</v>
      </c>
      <c r="S77" s="356">
        <f>$D77*$G77</f>
        <v>0</v>
      </c>
      <c r="T77" s="356">
        <f>$D77*$G77</f>
        <v>0</v>
      </c>
      <c r="U77" s="357"/>
      <c r="V77" s="78"/>
      <c r="W77" s="78"/>
    </row>
    <row r="78" spans="2:23" s="366" customFormat="1" ht="13.5" customHeight="1" x14ac:dyDescent="0.3">
      <c r="B78" s="614"/>
      <c r="C78" s="367" t="s">
        <v>264</v>
      </c>
      <c r="D78" s="353">
        <f>L8</f>
        <v>0</v>
      </c>
      <c r="E78" s="354" t="str">
        <f t="shared" si="13"/>
        <v>정액</v>
      </c>
      <c r="F78" s="354">
        <f t="shared" si="13"/>
        <v>6</v>
      </c>
      <c r="G78" s="355">
        <f>1/F78</f>
        <v>0.16666666666666666</v>
      </c>
      <c r="H78" s="356"/>
      <c r="I78" s="356"/>
      <c r="J78" s="356"/>
      <c r="K78" s="356"/>
      <c r="L78" s="356"/>
      <c r="M78" s="356"/>
      <c r="N78" s="356"/>
      <c r="O78" s="356"/>
      <c r="P78" s="356">
        <f>$D78*$G78*(6/12)</f>
        <v>0</v>
      </c>
      <c r="Q78" s="356">
        <f>$D78*$G78</f>
        <v>0</v>
      </c>
      <c r="R78" s="356">
        <f>$D78*$G78</f>
        <v>0</v>
      </c>
      <c r="S78" s="356">
        <f>$D78*$G78</f>
        <v>0</v>
      </c>
      <c r="T78" s="356">
        <f>$D78*$G78</f>
        <v>0</v>
      </c>
      <c r="U78" s="356">
        <f>$D78*$G78</f>
        <v>0</v>
      </c>
      <c r="V78" s="357"/>
      <c r="W78" s="78"/>
    </row>
    <row r="79" spans="2:23" s="366" customFormat="1" ht="13.5" customHeight="1" x14ac:dyDescent="0.3">
      <c r="B79" s="614"/>
      <c r="C79" s="367" t="s">
        <v>265</v>
      </c>
      <c r="D79" s="353">
        <f>M8</f>
        <v>0</v>
      </c>
      <c r="E79" s="354" t="str">
        <f t="shared" si="13"/>
        <v>정액</v>
      </c>
      <c r="F79" s="354">
        <f t="shared" si="13"/>
        <v>6</v>
      </c>
      <c r="G79" s="355">
        <f>1/F79</f>
        <v>0.16666666666666666</v>
      </c>
      <c r="H79" s="356"/>
      <c r="I79" s="356"/>
      <c r="J79" s="356"/>
      <c r="K79" s="356"/>
      <c r="L79" s="356"/>
      <c r="M79" s="356"/>
      <c r="N79" s="356"/>
      <c r="O79" s="356"/>
      <c r="P79" s="356"/>
      <c r="Q79" s="356">
        <f>$D79*$G79*(6/12)</f>
        <v>0</v>
      </c>
      <c r="R79" s="356">
        <f>$D79*$G79</f>
        <v>0</v>
      </c>
      <c r="S79" s="356">
        <f>$D79*$G79</f>
        <v>0</v>
      </c>
      <c r="T79" s="356">
        <f>$D79*$G79</f>
        <v>0</v>
      </c>
      <c r="U79" s="356">
        <f>$D79*$G79</f>
        <v>0</v>
      </c>
      <c r="V79" s="356">
        <f>$D79*$G79</f>
        <v>0</v>
      </c>
      <c r="W79" s="357"/>
    </row>
    <row r="80" spans="2:23" s="366" customFormat="1" ht="13.5" customHeight="1" x14ac:dyDescent="0.3">
      <c r="B80" s="614"/>
      <c r="C80" s="368" t="s">
        <v>501</v>
      </c>
      <c r="D80" s="363">
        <f>SUM(D70:D79)</f>
        <v>0</v>
      </c>
      <c r="E80" s="369"/>
      <c r="F80" s="369"/>
      <c r="G80" s="370"/>
      <c r="H80" s="363">
        <f t="shared" ref="H80:V80" si="15">SUM(H70:H79)</f>
        <v>0</v>
      </c>
      <c r="I80" s="363">
        <f t="shared" si="15"/>
        <v>0</v>
      </c>
      <c r="J80" s="363">
        <f t="shared" si="15"/>
        <v>0</v>
      </c>
      <c r="K80" s="363">
        <f t="shared" si="15"/>
        <v>0</v>
      </c>
      <c r="L80" s="363">
        <f t="shared" si="15"/>
        <v>0</v>
      </c>
      <c r="M80" s="363">
        <f t="shared" si="15"/>
        <v>0</v>
      </c>
      <c r="N80" s="363">
        <f t="shared" si="15"/>
        <v>0</v>
      </c>
      <c r="O80" s="363">
        <f t="shared" si="15"/>
        <v>0</v>
      </c>
      <c r="P80" s="363">
        <f t="shared" si="15"/>
        <v>0</v>
      </c>
      <c r="Q80" s="363">
        <f t="shared" si="15"/>
        <v>0</v>
      </c>
      <c r="R80" s="363">
        <f t="shared" si="15"/>
        <v>0</v>
      </c>
      <c r="S80" s="363">
        <f t="shared" si="15"/>
        <v>0</v>
      </c>
      <c r="T80" s="363">
        <f t="shared" si="15"/>
        <v>0</v>
      </c>
      <c r="U80" s="363">
        <f t="shared" si="15"/>
        <v>0</v>
      </c>
      <c r="V80" s="363">
        <f t="shared" si="15"/>
        <v>0</v>
      </c>
      <c r="W80" s="78"/>
    </row>
    <row r="81" spans="2:23" s="366" customFormat="1" ht="13.5" customHeight="1" x14ac:dyDescent="0.3">
      <c r="B81" s="614" t="s">
        <v>575</v>
      </c>
      <c r="C81" s="353" t="s">
        <v>492</v>
      </c>
      <c r="D81" s="353">
        <f>D9</f>
        <v>0</v>
      </c>
      <c r="E81" s="354" t="str">
        <f t="shared" ref="E81:F90" si="16">N$9</f>
        <v>정액</v>
      </c>
      <c r="F81" s="354">
        <f t="shared" si="16"/>
        <v>6</v>
      </c>
      <c r="G81" s="355">
        <f t="shared" si="7"/>
        <v>0.16666666666666666</v>
      </c>
      <c r="H81" s="356">
        <f>$D81*$G81*(6/12)</f>
        <v>0</v>
      </c>
      <c r="I81" s="356">
        <f>$D81*$G81</f>
        <v>0</v>
      </c>
      <c r="J81" s="356">
        <f>$D81*$G81</f>
        <v>0</v>
      </c>
      <c r="K81" s="356">
        <f>$D81*$G81</f>
        <v>0</v>
      </c>
      <c r="L81" s="356">
        <f>$D81*$G81</f>
        <v>0</v>
      </c>
      <c r="M81" s="356">
        <f>$D81*$G81</f>
        <v>0</v>
      </c>
      <c r="N81" s="357"/>
      <c r="O81" s="78"/>
      <c r="P81" s="78"/>
      <c r="Q81" s="78"/>
    </row>
    <row r="82" spans="2:23" s="366" customFormat="1" ht="13.5" customHeight="1" x14ac:dyDescent="0.3">
      <c r="B82" s="614"/>
      <c r="C82" s="353" t="s">
        <v>532</v>
      </c>
      <c r="D82" s="353">
        <f>E9</f>
        <v>0</v>
      </c>
      <c r="E82" s="354" t="str">
        <f t="shared" si="16"/>
        <v>정액</v>
      </c>
      <c r="F82" s="354">
        <f t="shared" si="16"/>
        <v>6</v>
      </c>
      <c r="G82" s="355">
        <f t="shared" si="7"/>
        <v>0.16666666666666666</v>
      </c>
      <c r="H82" s="356"/>
      <c r="I82" s="356">
        <f>$D82*$G82*(6/12)</f>
        <v>0</v>
      </c>
      <c r="J82" s="356">
        <f t="shared" ref="J82:Q85" si="17">$D82*$G82</f>
        <v>0</v>
      </c>
      <c r="K82" s="356">
        <f t="shared" si="17"/>
        <v>0</v>
      </c>
      <c r="L82" s="356">
        <f t="shared" si="17"/>
        <v>0</v>
      </c>
      <c r="M82" s="356">
        <f t="shared" si="17"/>
        <v>0</v>
      </c>
      <c r="N82" s="356">
        <f t="shared" si="17"/>
        <v>0</v>
      </c>
      <c r="O82" s="78"/>
      <c r="P82" s="78"/>
      <c r="Q82" s="78"/>
    </row>
    <row r="83" spans="2:23" s="366" customFormat="1" ht="13.5" customHeight="1" x14ac:dyDescent="0.3">
      <c r="B83" s="614"/>
      <c r="C83" s="353" t="s">
        <v>540</v>
      </c>
      <c r="D83" s="353">
        <f>F9</f>
        <v>0</v>
      </c>
      <c r="E83" s="354" t="str">
        <f t="shared" si="16"/>
        <v>정액</v>
      </c>
      <c r="F83" s="354">
        <f t="shared" si="16"/>
        <v>6</v>
      </c>
      <c r="G83" s="355">
        <f t="shared" si="7"/>
        <v>0.16666666666666666</v>
      </c>
      <c r="H83" s="356"/>
      <c r="I83" s="356"/>
      <c r="J83" s="356">
        <f>$D83*$G83*(6/12)</f>
        <v>0</v>
      </c>
      <c r="K83" s="356">
        <f t="shared" si="17"/>
        <v>0</v>
      </c>
      <c r="L83" s="356">
        <f t="shared" si="17"/>
        <v>0</v>
      </c>
      <c r="M83" s="356">
        <f t="shared" si="17"/>
        <v>0</v>
      </c>
      <c r="N83" s="356">
        <f t="shared" si="17"/>
        <v>0</v>
      </c>
      <c r="O83" s="356">
        <f t="shared" si="17"/>
        <v>0</v>
      </c>
      <c r="P83" s="78"/>
      <c r="Q83" s="78"/>
    </row>
    <row r="84" spans="2:23" s="366" customFormat="1" ht="13.5" customHeight="1" x14ac:dyDescent="0.3">
      <c r="B84" s="614"/>
      <c r="C84" s="353" t="s">
        <v>571</v>
      </c>
      <c r="D84" s="353">
        <f>G9</f>
        <v>0</v>
      </c>
      <c r="E84" s="354" t="str">
        <f t="shared" si="16"/>
        <v>정액</v>
      </c>
      <c r="F84" s="354">
        <f t="shared" si="16"/>
        <v>6</v>
      </c>
      <c r="G84" s="355">
        <f t="shared" si="7"/>
        <v>0.16666666666666666</v>
      </c>
      <c r="H84" s="356"/>
      <c r="I84" s="356"/>
      <c r="J84" s="356"/>
      <c r="K84" s="356">
        <f>$D84*$G84*(6/12)</f>
        <v>0</v>
      </c>
      <c r="L84" s="356">
        <f t="shared" si="17"/>
        <v>0</v>
      </c>
      <c r="M84" s="356">
        <f t="shared" si="17"/>
        <v>0</v>
      </c>
      <c r="N84" s="356">
        <f t="shared" si="17"/>
        <v>0</v>
      </c>
      <c r="O84" s="356">
        <f t="shared" si="17"/>
        <v>0</v>
      </c>
      <c r="P84" s="356">
        <f t="shared" si="17"/>
        <v>0</v>
      </c>
      <c r="Q84" s="78"/>
    </row>
    <row r="85" spans="2:23" s="366" customFormat="1" ht="13.5" customHeight="1" x14ac:dyDescent="0.3">
      <c r="B85" s="614"/>
      <c r="C85" s="367" t="s">
        <v>572</v>
      </c>
      <c r="D85" s="353">
        <f>H9</f>
        <v>0</v>
      </c>
      <c r="E85" s="354" t="str">
        <f t="shared" si="16"/>
        <v>정액</v>
      </c>
      <c r="F85" s="354">
        <f t="shared" si="16"/>
        <v>6</v>
      </c>
      <c r="G85" s="355">
        <f t="shared" si="7"/>
        <v>0.16666666666666666</v>
      </c>
      <c r="H85" s="356"/>
      <c r="I85" s="356"/>
      <c r="J85" s="356"/>
      <c r="K85" s="356"/>
      <c r="L85" s="356">
        <f>$D85*$G85*(6/12)</f>
        <v>0</v>
      </c>
      <c r="M85" s="356">
        <f t="shared" si="17"/>
        <v>0</v>
      </c>
      <c r="N85" s="356">
        <f t="shared" si="17"/>
        <v>0</v>
      </c>
      <c r="O85" s="356">
        <f t="shared" si="17"/>
        <v>0</v>
      </c>
      <c r="P85" s="356">
        <f t="shared" si="17"/>
        <v>0</v>
      </c>
      <c r="Q85" s="356">
        <f t="shared" si="17"/>
        <v>0</v>
      </c>
    </row>
    <row r="86" spans="2:23" s="366" customFormat="1" ht="13.5" customHeight="1" x14ac:dyDescent="0.3">
      <c r="B86" s="614"/>
      <c r="C86" s="367" t="s">
        <v>261</v>
      </c>
      <c r="D86" s="353">
        <f>I9</f>
        <v>0</v>
      </c>
      <c r="E86" s="354" t="str">
        <f t="shared" si="16"/>
        <v>정액</v>
      </c>
      <c r="F86" s="354">
        <f t="shared" si="16"/>
        <v>6</v>
      </c>
      <c r="G86" s="355">
        <f>1/F86</f>
        <v>0.16666666666666666</v>
      </c>
      <c r="H86" s="356"/>
      <c r="I86" s="356"/>
      <c r="J86" s="356"/>
      <c r="K86" s="356"/>
      <c r="L86" s="356"/>
      <c r="M86" s="356">
        <f>$D86*$G86*(6/12)</f>
        <v>0</v>
      </c>
      <c r="N86" s="356">
        <f>$D86*$G86</f>
        <v>0</v>
      </c>
      <c r="O86" s="356">
        <f>$D86*$G86</f>
        <v>0</v>
      </c>
      <c r="P86" s="356">
        <f>$D86*$G86</f>
        <v>0</v>
      </c>
      <c r="Q86" s="356">
        <f>$D86*$G86</f>
        <v>0</v>
      </c>
      <c r="R86" s="356">
        <f>$D86*$G86</f>
        <v>0</v>
      </c>
      <c r="S86" s="357"/>
      <c r="T86" s="78"/>
      <c r="U86" s="78"/>
      <c r="V86" s="78"/>
      <c r="W86" s="78"/>
    </row>
    <row r="87" spans="2:23" s="366" customFormat="1" ht="13.5" customHeight="1" x14ac:dyDescent="0.3">
      <c r="B87" s="614"/>
      <c r="C87" s="367" t="s">
        <v>262</v>
      </c>
      <c r="D87" s="353">
        <f>J9</f>
        <v>0</v>
      </c>
      <c r="E87" s="354" t="str">
        <f t="shared" si="16"/>
        <v>정액</v>
      </c>
      <c r="F87" s="354">
        <f t="shared" si="16"/>
        <v>6</v>
      </c>
      <c r="G87" s="355">
        <f>1/F87</f>
        <v>0.16666666666666666</v>
      </c>
      <c r="H87" s="356"/>
      <c r="I87" s="356"/>
      <c r="J87" s="356"/>
      <c r="K87" s="356"/>
      <c r="L87" s="356"/>
      <c r="M87" s="356"/>
      <c r="N87" s="356">
        <f>$D87*$G87*(6/12)</f>
        <v>0</v>
      </c>
      <c r="O87" s="356">
        <f>$D87*$G87</f>
        <v>0</v>
      </c>
      <c r="P87" s="356">
        <f>$D87*$G87</f>
        <v>0</v>
      </c>
      <c r="Q87" s="356">
        <f>$D87*$G87</f>
        <v>0</v>
      </c>
      <c r="R87" s="356">
        <f>$D87*$G87</f>
        <v>0</v>
      </c>
      <c r="S87" s="356">
        <f>$D87*$G87</f>
        <v>0</v>
      </c>
      <c r="T87" s="357"/>
      <c r="U87" s="78"/>
      <c r="V87" s="78"/>
      <c r="W87" s="78"/>
    </row>
    <row r="88" spans="2:23" s="366" customFormat="1" ht="13.5" customHeight="1" x14ac:dyDescent="0.3">
      <c r="B88" s="614"/>
      <c r="C88" s="367" t="s">
        <v>263</v>
      </c>
      <c r="D88" s="353">
        <f>K9</f>
        <v>0</v>
      </c>
      <c r="E88" s="354" t="str">
        <f t="shared" si="16"/>
        <v>정액</v>
      </c>
      <c r="F88" s="354">
        <f t="shared" si="16"/>
        <v>6</v>
      </c>
      <c r="G88" s="355">
        <f>1/F88</f>
        <v>0.16666666666666666</v>
      </c>
      <c r="H88" s="356"/>
      <c r="I88" s="356"/>
      <c r="J88" s="356"/>
      <c r="K88" s="356"/>
      <c r="L88" s="356"/>
      <c r="M88" s="356"/>
      <c r="N88" s="356"/>
      <c r="O88" s="356">
        <f>$D88*$G88*(6/12)</f>
        <v>0</v>
      </c>
      <c r="P88" s="356">
        <f>$D88*$G88</f>
        <v>0</v>
      </c>
      <c r="Q88" s="356">
        <f>$D88*$G88</f>
        <v>0</v>
      </c>
      <c r="R88" s="356">
        <f>$D88*$G88</f>
        <v>0</v>
      </c>
      <c r="S88" s="356">
        <f>$D88*$G88</f>
        <v>0</v>
      </c>
      <c r="T88" s="356">
        <f>$D88*$G88</f>
        <v>0</v>
      </c>
      <c r="U88" s="357"/>
      <c r="V88" s="78"/>
      <c r="W88" s="78"/>
    </row>
    <row r="89" spans="2:23" s="366" customFormat="1" ht="13.5" customHeight="1" x14ac:dyDescent="0.3">
      <c r="B89" s="614"/>
      <c r="C89" s="367" t="s">
        <v>264</v>
      </c>
      <c r="D89" s="353">
        <f>L9</f>
        <v>0</v>
      </c>
      <c r="E89" s="354" t="str">
        <f t="shared" si="16"/>
        <v>정액</v>
      </c>
      <c r="F89" s="354">
        <f t="shared" si="16"/>
        <v>6</v>
      </c>
      <c r="G89" s="355">
        <f>1/F89</f>
        <v>0.16666666666666666</v>
      </c>
      <c r="H89" s="356"/>
      <c r="I89" s="356"/>
      <c r="J89" s="356"/>
      <c r="K89" s="356"/>
      <c r="L89" s="356"/>
      <c r="M89" s="356"/>
      <c r="N89" s="356"/>
      <c r="O89" s="356"/>
      <c r="P89" s="356">
        <f>$D89*$G89*(6/12)</f>
        <v>0</v>
      </c>
      <c r="Q89" s="356">
        <f>$D89*$G89</f>
        <v>0</v>
      </c>
      <c r="R89" s="356">
        <f>$D89*$G89</f>
        <v>0</v>
      </c>
      <c r="S89" s="356">
        <f>$D89*$G89</f>
        <v>0</v>
      </c>
      <c r="T89" s="356">
        <f>$D89*$G89</f>
        <v>0</v>
      </c>
      <c r="U89" s="356">
        <f>$D89*$G89</f>
        <v>0</v>
      </c>
      <c r="V89" s="357"/>
      <c r="W89" s="78"/>
    </row>
    <row r="90" spans="2:23" s="366" customFormat="1" ht="13.5" customHeight="1" x14ac:dyDescent="0.3">
      <c r="B90" s="614"/>
      <c r="C90" s="367" t="s">
        <v>265</v>
      </c>
      <c r="D90" s="353">
        <f>M9</f>
        <v>0</v>
      </c>
      <c r="E90" s="354" t="str">
        <f t="shared" si="16"/>
        <v>정액</v>
      </c>
      <c r="F90" s="354">
        <f t="shared" si="16"/>
        <v>6</v>
      </c>
      <c r="G90" s="355">
        <f>1/F90</f>
        <v>0.16666666666666666</v>
      </c>
      <c r="H90" s="356"/>
      <c r="I90" s="356"/>
      <c r="J90" s="356"/>
      <c r="K90" s="356"/>
      <c r="L90" s="356"/>
      <c r="M90" s="356"/>
      <c r="N90" s="356"/>
      <c r="O90" s="356"/>
      <c r="P90" s="356"/>
      <c r="Q90" s="356">
        <f>$D90*$G90*(6/12)</f>
        <v>0</v>
      </c>
      <c r="R90" s="356">
        <f>$D90*$G90</f>
        <v>0</v>
      </c>
      <c r="S90" s="356">
        <f>$D90*$G90</f>
        <v>0</v>
      </c>
      <c r="T90" s="356">
        <f>$D90*$G90</f>
        <v>0</v>
      </c>
      <c r="U90" s="356">
        <f>$D90*$G90</f>
        <v>0</v>
      </c>
      <c r="V90" s="356">
        <f>$D90*$G90</f>
        <v>0</v>
      </c>
      <c r="W90" s="357"/>
    </row>
    <row r="91" spans="2:23" s="366" customFormat="1" ht="13.5" customHeight="1" x14ac:dyDescent="0.3">
      <c r="B91" s="614"/>
      <c r="C91" s="368" t="s">
        <v>501</v>
      </c>
      <c r="D91" s="363">
        <f>SUM(D81:D90)</f>
        <v>0</v>
      </c>
      <c r="E91" s="369"/>
      <c r="F91" s="369"/>
      <c r="G91" s="370"/>
      <c r="H91" s="363">
        <f t="shared" ref="H91:V91" si="18">SUM(H81:H90)</f>
        <v>0</v>
      </c>
      <c r="I91" s="363">
        <f t="shared" si="18"/>
        <v>0</v>
      </c>
      <c r="J91" s="363">
        <f t="shared" si="18"/>
        <v>0</v>
      </c>
      <c r="K91" s="363">
        <f t="shared" si="18"/>
        <v>0</v>
      </c>
      <c r="L91" s="363">
        <f t="shared" si="18"/>
        <v>0</v>
      </c>
      <c r="M91" s="363">
        <f t="shared" si="18"/>
        <v>0</v>
      </c>
      <c r="N91" s="363">
        <f t="shared" si="18"/>
        <v>0</v>
      </c>
      <c r="O91" s="363">
        <f t="shared" si="18"/>
        <v>0</v>
      </c>
      <c r="P91" s="363">
        <f t="shared" si="18"/>
        <v>0</v>
      </c>
      <c r="Q91" s="363">
        <f t="shared" si="18"/>
        <v>0</v>
      </c>
      <c r="R91" s="363">
        <f t="shared" si="18"/>
        <v>0</v>
      </c>
      <c r="S91" s="363">
        <f t="shared" si="18"/>
        <v>0</v>
      </c>
      <c r="T91" s="363">
        <f t="shared" si="18"/>
        <v>0</v>
      </c>
      <c r="U91" s="363">
        <f t="shared" si="18"/>
        <v>0</v>
      </c>
      <c r="V91" s="363">
        <f t="shared" si="18"/>
        <v>0</v>
      </c>
      <c r="W91" s="78"/>
    </row>
    <row r="92" spans="2:23" s="366" customFormat="1" ht="13.5" customHeight="1" x14ac:dyDescent="0.3">
      <c r="B92" s="606" t="s">
        <v>576</v>
      </c>
      <c r="C92" s="353" t="s">
        <v>492</v>
      </c>
      <c r="D92" s="353">
        <f>D11</f>
        <v>0</v>
      </c>
      <c r="E92" s="354" t="str">
        <f t="shared" ref="E92:F101" si="19">N$11</f>
        <v>정액</v>
      </c>
      <c r="F92" s="354">
        <f t="shared" si="19"/>
        <v>6</v>
      </c>
      <c r="G92" s="355">
        <f t="shared" si="7"/>
        <v>0.16666666666666666</v>
      </c>
      <c r="H92" s="356">
        <f>$D92*$G92*(6/12)</f>
        <v>0</v>
      </c>
      <c r="I92" s="356">
        <f>$D92*$G92</f>
        <v>0</v>
      </c>
      <c r="J92" s="356">
        <f>$D92*$G92</f>
        <v>0</v>
      </c>
      <c r="K92" s="356">
        <f>$D92*$G92</f>
        <v>0</v>
      </c>
      <c r="L92" s="356">
        <f>$D92*$G92</f>
        <v>0</v>
      </c>
      <c r="M92" s="356">
        <f>$D92*$G92</f>
        <v>0</v>
      </c>
      <c r="N92" s="357"/>
      <c r="O92" s="78"/>
      <c r="P92" s="78"/>
      <c r="Q92" s="78"/>
    </row>
    <row r="93" spans="2:23" s="366" customFormat="1" ht="13.5" customHeight="1" x14ac:dyDescent="0.3">
      <c r="B93" s="606"/>
      <c r="C93" s="353" t="s">
        <v>532</v>
      </c>
      <c r="D93" s="353">
        <f>E11</f>
        <v>0</v>
      </c>
      <c r="E93" s="354" t="str">
        <f t="shared" si="19"/>
        <v>정액</v>
      </c>
      <c r="F93" s="354">
        <f t="shared" si="19"/>
        <v>6</v>
      </c>
      <c r="G93" s="355">
        <f t="shared" si="7"/>
        <v>0.16666666666666666</v>
      </c>
      <c r="H93" s="356"/>
      <c r="I93" s="356">
        <f>$D93*$G93*(6/12)</f>
        <v>0</v>
      </c>
      <c r="J93" s="356">
        <f t="shared" ref="J93:Q96" si="20">$D93*$G93</f>
        <v>0</v>
      </c>
      <c r="K93" s="356">
        <f t="shared" si="20"/>
        <v>0</v>
      </c>
      <c r="L93" s="356">
        <f t="shared" si="20"/>
        <v>0</v>
      </c>
      <c r="M93" s="356">
        <f t="shared" si="20"/>
        <v>0</v>
      </c>
      <c r="N93" s="356">
        <f t="shared" si="20"/>
        <v>0</v>
      </c>
      <c r="O93" s="78"/>
      <c r="P93" s="78"/>
      <c r="Q93" s="78"/>
    </row>
    <row r="94" spans="2:23" s="366" customFormat="1" ht="13.5" customHeight="1" x14ac:dyDescent="0.3">
      <c r="B94" s="606"/>
      <c r="C94" s="353" t="s">
        <v>540</v>
      </c>
      <c r="D94" s="353">
        <f>F11</f>
        <v>0</v>
      </c>
      <c r="E94" s="354" t="str">
        <f t="shared" si="19"/>
        <v>정액</v>
      </c>
      <c r="F94" s="354">
        <f t="shared" si="19"/>
        <v>6</v>
      </c>
      <c r="G94" s="355">
        <f t="shared" si="7"/>
        <v>0.16666666666666666</v>
      </c>
      <c r="H94" s="356"/>
      <c r="I94" s="356"/>
      <c r="J94" s="356">
        <f>$D94*$G94*(6/12)</f>
        <v>0</v>
      </c>
      <c r="K94" s="356">
        <f t="shared" si="20"/>
        <v>0</v>
      </c>
      <c r="L94" s="356">
        <f t="shared" si="20"/>
        <v>0</v>
      </c>
      <c r="M94" s="356">
        <f t="shared" si="20"/>
        <v>0</v>
      </c>
      <c r="N94" s="356">
        <f t="shared" si="20"/>
        <v>0</v>
      </c>
      <c r="O94" s="356">
        <f t="shared" si="20"/>
        <v>0</v>
      </c>
      <c r="P94" s="78"/>
      <c r="Q94" s="78"/>
    </row>
    <row r="95" spans="2:23" s="366" customFormat="1" ht="13.5" customHeight="1" x14ac:dyDescent="0.3">
      <c r="B95" s="606"/>
      <c r="C95" s="353" t="s">
        <v>571</v>
      </c>
      <c r="D95" s="353">
        <f>G11</f>
        <v>0</v>
      </c>
      <c r="E95" s="354" t="str">
        <f t="shared" si="19"/>
        <v>정액</v>
      </c>
      <c r="F95" s="354">
        <f t="shared" si="19"/>
        <v>6</v>
      </c>
      <c r="G95" s="355">
        <f t="shared" si="7"/>
        <v>0.16666666666666666</v>
      </c>
      <c r="H95" s="356"/>
      <c r="I95" s="356"/>
      <c r="J95" s="356"/>
      <c r="K95" s="356">
        <f>$D95*$G95*(6/12)</f>
        <v>0</v>
      </c>
      <c r="L95" s="356">
        <f t="shared" si="20"/>
        <v>0</v>
      </c>
      <c r="M95" s="356">
        <f t="shared" si="20"/>
        <v>0</v>
      </c>
      <c r="N95" s="356">
        <f t="shared" si="20"/>
        <v>0</v>
      </c>
      <c r="O95" s="356">
        <f t="shared" si="20"/>
        <v>0</v>
      </c>
      <c r="P95" s="356">
        <f t="shared" si="20"/>
        <v>0</v>
      </c>
      <c r="Q95" s="78"/>
    </row>
    <row r="96" spans="2:23" s="366" customFormat="1" ht="13.5" customHeight="1" x14ac:dyDescent="0.3">
      <c r="B96" s="606"/>
      <c r="C96" s="367" t="s">
        <v>572</v>
      </c>
      <c r="D96" s="353">
        <f>H11</f>
        <v>0</v>
      </c>
      <c r="E96" s="354" t="str">
        <f t="shared" si="19"/>
        <v>정액</v>
      </c>
      <c r="F96" s="354">
        <f t="shared" si="19"/>
        <v>6</v>
      </c>
      <c r="G96" s="355">
        <f t="shared" si="7"/>
        <v>0.16666666666666666</v>
      </c>
      <c r="H96" s="356"/>
      <c r="I96" s="356"/>
      <c r="J96" s="356"/>
      <c r="K96" s="356"/>
      <c r="L96" s="356">
        <f>$D96*$G96*(6/12)</f>
        <v>0</v>
      </c>
      <c r="M96" s="356">
        <f t="shared" si="20"/>
        <v>0</v>
      </c>
      <c r="N96" s="356">
        <f t="shared" si="20"/>
        <v>0</v>
      </c>
      <c r="O96" s="356">
        <f t="shared" si="20"/>
        <v>0</v>
      </c>
      <c r="P96" s="356">
        <f t="shared" si="20"/>
        <v>0</v>
      </c>
      <c r="Q96" s="356">
        <f t="shared" si="20"/>
        <v>0</v>
      </c>
    </row>
    <row r="97" spans="2:23" s="366" customFormat="1" ht="13.5" customHeight="1" x14ac:dyDescent="0.3">
      <c r="B97" s="606"/>
      <c r="C97" s="367" t="s">
        <v>261</v>
      </c>
      <c r="D97" s="353">
        <f>I11</f>
        <v>0</v>
      </c>
      <c r="E97" s="354" t="str">
        <f t="shared" si="19"/>
        <v>정액</v>
      </c>
      <c r="F97" s="354">
        <f t="shared" si="19"/>
        <v>6</v>
      </c>
      <c r="G97" s="355">
        <f>1/F97</f>
        <v>0.16666666666666666</v>
      </c>
      <c r="H97" s="356"/>
      <c r="I97" s="356"/>
      <c r="J97" s="356"/>
      <c r="K97" s="356"/>
      <c r="L97" s="356"/>
      <c r="M97" s="356">
        <f>$D97*$G97*(6/12)</f>
        <v>0</v>
      </c>
      <c r="N97" s="356">
        <f>$D97*$G97</f>
        <v>0</v>
      </c>
      <c r="O97" s="356">
        <f>$D97*$G97</f>
        <v>0</v>
      </c>
      <c r="P97" s="356">
        <f>$D97*$G97</f>
        <v>0</v>
      </c>
      <c r="Q97" s="356">
        <f>$D97*$G97</f>
        <v>0</v>
      </c>
      <c r="R97" s="356">
        <f>$D97*$G97</f>
        <v>0</v>
      </c>
      <c r="S97" s="357"/>
      <c r="T97" s="78"/>
      <c r="U97" s="78"/>
      <c r="V97" s="78"/>
      <c r="W97" s="78"/>
    </row>
    <row r="98" spans="2:23" s="366" customFormat="1" ht="13.5" customHeight="1" x14ac:dyDescent="0.3">
      <c r="B98" s="606"/>
      <c r="C98" s="367" t="s">
        <v>262</v>
      </c>
      <c r="D98" s="353">
        <f>J11</f>
        <v>0</v>
      </c>
      <c r="E98" s="354" t="str">
        <f t="shared" si="19"/>
        <v>정액</v>
      </c>
      <c r="F98" s="354">
        <f t="shared" si="19"/>
        <v>6</v>
      </c>
      <c r="G98" s="355">
        <f>1/F98</f>
        <v>0.16666666666666666</v>
      </c>
      <c r="H98" s="356"/>
      <c r="I98" s="356"/>
      <c r="J98" s="356"/>
      <c r="K98" s="356"/>
      <c r="L98" s="356"/>
      <c r="M98" s="356"/>
      <c r="N98" s="356">
        <f>$D98*$G98*(6/12)</f>
        <v>0</v>
      </c>
      <c r="O98" s="356">
        <f>$D98*$G98</f>
        <v>0</v>
      </c>
      <c r="P98" s="356">
        <f>$D98*$G98</f>
        <v>0</v>
      </c>
      <c r="Q98" s="356">
        <f>$D98*$G98</f>
        <v>0</v>
      </c>
      <c r="R98" s="356">
        <f>$D98*$G98</f>
        <v>0</v>
      </c>
      <c r="S98" s="356">
        <f>$D98*$G98</f>
        <v>0</v>
      </c>
      <c r="T98" s="357"/>
      <c r="U98" s="78"/>
      <c r="V98" s="78"/>
      <c r="W98" s="78"/>
    </row>
    <row r="99" spans="2:23" s="366" customFormat="1" ht="13.5" customHeight="1" x14ac:dyDescent="0.3">
      <c r="B99" s="606"/>
      <c r="C99" s="367" t="s">
        <v>263</v>
      </c>
      <c r="D99" s="353">
        <f>K11</f>
        <v>0</v>
      </c>
      <c r="E99" s="354" t="str">
        <f t="shared" si="19"/>
        <v>정액</v>
      </c>
      <c r="F99" s="354">
        <f t="shared" si="19"/>
        <v>6</v>
      </c>
      <c r="G99" s="355">
        <f>1/F99</f>
        <v>0.16666666666666666</v>
      </c>
      <c r="H99" s="356"/>
      <c r="I99" s="356"/>
      <c r="J99" s="356"/>
      <c r="K99" s="356"/>
      <c r="L99" s="356"/>
      <c r="M99" s="356"/>
      <c r="N99" s="356"/>
      <c r="O99" s="356">
        <f>$D99*$G99*(6/12)</f>
        <v>0</v>
      </c>
      <c r="P99" s="356">
        <f>$D99*$G99</f>
        <v>0</v>
      </c>
      <c r="Q99" s="356">
        <f>$D99*$G99</f>
        <v>0</v>
      </c>
      <c r="R99" s="356">
        <f>$D99*$G99</f>
        <v>0</v>
      </c>
      <c r="S99" s="356">
        <f>$D99*$G99</f>
        <v>0</v>
      </c>
      <c r="T99" s="356">
        <f>$D99*$G99</f>
        <v>0</v>
      </c>
      <c r="U99" s="357"/>
      <c r="V99" s="78"/>
      <c r="W99" s="78"/>
    </row>
    <row r="100" spans="2:23" s="366" customFormat="1" ht="13.5" customHeight="1" x14ac:dyDescent="0.3">
      <c r="B100" s="606"/>
      <c r="C100" s="367" t="s">
        <v>264</v>
      </c>
      <c r="D100" s="353">
        <f>L11</f>
        <v>0</v>
      </c>
      <c r="E100" s="354" t="str">
        <f t="shared" si="19"/>
        <v>정액</v>
      </c>
      <c r="F100" s="354">
        <f t="shared" si="19"/>
        <v>6</v>
      </c>
      <c r="G100" s="355">
        <f>1/F100</f>
        <v>0.16666666666666666</v>
      </c>
      <c r="H100" s="356"/>
      <c r="I100" s="356"/>
      <c r="J100" s="356"/>
      <c r="K100" s="356"/>
      <c r="L100" s="356"/>
      <c r="M100" s="356"/>
      <c r="N100" s="356"/>
      <c r="O100" s="356"/>
      <c r="P100" s="356">
        <f>$D100*$G100*(6/12)</f>
        <v>0</v>
      </c>
      <c r="Q100" s="356">
        <f>$D100*$G100</f>
        <v>0</v>
      </c>
      <c r="R100" s="356">
        <f>$D100*$G100</f>
        <v>0</v>
      </c>
      <c r="S100" s="356">
        <f>$D100*$G100</f>
        <v>0</v>
      </c>
      <c r="T100" s="356">
        <f>$D100*$G100</f>
        <v>0</v>
      </c>
      <c r="U100" s="356">
        <f>$D100*$G100</f>
        <v>0</v>
      </c>
      <c r="V100" s="357"/>
      <c r="W100" s="78"/>
    </row>
    <row r="101" spans="2:23" s="366" customFormat="1" ht="13.5" customHeight="1" x14ac:dyDescent="0.3">
      <c r="B101" s="606"/>
      <c r="C101" s="367" t="s">
        <v>265</v>
      </c>
      <c r="D101" s="353">
        <f>M11</f>
        <v>0</v>
      </c>
      <c r="E101" s="354" t="str">
        <f t="shared" si="19"/>
        <v>정액</v>
      </c>
      <c r="F101" s="354">
        <f t="shared" si="19"/>
        <v>6</v>
      </c>
      <c r="G101" s="355">
        <f>1/F101</f>
        <v>0.16666666666666666</v>
      </c>
      <c r="H101" s="356"/>
      <c r="I101" s="356"/>
      <c r="J101" s="356"/>
      <c r="K101" s="356"/>
      <c r="L101" s="356"/>
      <c r="M101" s="356"/>
      <c r="N101" s="356"/>
      <c r="O101" s="356"/>
      <c r="P101" s="356"/>
      <c r="Q101" s="356">
        <f>$D101*$G101*(6/12)</f>
        <v>0</v>
      </c>
      <c r="R101" s="356">
        <f>$D101*$G101</f>
        <v>0</v>
      </c>
      <c r="S101" s="356">
        <f>$D101*$G101</f>
        <v>0</v>
      </c>
      <c r="T101" s="356">
        <f>$D101*$G101</f>
        <v>0</v>
      </c>
      <c r="U101" s="356">
        <f>$D101*$G101</f>
        <v>0</v>
      </c>
      <c r="V101" s="356">
        <f>$D101*$G101</f>
        <v>0</v>
      </c>
      <c r="W101" s="357"/>
    </row>
    <row r="102" spans="2:23" s="366" customFormat="1" ht="13.5" customHeight="1" x14ac:dyDescent="0.3">
      <c r="B102" s="606"/>
      <c r="C102" s="368" t="s">
        <v>501</v>
      </c>
      <c r="D102" s="363">
        <f>SUM(D92:D101)</f>
        <v>0</v>
      </c>
      <c r="E102" s="369"/>
      <c r="F102" s="369"/>
      <c r="G102" s="370"/>
      <c r="H102" s="363">
        <f t="shared" ref="H102:V102" si="21">SUM(H92:H101)</f>
        <v>0</v>
      </c>
      <c r="I102" s="363">
        <f t="shared" si="21"/>
        <v>0</v>
      </c>
      <c r="J102" s="363">
        <f t="shared" si="21"/>
        <v>0</v>
      </c>
      <c r="K102" s="363">
        <f t="shared" si="21"/>
        <v>0</v>
      </c>
      <c r="L102" s="363">
        <f t="shared" si="21"/>
        <v>0</v>
      </c>
      <c r="M102" s="363">
        <f t="shared" si="21"/>
        <v>0</v>
      </c>
      <c r="N102" s="363">
        <f t="shared" si="21"/>
        <v>0</v>
      </c>
      <c r="O102" s="363">
        <f t="shared" si="21"/>
        <v>0</v>
      </c>
      <c r="P102" s="363">
        <f t="shared" si="21"/>
        <v>0</v>
      </c>
      <c r="Q102" s="363">
        <f t="shared" si="21"/>
        <v>0</v>
      </c>
      <c r="R102" s="363">
        <f t="shared" si="21"/>
        <v>0</v>
      </c>
      <c r="S102" s="363">
        <f t="shared" si="21"/>
        <v>0</v>
      </c>
      <c r="T102" s="363">
        <f t="shared" si="21"/>
        <v>0</v>
      </c>
      <c r="U102" s="363">
        <f t="shared" si="21"/>
        <v>0</v>
      </c>
      <c r="V102" s="363">
        <f t="shared" si="21"/>
        <v>0</v>
      </c>
      <c r="W102" s="78"/>
    </row>
    <row r="103" spans="2:23" s="366" customFormat="1" ht="13.5" customHeight="1" x14ac:dyDescent="0.3">
      <c r="B103" s="607" t="s">
        <v>577</v>
      </c>
      <c r="C103" s="353" t="s">
        <v>492</v>
      </c>
      <c r="D103" s="353">
        <f>D12</f>
        <v>0</v>
      </c>
      <c r="E103" s="354" t="str">
        <f t="shared" ref="E103:F112" si="22">N$12</f>
        <v>정액</v>
      </c>
      <c r="F103" s="354">
        <f t="shared" si="22"/>
        <v>6</v>
      </c>
      <c r="G103" s="355">
        <f t="shared" si="7"/>
        <v>0.16666666666666666</v>
      </c>
      <c r="H103" s="356">
        <f>$D103*$G103*(6/12)</f>
        <v>0</v>
      </c>
      <c r="I103" s="356">
        <f>$D103*$G103</f>
        <v>0</v>
      </c>
      <c r="J103" s="356">
        <f>$D103*$G103</f>
        <v>0</v>
      </c>
      <c r="K103" s="356">
        <f>$D103*$G103</f>
        <v>0</v>
      </c>
      <c r="L103" s="356">
        <f>$D103*$G103</f>
        <v>0</v>
      </c>
      <c r="M103" s="356">
        <f>$D103*$G103</f>
        <v>0</v>
      </c>
      <c r="N103" s="357"/>
      <c r="O103" s="78"/>
      <c r="P103" s="78"/>
      <c r="Q103" s="78"/>
    </row>
    <row r="104" spans="2:23" s="366" customFormat="1" ht="13.5" customHeight="1" x14ac:dyDescent="0.3">
      <c r="B104" s="608"/>
      <c r="C104" s="353" t="s">
        <v>532</v>
      </c>
      <c r="D104" s="353">
        <f>E12</f>
        <v>0</v>
      </c>
      <c r="E104" s="354" t="str">
        <f t="shared" si="22"/>
        <v>정액</v>
      </c>
      <c r="F104" s="354">
        <f t="shared" si="22"/>
        <v>6</v>
      </c>
      <c r="G104" s="355">
        <f t="shared" si="7"/>
        <v>0.16666666666666666</v>
      </c>
      <c r="H104" s="356"/>
      <c r="I104" s="356">
        <f>$D104*$G104*(6/12)</f>
        <v>0</v>
      </c>
      <c r="J104" s="356">
        <f t="shared" ref="J104:Q107" si="23">$D104*$G104</f>
        <v>0</v>
      </c>
      <c r="K104" s="356">
        <f t="shared" si="23"/>
        <v>0</v>
      </c>
      <c r="L104" s="356">
        <f t="shared" si="23"/>
        <v>0</v>
      </c>
      <c r="M104" s="356">
        <f t="shared" si="23"/>
        <v>0</v>
      </c>
      <c r="N104" s="356">
        <f t="shared" si="23"/>
        <v>0</v>
      </c>
      <c r="O104" s="78"/>
      <c r="P104" s="78"/>
      <c r="Q104" s="78"/>
    </row>
    <row r="105" spans="2:23" s="366" customFormat="1" ht="13.5" customHeight="1" x14ac:dyDescent="0.3">
      <c r="B105" s="608"/>
      <c r="C105" s="353" t="s">
        <v>540</v>
      </c>
      <c r="D105" s="353">
        <f>F12</f>
        <v>0</v>
      </c>
      <c r="E105" s="354" t="str">
        <f t="shared" si="22"/>
        <v>정액</v>
      </c>
      <c r="F105" s="354">
        <f t="shared" si="22"/>
        <v>6</v>
      </c>
      <c r="G105" s="355">
        <f t="shared" si="7"/>
        <v>0.16666666666666666</v>
      </c>
      <c r="H105" s="356"/>
      <c r="I105" s="356"/>
      <c r="J105" s="356">
        <f>$D105*$G105*(6/12)</f>
        <v>0</v>
      </c>
      <c r="K105" s="356">
        <f t="shared" si="23"/>
        <v>0</v>
      </c>
      <c r="L105" s="356">
        <f t="shared" si="23"/>
        <v>0</v>
      </c>
      <c r="M105" s="356">
        <f t="shared" si="23"/>
        <v>0</v>
      </c>
      <c r="N105" s="356">
        <f t="shared" si="23"/>
        <v>0</v>
      </c>
      <c r="O105" s="356">
        <f t="shared" si="23"/>
        <v>0</v>
      </c>
      <c r="P105" s="78"/>
      <c r="Q105" s="78"/>
    </row>
    <row r="106" spans="2:23" s="366" customFormat="1" ht="13.5" customHeight="1" x14ac:dyDescent="0.3">
      <c r="B106" s="608"/>
      <c r="C106" s="353" t="s">
        <v>571</v>
      </c>
      <c r="D106" s="353">
        <f>G12</f>
        <v>0</v>
      </c>
      <c r="E106" s="354" t="str">
        <f t="shared" si="22"/>
        <v>정액</v>
      </c>
      <c r="F106" s="354">
        <f t="shared" si="22"/>
        <v>6</v>
      </c>
      <c r="G106" s="355">
        <f t="shared" si="7"/>
        <v>0.16666666666666666</v>
      </c>
      <c r="H106" s="356"/>
      <c r="I106" s="356"/>
      <c r="J106" s="356"/>
      <c r="K106" s="356">
        <f>$D106*$G106*(6/12)</f>
        <v>0</v>
      </c>
      <c r="L106" s="356">
        <f t="shared" si="23"/>
        <v>0</v>
      </c>
      <c r="M106" s="356">
        <f t="shared" si="23"/>
        <v>0</v>
      </c>
      <c r="N106" s="356">
        <f t="shared" si="23"/>
        <v>0</v>
      </c>
      <c r="O106" s="356">
        <f t="shared" si="23"/>
        <v>0</v>
      </c>
      <c r="P106" s="356">
        <f t="shared" si="23"/>
        <v>0</v>
      </c>
      <c r="Q106" s="78"/>
    </row>
    <row r="107" spans="2:23" s="366" customFormat="1" ht="13.5" customHeight="1" x14ac:dyDescent="0.3">
      <c r="B107" s="608"/>
      <c r="C107" s="367" t="s">
        <v>572</v>
      </c>
      <c r="D107" s="353">
        <f>H12</f>
        <v>0</v>
      </c>
      <c r="E107" s="354" t="str">
        <f t="shared" si="22"/>
        <v>정액</v>
      </c>
      <c r="F107" s="354">
        <f t="shared" si="22"/>
        <v>6</v>
      </c>
      <c r="G107" s="355">
        <f t="shared" si="7"/>
        <v>0.16666666666666666</v>
      </c>
      <c r="H107" s="356"/>
      <c r="I107" s="356"/>
      <c r="J107" s="356"/>
      <c r="K107" s="356"/>
      <c r="L107" s="356">
        <f>$D107*$G107*(6/12)</f>
        <v>0</v>
      </c>
      <c r="M107" s="356">
        <f t="shared" si="23"/>
        <v>0</v>
      </c>
      <c r="N107" s="356">
        <f t="shared" si="23"/>
        <v>0</v>
      </c>
      <c r="O107" s="356">
        <f t="shared" si="23"/>
        <v>0</v>
      </c>
      <c r="P107" s="356">
        <f t="shared" si="23"/>
        <v>0</v>
      </c>
      <c r="Q107" s="356">
        <f t="shared" si="23"/>
        <v>0</v>
      </c>
    </row>
    <row r="108" spans="2:23" s="366" customFormat="1" ht="13.5" customHeight="1" x14ac:dyDescent="0.3">
      <c r="B108" s="608"/>
      <c r="C108" s="367" t="s">
        <v>261</v>
      </c>
      <c r="D108" s="353">
        <f>I12</f>
        <v>0</v>
      </c>
      <c r="E108" s="354" t="str">
        <f t="shared" si="22"/>
        <v>정액</v>
      </c>
      <c r="F108" s="354">
        <f t="shared" si="22"/>
        <v>6</v>
      </c>
      <c r="G108" s="355">
        <f>1/F108</f>
        <v>0.16666666666666666</v>
      </c>
      <c r="H108" s="356"/>
      <c r="I108" s="356"/>
      <c r="J108" s="356"/>
      <c r="K108" s="356"/>
      <c r="L108" s="356"/>
      <c r="M108" s="356">
        <f>$D108*$G108*(6/12)</f>
        <v>0</v>
      </c>
      <c r="N108" s="356">
        <f>$D108*$G108</f>
        <v>0</v>
      </c>
      <c r="O108" s="356">
        <f>$D108*$G108</f>
        <v>0</v>
      </c>
      <c r="P108" s="356">
        <f>$D108*$G108</f>
        <v>0</v>
      </c>
      <c r="Q108" s="356">
        <f>$D108*$G108</f>
        <v>0</v>
      </c>
      <c r="R108" s="356">
        <f>$D108*$G108</f>
        <v>0</v>
      </c>
      <c r="S108" s="357"/>
      <c r="T108" s="78"/>
      <c r="U108" s="78"/>
      <c r="V108" s="78"/>
      <c r="W108" s="78"/>
    </row>
    <row r="109" spans="2:23" s="366" customFormat="1" ht="13.5" customHeight="1" x14ac:dyDescent="0.3">
      <c r="B109" s="608"/>
      <c r="C109" s="367" t="s">
        <v>262</v>
      </c>
      <c r="D109" s="353">
        <f>J12</f>
        <v>0</v>
      </c>
      <c r="E109" s="354" t="str">
        <f t="shared" si="22"/>
        <v>정액</v>
      </c>
      <c r="F109" s="354">
        <f t="shared" si="22"/>
        <v>6</v>
      </c>
      <c r="G109" s="355">
        <f>1/F109</f>
        <v>0.16666666666666666</v>
      </c>
      <c r="H109" s="356"/>
      <c r="I109" s="356"/>
      <c r="J109" s="356"/>
      <c r="K109" s="356"/>
      <c r="L109" s="356"/>
      <c r="M109" s="356"/>
      <c r="N109" s="356">
        <f>$D109*$G109*(6/12)</f>
        <v>0</v>
      </c>
      <c r="O109" s="356">
        <f>$D109*$G109</f>
        <v>0</v>
      </c>
      <c r="P109" s="356">
        <f>$D109*$G109</f>
        <v>0</v>
      </c>
      <c r="Q109" s="356">
        <f>$D109*$G109</f>
        <v>0</v>
      </c>
      <c r="R109" s="356">
        <f>$D109*$G109</f>
        <v>0</v>
      </c>
      <c r="S109" s="356">
        <f>$D109*$G109</f>
        <v>0</v>
      </c>
      <c r="T109" s="357"/>
      <c r="U109" s="78"/>
      <c r="V109" s="78"/>
      <c r="W109" s="78"/>
    </row>
    <row r="110" spans="2:23" s="366" customFormat="1" ht="13.5" customHeight="1" x14ac:dyDescent="0.3">
      <c r="B110" s="608"/>
      <c r="C110" s="367" t="s">
        <v>263</v>
      </c>
      <c r="D110" s="353">
        <f>K12</f>
        <v>0</v>
      </c>
      <c r="E110" s="354" t="str">
        <f t="shared" si="22"/>
        <v>정액</v>
      </c>
      <c r="F110" s="354">
        <f t="shared" si="22"/>
        <v>6</v>
      </c>
      <c r="G110" s="355">
        <f>1/F110</f>
        <v>0.16666666666666666</v>
      </c>
      <c r="H110" s="356"/>
      <c r="I110" s="356"/>
      <c r="J110" s="356"/>
      <c r="K110" s="356"/>
      <c r="L110" s="356"/>
      <c r="M110" s="356"/>
      <c r="N110" s="356"/>
      <c r="O110" s="356">
        <f>$D110*$G110*(6/12)</f>
        <v>0</v>
      </c>
      <c r="P110" s="356">
        <f>$D110*$G110</f>
        <v>0</v>
      </c>
      <c r="Q110" s="356">
        <f>$D110*$G110</f>
        <v>0</v>
      </c>
      <c r="R110" s="356">
        <f>$D110*$G110</f>
        <v>0</v>
      </c>
      <c r="S110" s="356">
        <f>$D110*$G110</f>
        <v>0</v>
      </c>
      <c r="T110" s="356">
        <f>$D110*$G110</f>
        <v>0</v>
      </c>
      <c r="U110" s="357"/>
      <c r="V110" s="78"/>
      <c r="W110" s="78"/>
    </row>
    <row r="111" spans="2:23" s="366" customFormat="1" ht="13.5" customHeight="1" x14ac:dyDescent="0.3">
      <c r="B111" s="608"/>
      <c r="C111" s="367" t="s">
        <v>264</v>
      </c>
      <c r="D111" s="353">
        <f>L12</f>
        <v>0</v>
      </c>
      <c r="E111" s="354" t="str">
        <f t="shared" si="22"/>
        <v>정액</v>
      </c>
      <c r="F111" s="354">
        <f t="shared" si="22"/>
        <v>6</v>
      </c>
      <c r="G111" s="355">
        <f>1/F111</f>
        <v>0.16666666666666666</v>
      </c>
      <c r="H111" s="356"/>
      <c r="I111" s="356"/>
      <c r="J111" s="356"/>
      <c r="K111" s="356"/>
      <c r="L111" s="356"/>
      <c r="M111" s="356"/>
      <c r="N111" s="356"/>
      <c r="O111" s="356"/>
      <c r="P111" s="356">
        <f>$D111*$G111*(6/12)</f>
        <v>0</v>
      </c>
      <c r="Q111" s="356">
        <f>$D111*$G111</f>
        <v>0</v>
      </c>
      <c r="R111" s="356">
        <f>$D111*$G111</f>
        <v>0</v>
      </c>
      <c r="S111" s="356">
        <f>$D111*$G111</f>
        <v>0</v>
      </c>
      <c r="T111" s="356">
        <f>$D111*$G111</f>
        <v>0</v>
      </c>
      <c r="U111" s="356">
        <f>$D111*$G111</f>
        <v>0</v>
      </c>
      <c r="V111" s="357"/>
      <c r="W111" s="78"/>
    </row>
    <row r="112" spans="2:23" s="366" customFormat="1" ht="13.5" customHeight="1" x14ac:dyDescent="0.3">
      <c r="B112" s="608"/>
      <c r="C112" s="367" t="s">
        <v>265</v>
      </c>
      <c r="D112" s="353">
        <f>M12</f>
        <v>0</v>
      </c>
      <c r="E112" s="354" t="str">
        <f t="shared" si="22"/>
        <v>정액</v>
      </c>
      <c r="F112" s="354">
        <f t="shared" si="22"/>
        <v>6</v>
      </c>
      <c r="G112" s="355">
        <f>1/F112</f>
        <v>0.16666666666666666</v>
      </c>
      <c r="H112" s="356"/>
      <c r="I112" s="356"/>
      <c r="J112" s="356"/>
      <c r="K112" s="356"/>
      <c r="L112" s="356"/>
      <c r="M112" s="356"/>
      <c r="N112" s="356"/>
      <c r="O112" s="356"/>
      <c r="P112" s="356"/>
      <c r="Q112" s="356">
        <f>$D112*$G112*(6/12)</f>
        <v>0</v>
      </c>
      <c r="R112" s="356">
        <f>$D112*$G112</f>
        <v>0</v>
      </c>
      <c r="S112" s="356">
        <f>$D112*$G112</f>
        <v>0</v>
      </c>
      <c r="T112" s="356">
        <f>$D112*$G112</f>
        <v>0</v>
      </c>
      <c r="U112" s="356">
        <f>$D112*$G112</f>
        <v>0</v>
      </c>
      <c r="V112" s="356">
        <f>$D112*$G112</f>
        <v>0</v>
      </c>
      <c r="W112" s="357"/>
    </row>
    <row r="113" spans="1:23" s="366" customFormat="1" ht="13.5" customHeight="1" x14ac:dyDescent="0.3">
      <c r="B113" s="609"/>
      <c r="C113" s="368" t="s">
        <v>501</v>
      </c>
      <c r="D113" s="363">
        <f>SUM(D103:D112)</f>
        <v>0</v>
      </c>
      <c r="E113" s="369"/>
      <c r="F113" s="369"/>
      <c r="G113" s="370"/>
      <c r="H113" s="363">
        <f t="shared" ref="H113:V113" si="24">SUM(H103:H112)</f>
        <v>0</v>
      </c>
      <c r="I113" s="363">
        <f t="shared" si="24"/>
        <v>0</v>
      </c>
      <c r="J113" s="363">
        <f t="shared" si="24"/>
        <v>0</v>
      </c>
      <c r="K113" s="363">
        <f t="shared" si="24"/>
        <v>0</v>
      </c>
      <c r="L113" s="363">
        <f t="shared" si="24"/>
        <v>0</v>
      </c>
      <c r="M113" s="363">
        <f t="shared" si="24"/>
        <v>0</v>
      </c>
      <c r="N113" s="363">
        <f t="shared" si="24"/>
        <v>0</v>
      </c>
      <c r="O113" s="363">
        <f t="shared" si="24"/>
        <v>0</v>
      </c>
      <c r="P113" s="363">
        <f t="shared" si="24"/>
        <v>0</v>
      </c>
      <c r="Q113" s="363">
        <f t="shared" si="24"/>
        <v>0</v>
      </c>
      <c r="R113" s="363">
        <f t="shared" si="24"/>
        <v>0</v>
      </c>
      <c r="S113" s="363">
        <f t="shared" si="24"/>
        <v>0</v>
      </c>
      <c r="T113" s="363">
        <f t="shared" si="24"/>
        <v>0</v>
      </c>
      <c r="U113" s="363">
        <f t="shared" si="24"/>
        <v>0</v>
      </c>
      <c r="V113" s="363">
        <f t="shared" si="24"/>
        <v>0</v>
      </c>
      <c r="W113" s="78"/>
    </row>
    <row r="114" spans="1:23" x14ac:dyDescent="0.3">
      <c r="A114" s="371"/>
      <c r="B114" s="371"/>
      <c r="C114" s="372"/>
      <c r="D114" s="371"/>
      <c r="E114" s="371"/>
      <c r="F114" s="371"/>
      <c r="G114" s="371"/>
      <c r="H114" s="371"/>
      <c r="I114" s="371"/>
      <c r="J114" s="373"/>
      <c r="K114" s="373"/>
      <c r="L114" s="373"/>
      <c r="M114" s="373"/>
      <c r="N114" s="373"/>
    </row>
  </sheetData>
  <mergeCells count="14">
    <mergeCell ref="B42:C42"/>
    <mergeCell ref="B5:C5"/>
    <mergeCell ref="B6:B10"/>
    <mergeCell ref="B11:B13"/>
    <mergeCell ref="B14:C14"/>
    <mergeCell ref="B41:C41"/>
    <mergeCell ref="B92:B102"/>
    <mergeCell ref="B103:B113"/>
    <mergeCell ref="B43:C43"/>
    <mergeCell ref="B44:C44"/>
    <mergeCell ref="B48:B58"/>
    <mergeCell ref="B59:B69"/>
    <mergeCell ref="B70:B80"/>
    <mergeCell ref="B81:B91"/>
  </mergeCells>
  <phoneticPr fontId="1" type="noConversion"/>
  <dataValidations count="1">
    <dataValidation type="list" allowBlank="1" showInputMessage="1" showErrorMessage="1" sqref="O14 JK14 TG14 ADC14 AMY14 AWU14 BGQ14 BQM14 CAI14 CKE14 CUA14 DDW14 DNS14 DXO14 EHK14 ERG14 FBC14 FKY14 FUU14 GEQ14 GOM14 GYI14 HIE14 HSA14 IBW14 ILS14 IVO14 JFK14 JPG14 JZC14 KIY14 KSU14 LCQ14 LMM14 LWI14 MGE14 MQA14 MZW14 NJS14 NTO14 ODK14 ONG14 OXC14 PGY14 PQU14 QAQ14 QKM14 QUI14 REE14 ROA14 RXW14 SHS14 SRO14 TBK14 TLG14 TVC14 UEY14 UOU14 UYQ14 VIM14 VSI14 WCE14 WMA14 WVW14 O65550 JK65550 TG65550 ADC65550 AMY65550 AWU65550 BGQ65550 BQM65550 CAI65550 CKE65550 CUA65550 DDW65550 DNS65550 DXO65550 EHK65550 ERG65550 FBC65550 FKY65550 FUU65550 GEQ65550 GOM65550 GYI65550 HIE65550 HSA65550 IBW65550 ILS65550 IVO65550 JFK65550 JPG65550 JZC65550 KIY65550 KSU65550 LCQ65550 LMM65550 LWI65550 MGE65550 MQA65550 MZW65550 NJS65550 NTO65550 ODK65550 ONG65550 OXC65550 PGY65550 PQU65550 QAQ65550 QKM65550 QUI65550 REE65550 ROA65550 RXW65550 SHS65550 SRO65550 TBK65550 TLG65550 TVC65550 UEY65550 UOU65550 UYQ65550 VIM65550 VSI65550 WCE65550 WMA65550 WVW65550 O131086 JK131086 TG131086 ADC131086 AMY131086 AWU131086 BGQ131086 BQM131086 CAI131086 CKE131086 CUA131086 DDW131086 DNS131086 DXO131086 EHK131086 ERG131086 FBC131086 FKY131086 FUU131086 GEQ131086 GOM131086 GYI131086 HIE131086 HSA131086 IBW131086 ILS131086 IVO131086 JFK131086 JPG131086 JZC131086 KIY131086 KSU131086 LCQ131086 LMM131086 LWI131086 MGE131086 MQA131086 MZW131086 NJS131086 NTO131086 ODK131086 ONG131086 OXC131086 PGY131086 PQU131086 QAQ131086 QKM131086 QUI131086 REE131086 ROA131086 RXW131086 SHS131086 SRO131086 TBK131086 TLG131086 TVC131086 UEY131086 UOU131086 UYQ131086 VIM131086 VSI131086 WCE131086 WMA131086 WVW131086 O196622 JK196622 TG196622 ADC196622 AMY196622 AWU196622 BGQ196622 BQM196622 CAI196622 CKE196622 CUA196622 DDW196622 DNS196622 DXO196622 EHK196622 ERG196622 FBC196622 FKY196622 FUU196622 GEQ196622 GOM196622 GYI196622 HIE196622 HSA196622 IBW196622 ILS196622 IVO196622 JFK196622 JPG196622 JZC196622 KIY196622 KSU196622 LCQ196622 LMM196622 LWI196622 MGE196622 MQA196622 MZW196622 NJS196622 NTO196622 ODK196622 ONG196622 OXC196622 PGY196622 PQU196622 QAQ196622 QKM196622 QUI196622 REE196622 ROA196622 RXW196622 SHS196622 SRO196622 TBK196622 TLG196622 TVC196622 UEY196622 UOU196622 UYQ196622 VIM196622 VSI196622 WCE196622 WMA196622 WVW196622 O262158 JK262158 TG262158 ADC262158 AMY262158 AWU262158 BGQ262158 BQM262158 CAI262158 CKE262158 CUA262158 DDW262158 DNS262158 DXO262158 EHK262158 ERG262158 FBC262158 FKY262158 FUU262158 GEQ262158 GOM262158 GYI262158 HIE262158 HSA262158 IBW262158 ILS262158 IVO262158 JFK262158 JPG262158 JZC262158 KIY262158 KSU262158 LCQ262158 LMM262158 LWI262158 MGE262158 MQA262158 MZW262158 NJS262158 NTO262158 ODK262158 ONG262158 OXC262158 PGY262158 PQU262158 QAQ262158 QKM262158 QUI262158 REE262158 ROA262158 RXW262158 SHS262158 SRO262158 TBK262158 TLG262158 TVC262158 UEY262158 UOU262158 UYQ262158 VIM262158 VSI262158 WCE262158 WMA262158 WVW262158 O327694 JK327694 TG327694 ADC327694 AMY327694 AWU327694 BGQ327694 BQM327694 CAI327694 CKE327694 CUA327694 DDW327694 DNS327694 DXO327694 EHK327694 ERG327694 FBC327694 FKY327694 FUU327694 GEQ327694 GOM327694 GYI327694 HIE327694 HSA327694 IBW327694 ILS327694 IVO327694 JFK327694 JPG327694 JZC327694 KIY327694 KSU327694 LCQ327694 LMM327694 LWI327694 MGE327694 MQA327694 MZW327694 NJS327694 NTO327694 ODK327694 ONG327694 OXC327694 PGY327694 PQU327694 QAQ327694 QKM327694 QUI327694 REE327694 ROA327694 RXW327694 SHS327694 SRO327694 TBK327694 TLG327694 TVC327694 UEY327694 UOU327694 UYQ327694 VIM327694 VSI327694 WCE327694 WMA327694 WVW327694 O393230 JK393230 TG393230 ADC393230 AMY393230 AWU393230 BGQ393230 BQM393230 CAI393230 CKE393230 CUA393230 DDW393230 DNS393230 DXO393230 EHK393230 ERG393230 FBC393230 FKY393230 FUU393230 GEQ393230 GOM393230 GYI393230 HIE393230 HSA393230 IBW393230 ILS393230 IVO393230 JFK393230 JPG393230 JZC393230 KIY393230 KSU393230 LCQ393230 LMM393230 LWI393230 MGE393230 MQA393230 MZW393230 NJS393230 NTO393230 ODK393230 ONG393230 OXC393230 PGY393230 PQU393230 QAQ393230 QKM393230 QUI393230 REE393230 ROA393230 RXW393230 SHS393230 SRO393230 TBK393230 TLG393230 TVC393230 UEY393230 UOU393230 UYQ393230 VIM393230 VSI393230 WCE393230 WMA393230 WVW393230 O458766 JK458766 TG458766 ADC458766 AMY458766 AWU458766 BGQ458766 BQM458766 CAI458766 CKE458766 CUA458766 DDW458766 DNS458766 DXO458766 EHK458766 ERG458766 FBC458766 FKY458766 FUU458766 GEQ458766 GOM458766 GYI458766 HIE458766 HSA458766 IBW458766 ILS458766 IVO458766 JFK458766 JPG458766 JZC458766 KIY458766 KSU458766 LCQ458766 LMM458766 LWI458766 MGE458766 MQA458766 MZW458766 NJS458766 NTO458766 ODK458766 ONG458766 OXC458766 PGY458766 PQU458766 QAQ458766 QKM458766 QUI458766 REE458766 ROA458766 RXW458766 SHS458766 SRO458766 TBK458766 TLG458766 TVC458766 UEY458766 UOU458766 UYQ458766 VIM458766 VSI458766 WCE458766 WMA458766 WVW458766 O524302 JK524302 TG524302 ADC524302 AMY524302 AWU524302 BGQ524302 BQM524302 CAI524302 CKE524302 CUA524302 DDW524302 DNS524302 DXO524302 EHK524302 ERG524302 FBC524302 FKY524302 FUU524302 GEQ524302 GOM524302 GYI524302 HIE524302 HSA524302 IBW524302 ILS524302 IVO524302 JFK524302 JPG524302 JZC524302 KIY524302 KSU524302 LCQ524302 LMM524302 LWI524302 MGE524302 MQA524302 MZW524302 NJS524302 NTO524302 ODK524302 ONG524302 OXC524302 PGY524302 PQU524302 QAQ524302 QKM524302 QUI524302 REE524302 ROA524302 RXW524302 SHS524302 SRO524302 TBK524302 TLG524302 TVC524302 UEY524302 UOU524302 UYQ524302 VIM524302 VSI524302 WCE524302 WMA524302 WVW524302 O589838 JK589838 TG589838 ADC589838 AMY589838 AWU589838 BGQ589838 BQM589838 CAI589838 CKE589838 CUA589838 DDW589838 DNS589838 DXO589838 EHK589838 ERG589838 FBC589838 FKY589838 FUU589838 GEQ589838 GOM589838 GYI589838 HIE589838 HSA589838 IBW589838 ILS589838 IVO589838 JFK589838 JPG589838 JZC589838 KIY589838 KSU589838 LCQ589838 LMM589838 LWI589838 MGE589838 MQA589838 MZW589838 NJS589838 NTO589838 ODK589838 ONG589838 OXC589838 PGY589838 PQU589838 QAQ589838 QKM589838 QUI589838 REE589838 ROA589838 RXW589838 SHS589838 SRO589838 TBK589838 TLG589838 TVC589838 UEY589838 UOU589838 UYQ589838 VIM589838 VSI589838 WCE589838 WMA589838 WVW589838 O655374 JK655374 TG655374 ADC655374 AMY655374 AWU655374 BGQ655374 BQM655374 CAI655374 CKE655374 CUA655374 DDW655374 DNS655374 DXO655374 EHK655374 ERG655374 FBC655374 FKY655374 FUU655374 GEQ655374 GOM655374 GYI655374 HIE655374 HSA655374 IBW655374 ILS655374 IVO655374 JFK655374 JPG655374 JZC655374 KIY655374 KSU655374 LCQ655374 LMM655374 LWI655374 MGE655374 MQA655374 MZW655374 NJS655374 NTO655374 ODK655374 ONG655374 OXC655374 PGY655374 PQU655374 QAQ655374 QKM655374 QUI655374 REE655374 ROA655374 RXW655374 SHS655374 SRO655374 TBK655374 TLG655374 TVC655374 UEY655374 UOU655374 UYQ655374 VIM655374 VSI655374 WCE655374 WMA655374 WVW655374 O720910 JK720910 TG720910 ADC720910 AMY720910 AWU720910 BGQ720910 BQM720910 CAI720910 CKE720910 CUA720910 DDW720910 DNS720910 DXO720910 EHK720910 ERG720910 FBC720910 FKY720910 FUU720910 GEQ720910 GOM720910 GYI720910 HIE720910 HSA720910 IBW720910 ILS720910 IVO720910 JFK720910 JPG720910 JZC720910 KIY720910 KSU720910 LCQ720910 LMM720910 LWI720910 MGE720910 MQA720910 MZW720910 NJS720910 NTO720910 ODK720910 ONG720910 OXC720910 PGY720910 PQU720910 QAQ720910 QKM720910 QUI720910 REE720910 ROA720910 RXW720910 SHS720910 SRO720910 TBK720910 TLG720910 TVC720910 UEY720910 UOU720910 UYQ720910 VIM720910 VSI720910 WCE720910 WMA720910 WVW720910 O786446 JK786446 TG786446 ADC786446 AMY786446 AWU786446 BGQ786446 BQM786446 CAI786446 CKE786446 CUA786446 DDW786446 DNS786446 DXO786446 EHK786446 ERG786446 FBC786446 FKY786446 FUU786446 GEQ786446 GOM786446 GYI786446 HIE786446 HSA786446 IBW786446 ILS786446 IVO786446 JFK786446 JPG786446 JZC786446 KIY786446 KSU786446 LCQ786446 LMM786446 LWI786446 MGE786446 MQA786446 MZW786446 NJS786446 NTO786446 ODK786446 ONG786446 OXC786446 PGY786446 PQU786446 QAQ786446 QKM786446 QUI786446 REE786446 ROA786446 RXW786446 SHS786446 SRO786446 TBK786446 TLG786446 TVC786446 UEY786446 UOU786446 UYQ786446 VIM786446 VSI786446 WCE786446 WMA786446 WVW786446 O851982 JK851982 TG851982 ADC851982 AMY851982 AWU851982 BGQ851982 BQM851982 CAI851982 CKE851982 CUA851982 DDW851982 DNS851982 DXO851982 EHK851982 ERG851982 FBC851982 FKY851982 FUU851982 GEQ851982 GOM851982 GYI851982 HIE851982 HSA851982 IBW851982 ILS851982 IVO851982 JFK851982 JPG851982 JZC851982 KIY851982 KSU851982 LCQ851982 LMM851982 LWI851982 MGE851982 MQA851982 MZW851982 NJS851982 NTO851982 ODK851982 ONG851982 OXC851982 PGY851982 PQU851982 QAQ851982 QKM851982 QUI851982 REE851982 ROA851982 RXW851982 SHS851982 SRO851982 TBK851982 TLG851982 TVC851982 UEY851982 UOU851982 UYQ851982 VIM851982 VSI851982 WCE851982 WMA851982 WVW851982 O917518 JK917518 TG917518 ADC917518 AMY917518 AWU917518 BGQ917518 BQM917518 CAI917518 CKE917518 CUA917518 DDW917518 DNS917518 DXO917518 EHK917518 ERG917518 FBC917518 FKY917518 FUU917518 GEQ917518 GOM917518 GYI917518 HIE917518 HSA917518 IBW917518 ILS917518 IVO917518 JFK917518 JPG917518 JZC917518 KIY917518 KSU917518 LCQ917518 LMM917518 LWI917518 MGE917518 MQA917518 MZW917518 NJS917518 NTO917518 ODK917518 ONG917518 OXC917518 PGY917518 PQU917518 QAQ917518 QKM917518 QUI917518 REE917518 ROA917518 RXW917518 SHS917518 SRO917518 TBK917518 TLG917518 TVC917518 UEY917518 UOU917518 UYQ917518 VIM917518 VSI917518 WCE917518 WMA917518 WVW917518 O983054 JK983054 TG983054 ADC983054 AMY983054 AWU983054 BGQ983054 BQM983054 CAI983054 CKE983054 CUA983054 DDW983054 DNS983054 DXO983054 EHK983054 ERG983054 FBC983054 FKY983054 FUU983054 GEQ983054 GOM983054 GYI983054 HIE983054 HSA983054 IBW983054 ILS983054 IVO983054 JFK983054 JPG983054 JZC983054 KIY983054 KSU983054 LCQ983054 LMM983054 LWI983054 MGE983054 MQA983054 MZW983054 NJS983054 NTO983054 ODK983054 ONG983054 OXC983054 PGY983054 PQU983054 QAQ983054 QKM983054 QUI983054 REE983054 ROA983054 RXW983054 SHS983054 SRO983054 TBK983054 TLG983054 TVC983054 UEY983054 UOU983054 UYQ983054 VIM983054 VSI983054 WCE983054 WMA983054 WVW983054 N6:N13 JJ6:JJ13 TF6:TF13 ADB6:ADB13 AMX6:AMX13 AWT6:AWT13 BGP6:BGP13 BQL6:BQL13 CAH6:CAH13 CKD6:CKD13 CTZ6:CTZ13 DDV6:DDV13 DNR6:DNR13 DXN6:DXN13 EHJ6:EHJ13 ERF6:ERF13 FBB6:FBB13 FKX6:FKX13 FUT6:FUT13 GEP6:GEP13 GOL6:GOL13 GYH6:GYH13 HID6:HID13 HRZ6:HRZ13 IBV6:IBV13 ILR6:ILR13 IVN6:IVN13 JFJ6:JFJ13 JPF6:JPF13 JZB6:JZB13 KIX6:KIX13 KST6:KST13 LCP6:LCP13 LML6:LML13 LWH6:LWH13 MGD6:MGD13 MPZ6:MPZ13 MZV6:MZV13 NJR6:NJR13 NTN6:NTN13 ODJ6:ODJ13 ONF6:ONF13 OXB6:OXB13 PGX6:PGX13 PQT6:PQT13 QAP6:QAP13 QKL6:QKL13 QUH6:QUH13 RED6:RED13 RNZ6:RNZ13 RXV6:RXV13 SHR6:SHR13 SRN6:SRN13 TBJ6:TBJ13 TLF6:TLF13 TVB6:TVB13 UEX6:UEX13 UOT6:UOT13 UYP6:UYP13 VIL6:VIL13 VSH6:VSH13 WCD6:WCD13 WLZ6:WLZ13 WVV6:WVV13 N65542:N65549 JJ65542:JJ65549 TF65542:TF65549 ADB65542:ADB65549 AMX65542:AMX65549 AWT65542:AWT65549 BGP65542:BGP65549 BQL65542:BQL65549 CAH65542:CAH65549 CKD65542:CKD65549 CTZ65542:CTZ65549 DDV65542:DDV65549 DNR65542:DNR65549 DXN65542:DXN65549 EHJ65542:EHJ65549 ERF65542:ERF65549 FBB65542:FBB65549 FKX65542:FKX65549 FUT65542:FUT65549 GEP65542:GEP65549 GOL65542:GOL65549 GYH65542:GYH65549 HID65542:HID65549 HRZ65542:HRZ65549 IBV65542:IBV65549 ILR65542:ILR65549 IVN65542:IVN65549 JFJ65542:JFJ65549 JPF65542:JPF65549 JZB65542:JZB65549 KIX65542:KIX65549 KST65542:KST65549 LCP65542:LCP65549 LML65542:LML65549 LWH65542:LWH65549 MGD65542:MGD65549 MPZ65542:MPZ65549 MZV65542:MZV65549 NJR65542:NJR65549 NTN65542:NTN65549 ODJ65542:ODJ65549 ONF65542:ONF65549 OXB65542:OXB65549 PGX65542:PGX65549 PQT65542:PQT65549 QAP65542:QAP65549 QKL65542:QKL65549 QUH65542:QUH65549 RED65542:RED65549 RNZ65542:RNZ65549 RXV65542:RXV65549 SHR65542:SHR65549 SRN65542:SRN65549 TBJ65542:TBJ65549 TLF65542:TLF65549 TVB65542:TVB65549 UEX65542:UEX65549 UOT65542:UOT65549 UYP65542:UYP65549 VIL65542:VIL65549 VSH65542:VSH65549 WCD65542:WCD65549 WLZ65542:WLZ65549 WVV65542:WVV65549 N131078:N131085 JJ131078:JJ131085 TF131078:TF131085 ADB131078:ADB131085 AMX131078:AMX131085 AWT131078:AWT131085 BGP131078:BGP131085 BQL131078:BQL131085 CAH131078:CAH131085 CKD131078:CKD131085 CTZ131078:CTZ131085 DDV131078:DDV131085 DNR131078:DNR131085 DXN131078:DXN131085 EHJ131078:EHJ131085 ERF131078:ERF131085 FBB131078:FBB131085 FKX131078:FKX131085 FUT131078:FUT131085 GEP131078:GEP131085 GOL131078:GOL131085 GYH131078:GYH131085 HID131078:HID131085 HRZ131078:HRZ131085 IBV131078:IBV131085 ILR131078:ILR131085 IVN131078:IVN131085 JFJ131078:JFJ131085 JPF131078:JPF131085 JZB131078:JZB131085 KIX131078:KIX131085 KST131078:KST131085 LCP131078:LCP131085 LML131078:LML131085 LWH131078:LWH131085 MGD131078:MGD131085 MPZ131078:MPZ131085 MZV131078:MZV131085 NJR131078:NJR131085 NTN131078:NTN131085 ODJ131078:ODJ131085 ONF131078:ONF131085 OXB131078:OXB131085 PGX131078:PGX131085 PQT131078:PQT131085 QAP131078:QAP131085 QKL131078:QKL131085 QUH131078:QUH131085 RED131078:RED131085 RNZ131078:RNZ131085 RXV131078:RXV131085 SHR131078:SHR131085 SRN131078:SRN131085 TBJ131078:TBJ131085 TLF131078:TLF131085 TVB131078:TVB131085 UEX131078:UEX131085 UOT131078:UOT131085 UYP131078:UYP131085 VIL131078:VIL131085 VSH131078:VSH131085 WCD131078:WCD131085 WLZ131078:WLZ131085 WVV131078:WVV131085 N196614:N196621 JJ196614:JJ196621 TF196614:TF196621 ADB196614:ADB196621 AMX196614:AMX196621 AWT196614:AWT196621 BGP196614:BGP196621 BQL196614:BQL196621 CAH196614:CAH196621 CKD196614:CKD196621 CTZ196614:CTZ196621 DDV196614:DDV196621 DNR196614:DNR196621 DXN196614:DXN196621 EHJ196614:EHJ196621 ERF196614:ERF196621 FBB196614:FBB196621 FKX196614:FKX196621 FUT196614:FUT196621 GEP196614:GEP196621 GOL196614:GOL196621 GYH196614:GYH196621 HID196614:HID196621 HRZ196614:HRZ196621 IBV196614:IBV196621 ILR196614:ILR196621 IVN196614:IVN196621 JFJ196614:JFJ196621 JPF196614:JPF196621 JZB196614:JZB196621 KIX196614:KIX196621 KST196614:KST196621 LCP196614:LCP196621 LML196614:LML196621 LWH196614:LWH196621 MGD196614:MGD196621 MPZ196614:MPZ196621 MZV196614:MZV196621 NJR196614:NJR196621 NTN196614:NTN196621 ODJ196614:ODJ196621 ONF196614:ONF196621 OXB196614:OXB196621 PGX196614:PGX196621 PQT196614:PQT196621 QAP196614:QAP196621 QKL196614:QKL196621 QUH196614:QUH196621 RED196614:RED196621 RNZ196614:RNZ196621 RXV196614:RXV196621 SHR196614:SHR196621 SRN196614:SRN196621 TBJ196614:TBJ196621 TLF196614:TLF196621 TVB196614:TVB196621 UEX196614:UEX196621 UOT196614:UOT196621 UYP196614:UYP196621 VIL196614:VIL196621 VSH196614:VSH196621 WCD196614:WCD196621 WLZ196614:WLZ196621 WVV196614:WVV196621 N262150:N262157 JJ262150:JJ262157 TF262150:TF262157 ADB262150:ADB262157 AMX262150:AMX262157 AWT262150:AWT262157 BGP262150:BGP262157 BQL262150:BQL262157 CAH262150:CAH262157 CKD262150:CKD262157 CTZ262150:CTZ262157 DDV262150:DDV262157 DNR262150:DNR262157 DXN262150:DXN262157 EHJ262150:EHJ262157 ERF262150:ERF262157 FBB262150:FBB262157 FKX262150:FKX262157 FUT262150:FUT262157 GEP262150:GEP262157 GOL262150:GOL262157 GYH262150:GYH262157 HID262150:HID262157 HRZ262150:HRZ262157 IBV262150:IBV262157 ILR262150:ILR262157 IVN262150:IVN262157 JFJ262150:JFJ262157 JPF262150:JPF262157 JZB262150:JZB262157 KIX262150:KIX262157 KST262150:KST262157 LCP262150:LCP262157 LML262150:LML262157 LWH262150:LWH262157 MGD262150:MGD262157 MPZ262150:MPZ262157 MZV262150:MZV262157 NJR262150:NJR262157 NTN262150:NTN262157 ODJ262150:ODJ262157 ONF262150:ONF262157 OXB262150:OXB262157 PGX262150:PGX262157 PQT262150:PQT262157 QAP262150:QAP262157 QKL262150:QKL262157 QUH262150:QUH262157 RED262150:RED262157 RNZ262150:RNZ262157 RXV262150:RXV262157 SHR262150:SHR262157 SRN262150:SRN262157 TBJ262150:TBJ262157 TLF262150:TLF262157 TVB262150:TVB262157 UEX262150:UEX262157 UOT262150:UOT262157 UYP262150:UYP262157 VIL262150:VIL262157 VSH262150:VSH262157 WCD262150:WCD262157 WLZ262150:WLZ262157 WVV262150:WVV262157 N327686:N327693 JJ327686:JJ327693 TF327686:TF327693 ADB327686:ADB327693 AMX327686:AMX327693 AWT327686:AWT327693 BGP327686:BGP327693 BQL327686:BQL327693 CAH327686:CAH327693 CKD327686:CKD327693 CTZ327686:CTZ327693 DDV327686:DDV327693 DNR327686:DNR327693 DXN327686:DXN327693 EHJ327686:EHJ327693 ERF327686:ERF327693 FBB327686:FBB327693 FKX327686:FKX327693 FUT327686:FUT327693 GEP327686:GEP327693 GOL327686:GOL327693 GYH327686:GYH327693 HID327686:HID327693 HRZ327686:HRZ327693 IBV327686:IBV327693 ILR327686:ILR327693 IVN327686:IVN327693 JFJ327686:JFJ327693 JPF327686:JPF327693 JZB327686:JZB327693 KIX327686:KIX327693 KST327686:KST327693 LCP327686:LCP327693 LML327686:LML327693 LWH327686:LWH327693 MGD327686:MGD327693 MPZ327686:MPZ327693 MZV327686:MZV327693 NJR327686:NJR327693 NTN327686:NTN327693 ODJ327686:ODJ327693 ONF327686:ONF327693 OXB327686:OXB327693 PGX327686:PGX327693 PQT327686:PQT327693 QAP327686:QAP327693 QKL327686:QKL327693 QUH327686:QUH327693 RED327686:RED327693 RNZ327686:RNZ327693 RXV327686:RXV327693 SHR327686:SHR327693 SRN327686:SRN327693 TBJ327686:TBJ327693 TLF327686:TLF327693 TVB327686:TVB327693 UEX327686:UEX327693 UOT327686:UOT327693 UYP327686:UYP327693 VIL327686:VIL327693 VSH327686:VSH327693 WCD327686:WCD327693 WLZ327686:WLZ327693 WVV327686:WVV327693 N393222:N393229 JJ393222:JJ393229 TF393222:TF393229 ADB393222:ADB393229 AMX393222:AMX393229 AWT393222:AWT393229 BGP393222:BGP393229 BQL393222:BQL393229 CAH393222:CAH393229 CKD393222:CKD393229 CTZ393222:CTZ393229 DDV393222:DDV393229 DNR393222:DNR393229 DXN393222:DXN393229 EHJ393222:EHJ393229 ERF393222:ERF393229 FBB393222:FBB393229 FKX393222:FKX393229 FUT393222:FUT393229 GEP393222:GEP393229 GOL393222:GOL393229 GYH393222:GYH393229 HID393222:HID393229 HRZ393222:HRZ393229 IBV393222:IBV393229 ILR393222:ILR393229 IVN393222:IVN393229 JFJ393222:JFJ393229 JPF393222:JPF393229 JZB393222:JZB393229 KIX393222:KIX393229 KST393222:KST393229 LCP393222:LCP393229 LML393222:LML393229 LWH393222:LWH393229 MGD393222:MGD393229 MPZ393222:MPZ393229 MZV393222:MZV393229 NJR393222:NJR393229 NTN393222:NTN393229 ODJ393222:ODJ393229 ONF393222:ONF393229 OXB393222:OXB393229 PGX393222:PGX393229 PQT393222:PQT393229 QAP393222:QAP393229 QKL393222:QKL393229 QUH393222:QUH393229 RED393222:RED393229 RNZ393222:RNZ393229 RXV393222:RXV393229 SHR393222:SHR393229 SRN393222:SRN393229 TBJ393222:TBJ393229 TLF393222:TLF393229 TVB393222:TVB393229 UEX393222:UEX393229 UOT393222:UOT393229 UYP393222:UYP393229 VIL393222:VIL393229 VSH393222:VSH393229 WCD393222:WCD393229 WLZ393222:WLZ393229 WVV393222:WVV393229 N458758:N458765 JJ458758:JJ458765 TF458758:TF458765 ADB458758:ADB458765 AMX458758:AMX458765 AWT458758:AWT458765 BGP458758:BGP458765 BQL458758:BQL458765 CAH458758:CAH458765 CKD458758:CKD458765 CTZ458758:CTZ458765 DDV458758:DDV458765 DNR458758:DNR458765 DXN458758:DXN458765 EHJ458758:EHJ458765 ERF458758:ERF458765 FBB458758:FBB458765 FKX458758:FKX458765 FUT458758:FUT458765 GEP458758:GEP458765 GOL458758:GOL458765 GYH458758:GYH458765 HID458758:HID458765 HRZ458758:HRZ458765 IBV458758:IBV458765 ILR458758:ILR458765 IVN458758:IVN458765 JFJ458758:JFJ458765 JPF458758:JPF458765 JZB458758:JZB458765 KIX458758:KIX458765 KST458758:KST458765 LCP458758:LCP458765 LML458758:LML458765 LWH458758:LWH458765 MGD458758:MGD458765 MPZ458758:MPZ458765 MZV458758:MZV458765 NJR458758:NJR458765 NTN458758:NTN458765 ODJ458758:ODJ458765 ONF458758:ONF458765 OXB458758:OXB458765 PGX458758:PGX458765 PQT458758:PQT458765 QAP458758:QAP458765 QKL458758:QKL458765 QUH458758:QUH458765 RED458758:RED458765 RNZ458758:RNZ458765 RXV458758:RXV458765 SHR458758:SHR458765 SRN458758:SRN458765 TBJ458758:TBJ458765 TLF458758:TLF458765 TVB458758:TVB458765 UEX458758:UEX458765 UOT458758:UOT458765 UYP458758:UYP458765 VIL458758:VIL458765 VSH458758:VSH458765 WCD458758:WCD458765 WLZ458758:WLZ458765 WVV458758:WVV458765 N524294:N524301 JJ524294:JJ524301 TF524294:TF524301 ADB524294:ADB524301 AMX524294:AMX524301 AWT524294:AWT524301 BGP524294:BGP524301 BQL524294:BQL524301 CAH524294:CAH524301 CKD524294:CKD524301 CTZ524294:CTZ524301 DDV524294:DDV524301 DNR524294:DNR524301 DXN524294:DXN524301 EHJ524294:EHJ524301 ERF524294:ERF524301 FBB524294:FBB524301 FKX524294:FKX524301 FUT524294:FUT524301 GEP524294:GEP524301 GOL524294:GOL524301 GYH524294:GYH524301 HID524294:HID524301 HRZ524294:HRZ524301 IBV524294:IBV524301 ILR524294:ILR524301 IVN524294:IVN524301 JFJ524294:JFJ524301 JPF524294:JPF524301 JZB524294:JZB524301 KIX524294:KIX524301 KST524294:KST524301 LCP524294:LCP524301 LML524294:LML524301 LWH524294:LWH524301 MGD524294:MGD524301 MPZ524294:MPZ524301 MZV524294:MZV524301 NJR524294:NJR524301 NTN524294:NTN524301 ODJ524294:ODJ524301 ONF524294:ONF524301 OXB524294:OXB524301 PGX524294:PGX524301 PQT524294:PQT524301 QAP524294:QAP524301 QKL524294:QKL524301 QUH524294:QUH524301 RED524294:RED524301 RNZ524294:RNZ524301 RXV524294:RXV524301 SHR524294:SHR524301 SRN524294:SRN524301 TBJ524294:TBJ524301 TLF524294:TLF524301 TVB524294:TVB524301 UEX524294:UEX524301 UOT524294:UOT524301 UYP524294:UYP524301 VIL524294:VIL524301 VSH524294:VSH524301 WCD524294:WCD524301 WLZ524294:WLZ524301 WVV524294:WVV524301 N589830:N589837 JJ589830:JJ589837 TF589830:TF589837 ADB589830:ADB589837 AMX589830:AMX589837 AWT589830:AWT589837 BGP589830:BGP589837 BQL589830:BQL589837 CAH589830:CAH589837 CKD589830:CKD589837 CTZ589830:CTZ589837 DDV589830:DDV589837 DNR589830:DNR589837 DXN589830:DXN589837 EHJ589830:EHJ589837 ERF589830:ERF589837 FBB589830:FBB589837 FKX589830:FKX589837 FUT589830:FUT589837 GEP589830:GEP589837 GOL589830:GOL589837 GYH589830:GYH589837 HID589830:HID589837 HRZ589830:HRZ589837 IBV589830:IBV589837 ILR589830:ILR589837 IVN589830:IVN589837 JFJ589830:JFJ589837 JPF589830:JPF589837 JZB589830:JZB589837 KIX589830:KIX589837 KST589830:KST589837 LCP589830:LCP589837 LML589830:LML589837 LWH589830:LWH589837 MGD589830:MGD589837 MPZ589830:MPZ589837 MZV589830:MZV589837 NJR589830:NJR589837 NTN589830:NTN589837 ODJ589830:ODJ589837 ONF589830:ONF589837 OXB589830:OXB589837 PGX589830:PGX589837 PQT589830:PQT589837 QAP589830:QAP589837 QKL589830:QKL589837 QUH589830:QUH589837 RED589830:RED589837 RNZ589830:RNZ589837 RXV589830:RXV589837 SHR589830:SHR589837 SRN589830:SRN589837 TBJ589830:TBJ589837 TLF589830:TLF589837 TVB589830:TVB589837 UEX589830:UEX589837 UOT589830:UOT589837 UYP589830:UYP589837 VIL589830:VIL589837 VSH589830:VSH589837 WCD589830:WCD589837 WLZ589830:WLZ589837 WVV589830:WVV589837 N655366:N655373 JJ655366:JJ655373 TF655366:TF655373 ADB655366:ADB655373 AMX655366:AMX655373 AWT655366:AWT655373 BGP655366:BGP655373 BQL655366:BQL655373 CAH655366:CAH655373 CKD655366:CKD655373 CTZ655366:CTZ655373 DDV655366:DDV655373 DNR655366:DNR655373 DXN655366:DXN655373 EHJ655366:EHJ655373 ERF655366:ERF655373 FBB655366:FBB655373 FKX655366:FKX655373 FUT655366:FUT655373 GEP655366:GEP655373 GOL655366:GOL655373 GYH655366:GYH655373 HID655366:HID655373 HRZ655366:HRZ655373 IBV655366:IBV655373 ILR655366:ILR655373 IVN655366:IVN655373 JFJ655366:JFJ655373 JPF655366:JPF655373 JZB655366:JZB655373 KIX655366:KIX655373 KST655366:KST655373 LCP655366:LCP655373 LML655366:LML655373 LWH655366:LWH655373 MGD655366:MGD655373 MPZ655366:MPZ655373 MZV655366:MZV655373 NJR655366:NJR655373 NTN655366:NTN655373 ODJ655366:ODJ655373 ONF655366:ONF655373 OXB655366:OXB655373 PGX655366:PGX655373 PQT655366:PQT655373 QAP655366:QAP655373 QKL655366:QKL655373 QUH655366:QUH655373 RED655366:RED655373 RNZ655366:RNZ655373 RXV655366:RXV655373 SHR655366:SHR655373 SRN655366:SRN655373 TBJ655366:TBJ655373 TLF655366:TLF655373 TVB655366:TVB655373 UEX655366:UEX655373 UOT655366:UOT655373 UYP655366:UYP655373 VIL655366:VIL655373 VSH655366:VSH655373 WCD655366:WCD655373 WLZ655366:WLZ655373 WVV655366:WVV655373 N720902:N720909 JJ720902:JJ720909 TF720902:TF720909 ADB720902:ADB720909 AMX720902:AMX720909 AWT720902:AWT720909 BGP720902:BGP720909 BQL720902:BQL720909 CAH720902:CAH720909 CKD720902:CKD720909 CTZ720902:CTZ720909 DDV720902:DDV720909 DNR720902:DNR720909 DXN720902:DXN720909 EHJ720902:EHJ720909 ERF720902:ERF720909 FBB720902:FBB720909 FKX720902:FKX720909 FUT720902:FUT720909 GEP720902:GEP720909 GOL720902:GOL720909 GYH720902:GYH720909 HID720902:HID720909 HRZ720902:HRZ720909 IBV720902:IBV720909 ILR720902:ILR720909 IVN720902:IVN720909 JFJ720902:JFJ720909 JPF720902:JPF720909 JZB720902:JZB720909 KIX720902:KIX720909 KST720902:KST720909 LCP720902:LCP720909 LML720902:LML720909 LWH720902:LWH720909 MGD720902:MGD720909 MPZ720902:MPZ720909 MZV720902:MZV720909 NJR720902:NJR720909 NTN720902:NTN720909 ODJ720902:ODJ720909 ONF720902:ONF720909 OXB720902:OXB720909 PGX720902:PGX720909 PQT720902:PQT720909 QAP720902:QAP720909 QKL720902:QKL720909 QUH720902:QUH720909 RED720902:RED720909 RNZ720902:RNZ720909 RXV720902:RXV720909 SHR720902:SHR720909 SRN720902:SRN720909 TBJ720902:TBJ720909 TLF720902:TLF720909 TVB720902:TVB720909 UEX720902:UEX720909 UOT720902:UOT720909 UYP720902:UYP720909 VIL720902:VIL720909 VSH720902:VSH720909 WCD720902:WCD720909 WLZ720902:WLZ720909 WVV720902:WVV720909 N786438:N786445 JJ786438:JJ786445 TF786438:TF786445 ADB786438:ADB786445 AMX786438:AMX786445 AWT786438:AWT786445 BGP786438:BGP786445 BQL786438:BQL786445 CAH786438:CAH786445 CKD786438:CKD786445 CTZ786438:CTZ786445 DDV786438:DDV786445 DNR786438:DNR786445 DXN786438:DXN786445 EHJ786438:EHJ786445 ERF786438:ERF786445 FBB786438:FBB786445 FKX786438:FKX786445 FUT786438:FUT786445 GEP786438:GEP786445 GOL786438:GOL786445 GYH786438:GYH786445 HID786438:HID786445 HRZ786438:HRZ786445 IBV786438:IBV786445 ILR786438:ILR786445 IVN786438:IVN786445 JFJ786438:JFJ786445 JPF786438:JPF786445 JZB786438:JZB786445 KIX786438:KIX786445 KST786438:KST786445 LCP786438:LCP786445 LML786438:LML786445 LWH786438:LWH786445 MGD786438:MGD786445 MPZ786438:MPZ786445 MZV786438:MZV786445 NJR786438:NJR786445 NTN786438:NTN786445 ODJ786438:ODJ786445 ONF786438:ONF786445 OXB786438:OXB786445 PGX786438:PGX786445 PQT786438:PQT786445 QAP786438:QAP786445 QKL786438:QKL786445 QUH786438:QUH786445 RED786438:RED786445 RNZ786438:RNZ786445 RXV786438:RXV786445 SHR786438:SHR786445 SRN786438:SRN786445 TBJ786438:TBJ786445 TLF786438:TLF786445 TVB786438:TVB786445 UEX786438:UEX786445 UOT786438:UOT786445 UYP786438:UYP786445 VIL786438:VIL786445 VSH786438:VSH786445 WCD786438:WCD786445 WLZ786438:WLZ786445 WVV786438:WVV786445 N851974:N851981 JJ851974:JJ851981 TF851974:TF851981 ADB851974:ADB851981 AMX851974:AMX851981 AWT851974:AWT851981 BGP851974:BGP851981 BQL851974:BQL851981 CAH851974:CAH851981 CKD851974:CKD851981 CTZ851974:CTZ851981 DDV851974:DDV851981 DNR851974:DNR851981 DXN851974:DXN851981 EHJ851974:EHJ851981 ERF851974:ERF851981 FBB851974:FBB851981 FKX851974:FKX851981 FUT851974:FUT851981 GEP851974:GEP851981 GOL851974:GOL851981 GYH851974:GYH851981 HID851974:HID851981 HRZ851974:HRZ851981 IBV851974:IBV851981 ILR851974:ILR851981 IVN851974:IVN851981 JFJ851974:JFJ851981 JPF851974:JPF851981 JZB851974:JZB851981 KIX851974:KIX851981 KST851974:KST851981 LCP851974:LCP851981 LML851974:LML851981 LWH851974:LWH851981 MGD851974:MGD851981 MPZ851974:MPZ851981 MZV851974:MZV851981 NJR851974:NJR851981 NTN851974:NTN851981 ODJ851974:ODJ851981 ONF851974:ONF851981 OXB851974:OXB851981 PGX851974:PGX851981 PQT851974:PQT851981 QAP851974:QAP851981 QKL851974:QKL851981 QUH851974:QUH851981 RED851974:RED851981 RNZ851974:RNZ851981 RXV851974:RXV851981 SHR851974:SHR851981 SRN851974:SRN851981 TBJ851974:TBJ851981 TLF851974:TLF851981 TVB851974:TVB851981 UEX851974:UEX851981 UOT851974:UOT851981 UYP851974:UYP851981 VIL851974:VIL851981 VSH851974:VSH851981 WCD851974:WCD851981 WLZ851974:WLZ851981 WVV851974:WVV851981 N917510:N917517 JJ917510:JJ917517 TF917510:TF917517 ADB917510:ADB917517 AMX917510:AMX917517 AWT917510:AWT917517 BGP917510:BGP917517 BQL917510:BQL917517 CAH917510:CAH917517 CKD917510:CKD917517 CTZ917510:CTZ917517 DDV917510:DDV917517 DNR917510:DNR917517 DXN917510:DXN917517 EHJ917510:EHJ917517 ERF917510:ERF917517 FBB917510:FBB917517 FKX917510:FKX917517 FUT917510:FUT917517 GEP917510:GEP917517 GOL917510:GOL917517 GYH917510:GYH917517 HID917510:HID917517 HRZ917510:HRZ917517 IBV917510:IBV917517 ILR917510:ILR917517 IVN917510:IVN917517 JFJ917510:JFJ917517 JPF917510:JPF917517 JZB917510:JZB917517 KIX917510:KIX917517 KST917510:KST917517 LCP917510:LCP917517 LML917510:LML917517 LWH917510:LWH917517 MGD917510:MGD917517 MPZ917510:MPZ917517 MZV917510:MZV917517 NJR917510:NJR917517 NTN917510:NTN917517 ODJ917510:ODJ917517 ONF917510:ONF917517 OXB917510:OXB917517 PGX917510:PGX917517 PQT917510:PQT917517 QAP917510:QAP917517 QKL917510:QKL917517 QUH917510:QUH917517 RED917510:RED917517 RNZ917510:RNZ917517 RXV917510:RXV917517 SHR917510:SHR917517 SRN917510:SRN917517 TBJ917510:TBJ917517 TLF917510:TLF917517 TVB917510:TVB917517 UEX917510:UEX917517 UOT917510:UOT917517 UYP917510:UYP917517 VIL917510:VIL917517 VSH917510:VSH917517 WCD917510:WCD917517 WLZ917510:WLZ917517 WVV917510:WVV917517 N983046:N983053 JJ983046:JJ983053 TF983046:TF983053 ADB983046:ADB983053 AMX983046:AMX983053 AWT983046:AWT983053 BGP983046:BGP983053 BQL983046:BQL983053 CAH983046:CAH983053 CKD983046:CKD983053 CTZ983046:CTZ983053 DDV983046:DDV983053 DNR983046:DNR983053 DXN983046:DXN983053 EHJ983046:EHJ983053 ERF983046:ERF983053 FBB983046:FBB983053 FKX983046:FKX983053 FUT983046:FUT983053 GEP983046:GEP983053 GOL983046:GOL983053 GYH983046:GYH983053 HID983046:HID983053 HRZ983046:HRZ983053 IBV983046:IBV983053 ILR983046:ILR983053 IVN983046:IVN983053 JFJ983046:JFJ983053 JPF983046:JPF983053 JZB983046:JZB983053 KIX983046:KIX983053 KST983046:KST983053 LCP983046:LCP983053 LML983046:LML983053 LWH983046:LWH983053 MGD983046:MGD983053 MPZ983046:MPZ983053 MZV983046:MZV983053 NJR983046:NJR983053 NTN983046:NTN983053 ODJ983046:ODJ983053 ONF983046:ONF983053 OXB983046:OXB983053 PGX983046:PGX983053 PQT983046:PQT983053 QAP983046:QAP983053 QKL983046:QKL983053 QUH983046:QUH983053 RED983046:RED983053 RNZ983046:RNZ983053 RXV983046:RXV983053 SHR983046:SHR983053 SRN983046:SRN983053 TBJ983046:TBJ983053 TLF983046:TLF983053 TVB983046:TVB983053 UEX983046:UEX983053 UOT983046:UOT983053 UYP983046:UYP983053 VIL983046:VIL983053 VSH983046:VSH983053 WCD983046:WCD983053 WLZ983046:WLZ983053 WVV983046:WVV983053" xr:uid="{00000000-0002-0000-0400-000000000000}">
      <formula1>"정률,정액"</formula1>
    </dataValidation>
  </dataValidations>
  <hyperlinks>
    <hyperlink ref="A1" location="HOME!A1" display="HOME" xr:uid="{9BA5E691-E0A8-4739-B714-D97479EF122D}"/>
  </hyperlinks>
  <pageMargins left="0.7" right="0.7" top="0.75" bottom="0.75" header="0.3" footer="0.3"/>
  <pageSetup paperSize="9" orientation="portrait" horizontalDpi="300" vertic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5_Sheet">
    <tabColor theme="4" tint="0.59999389629810485"/>
  </sheetPr>
  <dimension ref="A1:S32"/>
  <sheetViews>
    <sheetView zoomScale="70" zoomScaleNormal="70" workbookViewId="0"/>
  </sheetViews>
  <sheetFormatPr defaultRowHeight="16.5" x14ac:dyDescent="0.3"/>
  <cols>
    <col min="6" max="6" width="16.625" bestFit="1" customWidth="1"/>
    <col min="7" max="7" width="17.875" bestFit="1" customWidth="1"/>
    <col min="8" max="13" width="16.625" bestFit="1" customWidth="1"/>
    <col min="14" max="15" width="3.5" bestFit="1" customWidth="1"/>
  </cols>
  <sheetData>
    <row r="1" spans="1:19" ht="21.75" customHeight="1" x14ac:dyDescent="0.3">
      <c r="A1" s="113" t="s">
        <v>325</v>
      </c>
      <c r="B1" s="250"/>
      <c r="C1" s="250"/>
      <c r="D1" s="251"/>
      <c r="E1" s="251"/>
      <c r="F1" s="250"/>
      <c r="G1" s="250"/>
      <c r="H1" s="252"/>
      <c r="I1" s="250"/>
      <c r="J1" s="250"/>
      <c r="K1" s="250"/>
      <c r="L1" s="250"/>
      <c r="M1" s="250"/>
      <c r="N1" s="250"/>
      <c r="O1" s="250"/>
      <c r="P1" s="250"/>
      <c r="Q1" s="250"/>
      <c r="R1" s="253"/>
      <c r="S1" s="250"/>
    </row>
    <row r="2" spans="1:19" ht="26.25" x14ac:dyDescent="0.3">
      <c r="A2" s="254"/>
      <c r="B2" s="254" t="s">
        <v>487</v>
      </c>
      <c r="C2" s="255"/>
      <c r="D2" s="255"/>
      <c r="E2" s="255"/>
      <c r="F2" s="256"/>
      <c r="G2" s="255"/>
      <c r="H2" s="257"/>
      <c r="I2" s="250"/>
      <c r="J2" s="250"/>
      <c r="K2" s="250"/>
      <c r="L2" s="250"/>
      <c r="M2" s="252"/>
      <c r="N2" s="250"/>
      <c r="O2" s="250"/>
      <c r="P2" s="250"/>
      <c r="Q2" s="250"/>
      <c r="R2" s="250"/>
      <c r="S2" s="250"/>
    </row>
    <row r="3" spans="1:19" ht="26.25" x14ac:dyDescent="0.3">
      <c r="A3" s="251"/>
      <c r="B3" s="258" t="s">
        <v>488</v>
      </c>
      <c r="C3" s="255"/>
      <c r="D3" s="255"/>
      <c r="E3" s="255"/>
      <c r="F3" s="255"/>
      <c r="G3" s="255"/>
      <c r="H3" s="259"/>
      <c r="I3" s="259"/>
      <c r="J3" s="259"/>
      <c r="K3" s="259"/>
      <c r="L3" s="259"/>
      <c r="M3" s="259"/>
      <c r="N3" s="260"/>
      <c r="O3" s="250"/>
      <c r="P3" s="250"/>
      <c r="Q3" s="250"/>
      <c r="R3" s="250"/>
      <c r="S3" s="250"/>
    </row>
    <row r="4" spans="1:19" ht="26.25" x14ac:dyDescent="0.3">
      <c r="A4" s="254"/>
      <c r="B4" s="261"/>
      <c r="C4" s="255"/>
      <c r="D4" s="255"/>
      <c r="E4" s="255"/>
      <c r="F4" s="255"/>
      <c r="G4" s="255"/>
      <c r="H4" s="255"/>
      <c r="I4" s="250"/>
      <c r="J4" s="250"/>
      <c r="K4" s="250"/>
      <c r="L4" s="250"/>
      <c r="M4" s="250"/>
      <c r="N4" s="250"/>
      <c r="O4" s="250"/>
      <c r="P4" s="250"/>
      <c r="Q4" s="250"/>
      <c r="R4" s="250"/>
      <c r="S4" s="250"/>
    </row>
    <row r="5" spans="1:19" ht="18" thickBot="1" x14ac:dyDescent="0.35">
      <c r="A5" s="262"/>
      <c r="B5" s="263"/>
      <c r="C5" s="250"/>
      <c r="D5" s="251"/>
      <c r="E5" s="251"/>
      <c r="F5" s="250"/>
      <c r="G5" s="250"/>
      <c r="H5" s="250"/>
      <c r="I5" s="250"/>
      <c r="J5" s="250"/>
      <c r="K5" s="264"/>
      <c r="L5" s="264"/>
      <c r="M5" s="264"/>
      <c r="N5" s="264"/>
      <c r="O5" s="264"/>
      <c r="P5" s="250"/>
      <c r="Q5" s="264" t="s">
        <v>489</v>
      </c>
      <c r="R5" s="250"/>
      <c r="S5" s="250"/>
    </row>
    <row r="6" spans="1:19" x14ac:dyDescent="0.3">
      <c r="A6" s="250"/>
      <c r="B6" s="567" t="s">
        <v>490</v>
      </c>
      <c r="C6" s="568"/>
      <c r="D6" s="569" t="s">
        <v>491</v>
      </c>
      <c r="E6" s="570"/>
      <c r="F6" s="265" t="s">
        <v>492</v>
      </c>
      <c r="G6" s="265" t="s">
        <v>446</v>
      </c>
      <c r="H6" s="265" t="s">
        <v>258</v>
      </c>
      <c r="I6" s="265" t="s">
        <v>259</v>
      </c>
      <c r="J6" s="265" t="s">
        <v>260</v>
      </c>
      <c r="K6" s="265" t="s">
        <v>261</v>
      </c>
      <c r="L6" s="265" t="s">
        <v>262</v>
      </c>
      <c r="M6" s="265" t="s">
        <v>263</v>
      </c>
      <c r="N6" s="265" t="s">
        <v>264</v>
      </c>
      <c r="O6" s="265" t="s">
        <v>265</v>
      </c>
      <c r="P6" s="571" t="s">
        <v>493</v>
      </c>
      <c r="Q6" s="571"/>
      <c r="R6" s="572"/>
      <c r="S6" s="266"/>
    </row>
    <row r="7" spans="1:19" x14ac:dyDescent="0.3">
      <c r="A7" s="250"/>
      <c r="B7" s="573" t="s">
        <v>462</v>
      </c>
      <c r="C7" s="577" t="s">
        <v>494</v>
      </c>
      <c r="D7" s="580" t="s">
        <v>495</v>
      </c>
      <c r="E7" s="581"/>
      <c r="F7" s="267">
        <v>15600000</v>
      </c>
      <c r="G7" s="267">
        <v>178780500</v>
      </c>
      <c r="H7" s="267">
        <v>178780500</v>
      </c>
      <c r="I7" s="267">
        <v>178780500</v>
      </c>
      <c r="J7" s="267">
        <v>178780500</v>
      </c>
      <c r="K7" s="267">
        <v>178780500</v>
      </c>
      <c r="L7" s="267">
        <v>178780500</v>
      </c>
      <c r="M7" s="267">
        <v>0</v>
      </c>
      <c r="N7" s="268"/>
      <c r="O7" s="268"/>
      <c r="P7" s="582" t="s">
        <v>496</v>
      </c>
      <c r="Q7" s="583"/>
      <c r="R7" s="584"/>
      <c r="S7" s="266"/>
    </row>
    <row r="8" spans="1:19" x14ac:dyDescent="0.3">
      <c r="A8" s="250"/>
      <c r="B8" s="574"/>
      <c r="C8" s="578"/>
      <c r="D8" s="580" t="s">
        <v>497</v>
      </c>
      <c r="E8" s="581"/>
      <c r="F8" s="269">
        <v>4806607788.4835911</v>
      </c>
      <c r="G8" s="269">
        <v>4581290726.8450003</v>
      </c>
      <c r="H8" s="269">
        <v>4280458483.9063249</v>
      </c>
      <c r="I8" s="269">
        <v>4123718006.4876471</v>
      </c>
      <c r="J8" s="269">
        <v>3953416288.7299218</v>
      </c>
      <c r="K8" s="269">
        <v>3848050785.1491747</v>
      </c>
      <c r="L8" s="269">
        <v>3903596760.5510283</v>
      </c>
      <c r="M8" s="267">
        <v>0</v>
      </c>
      <c r="N8" s="268"/>
      <c r="O8" s="268"/>
      <c r="P8" s="585"/>
      <c r="Q8" s="586"/>
      <c r="R8" s="587"/>
      <c r="S8" s="266"/>
    </row>
    <row r="9" spans="1:19" x14ac:dyDescent="0.3">
      <c r="A9" s="250"/>
      <c r="B9" s="574"/>
      <c r="C9" s="578"/>
      <c r="D9" s="591" t="s">
        <v>498</v>
      </c>
      <c r="E9" s="592"/>
      <c r="F9" s="269">
        <v>4122148935.9110465</v>
      </c>
      <c r="G9" s="269">
        <v>3172068923.5528708</v>
      </c>
      <c r="H9" s="269">
        <v>2874453292.4590735</v>
      </c>
      <c r="I9" s="269">
        <v>2869770795.6518164</v>
      </c>
      <c r="J9" s="269">
        <v>2831583342.2522488</v>
      </c>
      <c r="K9" s="269">
        <v>2767715616.581336</v>
      </c>
      <c r="L9" s="269">
        <v>2733012285.39399</v>
      </c>
      <c r="M9" s="267">
        <v>0</v>
      </c>
      <c r="N9" s="268"/>
      <c r="O9" s="268"/>
      <c r="P9" s="585"/>
      <c r="Q9" s="586"/>
      <c r="R9" s="587"/>
      <c r="S9" s="266"/>
    </row>
    <row r="10" spans="1:19" x14ac:dyDescent="0.3">
      <c r="A10" s="250"/>
      <c r="B10" s="574"/>
      <c r="C10" s="578"/>
      <c r="D10" s="593" t="s">
        <v>499</v>
      </c>
      <c r="E10" s="594"/>
      <c r="F10" s="267">
        <v>579903446.40602899</v>
      </c>
      <c r="G10" s="267">
        <v>336542577.19735622</v>
      </c>
      <c r="H10" s="267">
        <v>227040489.31509945</v>
      </c>
      <c r="I10" s="267">
        <v>228471022.18720093</v>
      </c>
      <c r="J10" s="267">
        <v>229923013.05238396</v>
      </c>
      <c r="K10" s="267">
        <v>231396783.7805447</v>
      </c>
      <c r="L10" s="267">
        <v>232892661.06962782</v>
      </c>
      <c r="M10" s="267">
        <v>0</v>
      </c>
      <c r="N10" s="268"/>
      <c r="O10" s="268"/>
      <c r="P10" s="585"/>
      <c r="Q10" s="586"/>
      <c r="R10" s="587"/>
      <c r="S10" s="266"/>
    </row>
    <row r="11" spans="1:19" x14ac:dyDescent="0.3">
      <c r="A11" s="250"/>
      <c r="B11" s="574"/>
      <c r="C11" s="578"/>
      <c r="D11" s="593" t="s">
        <v>500</v>
      </c>
      <c r="E11" s="594"/>
      <c r="F11" s="270">
        <v>5148000</v>
      </c>
      <c r="G11" s="270">
        <v>10296000</v>
      </c>
      <c r="H11" s="270">
        <v>82434534</v>
      </c>
      <c r="I11" s="270">
        <v>82434534</v>
      </c>
      <c r="J11" s="270">
        <v>101163495.19999999</v>
      </c>
      <c r="K11" s="270">
        <v>101163495.19999999</v>
      </c>
      <c r="L11" s="270">
        <v>101163495.19999999</v>
      </c>
      <c r="M11" s="270">
        <v>0</v>
      </c>
      <c r="N11" s="271"/>
      <c r="O11" s="271"/>
      <c r="P11" s="585"/>
      <c r="Q11" s="586"/>
      <c r="R11" s="587"/>
      <c r="S11" s="266"/>
    </row>
    <row r="12" spans="1:19" ht="17.25" thickBot="1" x14ac:dyDescent="0.35">
      <c r="A12" s="250"/>
      <c r="B12" s="574"/>
      <c r="C12" s="579"/>
      <c r="D12" s="542" t="s">
        <v>501</v>
      </c>
      <c r="E12" s="542"/>
      <c r="F12" s="272">
        <v>9529408170.8006668</v>
      </c>
      <c r="G12" s="272">
        <v>8278978727.5952272</v>
      </c>
      <c r="H12" s="272">
        <v>7643167299.6804981</v>
      </c>
      <c r="I12" s="272">
        <v>7483174858.326664</v>
      </c>
      <c r="J12" s="272">
        <v>7294866639.2345543</v>
      </c>
      <c r="K12" s="272">
        <v>7127107180.7110548</v>
      </c>
      <c r="L12" s="272">
        <v>7149445702.2146463</v>
      </c>
      <c r="M12" s="272">
        <v>0</v>
      </c>
      <c r="N12" s="272">
        <v>0</v>
      </c>
      <c r="O12" s="272">
        <v>0</v>
      </c>
      <c r="P12" s="588"/>
      <c r="Q12" s="589"/>
      <c r="R12" s="590"/>
      <c r="S12" s="266"/>
    </row>
    <row r="13" spans="1:19" ht="18" thickTop="1" thickBot="1" x14ac:dyDescent="0.35">
      <c r="A13" s="273">
        <v>4.9000000000000002E-2</v>
      </c>
      <c r="B13" s="575"/>
      <c r="C13" s="556" t="s">
        <v>502</v>
      </c>
      <c r="D13" s="563" t="s">
        <v>503</v>
      </c>
      <c r="E13" s="552"/>
      <c r="F13" s="269">
        <v>441936224.59533721</v>
      </c>
      <c r="G13" s="269">
        <v>442174291.67529821</v>
      </c>
      <c r="H13" s="269">
        <v>460643698.90380377</v>
      </c>
      <c r="I13" s="269">
        <v>479888278.14002889</v>
      </c>
      <c r="J13" s="269">
        <v>499939582.75001472</v>
      </c>
      <c r="K13" s="269">
        <v>520830387.86009699</v>
      </c>
      <c r="L13" s="269">
        <v>542796333.65522313</v>
      </c>
      <c r="M13" s="267">
        <v>0</v>
      </c>
      <c r="N13" s="268"/>
      <c r="O13" s="268"/>
      <c r="P13" s="595" t="s">
        <v>504</v>
      </c>
      <c r="Q13" s="596"/>
      <c r="R13" s="597"/>
      <c r="S13" s="266"/>
    </row>
    <row r="14" spans="1:19" ht="17.25" thickTop="1" x14ac:dyDescent="0.3">
      <c r="A14" s="250"/>
      <c r="B14" s="574"/>
      <c r="C14" s="556"/>
      <c r="D14" s="563" t="s">
        <v>505</v>
      </c>
      <c r="E14" s="552"/>
      <c r="F14" s="267">
        <v>225000000</v>
      </c>
      <c r="G14" s="267">
        <v>0</v>
      </c>
      <c r="H14" s="267">
        <v>0</v>
      </c>
      <c r="I14" s="267">
        <v>0</v>
      </c>
      <c r="J14" s="267">
        <v>0</v>
      </c>
      <c r="K14" s="267">
        <v>0</v>
      </c>
      <c r="L14" s="267">
        <v>0</v>
      </c>
      <c r="M14" s="267">
        <v>0</v>
      </c>
      <c r="N14" s="268"/>
      <c r="O14" s="268"/>
      <c r="P14" s="596"/>
      <c r="Q14" s="596"/>
      <c r="R14" s="597"/>
      <c r="S14" s="266"/>
    </row>
    <row r="15" spans="1:19" x14ac:dyDescent="0.3">
      <c r="A15" s="250"/>
      <c r="B15" s="574"/>
      <c r="C15" s="556"/>
      <c r="D15" s="550" t="s">
        <v>528</v>
      </c>
      <c r="E15" s="551"/>
      <c r="F15" s="274"/>
      <c r="G15" s="274">
        <v>0</v>
      </c>
      <c r="H15" s="274">
        <v>0</v>
      </c>
      <c r="I15" s="274">
        <v>0</v>
      </c>
      <c r="J15" s="274">
        <v>0</v>
      </c>
      <c r="K15" s="274">
        <v>0</v>
      </c>
      <c r="L15" s="274">
        <v>0</v>
      </c>
      <c r="M15" s="274">
        <v>0</v>
      </c>
      <c r="N15" s="268"/>
      <c r="O15" s="268"/>
      <c r="P15" s="596"/>
      <c r="Q15" s="596"/>
      <c r="R15" s="597"/>
      <c r="S15" s="266"/>
    </row>
    <row r="16" spans="1:19" x14ac:dyDescent="0.3">
      <c r="A16" s="250"/>
      <c r="B16" s="574"/>
      <c r="C16" s="556"/>
      <c r="D16" s="552" t="s">
        <v>506</v>
      </c>
      <c r="E16" s="552"/>
      <c r="F16" s="268"/>
      <c r="G16" s="268"/>
      <c r="H16" s="268"/>
      <c r="I16" s="268"/>
      <c r="J16" s="268"/>
      <c r="K16" s="268"/>
      <c r="L16" s="268"/>
      <c r="M16" s="268"/>
      <c r="N16" s="268"/>
      <c r="O16" s="268"/>
      <c r="P16" s="596"/>
      <c r="Q16" s="596"/>
      <c r="R16" s="597"/>
      <c r="S16" s="266"/>
    </row>
    <row r="17" spans="1:19" x14ac:dyDescent="0.3">
      <c r="A17" s="250"/>
      <c r="B17" s="574"/>
      <c r="C17" s="556"/>
      <c r="D17" s="542" t="s">
        <v>501</v>
      </c>
      <c r="E17" s="542"/>
      <c r="F17" s="272">
        <v>666936224.59533715</v>
      </c>
      <c r="G17" s="272">
        <v>442174291.67529821</v>
      </c>
      <c r="H17" s="272">
        <v>460643698.90380377</v>
      </c>
      <c r="I17" s="272">
        <v>479888278.14002889</v>
      </c>
      <c r="J17" s="272">
        <v>499939582.75001472</v>
      </c>
      <c r="K17" s="272">
        <v>520830387.86009699</v>
      </c>
      <c r="L17" s="272">
        <v>542796333.65522313</v>
      </c>
      <c r="M17" s="272">
        <v>0</v>
      </c>
      <c r="N17" s="272">
        <v>0</v>
      </c>
      <c r="O17" s="272">
        <v>0</v>
      </c>
      <c r="P17" s="596"/>
      <c r="Q17" s="596"/>
      <c r="R17" s="597"/>
      <c r="S17" s="266"/>
    </row>
    <row r="18" spans="1:19" x14ac:dyDescent="0.3">
      <c r="A18" s="250"/>
      <c r="B18" s="574"/>
      <c r="C18" s="556" t="s">
        <v>507</v>
      </c>
      <c r="D18" s="552" t="s">
        <v>508</v>
      </c>
      <c r="E18" s="552"/>
      <c r="F18" s="268"/>
      <c r="G18" s="268"/>
      <c r="H18" s="268"/>
      <c r="I18" s="268"/>
      <c r="J18" s="268"/>
      <c r="K18" s="268"/>
      <c r="L18" s="268"/>
      <c r="M18" s="268"/>
      <c r="N18" s="268"/>
      <c r="O18" s="268"/>
      <c r="P18" s="557" t="s">
        <v>509</v>
      </c>
      <c r="Q18" s="558"/>
      <c r="R18" s="559"/>
      <c r="S18" s="251"/>
    </row>
    <row r="19" spans="1:19" x14ac:dyDescent="0.3">
      <c r="A19" s="250"/>
      <c r="B19" s="574"/>
      <c r="C19" s="556"/>
      <c r="D19" s="552" t="s">
        <v>510</v>
      </c>
      <c r="E19" s="552"/>
      <c r="F19" s="268"/>
      <c r="G19" s="268"/>
      <c r="H19" s="268"/>
      <c r="I19" s="268"/>
      <c r="J19" s="268"/>
      <c r="K19" s="268"/>
      <c r="L19" s="268"/>
      <c r="M19" s="268"/>
      <c r="N19" s="268"/>
      <c r="O19" s="268"/>
      <c r="P19" s="558"/>
      <c r="Q19" s="558"/>
      <c r="R19" s="559"/>
      <c r="S19" s="251"/>
    </row>
    <row r="20" spans="1:19" x14ac:dyDescent="0.3">
      <c r="A20" s="250"/>
      <c r="B20" s="574"/>
      <c r="C20" s="556"/>
      <c r="D20" s="542" t="s">
        <v>511</v>
      </c>
      <c r="E20" s="542"/>
      <c r="F20" s="275">
        <v>0</v>
      </c>
      <c r="G20" s="275">
        <v>0</v>
      </c>
      <c r="H20" s="275">
        <v>0</v>
      </c>
      <c r="I20" s="275">
        <v>0</v>
      </c>
      <c r="J20" s="275">
        <v>0</v>
      </c>
      <c r="K20" s="275">
        <v>0</v>
      </c>
      <c r="L20" s="275">
        <v>0</v>
      </c>
      <c r="M20" s="275">
        <v>0</v>
      </c>
      <c r="N20" s="275">
        <v>0</v>
      </c>
      <c r="O20" s="275">
        <v>0</v>
      </c>
      <c r="P20" s="558"/>
      <c r="Q20" s="558"/>
      <c r="R20" s="559"/>
      <c r="S20" s="251"/>
    </row>
    <row r="21" spans="1:19" x14ac:dyDescent="0.3">
      <c r="A21" s="250"/>
      <c r="B21" s="574"/>
      <c r="C21" s="560" t="s">
        <v>512</v>
      </c>
      <c r="D21" s="563" t="s">
        <v>513</v>
      </c>
      <c r="E21" s="552"/>
      <c r="F21" s="268"/>
      <c r="G21" s="268"/>
      <c r="H21" s="268"/>
      <c r="I21" s="268"/>
      <c r="J21" s="268"/>
      <c r="K21" s="268"/>
      <c r="L21" s="268"/>
      <c r="M21" s="268"/>
      <c r="N21" s="268"/>
      <c r="O21" s="268"/>
      <c r="P21" s="564" t="s">
        <v>514</v>
      </c>
      <c r="Q21" s="565"/>
      <c r="R21" s="566"/>
      <c r="S21" s="251"/>
    </row>
    <row r="22" spans="1:19" x14ac:dyDescent="0.3">
      <c r="A22" s="250"/>
      <c r="B22" s="574"/>
      <c r="C22" s="561"/>
      <c r="D22" s="563" t="s">
        <v>515</v>
      </c>
      <c r="E22" s="552"/>
      <c r="F22" s="268">
        <v>167142885.71428573</v>
      </c>
      <c r="G22" s="268">
        <v>77726605.714285716</v>
      </c>
      <c r="H22" s="268">
        <v>83076661.714285731</v>
      </c>
      <c r="I22" s="268">
        <v>83076661.714285731</v>
      </c>
      <c r="J22" s="268">
        <v>83076661.714285731</v>
      </c>
      <c r="K22" s="268">
        <v>83076661.714285731</v>
      </c>
      <c r="L22" s="268">
        <v>84076661.714285731</v>
      </c>
      <c r="M22" s="268">
        <v>0</v>
      </c>
      <c r="N22" s="268"/>
      <c r="O22" s="268"/>
      <c r="P22" s="565"/>
      <c r="Q22" s="565"/>
      <c r="R22" s="566"/>
      <c r="S22" s="251"/>
    </row>
    <row r="23" spans="1:19" x14ac:dyDescent="0.3">
      <c r="A23" s="250"/>
      <c r="B23" s="574"/>
      <c r="C23" s="561"/>
      <c r="D23" s="563" t="s">
        <v>516</v>
      </c>
      <c r="E23" s="552"/>
      <c r="F23" s="268">
        <v>0</v>
      </c>
      <c r="G23" s="268">
        <v>145786732.74443725</v>
      </c>
      <c r="H23" s="268">
        <v>187734262.010986</v>
      </c>
      <c r="I23" s="268">
        <v>233002541.05131567</v>
      </c>
      <c r="J23" s="268">
        <v>281792816.86228812</v>
      </c>
      <c r="K23" s="268">
        <v>334316856.95083588</v>
      </c>
      <c r="L23" s="268">
        <v>391419019.13441128</v>
      </c>
      <c r="M23" s="268">
        <v>0</v>
      </c>
      <c r="N23" s="268"/>
      <c r="O23" s="268"/>
      <c r="P23" s="565"/>
      <c r="Q23" s="565"/>
      <c r="R23" s="566"/>
      <c r="S23" s="250"/>
    </row>
    <row r="24" spans="1:19" x14ac:dyDescent="0.3">
      <c r="A24" s="250"/>
      <c r="B24" s="574"/>
      <c r="C24" s="561"/>
      <c r="D24" s="552" t="s">
        <v>517</v>
      </c>
      <c r="E24" s="552"/>
      <c r="F24" s="268">
        <v>300000000</v>
      </c>
      <c r="G24" s="268">
        <v>0</v>
      </c>
      <c r="H24" s="268">
        <v>0</v>
      </c>
      <c r="I24" s="268">
        <v>0</v>
      </c>
      <c r="J24" s="268">
        <v>0</v>
      </c>
      <c r="K24" s="268">
        <v>0</v>
      </c>
      <c r="L24" s="268">
        <v>0</v>
      </c>
      <c r="M24" s="268">
        <v>0</v>
      </c>
      <c r="N24" s="268"/>
      <c r="O24" s="268"/>
      <c r="P24" s="565"/>
      <c r="Q24" s="565"/>
      <c r="R24" s="566"/>
      <c r="S24" s="250"/>
    </row>
    <row r="25" spans="1:19" x14ac:dyDescent="0.3">
      <c r="A25" s="250"/>
      <c r="B25" s="574"/>
      <c r="C25" s="562"/>
      <c r="D25" s="542" t="s">
        <v>511</v>
      </c>
      <c r="E25" s="542"/>
      <c r="F25" s="275">
        <v>467142885.71428573</v>
      </c>
      <c r="G25" s="275">
        <v>223513338.45872295</v>
      </c>
      <c r="H25" s="275">
        <v>270810923.7252717</v>
      </c>
      <c r="I25" s="275">
        <v>316079202.7656014</v>
      </c>
      <c r="J25" s="275">
        <v>364869478.57657385</v>
      </c>
      <c r="K25" s="275">
        <v>417393518.66512161</v>
      </c>
      <c r="L25" s="275">
        <v>475495680.84869701</v>
      </c>
      <c r="M25" s="275">
        <v>0</v>
      </c>
      <c r="N25" s="275">
        <v>0</v>
      </c>
      <c r="O25" s="275">
        <v>0</v>
      </c>
      <c r="P25" s="543"/>
      <c r="Q25" s="544"/>
      <c r="R25" s="545"/>
      <c r="S25" s="250"/>
    </row>
    <row r="26" spans="1:19" x14ac:dyDescent="0.3">
      <c r="A26" s="250"/>
      <c r="B26" s="576"/>
      <c r="C26" s="276" t="s">
        <v>518</v>
      </c>
      <c r="D26" s="546" t="s">
        <v>519</v>
      </c>
      <c r="E26" s="546"/>
      <c r="F26" s="277">
        <v>43331116.055555567</v>
      </c>
      <c r="G26" s="277">
        <v>519973392.66666681</v>
      </c>
      <c r="H26" s="277">
        <v>519973392.66666681</v>
      </c>
      <c r="I26" s="277">
        <v>519973392.66666681</v>
      </c>
      <c r="J26" s="277">
        <v>519973392.66666681</v>
      </c>
      <c r="K26" s="277">
        <v>519973392.66666681</v>
      </c>
      <c r="L26" s="277">
        <v>476642276.61111122</v>
      </c>
      <c r="M26" s="277">
        <v>0</v>
      </c>
      <c r="N26" s="277">
        <v>0</v>
      </c>
      <c r="O26" s="277">
        <v>0</v>
      </c>
      <c r="P26" s="540" t="s">
        <v>520</v>
      </c>
      <c r="Q26" s="540"/>
      <c r="R26" s="541"/>
      <c r="S26" s="251"/>
    </row>
    <row r="27" spans="1:19" x14ac:dyDescent="0.3">
      <c r="A27" s="250"/>
      <c r="B27" s="547" t="s">
        <v>521</v>
      </c>
      <c r="C27" s="548"/>
      <c r="D27" s="548"/>
      <c r="E27" s="549"/>
      <c r="F27" s="278">
        <v>10706818397.165844</v>
      </c>
      <c r="G27" s="278">
        <v>9464639750.3959141</v>
      </c>
      <c r="H27" s="278">
        <v>8894595314.9762402</v>
      </c>
      <c r="I27" s="278">
        <v>8799115731.8989601</v>
      </c>
      <c r="J27" s="278">
        <v>8679649093.227808</v>
      </c>
      <c r="K27" s="278">
        <v>8585304479.9029408</v>
      </c>
      <c r="L27" s="278">
        <v>8644379993.3296776</v>
      </c>
      <c r="M27" s="278">
        <v>0</v>
      </c>
      <c r="N27" s="278">
        <v>0</v>
      </c>
      <c r="O27" s="278">
        <v>0</v>
      </c>
      <c r="P27" s="553"/>
      <c r="Q27" s="554"/>
      <c r="R27" s="555"/>
      <c r="S27" s="251"/>
    </row>
    <row r="28" spans="1:19" x14ac:dyDescent="0.25">
      <c r="A28" s="250"/>
      <c r="B28" s="529" t="s">
        <v>522</v>
      </c>
      <c r="C28" s="531" t="s">
        <v>523</v>
      </c>
      <c r="D28" s="532"/>
      <c r="E28" s="533"/>
      <c r="F28" s="279"/>
      <c r="G28" s="279"/>
      <c r="H28" s="279"/>
      <c r="I28" s="279"/>
      <c r="J28" s="279"/>
      <c r="K28" s="279"/>
      <c r="L28" s="279"/>
      <c r="M28" s="279"/>
      <c r="N28" s="279"/>
      <c r="O28" s="279"/>
      <c r="P28" s="534"/>
      <c r="Q28" s="535"/>
      <c r="R28" s="536"/>
      <c r="S28" s="251"/>
    </row>
    <row r="29" spans="1:19" x14ac:dyDescent="0.25">
      <c r="A29" s="250"/>
      <c r="B29" s="530"/>
      <c r="C29" s="531" t="s">
        <v>524</v>
      </c>
      <c r="D29" s="532"/>
      <c r="E29" s="533"/>
      <c r="F29" s="279"/>
      <c r="G29" s="279"/>
      <c r="H29" s="279"/>
      <c r="I29" s="279"/>
      <c r="J29" s="279"/>
      <c r="K29" s="279"/>
      <c r="L29" s="279"/>
      <c r="M29" s="279"/>
      <c r="N29" s="279"/>
      <c r="O29" s="279"/>
      <c r="P29" s="534"/>
      <c r="Q29" s="535"/>
      <c r="R29" s="536"/>
      <c r="S29" s="251"/>
    </row>
    <row r="30" spans="1:19" x14ac:dyDescent="0.3">
      <c r="A30" s="250"/>
      <c r="B30" s="530"/>
      <c r="C30" s="537" t="s">
        <v>525</v>
      </c>
      <c r="D30" s="538"/>
      <c r="E30" s="539"/>
      <c r="F30" s="277">
        <v>0</v>
      </c>
      <c r="G30" s="277">
        <v>0</v>
      </c>
      <c r="H30" s="277">
        <v>0</v>
      </c>
      <c r="I30" s="277">
        <v>0</v>
      </c>
      <c r="J30" s="277">
        <v>0</v>
      </c>
      <c r="K30" s="277">
        <v>0</v>
      </c>
      <c r="L30" s="277">
        <v>0</v>
      </c>
      <c r="M30" s="277">
        <v>0</v>
      </c>
      <c r="N30" s="277">
        <v>0</v>
      </c>
      <c r="O30" s="277">
        <v>0</v>
      </c>
      <c r="P30" s="540" t="s">
        <v>520</v>
      </c>
      <c r="Q30" s="540"/>
      <c r="R30" s="541"/>
      <c r="S30" s="251"/>
    </row>
    <row r="31" spans="1:19" x14ac:dyDescent="0.25">
      <c r="A31" s="250"/>
      <c r="B31" s="547" t="s">
        <v>526</v>
      </c>
      <c r="C31" s="548"/>
      <c r="D31" s="548"/>
      <c r="E31" s="549"/>
      <c r="F31" s="278">
        <v>0</v>
      </c>
      <c r="G31" s="278">
        <v>0</v>
      </c>
      <c r="H31" s="278">
        <v>0</v>
      </c>
      <c r="I31" s="278">
        <v>0</v>
      </c>
      <c r="J31" s="278">
        <v>0</v>
      </c>
      <c r="K31" s="278">
        <v>0</v>
      </c>
      <c r="L31" s="278">
        <v>0</v>
      </c>
      <c r="M31" s="278">
        <v>0</v>
      </c>
      <c r="N31" s="278">
        <v>0</v>
      </c>
      <c r="O31" s="278">
        <v>0</v>
      </c>
      <c r="P31" s="534"/>
      <c r="Q31" s="535"/>
      <c r="R31" s="536"/>
      <c r="S31" s="251"/>
    </row>
    <row r="32" spans="1:19" ht="17.25" thickBot="1" x14ac:dyDescent="0.35">
      <c r="A32" s="250"/>
      <c r="B32" s="523" t="s">
        <v>527</v>
      </c>
      <c r="C32" s="524"/>
      <c r="D32" s="524"/>
      <c r="E32" s="525"/>
      <c r="F32" s="280">
        <v>10706818397.165844</v>
      </c>
      <c r="G32" s="280">
        <v>9464639750.3959141</v>
      </c>
      <c r="H32" s="280">
        <v>8894595314.9762402</v>
      </c>
      <c r="I32" s="280">
        <v>8799115731.8989601</v>
      </c>
      <c r="J32" s="280">
        <v>8679649093.227808</v>
      </c>
      <c r="K32" s="280">
        <v>8585304479.9029408</v>
      </c>
      <c r="L32" s="280">
        <v>8644379993.3296776</v>
      </c>
      <c r="M32" s="280">
        <v>0</v>
      </c>
      <c r="N32" s="280">
        <v>0</v>
      </c>
      <c r="O32" s="280">
        <v>0</v>
      </c>
      <c r="P32" s="526"/>
      <c r="Q32" s="527"/>
      <c r="R32" s="528"/>
      <c r="S32" s="251"/>
    </row>
  </sheetData>
  <mergeCells count="47">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D25:E25"/>
    <mergeCell ref="P25:R25"/>
    <mergeCell ref="D26:E26"/>
    <mergeCell ref="P26:R26"/>
    <mergeCell ref="B31:E31"/>
    <mergeCell ref="P31:R31"/>
    <mergeCell ref="B32:E32"/>
    <mergeCell ref="P32:R32"/>
    <mergeCell ref="B28:B30"/>
    <mergeCell ref="C28:E28"/>
    <mergeCell ref="P28:R28"/>
    <mergeCell ref="C29:E29"/>
    <mergeCell ref="P29:R29"/>
    <mergeCell ref="C30:E30"/>
    <mergeCell ref="P30:R30"/>
  </mergeCells>
  <phoneticPr fontId="1" type="noConversion"/>
  <hyperlinks>
    <hyperlink ref="A1" location="HOME!A1" display="HOME" xr:uid="{166F050E-D134-4C72-BB45-A41C1CA948E1}"/>
  </hyperlink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42EA9-57C6-4938-A0A1-2A8CFE4971B1}">
  <sheetPr codeName="Sheet1"/>
  <dimension ref="A1:O59"/>
  <sheetViews>
    <sheetView topLeftCell="A31" zoomScale="85" zoomScaleNormal="85" workbookViewId="0">
      <selection activeCell="F45" sqref="F45"/>
    </sheetView>
  </sheetViews>
  <sheetFormatPr defaultRowHeight="16.5" x14ac:dyDescent="0.3"/>
  <cols>
    <col min="4" max="4" width="14.25" bestFit="1" customWidth="1"/>
    <col min="5" max="5" width="16.75" bestFit="1" customWidth="1"/>
    <col min="6" max="6" width="16.25" bestFit="1" customWidth="1"/>
    <col min="7" max="7" width="8.875" bestFit="1" customWidth="1"/>
    <col min="9" max="9" width="8.875" bestFit="1" customWidth="1"/>
    <col min="11" max="12" width="8.875" bestFit="1" customWidth="1"/>
    <col min="14" max="14" width="8.875" bestFit="1" customWidth="1"/>
  </cols>
  <sheetData>
    <row r="1" spans="1:15" x14ac:dyDescent="0.3">
      <c r="A1" s="622" t="s">
        <v>490</v>
      </c>
      <c r="B1" s="622"/>
      <c r="C1" s="622"/>
      <c r="D1" s="622"/>
      <c r="E1" s="622"/>
      <c r="F1" s="465" t="s">
        <v>1040</v>
      </c>
      <c r="G1" s="622" t="s">
        <v>1041</v>
      </c>
      <c r="H1" s="622"/>
      <c r="I1" s="622"/>
      <c r="J1" s="622"/>
      <c r="K1" s="622"/>
      <c r="L1" s="622"/>
      <c r="M1" s="622"/>
      <c r="N1" s="622"/>
      <c r="O1" s="622"/>
    </row>
    <row r="2" spans="1:15" x14ac:dyDescent="0.3">
      <c r="A2" s="623" t="s">
        <v>1042</v>
      </c>
      <c r="B2" s="624" t="s">
        <v>1042</v>
      </c>
      <c r="C2" s="624"/>
      <c r="D2" s="624"/>
      <c r="E2" s="624"/>
      <c r="F2" s="480">
        <v>69570048694</v>
      </c>
      <c r="G2" s="625" t="s">
        <v>1043</v>
      </c>
      <c r="H2" s="625"/>
      <c r="I2" s="626">
        <v>44197</v>
      </c>
      <c r="J2" s="626"/>
      <c r="K2" s="466" t="s">
        <v>1044</v>
      </c>
      <c r="L2" s="467">
        <v>84</v>
      </c>
      <c r="M2" s="466" t="s">
        <v>1045</v>
      </c>
      <c r="N2" s="627" t="s">
        <v>1046</v>
      </c>
      <c r="O2" s="627"/>
    </row>
    <row r="3" spans="1:15" x14ac:dyDescent="0.3">
      <c r="A3" s="623"/>
      <c r="B3" s="623" t="s">
        <v>1047</v>
      </c>
      <c r="C3" s="623"/>
      <c r="D3" s="623"/>
      <c r="E3" s="623"/>
      <c r="F3" s="484" t="s">
        <v>1048</v>
      </c>
      <c r="G3" s="623"/>
      <c r="H3" s="623"/>
      <c r="I3" s="623"/>
      <c r="J3" s="623"/>
      <c r="K3" s="623"/>
      <c r="L3" s="623"/>
      <c r="M3" s="623"/>
      <c r="N3" s="623"/>
      <c r="O3" s="623"/>
    </row>
    <row r="4" spans="1:15" x14ac:dyDescent="0.3">
      <c r="A4" s="646" t="s">
        <v>462</v>
      </c>
      <c r="B4" s="465" t="s">
        <v>1049</v>
      </c>
      <c r="C4" s="624" t="s">
        <v>1051</v>
      </c>
      <c r="D4" s="624" t="s">
        <v>1052</v>
      </c>
      <c r="E4" s="466" t="s">
        <v>661</v>
      </c>
      <c r="F4" s="480">
        <v>2283417500</v>
      </c>
      <c r="G4" s="627" t="s">
        <v>1053</v>
      </c>
      <c r="H4" s="627"/>
      <c r="I4" s="627"/>
      <c r="J4" s="627"/>
      <c r="K4" s="627"/>
      <c r="L4" s="627"/>
      <c r="M4" s="627"/>
      <c r="N4" s="627"/>
      <c r="O4" s="627"/>
    </row>
    <row r="5" spans="1:15" x14ac:dyDescent="0.3">
      <c r="A5" s="646"/>
      <c r="B5" s="465" t="s">
        <v>1050</v>
      </c>
      <c r="C5" s="624"/>
      <c r="D5" s="624"/>
      <c r="E5" s="466" t="s">
        <v>1054</v>
      </c>
      <c r="F5" s="480">
        <v>502986216</v>
      </c>
      <c r="G5" s="627"/>
      <c r="H5" s="627"/>
      <c r="I5" s="627"/>
      <c r="J5" s="627"/>
      <c r="K5" s="627"/>
      <c r="L5" s="627"/>
      <c r="M5" s="627"/>
      <c r="N5" s="627"/>
      <c r="O5" s="627"/>
    </row>
    <row r="6" spans="1:15" x14ac:dyDescent="0.3">
      <c r="A6" s="646"/>
      <c r="B6" s="468"/>
      <c r="C6" s="624"/>
      <c r="D6" s="624"/>
      <c r="E6" s="466" t="s">
        <v>1055</v>
      </c>
      <c r="F6" s="480">
        <v>1185523410</v>
      </c>
      <c r="G6" s="627"/>
      <c r="H6" s="627"/>
      <c r="I6" s="627"/>
      <c r="J6" s="627"/>
      <c r="K6" s="627"/>
      <c r="L6" s="627"/>
      <c r="M6" s="627"/>
      <c r="N6" s="627"/>
      <c r="O6" s="627"/>
    </row>
    <row r="7" spans="1:15" x14ac:dyDescent="0.3">
      <c r="A7" s="646"/>
      <c r="B7" s="468"/>
      <c r="C7" s="624"/>
      <c r="D7" s="624" t="s">
        <v>1056</v>
      </c>
      <c r="E7" s="466" t="s">
        <v>1057</v>
      </c>
      <c r="F7" s="480">
        <v>945000000</v>
      </c>
      <c r="G7" s="627" t="s">
        <v>1058</v>
      </c>
      <c r="H7" s="627"/>
      <c r="I7" s="627"/>
      <c r="J7" s="627"/>
      <c r="K7" s="627"/>
      <c r="L7" s="627"/>
      <c r="M7" s="627"/>
      <c r="N7" s="627"/>
      <c r="O7" s="627"/>
    </row>
    <row r="8" spans="1:15" x14ac:dyDescent="0.3">
      <c r="A8" s="646"/>
      <c r="B8" s="468"/>
      <c r="C8" s="624"/>
      <c r="D8" s="624"/>
      <c r="E8" s="466" t="s">
        <v>1059</v>
      </c>
      <c r="F8" s="480">
        <v>51290822408</v>
      </c>
      <c r="G8" s="627"/>
      <c r="H8" s="627"/>
      <c r="I8" s="627"/>
      <c r="J8" s="627"/>
      <c r="K8" s="627"/>
      <c r="L8" s="627"/>
      <c r="M8" s="627"/>
      <c r="N8" s="627"/>
      <c r="O8" s="627"/>
    </row>
    <row r="9" spans="1:15" x14ac:dyDescent="0.3">
      <c r="A9" s="646"/>
      <c r="B9" s="468"/>
      <c r="C9" s="624"/>
      <c r="D9" s="624"/>
      <c r="E9" s="469"/>
      <c r="F9" s="485"/>
      <c r="G9" s="627"/>
      <c r="H9" s="627"/>
      <c r="I9" s="627"/>
      <c r="J9" s="627"/>
      <c r="K9" s="627"/>
      <c r="L9" s="627"/>
      <c r="M9" s="627"/>
      <c r="N9" s="627"/>
      <c r="O9" s="627"/>
    </row>
    <row r="10" spans="1:15" x14ac:dyDescent="0.3">
      <c r="A10" s="646"/>
      <c r="B10" s="468"/>
      <c r="C10" s="624"/>
      <c r="D10" s="624" t="s">
        <v>1060</v>
      </c>
      <c r="E10" s="469"/>
      <c r="F10" s="485"/>
      <c r="G10" s="627" t="s">
        <v>1061</v>
      </c>
      <c r="H10" s="627"/>
      <c r="I10" s="627"/>
      <c r="J10" s="627"/>
      <c r="K10" s="627"/>
      <c r="L10" s="627"/>
      <c r="M10" s="627"/>
      <c r="N10" s="627"/>
      <c r="O10" s="627"/>
    </row>
    <row r="11" spans="1:15" x14ac:dyDescent="0.3">
      <c r="A11" s="646"/>
      <c r="B11" s="468"/>
      <c r="C11" s="624"/>
      <c r="D11" s="624"/>
      <c r="E11" s="469"/>
      <c r="F11" s="485"/>
      <c r="G11" s="627"/>
      <c r="H11" s="627"/>
      <c r="I11" s="627"/>
      <c r="J11" s="627"/>
      <c r="K11" s="627"/>
      <c r="L11" s="627"/>
      <c r="M11" s="627"/>
      <c r="N11" s="627"/>
      <c r="O11" s="627"/>
    </row>
    <row r="12" spans="1:15" x14ac:dyDescent="0.3">
      <c r="A12" s="646"/>
      <c r="B12" s="468"/>
      <c r="C12" s="624"/>
      <c r="D12" s="624"/>
      <c r="E12" s="469"/>
      <c r="F12" s="485"/>
      <c r="G12" s="627"/>
      <c r="H12" s="627"/>
      <c r="I12" s="627"/>
      <c r="J12" s="627"/>
      <c r="K12" s="627"/>
      <c r="L12" s="627"/>
      <c r="M12" s="627"/>
      <c r="N12" s="627"/>
      <c r="O12" s="627"/>
    </row>
    <row r="13" spans="1:15" x14ac:dyDescent="0.3">
      <c r="A13" s="646"/>
      <c r="B13" s="468"/>
      <c r="C13" s="622" t="s">
        <v>1062</v>
      </c>
      <c r="D13" s="622"/>
      <c r="E13" s="622"/>
      <c r="F13" s="483">
        <v>56207749534</v>
      </c>
      <c r="G13" s="630" t="s">
        <v>1063</v>
      </c>
      <c r="H13" s="630"/>
      <c r="I13" s="628">
        <v>0.80800000000000005</v>
      </c>
      <c r="J13" s="628"/>
      <c r="K13" s="622"/>
      <c r="L13" s="622"/>
      <c r="M13" s="622"/>
      <c r="N13" s="622"/>
      <c r="O13" s="622"/>
    </row>
    <row r="14" spans="1:15" ht="26.45" customHeight="1" x14ac:dyDescent="0.3">
      <c r="A14" s="646"/>
      <c r="B14" s="468"/>
      <c r="C14" s="624" t="s">
        <v>280</v>
      </c>
      <c r="D14" s="624" t="s">
        <v>1064</v>
      </c>
      <c r="E14" s="624" t="s">
        <v>1065</v>
      </c>
      <c r="F14" s="629" t="s">
        <v>1066</v>
      </c>
      <c r="G14" s="627" t="s">
        <v>1067</v>
      </c>
      <c r="H14" s="627"/>
      <c r="I14" s="627"/>
      <c r="J14" s="627"/>
      <c r="K14" s="627"/>
      <c r="L14" s="627"/>
      <c r="M14" s="627"/>
      <c r="N14" s="627"/>
      <c r="O14" s="627"/>
    </row>
    <row r="15" spans="1:15" x14ac:dyDescent="0.3">
      <c r="A15" s="646"/>
      <c r="B15" s="468"/>
      <c r="C15" s="624"/>
      <c r="D15" s="624"/>
      <c r="E15" s="624"/>
      <c r="F15" s="629"/>
      <c r="G15" s="627" t="s">
        <v>1068</v>
      </c>
      <c r="H15" s="627"/>
      <c r="I15" s="627"/>
      <c r="J15" s="627"/>
      <c r="K15" s="627"/>
      <c r="L15" s="627"/>
      <c r="M15" s="627"/>
      <c r="N15" s="627"/>
      <c r="O15" s="627"/>
    </row>
    <row r="16" spans="1:15" x14ac:dyDescent="0.3">
      <c r="A16" s="646"/>
      <c r="B16" s="468"/>
      <c r="C16" s="624"/>
      <c r="D16" s="624" t="s">
        <v>1069</v>
      </c>
      <c r="E16" s="467" t="s">
        <v>1070</v>
      </c>
      <c r="F16" s="482"/>
      <c r="G16" s="627" t="s">
        <v>1071</v>
      </c>
      <c r="H16" s="627"/>
      <c r="I16" s="627"/>
      <c r="J16" s="627"/>
      <c r="K16" s="627"/>
      <c r="L16" s="627"/>
      <c r="M16" s="627"/>
      <c r="N16" s="627"/>
      <c r="O16" s="627"/>
    </row>
    <row r="17" spans="1:15" x14ac:dyDescent="0.3">
      <c r="A17" s="646"/>
      <c r="B17" s="468"/>
      <c r="C17" s="624"/>
      <c r="D17" s="624"/>
      <c r="E17" s="467" t="s">
        <v>1072</v>
      </c>
      <c r="F17" s="482">
        <v>28100000</v>
      </c>
      <c r="G17" s="627" t="s">
        <v>1073</v>
      </c>
      <c r="H17" s="627"/>
      <c r="I17" s="627"/>
      <c r="J17" s="627"/>
      <c r="K17" s="627"/>
      <c r="L17" s="627"/>
      <c r="M17" s="627"/>
      <c r="N17" s="627"/>
      <c r="O17" s="627"/>
    </row>
    <row r="18" spans="1:15" x14ac:dyDescent="0.3">
      <c r="A18" s="646"/>
      <c r="B18" s="468"/>
      <c r="C18" s="624"/>
      <c r="D18" s="624"/>
      <c r="E18" s="467" t="s">
        <v>1074</v>
      </c>
      <c r="F18" s="482">
        <v>91000000</v>
      </c>
      <c r="G18" s="627" t="s">
        <v>1075</v>
      </c>
      <c r="H18" s="627"/>
      <c r="I18" s="627"/>
      <c r="J18" s="627"/>
      <c r="K18" s="627"/>
      <c r="L18" s="627"/>
      <c r="M18" s="627"/>
      <c r="N18" s="627"/>
      <c r="O18" s="627"/>
    </row>
    <row r="19" spans="1:15" x14ac:dyDescent="0.3">
      <c r="A19" s="646"/>
      <c r="B19" s="468"/>
      <c r="C19" s="624"/>
      <c r="D19" s="624"/>
      <c r="E19" s="467" t="s">
        <v>1076</v>
      </c>
      <c r="F19" s="482">
        <v>32000000</v>
      </c>
      <c r="G19" s="627" t="s">
        <v>1077</v>
      </c>
      <c r="H19" s="627"/>
      <c r="I19" s="627"/>
      <c r="J19" s="627"/>
      <c r="K19" s="627"/>
      <c r="L19" s="627"/>
      <c r="M19" s="627"/>
      <c r="N19" s="627"/>
      <c r="O19" s="627"/>
    </row>
    <row r="20" spans="1:15" x14ac:dyDescent="0.3">
      <c r="A20" s="646"/>
      <c r="B20" s="468"/>
      <c r="C20" s="624"/>
      <c r="D20" s="624"/>
      <c r="E20" s="467" t="s">
        <v>1078</v>
      </c>
      <c r="F20" s="482">
        <v>14000000</v>
      </c>
      <c r="G20" s="627" t="s">
        <v>1079</v>
      </c>
      <c r="H20" s="627"/>
      <c r="I20" s="627"/>
      <c r="J20" s="627"/>
      <c r="K20" s="627"/>
      <c r="L20" s="627"/>
      <c r="M20" s="627"/>
      <c r="N20" s="627"/>
      <c r="O20" s="627"/>
    </row>
    <row r="21" spans="1:15" x14ac:dyDescent="0.3">
      <c r="A21" s="646"/>
      <c r="B21" s="468"/>
      <c r="C21" s="624"/>
      <c r="D21" s="624"/>
      <c r="E21" s="467" t="s">
        <v>1080</v>
      </c>
      <c r="F21" s="482">
        <v>18800000</v>
      </c>
      <c r="G21" s="627" t="s">
        <v>1081</v>
      </c>
      <c r="H21" s="627"/>
      <c r="I21" s="627"/>
      <c r="J21" s="627"/>
      <c r="K21" s="627"/>
      <c r="L21" s="627"/>
      <c r="M21" s="627"/>
      <c r="N21" s="627"/>
      <c r="O21" s="627"/>
    </row>
    <row r="22" spans="1:15" x14ac:dyDescent="0.3">
      <c r="A22" s="646"/>
      <c r="B22" s="468"/>
      <c r="C22" s="624"/>
      <c r="D22" s="624"/>
      <c r="E22" s="467" t="s">
        <v>1082</v>
      </c>
      <c r="F22" s="482"/>
      <c r="G22" s="627" t="s">
        <v>1083</v>
      </c>
      <c r="H22" s="627"/>
      <c r="I22" s="627"/>
      <c r="J22" s="627"/>
      <c r="K22" s="627"/>
      <c r="L22" s="627"/>
      <c r="M22" s="627"/>
      <c r="N22" s="627"/>
      <c r="O22" s="627"/>
    </row>
    <row r="23" spans="1:15" x14ac:dyDescent="0.3">
      <c r="A23" s="646"/>
      <c r="B23" s="468"/>
      <c r="C23" s="624"/>
      <c r="D23" s="467" t="s">
        <v>998</v>
      </c>
      <c r="E23" s="467" t="s">
        <v>1084</v>
      </c>
      <c r="F23" s="482">
        <v>23450000</v>
      </c>
      <c r="G23" s="627" t="s">
        <v>1085</v>
      </c>
      <c r="H23" s="627"/>
      <c r="I23" s="627"/>
      <c r="J23" s="627"/>
      <c r="K23" s="627"/>
      <c r="L23" s="627"/>
      <c r="M23" s="627"/>
      <c r="N23" s="627"/>
      <c r="O23" s="627"/>
    </row>
    <row r="24" spans="1:15" x14ac:dyDescent="0.3">
      <c r="A24" s="646"/>
      <c r="B24" s="468"/>
      <c r="C24" s="622" t="s">
        <v>1086</v>
      </c>
      <c r="D24" s="622"/>
      <c r="E24" s="622"/>
      <c r="F24" s="483" t="s">
        <v>1087</v>
      </c>
      <c r="G24" s="631"/>
      <c r="H24" s="631"/>
      <c r="I24" s="631"/>
      <c r="J24" s="631"/>
      <c r="K24" s="631"/>
      <c r="L24" s="631"/>
      <c r="M24" s="631"/>
      <c r="N24" s="631"/>
      <c r="O24" s="631"/>
    </row>
    <row r="25" spans="1:15" x14ac:dyDescent="0.3">
      <c r="A25" s="646"/>
      <c r="B25" s="468"/>
      <c r="C25" s="624" t="s">
        <v>1088</v>
      </c>
      <c r="D25" s="624" t="s">
        <v>1089</v>
      </c>
      <c r="E25" s="467" t="s">
        <v>1090</v>
      </c>
      <c r="F25" s="467" t="s">
        <v>1091</v>
      </c>
      <c r="G25" s="481">
        <v>1</v>
      </c>
      <c r="H25" s="466" t="s">
        <v>1092</v>
      </c>
      <c r="I25" s="481">
        <v>94</v>
      </c>
      <c r="J25" s="466" t="s">
        <v>1045</v>
      </c>
      <c r="K25" s="632" t="s">
        <v>1093</v>
      </c>
      <c r="L25" s="632"/>
      <c r="M25" s="632"/>
      <c r="N25" s="632"/>
      <c r="O25" s="632"/>
    </row>
    <row r="26" spans="1:15" x14ac:dyDescent="0.3">
      <c r="A26" s="646"/>
      <c r="B26" s="468"/>
      <c r="C26" s="624"/>
      <c r="D26" s="624"/>
      <c r="E26" s="624" t="s">
        <v>1094</v>
      </c>
      <c r="F26" s="467" t="s">
        <v>1095</v>
      </c>
      <c r="G26" s="481">
        <v>1</v>
      </c>
      <c r="H26" s="466" t="s">
        <v>1092</v>
      </c>
      <c r="I26" s="481">
        <v>12</v>
      </c>
      <c r="J26" s="466" t="s">
        <v>1045</v>
      </c>
      <c r="K26" s="632" t="s">
        <v>1096</v>
      </c>
      <c r="L26" s="632"/>
      <c r="M26" s="632"/>
      <c r="N26" s="632"/>
      <c r="O26" s="632"/>
    </row>
    <row r="27" spans="1:15" ht="27" x14ac:dyDescent="0.3">
      <c r="A27" s="646"/>
      <c r="B27" s="468"/>
      <c r="C27" s="624"/>
      <c r="D27" s="624"/>
      <c r="E27" s="624"/>
      <c r="F27" s="467" t="s">
        <v>1097</v>
      </c>
      <c r="G27" s="481">
        <v>1</v>
      </c>
      <c r="H27" s="466" t="s">
        <v>1092</v>
      </c>
      <c r="I27" s="481">
        <v>10</v>
      </c>
      <c r="J27" s="466" t="s">
        <v>1045</v>
      </c>
      <c r="K27" s="471"/>
      <c r="L27" s="471" t="s">
        <v>1098</v>
      </c>
      <c r="M27" s="471"/>
      <c r="N27" s="471"/>
      <c r="O27" s="471"/>
    </row>
    <row r="28" spans="1:15" ht="27" x14ac:dyDescent="0.3">
      <c r="A28" s="646"/>
      <c r="B28" s="468"/>
      <c r="C28" s="624"/>
      <c r="D28" s="624"/>
      <c r="E28" s="624"/>
      <c r="F28" s="467" t="s">
        <v>1099</v>
      </c>
      <c r="G28" s="481">
        <v>1</v>
      </c>
      <c r="H28" s="466" t="s">
        <v>1092</v>
      </c>
      <c r="I28" s="481">
        <v>24</v>
      </c>
      <c r="J28" s="466" t="s">
        <v>1045</v>
      </c>
      <c r="K28" s="471"/>
      <c r="L28" s="471" t="s">
        <v>1100</v>
      </c>
      <c r="M28" s="471"/>
      <c r="N28" s="471"/>
      <c r="O28" s="471"/>
    </row>
    <row r="29" spans="1:15" ht="40.5" x14ac:dyDescent="0.3">
      <c r="A29" s="646"/>
      <c r="B29" s="468"/>
      <c r="C29" s="624"/>
      <c r="D29" s="624"/>
      <c r="E29" s="624"/>
      <c r="F29" s="467" t="s">
        <v>1101</v>
      </c>
      <c r="G29" s="481">
        <v>1</v>
      </c>
      <c r="H29" s="466" t="s">
        <v>1092</v>
      </c>
      <c r="I29" s="481">
        <v>72</v>
      </c>
      <c r="J29" s="466" t="s">
        <v>1045</v>
      </c>
      <c r="K29" s="471"/>
      <c r="L29" s="471" t="s">
        <v>1102</v>
      </c>
      <c r="M29" s="471"/>
      <c r="N29" s="471" t="s">
        <v>1103</v>
      </c>
      <c r="O29" s="471"/>
    </row>
    <row r="30" spans="1:15" x14ac:dyDescent="0.3">
      <c r="A30" s="646"/>
      <c r="B30" s="468"/>
      <c r="C30" s="624"/>
      <c r="D30" s="467" t="s">
        <v>1104</v>
      </c>
      <c r="E30" s="472" t="s">
        <v>1105</v>
      </c>
      <c r="F30" s="487">
        <v>82400000</v>
      </c>
      <c r="G30" s="627" t="s">
        <v>1106</v>
      </c>
      <c r="H30" s="627"/>
      <c r="I30" s="627"/>
      <c r="J30" s="627"/>
      <c r="K30" s="627"/>
      <c r="L30" s="627"/>
      <c r="M30" s="627"/>
      <c r="N30" s="627"/>
      <c r="O30" s="627"/>
    </row>
    <row r="31" spans="1:15" x14ac:dyDescent="0.3">
      <c r="A31" s="646"/>
      <c r="B31" s="468"/>
      <c r="C31" s="624"/>
      <c r="D31" s="624" t="s">
        <v>1107</v>
      </c>
      <c r="E31" s="472" t="s">
        <v>1108</v>
      </c>
      <c r="F31" s="487">
        <v>413577000</v>
      </c>
      <c r="G31" s="470">
        <v>2</v>
      </c>
      <c r="H31" s="473" t="s">
        <v>1092</v>
      </c>
      <c r="I31" s="473"/>
      <c r="J31" s="474" t="s">
        <v>1109</v>
      </c>
      <c r="K31" s="470">
        <v>0</v>
      </c>
      <c r="L31" s="473" t="s">
        <v>1110</v>
      </c>
      <c r="M31" s="474" t="s">
        <v>1111</v>
      </c>
      <c r="N31" s="470">
        <v>108</v>
      </c>
      <c r="O31" s="473" t="s">
        <v>1110</v>
      </c>
    </row>
    <row r="32" spans="1:15" x14ac:dyDescent="0.3">
      <c r="A32" s="646"/>
      <c r="B32" s="468"/>
      <c r="C32" s="624"/>
      <c r="D32" s="624"/>
      <c r="E32" s="467" t="s">
        <v>1112</v>
      </c>
      <c r="F32" s="482"/>
      <c r="G32" s="627" t="s">
        <v>1113</v>
      </c>
      <c r="H32" s="627"/>
      <c r="I32" s="627"/>
      <c r="J32" s="627"/>
      <c r="K32" s="627"/>
      <c r="L32" s="627"/>
      <c r="M32" s="627"/>
      <c r="N32" s="627"/>
      <c r="O32" s="627"/>
    </row>
    <row r="33" spans="1:15" x14ac:dyDescent="0.3">
      <c r="A33" s="646"/>
      <c r="B33" s="468"/>
      <c r="C33" s="624"/>
      <c r="D33" s="624" t="s">
        <v>1114</v>
      </c>
      <c r="E33" s="467" t="s">
        <v>1115</v>
      </c>
      <c r="F33" s="482"/>
      <c r="G33" s="627" t="s">
        <v>1116</v>
      </c>
      <c r="H33" s="627"/>
      <c r="I33" s="627"/>
      <c r="J33" s="627"/>
      <c r="K33" s="627"/>
      <c r="L33" s="627"/>
      <c r="M33" s="627"/>
      <c r="N33" s="627"/>
      <c r="O33" s="627"/>
    </row>
    <row r="34" spans="1:15" ht="28.9" customHeight="1" x14ac:dyDescent="0.3">
      <c r="A34" s="646"/>
      <c r="B34" s="468"/>
      <c r="C34" s="624"/>
      <c r="D34" s="624"/>
      <c r="E34" s="633" t="s">
        <v>442</v>
      </c>
      <c r="F34" s="634">
        <v>25880058</v>
      </c>
      <c r="G34" s="627" t="s">
        <v>1158</v>
      </c>
      <c r="H34" s="627"/>
      <c r="I34" s="627"/>
      <c r="J34" s="627"/>
      <c r="K34" s="470"/>
      <c r="L34" s="627" t="s">
        <v>1159</v>
      </c>
      <c r="M34" s="627"/>
      <c r="N34" s="627"/>
      <c r="O34" s="470"/>
    </row>
    <row r="35" spans="1:15" ht="31.15" customHeight="1" x14ac:dyDescent="0.3">
      <c r="A35" s="646"/>
      <c r="B35" s="468"/>
      <c r="C35" s="624"/>
      <c r="D35" s="624"/>
      <c r="E35" s="633"/>
      <c r="F35" s="634"/>
      <c r="G35" s="627" t="s">
        <v>1160</v>
      </c>
      <c r="H35" s="627"/>
      <c r="I35" s="470">
        <v>36</v>
      </c>
      <c r="J35" s="473" t="s">
        <v>1045</v>
      </c>
      <c r="K35" s="466"/>
      <c r="L35" s="627" t="s">
        <v>1161</v>
      </c>
      <c r="M35" s="627"/>
      <c r="N35" s="470"/>
      <c r="O35" s="473" t="s">
        <v>1045</v>
      </c>
    </row>
    <row r="36" spans="1:15" ht="28.9" customHeight="1" x14ac:dyDescent="0.3">
      <c r="A36" s="646"/>
      <c r="B36" s="468"/>
      <c r="C36" s="624"/>
      <c r="D36" s="624"/>
      <c r="E36" s="633"/>
      <c r="F36" s="634"/>
      <c r="G36" s="627" t="s">
        <v>1162</v>
      </c>
      <c r="H36" s="627"/>
      <c r="I36" s="637"/>
      <c r="J36" s="637"/>
      <c r="K36" s="466" t="s">
        <v>1117</v>
      </c>
      <c r="L36" s="627" t="s">
        <v>1163</v>
      </c>
      <c r="M36" s="627"/>
      <c r="N36" s="470"/>
      <c r="O36" s="473" t="s">
        <v>1045</v>
      </c>
    </row>
    <row r="37" spans="1:15" x14ac:dyDescent="0.3">
      <c r="A37" s="646"/>
      <c r="B37" s="468"/>
      <c r="C37" s="624"/>
      <c r="D37" s="624"/>
      <c r="E37" s="467" t="s">
        <v>1118</v>
      </c>
      <c r="F37" s="482"/>
      <c r="G37" s="627" t="s">
        <v>1119</v>
      </c>
      <c r="H37" s="627"/>
      <c r="I37" s="627"/>
      <c r="J37" s="627"/>
      <c r="K37" s="627"/>
      <c r="L37" s="627"/>
      <c r="M37" s="627"/>
      <c r="N37" s="627"/>
      <c r="O37" s="627"/>
    </row>
    <row r="38" spans="1:15" x14ac:dyDescent="0.3">
      <c r="A38" s="646"/>
      <c r="B38" s="468"/>
      <c r="C38" s="624"/>
      <c r="D38" s="467" t="s">
        <v>1120</v>
      </c>
      <c r="E38" s="472" t="s">
        <v>1121</v>
      </c>
      <c r="F38" s="487">
        <v>1082083461</v>
      </c>
      <c r="G38" s="627"/>
      <c r="H38" s="627"/>
      <c r="I38" s="627"/>
      <c r="J38" s="627"/>
      <c r="K38" s="627"/>
      <c r="L38" s="627"/>
      <c r="M38" s="627"/>
      <c r="N38" s="627"/>
      <c r="O38" s="627"/>
    </row>
    <row r="39" spans="1:15" x14ac:dyDescent="0.3">
      <c r="A39" s="646"/>
      <c r="B39" s="468"/>
      <c r="C39" s="622" t="s">
        <v>1122</v>
      </c>
      <c r="D39" s="622"/>
      <c r="E39" s="622"/>
      <c r="F39" s="489">
        <v>1603940519</v>
      </c>
      <c r="G39" s="631"/>
      <c r="H39" s="631"/>
      <c r="I39" s="631"/>
      <c r="J39" s="631"/>
      <c r="K39" s="631"/>
      <c r="L39" s="631"/>
      <c r="M39" s="631"/>
      <c r="N39" s="631"/>
      <c r="O39" s="631"/>
    </row>
    <row r="40" spans="1:15" x14ac:dyDescent="0.3">
      <c r="A40" s="646"/>
      <c r="B40" s="468"/>
      <c r="C40" s="624" t="s">
        <v>1123</v>
      </c>
      <c r="D40" s="624" t="s">
        <v>1124</v>
      </c>
      <c r="E40" s="624"/>
      <c r="F40" s="482"/>
      <c r="G40" s="635"/>
      <c r="H40" s="635"/>
      <c r="I40" s="635"/>
      <c r="J40" s="635"/>
      <c r="K40" s="635"/>
      <c r="L40" s="635"/>
      <c r="M40" s="635"/>
      <c r="N40" s="635"/>
      <c r="O40" s="635"/>
    </row>
    <row r="41" spans="1:15" x14ac:dyDescent="0.3">
      <c r="A41" s="646"/>
      <c r="B41" s="468"/>
      <c r="C41" s="624"/>
      <c r="D41" s="624" t="s">
        <v>1125</v>
      </c>
      <c r="E41" s="624"/>
      <c r="F41" s="482"/>
      <c r="G41" s="632"/>
      <c r="H41" s="632"/>
      <c r="I41" s="632"/>
      <c r="J41" s="632"/>
      <c r="K41" s="632"/>
      <c r="L41" s="632"/>
      <c r="M41" s="632"/>
      <c r="N41" s="632"/>
      <c r="O41" s="632"/>
    </row>
    <row r="42" spans="1:15" ht="27" x14ac:dyDescent="0.3">
      <c r="A42" s="646"/>
      <c r="B42" s="468"/>
      <c r="C42" s="467" t="s">
        <v>1126</v>
      </c>
      <c r="D42" s="633" t="s">
        <v>1127</v>
      </c>
      <c r="E42" s="633"/>
      <c r="F42" s="487">
        <v>1391400974</v>
      </c>
      <c r="G42" s="624" t="s">
        <v>1128</v>
      </c>
      <c r="H42" s="624"/>
      <c r="I42" s="624"/>
      <c r="J42" s="636">
        <v>0.02</v>
      </c>
      <c r="K42" s="636"/>
      <c r="L42" s="475"/>
      <c r="M42" s="475"/>
      <c r="N42" s="466"/>
      <c r="O42" s="471"/>
    </row>
    <row r="43" spans="1:15" x14ac:dyDescent="0.3">
      <c r="A43" s="646"/>
      <c r="B43" s="640" t="s">
        <v>1129</v>
      </c>
      <c r="C43" s="640"/>
      <c r="D43" s="640"/>
      <c r="E43" s="640"/>
      <c r="F43" s="483">
        <v>59410441027</v>
      </c>
      <c r="G43" s="631"/>
      <c r="H43" s="631"/>
      <c r="I43" s="631"/>
      <c r="J43" s="631"/>
      <c r="K43" s="631"/>
      <c r="L43" s="631"/>
      <c r="M43" s="631"/>
      <c r="N43" s="631"/>
      <c r="O43" s="631"/>
    </row>
    <row r="44" spans="1:15" x14ac:dyDescent="0.3">
      <c r="A44" s="646"/>
      <c r="B44" s="641" t="s">
        <v>1130</v>
      </c>
      <c r="C44" s="641"/>
      <c r="D44" s="641"/>
      <c r="E44" s="641"/>
      <c r="F44" s="488">
        <v>10159607667</v>
      </c>
      <c r="G44" s="642"/>
      <c r="H44" s="642"/>
      <c r="I44" s="642"/>
      <c r="J44" s="642"/>
      <c r="K44" s="642"/>
      <c r="L44" s="642"/>
      <c r="M44" s="642"/>
      <c r="N44" s="642"/>
      <c r="O44" s="642"/>
    </row>
    <row r="45" spans="1:15" x14ac:dyDescent="0.3">
      <c r="A45" s="646"/>
      <c r="B45" s="641" t="s">
        <v>1131</v>
      </c>
      <c r="C45" s="641"/>
      <c r="D45" s="641"/>
      <c r="E45" s="641"/>
      <c r="F45" s="476">
        <v>0.14599999999999999</v>
      </c>
      <c r="G45" s="642"/>
      <c r="H45" s="642"/>
      <c r="I45" s="642"/>
      <c r="J45" s="642"/>
      <c r="K45" s="642"/>
      <c r="L45" s="642"/>
      <c r="M45" s="642"/>
      <c r="N45" s="642"/>
      <c r="O45" s="642"/>
    </row>
    <row r="46" spans="1:15" x14ac:dyDescent="0.3">
      <c r="A46" s="646"/>
      <c r="B46" s="465" t="s">
        <v>1049</v>
      </c>
      <c r="C46" s="467" t="s">
        <v>1133</v>
      </c>
      <c r="D46" s="633" t="s">
        <v>1135</v>
      </c>
      <c r="E46" s="633"/>
      <c r="F46" s="486">
        <v>938312069</v>
      </c>
      <c r="G46" s="638"/>
      <c r="H46" s="638"/>
      <c r="I46" s="638"/>
      <c r="J46" s="638"/>
      <c r="K46" s="638"/>
      <c r="L46" s="638"/>
      <c r="M46" s="638"/>
      <c r="N46" s="638"/>
      <c r="O46" s="638"/>
    </row>
    <row r="47" spans="1:15" x14ac:dyDescent="0.3">
      <c r="A47" s="646"/>
      <c r="B47" s="465" t="s">
        <v>1132</v>
      </c>
      <c r="C47" s="467" t="s">
        <v>1134</v>
      </c>
      <c r="D47" s="633" t="s">
        <v>274</v>
      </c>
      <c r="E47" s="633"/>
      <c r="F47" s="486">
        <v>43867448220</v>
      </c>
      <c r="G47" s="639"/>
      <c r="H47" s="639"/>
      <c r="I47" s="639"/>
      <c r="J47" s="639"/>
      <c r="K47" s="639"/>
      <c r="L47" s="639"/>
      <c r="M47" s="639"/>
      <c r="N47" s="639"/>
      <c r="O47" s="639"/>
    </row>
    <row r="48" spans="1:15" x14ac:dyDescent="0.3">
      <c r="A48" s="646"/>
      <c r="B48" s="468"/>
      <c r="C48" s="477"/>
      <c r="D48" s="633" t="s">
        <v>1136</v>
      </c>
      <c r="E48" s="633"/>
      <c r="F48" s="486">
        <v>13993749152</v>
      </c>
      <c r="G48" s="632"/>
      <c r="H48" s="632"/>
      <c r="I48" s="632"/>
      <c r="J48" s="632"/>
      <c r="K48" s="632"/>
      <c r="L48" s="632"/>
      <c r="M48" s="632"/>
      <c r="N48" s="632"/>
      <c r="O48" s="632"/>
    </row>
    <row r="49" spans="1:15" x14ac:dyDescent="0.3">
      <c r="A49" s="646"/>
      <c r="B49" s="622" t="s">
        <v>1137</v>
      </c>
      <c r="C49" s="622"/>
      <c r="D49" s="622"/>
      <c r="E49" s="622"/>
      <c r="F49" s="489" t="s">
        <v>1138</v>
      </c>
      <c r="G49" s="622"/>
      <c r="H49" s="622"/>
      <c r="I49" s="622"/>
      <c r="J49" s="622"/>
      <c r="K49" s="622"/>
      <c r="L49" s="622"/>
      <c r="M49" s="622"/>
      <c r="N49" s="622"/>
      <c r="O49" s="622"/>
    </row>
    <row r="50" spans="1:15" x14ac:dyDescent="0.3">
      <c r="A50" s="623" t="s">
        <v>471</v>
      </c>
      <c r="B50" s="641" t="s">
        <v>1139</v>
      </c>
      <c r="C50" s="641"/>
      <c r="D50" s="641"/>
      <c r="E50" s="641"/>
      <c r="F50" s="488" t="s">
        <v>1140</v>
      </c>
      <c r="G50" s="643"/>
      <c r="H50" s="643"/>
      <c r="I50" s="643"/>
      <c r="J50" s="643"/>
      <c r="K50" s="643"/>
      <c r="L50" s="643"/>
      <c r="M50" s="643"/>
      <c r="N50" s="643"/>
      <c r="O50" s="643"/>
    </row>
    <row r="51" spans="1:15" x14ac:dyDescent="0.3">
      <c r="A51" s="623"/>
      <c r="B51" s="641" t="s">
        <v>1141</v>
      </c>
      <c r="C51" s="641"/>
      <c r="D51" s="641"/>
      <c r="E51" s="641"/>
      <c r="F51" s="478">
        <v>-0.69899999999999995</v>
      </c>
      <c r="G51" s="623"/>
      <c r="H51" s="623"/>
      <c r="I51" s="623"/>
      <c r="J51" s="623"/>
      <c r="K51" s="623"/>
      <c r="L51" s="623"/>
      <c r="M51" s="623"/>
      <c r="N51" s="623"/>
      <c r="O51" s="623"/>
    </row>
    <row r="52" spans="1:15" x14ac:dyDescent="0.3">
      <c r="A52" s="623"/>
      <c r="B52" s="644" t="s">
        <v>1142</v>
      </c>
      <c r="C52" s="644"/>
      <c r="D52" s="644"/>
      <c r="E52" s="644"/>
      <c r="F52" s="479">
        <v>-0.76700000000000002</v>
      </c>
      <c r="G52" s="645" t="s">
        <v>1143</v>
      </c>
      <c r="H52" s="645"/>
      <c r="I52" s="645"/>
      <c r="J52" s="645"/>
      <c r="K52" s="645"/>
      <c r="L52" s="645"/>
      <c r="M52" s="645"/>
      <c r="N52" s="645"/>
      <c r="O52" s="645"/>
    </row>
    <row r="53" spans="1:15" x14ac:dyDescent="0.3">
      <c r="A53" s="475"/>
      <c r="B53" s="475"/>
      <c r="C53" s="475"/>
      <c r="D53" s="475"/>
      <c r="E53" s="475"/>
      <c r="F53" s="475"/>
      <c r="G53" s="475"/>
      <c r="H53" s="475"/>
      <c r="I53" s="475"/>
      <c r="J53" s="475"/>
      <c r="K53" s="475"/>
      <c r="L53" s="475"/>
      <c r="M53" s="475"/>
      <c r="N53" s="475"/>
      <c r="O53" s="475"/>
    </row>
    <row r="54" spans="1:15" x14ac:dyDescent="0.3">
      <c r="A54" s="627" t="s">
        <v>1144</v>
      </c>
      <c r="B54" s="627"/>
      <c r="C54" s="627"/>
      <c r="D54" s="627"/>
      <c r="E54" s="627"/>
      <c r="F54" s="627"/>
      <c r="G54" s="627"/>
      <c r="H54" s="627"/>
      <c r="I54" s="627"/>
      <c r="J54" s="627"/>
      <c r="K54" s="627"/>
      <c r="L54" s="627"/>
      <c r="M54" s="627"/>
      <c r="N54" s="627"/>
      <c r="O54" s="627"/>
    </row>
    <row r="55" spans="1:15" x14ac:dyDescent="0.3">
      <c r="A55" s="465" t="s">
        <v>490</v>
      </c>
      <c r="B55" s="622" t="s">
        <v>1145</v>
      </c>
      <c r="C55" s="622"/>
      <c r="D55" s="622"/>
      <c r="E55" s="622"/>
      <c r="F55" s="622"/>
      <c r="G55" s="622" t="s">
        <v>1146</v>
      </c>
      <c r="H55" s="622"/>
      <c r="I55" s="622"/>
      <c r="J55" s="622"/>
      <c r="K55" s="622" t="s">
        <v>1147</v>
      </c>
      <c r="L55" s="622"/>
      <c r="M55" s="622"/>
      <c r="N55" s="622" t="s">
        <v>1041</v>
      </c>
      <c r="O55" s="622"/>
    </row>
    <row r="56" spans="1:15" ht="27.6" customHeight="1" x14ac:dyDescent="0.3">
      <c r="A56" s="465" t="s">
        <v>1148</v>
      </c>
      <c r="B56" s="627" t="s">
        <v>1149</v>
      </c>
      <c r="C56" s="627"/>
      <c r="D56" s="627"/>
      <c r="E56" s="627"/>
      <c r="F56" s="627"/>
      <c r="G56" s="636">
        <v>0.01</v>
      </c>
      <c r="H56" s="636"/>
      <c r="I56" s="636"/>
      <c r="J56" s="636"/>
      <c r="K56" s="648" t="s">
        <v>1150</v>
      </c>
      <c r="L56" s="648"/>
      <c r="M56" s="648"/>
      <c r="N56" s="624"/>
      <c r="O56" s="624"/>
    </row>
    <row r="57" spans="1:15" ht="27.6" customHeight="1" x14ac:dyDescent="0.3">
      <c r="A57" s="465" t="s">
        <v>1151</v>
      </c>
      <c r="B57" s="627" t="s">
        <v>1152</v>
      </c>
      <c r="C57" s="627"/>
      <c r="D57" s="627"/>
      <c r="E57" s="627"/>
      <c r="F57" s="627"/>
      <c r="G57" s="636">
        <v>0.02</v>
      </c>
      <c r="H57" s="636"/>
      <c r="I57" s="636"/>
      <c r="J57" s="636"/>
      <c r="K57" s="648" t="s">
        <v>1153</v>
      </c>
      <c r="L57" s="648"/>
      <c r="M57" s="648"/>
      <c r="N57" s="624"/>
      <c r="O57" s="624"/>
    </row>
    <row r="58" spans="1:15" ht="27.6" customHeight="1" x14ac:dyDescent="0.3">
      <c r="A58" s="465" t="s">
        <v>1154</v>
      </c>
      <c r="B58" s="627" t="s">
        <v>1155</v>
      </c>
      <c r="C58" s="627"/>
      <c r="D58" s="627"/>
      <c r="E58" s="627"/>
      <c r="F58" s="627"/>
      <c r="G58" s="636">
        <v>0</v>
      </c>
      <c r="H58" s="636"/>
      <c r="I58" s="636"/>
      <c r="J58" s="636"/>
      <c r="K58" s="648" t="s">
        <v>1156</v>
      </c>
      <c r="L58" s="648"/>
      <c r="M58" s="648"/>
      <c r="N58" s="624"/>
      <c r="O58" s="624"/>
    </row>
    <row r="59" spans="1:15" x14ac:dyDescent="0.3">
      <c r="A59" s="622" t="s">
        <v>1157</v>
      </c>
      <c r="B59" s="622"/>
      <c r="C59" s="622"/>
      <c r="D59" s="622"/>
      <c r="E59" s="622"/>
      <c r="F59" s="622"/>
      <c r="G59" s="649">
        <v>0.02</v>
      </c>
      <c r="H59" s="649"/>
      <c r="I59" s="649"/>
      <c r="J59" s="649"/>
      <c r="K59" s="649"/>
      <c r="L59" s="649"/>
      <c r="M59" s="649"/>
      <c r="N59" s="647"/>
      <c r="O59" s="647"/>
    </row>
  </sheetData>
  <mergeCells count="108">
    <mergeCell ref="N59:O59"/>
    <mergeCell ref="G57:J57"/>
    <mergeCell ref="K57:M57"/>
    <mergeCell ref="B58:F58"/>
    <mergeCell ref="G58:J58"/>
    <mergeCell ref="K58:M58"/>
    <mergeCell ref="A59:F59"/>
    <mergeCell ref="G59:M59"/>
    <mergeCell ref="A54:O54"/>
    <mergeCell ref="B55:F55"/>
    <mergeCell ref="G55:J55"/>
    <mergeCell ref="K55:M55"/>
    <mergeCell ref="N55:O55"/>
    <mergeCell ref="B56:F56"/>
    <mergeCell ref="G56:J56"/>
    <mergeCell ref="K56:M56"/>
    <mergeCell ref="N56:O58"/>
    <mergeCell ref="B57:F57"/>
    <mergeCell ref="B49:E49"/>
    <mergeCell ref="G49:O49"/>
    <mergeCell ref="A50:A52"/>
    <mergeCell ref="B50:E50"/>
    <mergeCell ref="G50:O50"/>
    <mergeCell ref="B51:E51"/>
    <mergeCell ref="G51:O51"/>
    <mergeCell ref="B52:E52"/>
    <mergeCell ref="G52:O52"/>
    <mergeCell ref="A4:A49"/>
    <mergeCell ref="C4:C12"/>
    <mergeCell ref="D4:D6"/>
    <mergeCell ref="G4:O6"/>
    <mergeCell ref="D7:D9"/>
    <mergeCell ref="G7:O9"/>
    <mergeCell ref="D10:D12"/>
    <mergeCell ref="G10:O12"/>
    <mergeCell ref="D46:E46"/>
    <mergeCell ref="G46:O46"/>
    <mergeCell ref="D47:E47"/>
    <mergeCell ref="G47:O47"/>
    <mergeCell ref="D48:E48"/>
    <mergeCell ref="G48:O48"/>
    <mergeCell ref="B43:E43"/>
    <mergeCell ref="G43:O43"/>
    <mergeCell ref="B44:E44"/>
    <mergeCell ref="G44:O44"/>
    <mergeCell ref="B45:E45"/>
    <mergeCell ref="G45:O45"/>
    <mergeCell ref="C40:C41"/>
    <mergeCell ref="D40:E40"/>
    <mergeCell ref="G40:O40"/>
    <mergeCell ref="D41:E41"/>
    <mergeCell ref="G41:O41"/>
    <mergeCell ref="D42:E42"/>
    <mergeCell ref="G42:I42"/>
    <mergeCell ref="J42:K42"/>
    <mergeCell ref="I36:J36"/>
    <mergeCell ref="L36:M36"/>
    <mergeCell ref="G37:O37"/>
    <mergeCell ref="G38:O38"/>
    <mergeCell ref="C39:E39"/>
    <mergeCell ref="G39:O39"/>
    <mergeCell ref="C24:E24"/>
    <mergeCell ref="G24:O24"/>
    <mergeCell ref="C25:C38"/>
    <mergeCell ref="D25:D29"/>
    <mergeCell ref="K25:O25"/>
    <mergeCell ref="E26:E29"/>
    <mergeCell ref="K26:O26"/>
    <mergeCell ref="G30:O30"/>
    <mergeCell ref="D31:D32"/>
    <mergeCell ref="G32:O32"/>
    <mergeCell ref="D33:D37"/>
    <mergeCell ref="G33:O33"/>
    <mergeCell ref="E34:E36"/>
    <mergeCell ref="F34:F36"/>
    <mergeCell ref="G34:J34"/>
    <mergeCell ref="L34:N34"/>
    <mergeCell ref="G35:H35"/>
    <mergeCell ref="L35:M35"/>
    <mergeCell ref="G36:H36"/>
    <mergeCell ref="G17:O17"/>
    <mergeCell ref="G18:O18"/>
    <mergeCell ref="G19:O19"/>
    <mergeCell ref="G20:O20"/>
    <mergeCell ref="G21:O21"/>
    <mergeCell ref="G22:O22"/>
    <mergeCell ref="I13:J13"/>
    <mergeCell ref="K13:O13"/>
    <mergeCell ref="C14:C23"/>
    <mergeCell ref="D14:D15"/>
    <mergeCell ref="E14:E15"/>
    <mergeCell ref="F14:F15"/>
    <mergeCell ref="G14:O14"/>
    <mergeCell ref="G15:O15"/>
    <mergeCell ref="D16:D22"/>
    <mergeCell ref="G16:O16"/>
    <mergeCell ref="C13:E13"/>
    <mergeCell ref="G13:H13"/>
    <mergeCell ref="G23:O23"/>
    <mergeCell ref="A1:E1"/>
    <mergeCell ref="G1:O1"/>
    <mergeCell ref="A2:A3"/>
    <mergeCell ref="B2:E2"/>
    <mergeCell ref="G2:H2"/>
    <mergeCell ref="I2:J2"/>
    <mergeCell ref="N2:O2"/>
    <mergeCell ref="B3:E3"/>
    <mergeCell ref="G3:O3"/>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62066-C130-402A-A91B-299EFF1161B7}">
  <sheetPr codeName="Sheet11"/>
  <dimension ref="A1:A36"/>
  <sheetViews>
    <sheetView workbookViewId="0">
      <selection activeCell="L37" sqref="L37"/>
    </sheetView>
  </sheetViews>
  <sheetFormatPr defaultRowHeight="16.5" x14ac:dyDescent="0.3"/>
  <sheetData>
    <row r="1" spans="1:1" x14ac:dyDescent="0.3">
      <c r="A1" s="396">
        <v>200000</v>
      </c>
    </row>
    <row r="2" spans="1:1" x14ac:dyDescent="0.3">
      <c r="A2" s="393">
        <v>200000</v>
      </c>
    </row>
    <row r="3" spans="1:1" x14ac:dyDescent="0.3">
      <c r="A3" s="393">
        <v>200000</v>
      </c>
    </row>
    <row r="4" spans="1:1" x14ac:dyDescent="0.3">
      <c r="A4" s="393">
        <v>300000</v>
      </c>
    </row>
    <row r="5" spans="1:1" x14ac:dyDescent="0.3">
      <c r="A5" s="393">
        <v>1000000</v>
      </c>
    </row>
    <row r="6" spans="1:1" x14ac:dyDescent="0.3">
      <c r="A6" s="393">
        <v>500000</v>
      </c>
    </row>
    <row r="7" spans="1:1" x14ac:dyDescent="0.3">
      <c r="A7" s="393">
        <v>100000</v>
      </c>
    </row>
    <row r="8" spans="1:1" x14ac:dyDescent="0.3">
      <c r="A8" s="393">
        <v>1150000</v>
      </c>
    </row>
    <row r="9" spans="1:1" x14ac:dyDescent="0.3">
      <c r="A9" s="393">
        <v>320000</v>
      </c>
    </row>
    <row r="10" spans="1:1" x14ac:dyDescent="0.3">
      <c r="A10" s="393">
        <v>1000000</v>
      </c>
    </row>
    <row r="11" spans="1:1" x14ac:dyDescent="0.3">
      <c r="A11" s="393">
        <v>1000000</v>
      </c>
    </row>
    <row r="12" spans="1:1" x14ac:dyDescent="0.3">
      <c r="A12" s="393">
        <v>1000000</v>
      </c>
    </row>
    <row r="13" spans="1:1" x14ac:dyDescent="0.3">
      <c r="A13" s="393">
        <v>1000000</v>
      </c>
    </row>
    <row r="14" spans="1:1" x14ac:dyDescent="0.3">
      <c r="A14" s="393">
        <v>200000</v>
      </c>
    </row>
    <row r="15" spans="1:1" x14ac:dyDescent="0.3">
      <c r="A15" s="393">
        <v>200000</v>
      </c>
    </row>
    <row r="16" spans="1:1" x14ac:dyDescent="0.3">
      <c r="A16" s="103">
        <v>876400</v>
      </c>
    </row>
    <row r="17" spans="1:1" x14ac:dyDescent="0.3">
      <c r="A17" s="103">
        <v>4893733.333333333</v>
      </c>
    </row>
    <row r="18" spans="1:1" x14ac:dyDescent="0.3">
      <c r="A18" s="103">
        <v>1400000</v>
      </c>
    </row>
    <row r="19" spans="1:1" x14ac:dyDescent="0.3">
      <c r="A19" s="103">
        <v>300000</v>
      </c>
    </row>
    <row r="20" spans="1:1" x14ac:dyDescent="0.3">
      <c r="A20" s="103">
        <v>1400000</v>
      </c>
    </row>
    <row r="21" spans="1:1" x14ac:dyDescent="0.3">
      <c r="A21" s="103">
        <v>0</v>
      </c>
    </row>
    <row r="22" spans="1:1" x14ac:dyDescent="0.3">
      <c r="A22" s="103">
        <v>0</v>
      </c>
    </row>
    <row r="23" spans="1:1" x14ac:dyDescent="0.3">
      <c r="A23" s="419">
        <v>10000000</v>
      </c>
    </row>
    <row r="24" spans="1:1" x14ac:dyDescent="0.3">
      <c r="A24" s="419">
        <v>100000</v>
      </c>
    </row>
    <row r="25" spans="1:1" x14ac:dyDescent="0.3">
      <c r="A25" s="103">
        <v>21351408.833333336</v>
      </c>
    </row>
    <row r="26" spans="1:1" x14ac:dyDescent="0.3">
      <c r="A26" s="103">
        <v>9201848.0330066625</v>
      </c>
    </row>
    <row r="27" spans="1:1" x14ac:dyDescent="0.3">
      <c r="A27" s="103">
        <v>11088091.844299998</v>
      </c>
    </row>
    <row r="28" spans="1:1" x14ac:dyDescent="0.3">
      <c r="A28" s="103">
        <v>9201848.0330066625</v>
      </c>
    </row>
    <row r="29" spans="1:1" x14ac:dyDescent="0.3">
      <c r="A29" s="103">
        <v>9225633.6187619735</v>
      </c>
    </row>
    <row r="30" spans="1:1" x14ac:dyDescent="0.3">
      <c r="A30" s="103">
        <v>10891557.340624999</v>
      </c>
    </row>
    <row r="31" spans="1:1" x14ac:dyDescent="0.3">
      <c r="A31" s="103">
        <v>10968775.045982143</v>
      </c>
    </row>
    <row r="32" spans="1:1" x14ac:dyDescent="0.3">
      <c r="A32" s="103">
        <v>10968775.045982143</v>
      </c>
    </row>
    <row r="33" spans="1:1" x14ac:dyDescent="0.3">
      <c r="A33" s="103">
        <v>8129517.7733019181</v>
      </c>
    </row>
    <row r="34" spans="1:1" x14ac:dyDescent="0.3">
      <c r="A34" s="103">
        <v>40582528.404607363</v>
      </c>
    </row>
    <row r="35" spans="1:1" x14ac:dyDescent="0.3">
      <c r="A35" s="103">
        <v>21861836.51047603</v>
      </c>
    </row>
    <row r="36" spans="1:1" ht="17.25" thickBot="1" x14ac:dyDescent="0.35">
      <c r="A36" s="403">
        <v>25000000</v>
      </c>
    </row>
  </sheetData>
  <phoneticPr fontId="1" type="noConversion"/>
  <conditionalFormatting sqref="A1:A5">
    <cfRule type="expression" dxfId="21" priority="1">
      <formula>OR($D1="MA",$D1="운영")</formula>
    </cfRule>
  </conditionalFormatting>
  <conditionalFormatting sqref="A6:A15">
    <cfRule type="expression" dxfId="20" priority="2">
      <formula>OR($D6="MA",$D6="운영")</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2:G14"/>
  <sheetViews>
    <sheetView workbookViewId="0">
      <selection activeCell="L37" sqref="L37"/>
    </sheetView>
  </sheetViews>
  <sheetFormatPr defaultRowHeight="16.5" x14ac:dyDescent="0.3"/>
  <sheetData>
    <row r="2" spans="1:7" x14ac:dyDescent="0.3">
      <c r="A2" t="s">
        <v>429</v>
      </c>
      <c r="B2" s="84">
        <v>5</v>
      </c>
      <c r="C2" s="84">
        <v>20</v>
      </c>
      <c r="D2" s="84">
        <v>15</v>
      </c>
      <c r="E2" s="84">
        <v>9</v>
      </c>
      <c r="F2" s="188">
        <v>4</v>
      </c>
      <c r="G2" s="84">
        <v>17</v>
      </c>
    </row>
    <row r="3" spans="1:7" x14ac:dyDescent="0.3">
      <c r="A3" t="s">
        <v>430</v>
      </c>
      <c r="B3" s="188">
        <v>14</v>
      </c>
      <c r="C3" s="84">
        <v>11</v>
      </c>
      <c r="D3" s="84">
        <v>18</v>
      </c>
      <c r="E3" s="84">
        <v>18</v>
      </c>
      <c r="F3" s="84">
        <v>1</v>
      </c>
      <c r="G3" s="84">
        <v>9</v>
      </c>
    </row>
    <row r="4" spans="1:7" x14ac:dyDescent="0.3">
      <c r="A4" t="s">
        <v>431</v>
      </c>
      <c r="B4" s="84">
        <v>18</v>
      </c>
      <c r="C4" s="84">
        <v>9</v>
      </c>
      <c r="D4" s="84">
        <v>10</v>
      </c>
      <c r="E4" s="84">
        <v>9</v>
      </c>
      <c r="F4" s="84">
        <v>20</v>
      </c>
      <c r="G4" s="84">
        <v>13</v>
      </c>
    </row>
    <row r="5" spans="1:7" x14ac:dyDescent="0.3">
      <c r="A5" t="s">
        <v>432</v>
      </c>
      <c r="B5" s="84">
        <v>11</v>
      </c>
      <c r="C5" s="84">
        <v>2</v>
      </c>
      <c r="D5" s="84">
        <v>1</v>
      </c>
      <c r="E5" s="84">
        <v>16</v>
      </c>
      <c r="F5" s="84">
        <v>17</v>
      </c>
      <c r="G5" s="84">
        <v>10</v>
      </c>
    </row>
    <row r="6" spans="1:7" x14ac:dyDescent="0.3">
      <c r="A6" t="s">
        <v>433</v>
      </c>
      <c r="B6" s="84">
        <v>1</v>
      </c>
      <c r="C6" s="84">
        <v>17</v>
      </c>
      <c r="D6" s="84">
        <v>13</v>
      </c>
      <c r="E6" s="84">
        <v>7</v>
      </c>
      <c r="F6" s="84">
        <v>16</v>
      </c>
      <c r="G6" s="84">
        <v>3</v>
      </c>
    </row>
    <row r="7" spans="1:7" x14ac:dyDescent="0.3">
      <c r="A7" t="s">
        <v>434</v>
      </c>
      <c r="B7" s="84">
        <v>10</v>
      </c>
      <c r="C7" s="84">
        <v>19</v>
      </c>
      <c r="D7" s="84">
        <v>5</v>
      </c>
      <c r="E7" s="84">
        <v>10</v>
      </c>
      <c r="F7" s="84">
        <v>12</v>
      </c>
      <c r="G7" s="84">
        <v>8</v>
      </c>
    </row>
    <row r="8" spans="1:7" x14ac:dyDescent="0.3">
      <c r="A8" t="s">
        <v>435</v>
      </c>
      <c r="B8" s="84">
        <v>8</v>
      </c>
      <c r="C8" s="84">
        <v>20</v>
      </c>
      <c r="D8" s="84">
        <v>10</v>
      </c>
      <c r="E8" s="84">
        <v>9</v>
      </c>
      <c r="F8" s="84">
        <v>17</v>
      </c>
      <c r="G8" s="84">
        <v>11</v>
      </c>
    </row>
    <row r="9" spans="1:7" x14ac:dyDescent="0.3">
      <c r="A9" t="s">
        <v>436</v>
      </c>
      <c r="B9" s="84">
        <v>8</v>
      </c>
      <c r="C9" s="188">
        <v>14</v>
      </c>
      <c r="D9" s="84">
        <v>3</v>
      </c>
      <c r="E9" s="84">
        <v>1</v>
      </c>
      <c r="F9" s="84">
        <v>3</v>
      </c>
      <c r="G9" s="84">
        <v>11</v>
      </c>
    </row>
    <row r="10" spans="1:7" x14ac:dyDescent="0.3">
      <c r="A10" t="s">
        <v>437</v>
      </c>
      <c r="B10" s="84">
        <v>1</v>
      </c>
      <c r="C10" s="84">
        <v>7</v>
      </c>
      <c r="D10" s="84">
        <v>7</v>
      </c>
      <c r="E10" s="84">
        <v>15</v>
      </c>
      <c r="F10" s="188">
        <v>6</v>
      </c>
      <c r="G10" s="84">
        <v>7</v>
      </c>
    </row>
    <row r="11" spans="1:7" x14ac:dyDescent="0.3">
      <c r="A11" t="s">
        <v>438</v>
      </c>
      <c r="B11" s="84">
        <v>17</v>
      </c>
      <c r="C11" s="84">
        <v>16</v>
      </c>
      <c r="D11" s="84">
        <v>7</v>
      </c>
      <c r="E11" s="84">
        <v>20</v>
      </c>
      <c r="F11" s="84">
        <v>20</v>
      </c>
      <c r="G11" s="84">
        <v>3</v>
      </c>
    </row>
    <row r="14" spans="1:7" x14ac:dyDescent="0.3">
      <c r="A14" t="s">
        <v>439</v>
      </c>
      <c r="B14">
        <v>24</v>
      </c>
      <c r="C14">
        <v>6</v>
      </c>
      <c r="D14">
        <v>24</v>
      </c>
      <c r="E14">
        <v>4</v>
      </c>
      <c r="F14">
        <v>23</v>
      </c>
      <c r="G14">
        <v>14</v>
      </c>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4" tint="0.59999389629810485"/>
  </sheetPr>
  <dimension ref="A1:T108"/>
  <sheetViews>
    <sheetView topLeftCell="A97" workbookViewId="0">
      <selection activeCell="L37" sqref="L37"/>
    </sheetView>
  </sheetViews>
  <sheetFormatPr defaultRowHeight="16.5" x14ac:dyDescent="0.3"/>
  <sheetData>
    <row r="1" spans="1:20" x14ac:dyDescent="0.3">
      <c r="A1" s="149" t="s">
        <v>0</v>
      </c>
      <c r="B1" s="150" t="s">
        <v>1</v>
      </c>
      <c r="C1" s="150" t="s">
        <v>2</v>
      </c>
      <c r="D1" s="150" t="s">
        <v>3</v>
      </c>
      <c r="E1" s="150" t="s">
        <v>4</v>
      </c>
      <c r="F1" s="151" t="s">
        <v>148</v>
      </c>
      <c r="G1" s="151" t="s">
        <v>149</v>
      </c>
      <c r="H1" s="151" t="s">
        <v>150</v>
      </c>
      <c r="I1" s="151" t="s">
        <v>151</v>
      </c>
      <c r="J1" s="151" t="s">
        <v>5</v>
      </c>
      <c r="K1" s="151" t="s">
        <v>154</v>
      </c>
      <c r="L1" s="151" t="s">
        <v>6</v>
      </c>
      <c r="M1" s="151" t="s">
        <v>7</v>
      </c>
      <c r="N1" s="151" t="s">
        <v>8</v>
      </c>
      <c r="O1" s="150" t="s">
        <v>9</v>
      </c>
      <c r="P1" s="150" t="s">
        <v>10</v>
      </c>
      <c r="Q1" s="150" t="s">
        <v>11</v>
      </c>
      <c r="R1" s="150" t="s">
        <v>12</v>
      </c>
      <c r="S1" s="150" t="s">
        <v>13</v>
      </c>
      <c r="T1" s="150" t="s">
        <v>42</v>
      </c>
    </row>
    <row r="2" spans="1:20" x14ac:dyDescent="0.3">
      <c r="A2" s="400" t="s">
        <v>662</v>
      </c>
      <c r="B2" s="101" t="s">
        <v>424</v>
      </c>
      <c r="C2" s="101" t="s">
        <v>657</v>
      </c>
      <c r="D2" s="101" t="s">
        <v>14</v>
      </c>
      <c r="E2" s="101" t="s">
        <v>654</v>
      </c>
      <c r="F2" s="101" t="s">
        <v>274</v>
      </c>
      <c r="G2" s="101" t="s">
        <v>607</v>
      </c>
      <c r="H2" s="101" t="s">
        <v>305</v>
      </c>
      <c r="I2" s="101">
        <v>0</v>
      </c>
      <c r="J2" s="101" t="s">
        <v>661</v>
      </c>
      <c r="K2" s="101">
        <v>0</v>
      </c>
      <c r="L2" s="101" t="s">
        <v>307</v>
      </c>
      <c r="M2" s="100">
        <v>3</v>
      </c>
      <c r="N2" s="100">
        <v>0</v>
      </c>
      <c r="O2" s="396">
        <v>10000000</v>
      </c>
      <c r="P2" s="396">
        <f>M2*O2</f>
        <v>30000000</v>
      </c>
      <c r="Q2" s="100">
        <v>0</v>
      </c>
      <c r="R2" s="100">
        <v>0</v>
      </c>
      <c r="S2" s="397">
        <v>0</v>
      </c>
      <c r="T2" s="398">
        <v>1</v>
      </c>
    </row>
    <row r="3" spans="1:20" x14ac:dyDescent="0.3">
      <c r="A3" s="401" t="s">
        <v>663</v>
      </c>
      <c r="B3" s="103" t="s">
        <v>424</v>
      </c>
      <c r="C3" s="103" t="s">
        <v>657</v>
      </c>
      <c r="D3" s="103" t="s">
        <v>14</v>
      </c>
      <c r="E3" s="103" t="s">
        <v>654</v>
      </c>
      <c r="F3" s="103" t="s">
        <v>274</v>
      </c>
      <c r="G3" s="103" t="s">
        <v>611</v>
      </c>
      <c r="H3" s="103" t="s">
        <v>305</v>
      </c>
      <c r="I3" s="103">
        <v>0</v>
      </c>
      <c r="J3" s="103" t="s">
        <v>661</v>
      </c>
      <c r="K3" s="103">
        <v>0</v>
      </c>
      <c r="L3" s="103" t="s">
        <v>307</v>
      </c>
      <c r="M3" s="102">
        <v>2</v>
      </c>
      <c r="N3" s="102">
        <v>0</v>
      </c>
      <c r="O3" s="393">
        <v>10000000</v>
      </c>
      <c r="P3" s="396">
        <f t="shared" ref="P3:P66" si="0">M3*O3</f>
        <v>20000000</v>
      </c>
      <c r="Q3" s="102">
        <v>0</v>
      </c>
      <c r="R3" s="102">
        <v>0</v>
      </c>
      <c r="S3" s="394">
        <v>0</v>
      </c>
      <c r="T3" s="395">
        <v>1</v>
      </c>
    </row>
    <row r="4" spans="1:20" x14ac:dyDescent="0.3">
      <c r="A4" s="401" t="s">
        <v>664</v>
      </c>
      <c r="B4" s="103" t="s">
        <v>424</v>
      </c>
      <c r="C4" s="103" t="s">
        <v>657</v>
      </c>
      <c r="D4" s="103" t="s">
        <v>14</v>
      </c>
      <c r="E4" s="103" t="s">
        <v>654</v>
      </c>
      <c r="F4" s="103" t="s">
        <v>274</v>
      </c>
      <c r="G4" s="103" t="s">
        <v>612</v>
      </c>
      <c r="H4" s="103" t="s">
        <v>306</v>
      </c>
      <c r="I4" s="103">
        <v>0</v>
      </c>
      <c r="J4" s="103" t="s">
        <v>661</v>
      </c>
      <c r="K4" s="103">
        <v>0</v>
      </c>
      <c r="L4" s="103" t="s">
        <v>307</v>
      </c>
      <c r="M4" s="102">
        <v>3</v>
      </c>
      <c r="N4" s="102">
        <v>0</v>
      </c>
      <c r="O4" s="393">
        <v>9000000</v>
      </c>
      <c r="P4" s="396">
        <f t="shared" si="0"/>
        <v>27000000</v>
      </c>
      <c r="Q4" s="102">
        <v>0</v>
      </c>
      <c r="R4" s="102">
        <v>0</v>
      </c>
      <c r="S4" s="394">
        <v>0</v>
      </c>
      <c r="T4" s="395">
        <v>1</v>
      </c>
    </row>
    <row r="5" spans="1:20" x14ac:dyDescent="0.3">
      <c r="A5" s="401" t="s">
        <v>665</v>
      </c>
      <c r="B5" s="103" t="s">
        <v>424</v>
      </c>
      <c r="C5" s="103" t="s">
        <v>657</v>
      </c>
      <c r="D5" s="103" t="s">
        <v>14</v>
      </c>
      <c r="E5" s="103" t="s">
        <v>654</v>
      </c>
      <c r="F5" s="103" t="s">
        <v>274</v>
      </c>
      <c r="G5" s="103" t="s">
        <v>613</v>
      </c>
      <c r="H5" s="103" t="s">
        <v>306</v>
      </c>
      <c r="I5" s="103">
        <v>0</v>
      </c>
      <c r="J5" s="103" t="s">
        <v>661</v>
      </c>
      <c r="K5" s="103">
        <v>0</v>
      </c>
      <c r="L5" s="103" t="s">
        <v>307</v>
      </c>
      <c r="M5" s="102">
        <v>1</v>
      </c>
      <c r="N5" s="102">
        <v>0</v>
      </c>
      <c r="O5" s="393">
        <v>9000000</v>
      </c>
      <c r="P5" s="396">
        <f t="shared" si="0"/>
        <v>9000000</v>
      </c>
      <c r="Q5" s="102">
        <v>0</v>
      </c>
      <c r="R5" s="102">
        <v>0</v>
      </c>
      <c r="S5" s="394">
        <v>0</v>
      </c>
      <c r="T5" s="395">
        <v>1</v>
      </c>
    </row>
    <row r="6" spans="1:20" x14ac:dyDescent="0.3">
      <c r="A6" s="401" t="s">
        <v>666</v>
      </c>
      <c r="B6" s="103" t="s">
        <v>424</v>
      </c>
      <c r="C6" s="103" t="s">
        <v>657</v>
      </c>
      <c r="D6" s="103" t="s">
        <v>14</v>
      </c>
      <c r="E6" s="103" t="s">
        <v>654</v>
      </c>
      <c r="F6" s="103" t="s">
        <v>274</v>
      </c>
      <c r="G6" s="103" t="s">
        <v>614</v>
      </c>
      <c r="H6" s="103" t="s">
        <v>306</v>
      </c>
      <c r="I6" s="103">
        <v>0</v>
      </c>
      <c r="J6" s="103" t="s">
        <v>661</v>
      </c>
      <c r="K6" s="103">
        <v>0</v>
      </c>
      <c r="L6" s="103" t="s">
        <v>307</v>
      </c>
      <c r="M6" s="102">
        <v>0</v>
      </c>
      <c r="N6" s="102">
        <v>0</v>
      </c>
      <c r="O6" s="393">
        <v>9000000</v>
      </c>
      <c r="P6" s="396">
        <f t="shared" si="0"/>
        <v>0</v>
      </c>
      <c r="Q6" s="102">
        <v>0</v>
      </c>
      <c r="R6" s="102">
        <v>0</v>
      </c>
      <c r="S6" s="394">
        <v>0</v>
      </c>
      <c r="T6" s="395">
        <v>1</v>
      </c>
    </row>
    <row r="7" spans="1:20" x14ac:dyDescent="0.3">
      <c r="A7" s="401" t="s">
        <v>667</v>
      </c>
      <c r="B7" s="103" t="s">
        <v>424</v>
      </c>
      <c r="C7" s="103" t="s">
        <v>657</v>
      </c>
      <c r="D7" s="103" t="s">
        <v>14</v>
      </c>
      <c r="E7" s="103" t="s">
        <v>654</v>
      </c>
      <c r="F7" s="103" t="s">
        <v>274</v>
      </c>
      <c r="G7" s="103" t="s">
        <v>615</v>
      </c>
      <c r="H7" s="103" t="s">
        <v>305</v>
      </c>
      <c r="I7" s="103">
        <v>0</v>
      </c>
      <c r="J7" s="103" t="s">
        <v>661</v>
      </c>
      <c r="K7" s="103">
        <v>0</v>
      </c>
      <c r="L7" s="103" t="s">
        <v>307</v>
      </c>
      <c r="M7" s="102">
        <v>1</v>
      </c>
      <c r="N7" s="102">
        <v>0</v>
      </c>
      <c r="O7" s="393">
        <v>10000000</v>
      </c>
      <c r="P7" s="396">
        <f t="shared" si="0"/>
        <v>10000000</v>
      </c>
      <c r="Q7" s="102">
        <v>0</v>
      </c>
      <c r="R7" s="102">
        <v>0</v>
      </c>
      <c r="S7" s="394">
        <v>0</v>
      </c>
      <c r="T7" s="395">
        <v>1</v>
      </c>
    </row>
    <row r="8" spans="1:20" x14ac:dyDescent="0.3">
      <c r="A8" s="401" t="s">
        <v>668</v>
      </c>
      <c r="B8" s="103" t="s">
        <v>424</v>
      </c>
      <c r="C8" s="103" t="s">
        <v>657</v>
      </c>
      <c r="D8" s="103" t="s">
        <v>14</v>
      </c>
      <c r="E8" s="103" t="s">
        <v>654</v>
      </c>
      <c r="F8" s="103" t="s">
        <v>274</v>
      </c>
      <c r="G8" s="103" t="s">
        <v>616</v>
      </c>
      <c r="H8" s="103" t="s">
        <v>306</v>
      </c>
      <c r="I8" s="103">
        <v>0</v>
      </c>
      <c r="J8" s="103" t="s">
        <v>661</v>
      </c>
      <c r="K8" s="103">
        <v>0</v>
      </c>
      <c r="L8" s="103" t="s">
        <v>307</v>
      </c>
      <c r="M8" s="102">
        <v>2</v>
      </c>
      <c r="N8" s="102">
        <v>0</v>
      </c>
      <c r="O8" s="393">
        <v>9000000</v>
      </c>
      <c r="P8" s="396">
        <f t="shared" si="0"/>
        <v>18000000</v>
      </c>
      <c r="Q8" s="102">
        <v>0</v>
      </c>
      <c r="R8" s="102">
        <v>0</v>
      </c>
      <c r="S8" s="394">
        <v>0</v>
      </c>
      <c r="T8" s="395">
        <v>1</v>
      </c>
    </row>
    <row r="9" spans="1:20" x14ac:dyDescent="0.3">
      <c r="A9" s="401" t="s">
        <v>669</v>
      </c>
      <c r="B9" s="103" t="s">
        <v>424</v>
      </c>
      <c r="C9" s="103" t="s">
        <v>657</v>
      </c>
      <c r="D9" s="103" t="s">
        <v>14</v>
      </c>
      <c r="E9" s="103" t="s">
        <v>654</v>
      </c>
      <c r="F9" s="103" t="s">
        <v>274</v>
      </c>
      <c r="G9" s="103" t="s">
        <v>617</v>
      </c>
      <c r="H9" s="103" t="s">
        <v>306</v>
      </c>
      <c r="I9" s="103">
        <v>0</v>
      </c>
      <c r="J9" s="103" t="s">
        <v>661</v>
      </c>
      <c r="K9" s="103">
        <v>0</v>
      </c>
      <c r="L9" s="103" t="s">
        <v>307</v>
      </c>
      <c r="M9" s="102">
        <v>1</v>
      </c>
      <c r="N9" s="102">
        <v>0</v>
      </c>
      <c r="O9" s="393">
        <v>9000000</v>
      </c>
      <c r="P9" s="396">
        <f t="shared" si="0"/>
        <v>9000000</v>
      </c>
      <c r="Q9" s="102">
        <v>0</v>
      </c>
      <c r="R9" s="102">
        <v>0</v>
      </c>
      <c r="S9" s="394">
        <v>0</v>
      </c>
      <c r="T9" s="395">
        <v>1</v>
      </c>
    </row>
    <row r="10" spans="1:20" x14ac:dyDescent="0.3">
      <c r="A10" s="401" t="s">
        <v>670</v>
      </c>
      <c r="B10" s="103" t="s">
        <v>424</v>
      </c>
      <c r="C10" s="103" t="s">
        <v>657</v>
      </c>
      <c r="D10" s="103" t="s">
        <v>14</v>
      </c>
      <c r="E10" s="103" t="s">
        <v>654</v>
      </c>
      <c r="F10" s="103" t="s">
        <v>274</v>
      </c>
      <c r="G10" s="103" t="s">
        <v>618</v>
      </c>
      <c r="H10" s="103" t="s">
        <v>619</v>
      </c>
      <c r="I10" s="103">
        <v>0</v>
      </c>
      <c r="J10" s="103" t="s">
        <v>661</v>
      </c>
      <c r="K10" s="103">
        <v>0</v>
      </c>
      <c r="L10" s="103" t="s">
        <v>307</v>
      </c>
      <c r="M10" s="102">
        <v>2.5</v>
      </c>
      <c r="N10" s="102">
        <v>0</v>
      </c>
      <c r="O10" s="393">
        <v>20000000</v>
      </c>
      <c r="P10" s="396">
        <f t="shared" si="0"/>
        <v>50000000</v>
      </c>
      <c r="Q10" s="102">
        <v>0</v>
      </c>
      <c r="R10" s="102">
        <v>0</v>
      </c>
      <c r="S10" s="394">
        <v>0</v>
      </c>
      <c r="T10" s="395">
        <v>1</v>
      </c>
    </row>
    <row r="11" spans="1:20" x14ac:dyDescent="0.3">
      <c r="A11" s="401" t="s">
        <v>671</v>
      </c>
      <c r="B11" s="103" t="s">
        <v>424</v>
      </c>
      <c r="C11" s="103" t="s">
        <v>657</v>
      </c>
      <c r="D11" s="103" t="s">
        <v>14</v>
      </c>
      <c r="E11" s="103" t="s">
        <v>654</v>
      </c>
      <c r="F11" s="103" t="s">
        <v>274</v>
      </c>
      <c r="G11" s="103" t="s">
        <v>620</v>
      </c>
      <c r="H11" s="103" t="s">
        <v>305</v>
      </c>
      <c r="I11" s="103">
        <v>0</v>
      </c>
      <c r="J11" s="103" t="s">
        <v>661</v>
      </c>
      <c r="K11" s="103">
        <v>0</v>
      </c>
      <c r="L11" s="103" t="s">
        <v>307</v>
      </c>
      <c r="M11" s="102">
        <v>0.5</v>
      </c>
      <c r="N11" s="102">
        <v>0</v>
      </c>
      <c r="O11" s="393">
        <v>10000000</v>
      </c>
      <c r="P11" s="396">
        <f t="shared" si="0"/>
        <v>5000000</v>
      </c>
      <c r="Q11" s="102">
        <v>0</v>
      </c>
      <c r="R11" s="102">
        <v>0</v>
      </c>
      <c r="S11" s="394">
        <v>0</v>
      </c>
      <c r="T11" s="395">
        <v>1</v>
      </c>
    </row>
    <row r="12" spans="1:20" x14ac:dyDescent="0.3">
      <c r="A12" s="401" t="s">
        <v>672</v>
      </c>
      <c r="B12" s="103" t="s">
        <v>424</v>
      </c>
      <c r="C12" s="103" t="s">
        <v>657</v>
      </c>
      <c r="D12" s="103" t="s">
        <v>14</v>
      </c>
      <c r="E12" s="103" t="s">
        <v>654</v>
      </c>
      <c r="F12" s="103" t="s">
        <v>274</v>
      </c>
      <c r="G12" s="103" t="s">
        <v>621</v>
      </c>
      <c r="H12" s="103" t="s">
        <v>622</v>
      </c>
      <c r="I12" s="103">
        <v>0</v>
      </c>
      <c r="J12" s="103" t="s">
        <v>661</v>
      </c>
      <c r="K12" s="103">
        <v>0</v>
      </c>
      <c r="L12" s="103" t="s">
        <v>307</v>
      </c>
      <c r="M12" s="102">
        <v>0.5</v>
      </c>
      <c r="N12" s="102">
        <v>0</v>
      </c>
      <c r="O12" s="393">
        <v>8000000</v>
      </c>
      <c r="P12" s="396">
        <f t="shared" si="0"/>
        <v>4000000</v>
      </c>
      <c r="Q12" s="102">
        <v>0</v>
      </c>
      <c r="R12" s="102">
        <v>0</v>
      </c>
      <c r="S12" s="394">
        <v>0</v>
      </c>
      <c r="T12" s="395">
        <v>1</v>
      </c>
    </row>
    <row r="13" spans="1:20" x14ac:dyDescent="0.3">
      <c r="A13" s="401" t="s">
        <v>673</v>
      </c>
      <c r="B13" s="103" t="s">
        <v>424</v>
      </c>
      <c r="C13" s="103" t="s">
        <v>623</v>
      </c>
      <c r="D13" s="103" t="s">
        <v>14</v>
      </c>
      <c r="E13" s="103" t="s">
        <v>654</v>
      </c>
      <c r="F13" s="103" t="s">
        <v>274</v>
      </c>
      <c r="G13" s="103" t="s">
        <v>624</v>
      </c>
      <c r="H13" s="103" t="s">
        <v>305</v>
      </c>
      <c r="I13" s="103">
        <v>0</v>
      </c>
      <c r="J13" s="103" t="s">
        <v>661</v>
      </c>
      <c r="K13" s="103">
        <v>0</v>
      </c>
      <c r="L13" s="103" t="s">
        <v>307</v>
      </c>
      <c r="M13" s="102">
        <v>3</v>
      </c>
      <c r="N13" s="102">
        <v>0</v>
      </c>
      <c r="O13" s="393">
        <v>10000000</v>
      </c>
      <c r="P13" s="396">
        <f t="shared" si="0"/>
        <v>30000000</v>
      </c>
      <c r="Q13" s="102">
        <v>0</v>
      </c>
      <c r="R13" s="102">
        <v>0</v>
      </c>
      <c r="S13" s="394">
        <v>0</v>
      </c>
      <c r="T13" s="395">
        <v>1</v>
      </c>
    </row>
    <row r="14" spans="1:20" x14ac:dyDescent="0.3">
      <c r="A14" s="401" t="s">
        <v>674</v>
      </c>
      <c r="B14" s="103" t="s">
        <v>424</v>
      </c>
      <c r="C14" s="103" t="s">
        <v>623</v>
      </c>
      <c r="D14" s="103" t="s">
        <v>14</v>
      </c>
      <c r="E14" s="103" t="s">
        <v>654</v>
      </c>
      <c r="F14" s="103" t="s">
        <v>274</v>
      </c>
      <c r="G14" s="103" t="s">
        <v>625</v>
      </c>
      <c r="H14" s="103" t="s">
        <v>305</v>
      </c>
      <c r="I14" s="103">
        <v>0</v>
      </c>
      <c r="J14" s="103" t="s">
        <v>661</v>
      </c>
      <c r="K14" s="103">
        <v>0</v>
      </c>
      <c r="L14" s="103" t="s">
        <v>307</v>
      </c>
      <c r="M14" s="102">
        <v>3</v>
      </c>
      <c r="N14" s="102">
        <v>0</v>
      </c>
      <c r="O14" s="393">
        <v>10000000</v>
      </c>
      <c r="P14" s="396">
        <f t="shared" si="0"/>
        <v>30000000</v>
      </c>
      <c r="Q14" s="102">
        <v>0</v>
      </c>
      <c r="R14" s="102">
        <v>0</v>
      </c>
      <c r="S14" s="394">
        <v>0</v>
      </c>
      <c r="T14" s="395">
        <v>1</v>
      </c>
    </row>
    <row r="15" spans="1:20" x14ac:dyDescent="0.3">
      <c r="A15" s="401" t="s">
        <v>675</v>
      </c>
      <c r="B15" s="103" t="s">
        <v>424</v>
      </c>
      <c r="C15" s="103" t="s">
        <v>623</v>
      </c>
      <c r="D15" s="103" t="s">
        <v>14</v>
      </c>
      <c r="E15" s="103" t="s">
        <v>654</v>
      </c>
      <c r="F15" s="103" t="s">
        <v>274</v>
      </c>
      <c r="G15" s="103" t="s">
        <v>358</v>
      </c>
      <c r="H15" s="103" t="s">
        <v>306</v>
      </c>
      <c r="I15" s="103">
        <v>0</v>
      </c>
      <c r="J15" s="103" t="s">
        <v>661</v>
      </c>
      <c r="K15" s="103">
        <v>0</v>
      </c>
      <c r="L15" s="103" t="s">
        <v>307</v>
      </c>
      <c r="M15" s="102">
        <v>3</v>
      </c>
      <c r="N15" s="102">
        <v>0</v>
      </c>
      <c r="O15" s="393">
        <v>9000000</v>
      </c>
      <c r="P15" s="396">
        <f t="shared" si="0"/>
        <v>27000000</v>
      </c>
      <c r="Q15" s="102">
        <v>0</v>
      </c>
      <c r="R15" s="102">
        <v>0</v>
      </c>
      <c r="S15" s="394">
        <v>0</v>
      </c>
      <c r="T15" s="395">
        <v>1</v>
      </c>
    </row>
    <row r="16" spans="1:20" x14ac:dyDescent="0.3">
      <c r="A16" s="401" t="s">
        <v>676</v>
      </c>
      <c r="B16" s="103" t="s">
        <v>424</v>
      </c>
      <c r="C16" s="103" t="s">
        <v>623</v>
      </c>
      <c r="D16" s="103" t="s">
        <v>14</v>
      </c>
      <c r="E16" s="103" t="s">
        <v>654</v>
      </c>
      <c r="F16" s="103" t="s">
        <v>274</v>
      </c>
      <c r="G16" s="103" t="s">
        <v>626</v>
      </c>
      <c r="H16" s="103" t="s">
        <v>305</v>
      </c>
      <c r="I16" s="103">
        <v>0</v>
      </c>
      <c r="J16" s="103" t="s">
        <v>661</v>
      </c>
      <c r="K16" s="103">
        <v>0</v>
      </c>
      <c r="L16" s="103" t="s">
        <v>307</v>
      </c>
      <c r="M16" s="102">
        <v>2</v>
      </c>
      <c r="N16" s="102">
        <v>0</v>
      </c>
      <c r="O16" s="393">
        <v>10000000</v>
      </c>
      <c r="P16" s="396">
        <f t="shared" si="0"/>
        <v>20000000</v>
      </c>
      <c r="Q16" s="102">
        <v>0</v>
      </c>
      <c r="R16" s="102">
        <v>0</v>
      </c>
      <c r="S16" s="394">
        <v>0</v>
      </c>
      <c r="T16" s="395">
        <v>1</v>
      </c>
    </row>
    <row r="17" spans="1:20" x14ac:dyDescent="0.3">
      <c r="A17" s="401" t="s">
        <v>677</v>
      </c>
      <c r="B17" s="103" t="s">
        <v>424</v>
      </c>
      <c r="C17" s="103" t="s">
        <v>623</v>
      </c>
      <c r="D17" s="103" t="s">
        <v>14</v>
      </c>
      <c r="E17" s="103" t="s">
        <v>654</v>
      </c>
      <c r="F17" s="103" t="s">
        <v>274</v>
      </c>
      <c r="G17" s="103" t="s">
        <v>627</v>
      </c>
      <c r="H17" s="103" t="s">
        <v>305</v>
      </c>
      <c r="I17" s="103">
        <v>0</v>
      </c>
      <c r="J17" s="103" t="s">
        <v>661</v>
      </c>
      <c r="K17" s="103">
        <v>0</v>
      </c>
      <c r="L17" s="103" t="s">
        <v>307</v>
      </c>
      <c r="M17" s="102">
        <v>3</v>
      </c>
      <c r="N17" s="102">
        <v>0</v>
      </c>
      <c r="O17" s="393">
        <v>10000000</v>
      </c>
      <c r="P17" s="396">
        <f t="shared" si="0"/>
        <v>30000000</v>
      </c>
      <c r="Q17" s="102">
        <v>0</v>
      </c>
      <c r="R17" s="102">
        <v>0</v>
      </c>
      <c r="S17" s="394">
        <v>0</v>
      </c>
      <c r="T17" s="395">
        <v>1</v>
      </c>
    </row>
    <row r="18" spans="1:20" x14ac:dyDescent="0.3">
      <c r="A18" s="401" t="s">
        <v>678</v>
      </c>
      <c r="B18" s="103" t="s">
        <v>424</v>
      </c>
      <c r="C18" s="103" t="s">
        <v>623</v>
      </c>
      <c r="D18" s="103" t="s">
        <v>14</v>
      </c>
      <c r="E18" s="103" t="s">
        <v>654</v>
      </c>
      <c r="F18" s="103" t="s">
        <v>274</v>
      </c>
      <c r="G18" s="103" t="s">
        <v>628</v>
      </c>
      <c r="H18" s="103" t="s">
        <v>305</v>
      </c>
      <c r="I18" s="103">
        <v>0</v>
      </c>
      <c r="J18" s="103" t="s">
        <v>661</v>
      </c>
      <c r="K18" s="103">
        <v>0</v>
      </c>
      <c r="L18" s="103" t="s">
        <v>307</v>
      </c>
      <c r="M18" s="102">
        <v>4</v>
      </c>
      <c r="N18" s="102">
        <v>0</v>
      </c>
      <c r="O18" s="393">
        <v>10000000</v>
      </c>
      <c r="P18" s="396">
        <f t="shared" si="0"/>
        <v>40000000</v>
      </c>
      <c r="Q18" s="102">
        <v>0</v>
      </c>
      <c r="R18" s="102">
        <v>0</v>
      </c>
      <c r="S18" s="394">
        <v>0</v>
      </c>
      <c r="T18" s="395">
        <v>1</v>
      </c>
    </row>
    <row r="19" spans="1:20" x14ac:dyDescent="0.3">
      <c r="A19" s="401" t="s">
        <v>679</v>
      </c>
      <c r="B19" s="103" t="s">
        <v>424</v>
      </c>
      <c r="C19" s="103" t="s">
        <v>639</v>
      </c>
      <c r="D19" s="103" t="s">
        <v>14</v>
      </c>
      <c r="E19" s="103" t="s">
        <v>654</v>
      </c>
      <c r="F19" s="103" t="s">
        <v>274</v>
      </c>
      <c r="G19" s="103" t="s">
        <v>629</v>
      </c>
      <c r="H19" s="103" t="s">
        <v>305</v>
      </c>
      <c r="I19" s="103">
        <v>0</v>
      </c>
      <c r="J19" s="103" t="s">
        <v>661</v>
      </c>
      <c r="K19" s="103">
        <v>0</v>
      </c>
      <c r="L19" s="103" t="s">
        <v>307</v>
      </c>
      <c r="M19" s="102">
        <v>6</v>
      </c>
      <c r="N19" s="103">
        <v>0</v>
      </c>
      <c r="O19" s="393">
        <v>10000000</v>
      </c>
      <c r="P19" s="396">
        <f t="shared" si="0"/>
        <v>60000000</v>
      </c>
      <c r="Q19" s="102">
        <v>0</v>
      </c>
      <c r="R19" s="102">
        <v>0</v>
      </c>
      <c r="S19" s="394">
        <v>0</v>
      </c>
      <c r="T19" s="395">
        <v>1</v>
      </c>
    </row>
    <row r="20" spans="1:20" x14ac:dyDescent="0.3">
      <c r="A20" s="401" t="s">
        <v>680</v>
      </c>
      <c r="B20" s="103" t="s">
        <v>424</v>
      </c>
      <c r="C20" s="103" t="s">
        <v>639</v>
      </c>
      <c r="D20" s="103" t="s">
        <v>14</v>
      </c>
      <c r="E20" s="103" t="s">
        <v>654</v>
      </c>
      <c r="F20" s="103" t="s">
        <v>274</v>
      </c>
      <c r="G20" s="103" t="s">
        <v>630</v>
      </c>
      <c r="H20" s="103" t="s">
        <v>305</v>
      </c>
      <c r="I20" s="103">
        <v>0</v>
      </c>
      <c r="J20" s="103" t="s">
        <v>661</v>
      </c>
      <c r="K20" s="103">
        <v>0</v>
      </c>
      <c r="L20" s="103" t="s">
        <v>307</v>
      </c>
      <c r="M20" s="102">
        <v>6</v>
      </c>
      <c r="N20" s="103">
        <v>0</v>
      </c>
      <c r="O20" s="393">
        <v>10000000</v>
      </c>
      <c r="P20" s="396">
        <f t="shared" si="0"/>
        <v>60000000</v>
      </c>
      <c r="Q20" s="102">
        <v>0</v>
      </c>
      <c r="R20" s="102">
        <v>0</v>
      </c>
      <c r="S20" s="394">
        <v>0</v>
      </c>
      <c r="T20" s="395">
        <v>1</v>
      </c>
    </row>
    <row r="21" spans="1:20" x14ac:dyDescent="0.3">
      <c r="A21" s="401" t="s">
        <v>681</v>
      </c>
      <c r="B21" s="103" t="s">
        <v>424</v>
      </c>
      <c r="C21" s="103" t="s">
        <v>639</v>
      </c>
      <c r="D21" s="103" t="s">
        <v>14</v>
      </c>
      <c r="E21" s="103" t="s">
        <v>654</v>
      </c>
      <c r="F21" s="103" t="s">
        <v>274</v>
      </c>
      <c r="G21" s="103" t="s">
        <v>631</v>
      </c>
      <c r="H21" s="103" t="s">
        <v>622</v>
      </c>
      <c r="I21" s="103">
        <v>0</v>
      </c>
      <c r="J21" s="103" t="s">
        <v>661</v>
      </c>
      <c r="K21" s="103">
        <v>0</v>
      </c>
      <c r="L21" s="103" t="s">
        <v>307</v>
      </c>
      <c r="M21" s="102">
        <v>3</v>
      </c>
      <c r="N21" s="103">
        <v>0</v>
      </c>
      <c r="O21" s="393">
        <v>8000000</v>
      </c>
      <c r="P21" s="396">
        <f t="shared" si="0"/>
        <v>24000000</v>
      </c>
      <c r="Q21" s="102">
        <v>0</v>
      </c>
      <c r="R21" s="102">
        <v>0</v>
      </c>
      <c r="S21" s="394">
        <v>0</v>
      </c>
      <c r="T21" s="395">
        <v>1</v>
      </c>
    </row>
    <row r="22" spans="1:20" x14ac:dyDescent="0.3">
      <c r="A22" s="401" t="s">
        <v>682</v>
      </c>
      <c r="B22" s="103" t="s">
        <v>424</v>
      </c>
      <c r="C22" s="103" t="s">
        <v>639</v>
      </c>
      <c r="D22" s="103" t="s">
        <v>14</v>
      </c>
      <c r="E22" s="103" t="s">
        <v>654</v>
      </c>
      <c r="F22" s="103" t="s">
        <v>274</v>
      </c>
      <c r="G22" s="103" t="s">
        <v>632</v>
      </c>
      <c r="H22" s="103" t="s">
        <v>306</v>
      </c>
      <c r="I22" s="103">
        <v>0</v>
      </c>
      <c r="J22" s="103" t="s">
        <v>661</v>
      </c>
      <c r="K22" s="103">
        <v>0</v>
      </c>
      <c r="L22" s="103" t="s">
        <v>307</v>
      </c>
      <c r="M22" s="102">
        <v>4</v>
      </c>
      <c r="N22" s="103">
        <v>0</v>
      </c>
      <c r="O22" s="393">
        <v>9000000</v>
      </c>
      <c r="P22" s="396">
        <f t="shared" si="0"/>
        <v>36000000</v>
      </c>
      <c r="Q22" s="102">
        <v>0</v>
      </c>
      <c r="R22" s="102">
        <v>0</v>
      </c>
      <c r="S22" s="394">
        <v>0</v>
      </c>
      <c r="T22" s="395">
        <v>1</v>
      </c>
    </row>
    <row r="23" spans="1:20" x14ac:dyDescent="0.3">
      <c r="A23" s="401" t="s">
        <v>683</v>
      </c>
      <c r="B23" s="103" t="s">
        <v>424</v>
      </c>
      <c r="C23" s="103" t="s">
        <v>639</v>
      </c>
      <c r="D23" s="103" t="s">
        <v>14</v>
      </c>
      <c r="E23" s="103" t="s">
        <v>654</v>
      </c>
      <c r="F23" s="103" t="s">
        <v>274</v>
      </c>
      <c r="G23" s="103" t="s">
        <v>633</v>
      </c>
      <c r="H23" s="103" t="s">
        <v>305</v>
      </c>
      <c r="I23" s="103">
        <v>0</v>
      </c>
      <c r="J23" s="103" t="s">
        <v>661</v>
      </c>
      <c r="K23" s="103">
        <v>0</v>
      </c>
      <c r="L23" s="103" t="s">
        <v>307</v>
      </c>
      <c r="M23" s="102">
        <v>2</v>
      </c>
      <c r="N23" s="103">
        <v>0</v>
      </c>
      <c r="O23" s="393">
        <v>10000000</v>
      </c>
      <c r="P23" s="396">
        <f t="shared" si="0"/>
        <v>20000000</v>
      </c>
      <c r="Q23" s="102">
        <v>0</v>
      </c>
      <c r="R23" s="102">
        <v>0</v>
      </c>
      <c r="S23" s="103">
        <v>0</v>
      </c>
      <c r="T23" s="395">
        <v>1</v>
      </c>
    </row>
    <row r="24" spans="1:20" x14ac:dyDescent="0.3">
      <c r="A24" s="401" t="s">
        <v>684</v>
      </c>
      <c r="B24" s="103" t="s">
        <v>424</v>
      </c>
      <c r="C24" s="103" t="s">
        <v>639</v>
      </c>
      <c r="D24" s="103" t="s">
        <v>14</v>
      </c>
      <c r="E24" s="103" t="s">
        <v>654</v>
      </c>
      <c r="F24" s="103" t="s">
        <v>274</v>
      </c>
      <c r="G24" s="103" t="s">
        <v>634</v>
      </c>
      <c r="H24" s="103" t="s">
        <v>306</v>
      </c>
      <c r="I24" s="103">
        <v>0</v>
      </c>
      <c r="J24" s="103" t="s">
        <v>661</v>
      </c>
      <c r="K24" s="103">
        <v>0</v>
      </c>
      <c r="L24" s="103" t="s">
        <v>307</v>
      </c>
      <c r="M24" s="102">
        <v>5</v>
      </c>
      <c r="N24" s="103">
        <v>0</v>
      </c>
      <c r="O24" s="393">
        <v>9000000</v>
      </c>
      <c r="P24" s="396">
        <f t="shared" si="0"/>
        <v>45000000</v>
      </c>
      <c r="Q24" s="102">
        <v>0</v>
      </c>
      <c r="R24" s="102">
        <v>0</v>
      </c>
      <c r="S24" s="103">
        <v>0</v>
      </c>
      <c r="T24" s="395">
        <v>1</v>
      </c>
    </row>
    <row r="25" spans="1:20" x14ac:dyDescent="0.3">
      <c r="A25" s="401" t="s">
        <v>685</v>
      </c>
      <c r="B25" s="103" t="s">
        <v>424</v>
      </c>
      <c r="C25" s="103" t="s">
        <v>639</v>
      </c>
      <c r="D25" s="103" t="s">
        <v>14</v>
      </c>
      <c r="E25" s="103" t="s">
        <v>654</v>
      </c>
      <c r="F25" s="103" t="s">
        <v>274</v>
      </c>
      <c r="G25" s="103" t="s">
        <v>635</v>
      </c>
      <c r="H25" s="103" t="s">
        <v>306</v>
      </c>
      <c r="I25" s="103">
        <v>0</v>
      </c>
      <c r="J25" s="103" t="s">
        <v>661</v>
      </c>
      <c r="K25" s="103">
        <v>0</v>
      </c>
      <c r="L25" s="103" t="s">
        <v>307</v>
      </c>
      <c r="M25" s="102">
        <v>1</v>
      </c>
      <c r="N25" s="103">
        <v>0</v>
      </c>
      <c r="O25" s="393">
        <v>9000000</v>
      </c>
      <c r="P25" s="396">
        <f t="shared" si="0"/>
        <v>9000000</v>
      </c>
      <c r="Q25" s="102">
        <v>0</v>
      </c>
      <c r="R25" s="102">
        <v>0</v>
      </c>
      <c r="S25" s="103">
        <v>0</v>
      </c>
      <c r="T25" s="395">
        <v>1</v>
      </c>
    </row>
    <row r="26" spans="1:20" x14ac:dyDescent="0.3">
      <c r="A26" s="401" t="s">
        <v>686</v>
      </c>
      <c r="B26" s="103" t="s">
        <v>424</v>
      </c>
      <c r="C26" s="103" t="s">
        <v>639</v>
      </c>
      <c r="D26" s="103" t="s">
        <v>14</v>
      </c>
      <c r="E26" s="103" t="s">
        <v>654</v>
      </c>
      <c r="F26" s="103" t="s">
        <v>274</v>
      </c>
      <c r="G26" s="103" t="s">
        <v>636</v>
      </c>
      <c r="H26" s="103" t="s">
        <v>306</v>
      </c>
      <c r="I26" s="103">
        <v>0</v>
      </c>
      <c r="J26" s="103" t="s">
        <v>661</v>
      </c>
      <c r="K26" s="103">
        <v>0</v>
      </c>
      <c r="L26" s="103" t="s">
        <v>307</v>
      </c>
      <c r="M26" s="102">
        <v>1</v>
      </c>
      <c r="N26" s="103">
        <v>0</v>
      </c>
      <c r="O26" s="393">
        <v>9000000</v>
      </c>
      <c r="P26" s="396">
        <f t="shared" si="0"/>
        <v>9000000</v>
      </c>
      <c r="Q26" s="102">
        <v>0</v>
      </c>
      <c r="R26" s="102">
        <v>0</v>
      </c>
      <c r="S26" s="103">
        <v>0</v>
      </c>
      <c r="T26" s="395">
        <v>1</v>
      </c>
    </row>
    <row r="27" spans="1:20" x14ac:dyDescent="0.3">
      <c r="A27" s="401" t="s">
        <v>687</v>
      </c>
      <c r="B27" s="103" t="s">
        <v>424</v>
      </c>
      <c r="C27" s="103" t="s">
        <v>639</v>
      </c>
      <c r="D27" s="103" t="s">
        <v>14</v>
      </c>
      <c r="E27" s="103" t="s">
        <v>654</v>
      </c>
      <c r="F27" s="103" t="s">
        <v>274</v>
      </c>
      <c r="G27" s="103" t="s">
        <v>637</v>
      </c>
      <c r="H27" s="103" t="s">
        <v>306</v>
      </c>
      <c r="I27" s="103">
        <v>0</v>
      </c>
      <c r="J27" s="103" t="s">
        <v>661</v>
      </c>
      <c r="K27" s="103">
        <v>0</v>
      </c>
      <c r="L27" s="103" t="s">
        <v>307</v>
      </c>
      <c r="M27" s="102">
        <v>2</v>
      </c>
      <c r="N27" s="103">
        <v>0</v>
      </c>
      <c r="O27" s="393">
        <v>9000000</v>
      </c>
      <c r="P27" s="396">
        <f t="shared" si="0"/>
        <v>18000000</v>
      </c>
      <c r="Q27" s="102">
        <v>0</v>
      </c>
      <c r="R27" s="102">
        <v>0</v>
      </c>
      <c r="S27" s="103">
        <v>0</v>
      </c>
      <c r="T27" s="395">
        <v>1</v>
      </c>
    </row>
    <row r="28" spans="1:20" x14ac:dyDescent="0.3">
      <c r="A28" s="401" t="s">
        <v>688</v>
      </c>
      <c r="B28" s="103" t="s">
        <v>424</v>
      </c>
      <c r="C28" s="103" t="s">
        <v>639</v>
      </c>
      <c r="D28" s="103" t="s">
        <v>14</v>
      </c>
      <c r="E28" s="103" t="s">
        <v>654</v>
      </c>
      <c r="F28" s="103" t="s">
        <v>274</v>
      </c>
      <c r="G28" s="103" t="s">
        <v>638</v>
      </c>
      <c r="H28" s="103" t="s">
        <v>305</v>
      </c>
      <c r="I28" s="103">
        <v>0</v>
      </c>
      <c r="J28" s="103" t="s">
        <v>661</v>
      </c>
      <c r="K28" s="103">
        <v>0</v>
      </c>
      <c r="L28" s="103" t="s">
        <v>307</v>
      </c>
      <c r="M28" s="102">
        <v>3</v>
      </c>
      <c r="N28" s="103">
        <v>0</v>
      </c>
      <c r="O28" s="393">
        <v>10000000</v>
      </c>
      <c r="P28" s="396">
        <f t="shared" si="0"/>
        <v>30000000</v>
      </c>
      <c r="Q28" s="102">
        <v>0</v>
      </c>
      <c r="R28" s="102">
        <v>0</v>
      </c>
      <c r="S28" s="103">
        <v>0</v>
      </c>
      <c r="T28" s="395">
        <v>1</v>
      </c>
    </row>
    <row r="29" spans="1:20" x14ac:dyDescent="0.3">
      <c r="A29" s="401" t="s">
        <v>689</v>
      </c>
      <c r="B29" s="103" t="s">
        <v>424</v>
      </c>
      <c r="C29" s="103" t="s">
        <v>639</v>
      </c>
      <c r="D29" s="103" t="s">
        <v>14</v>
      </c>
      <c r="E29" s="103" t="s">
        <v>654</v>
      </c>
      <c r="F29" s="103" t="s">
        <v>640</v>
      </c>
      <c r="G29" s="103" t="s">
        <v>641</v>
      </c>
      <c r="H29" s="103" t="s">
        <v>642</v>
      </c>
      <c r="I29" s="103">
        <v>0</v>
      </c>
      <c r="J29" s="103" t="s">
        <v>661</v>
      </c>
      <c r="K29" s="103">
        <v>0</v>
      </c>
      <c r="L29" s="103" t="s">
        <v>307</v>
      </c>
      <c r="M29" s="102">
        <v>3</v>
      </c>
      <c r="N29" s="102">
        <v>0</v>
      </c>
      <c r="O29" s="393">
        <v>11000000</v>
      </c>
      <c r="P29" s="396">
        <f t="shared" si="0"/>
        <v>33000000</v>
      </c>
      <c r="Q29" s="102">
        <v>0</v>
      </c>
      <c r="R29" s="102">
        <v>0</v>
      </c>
      <c r="S29" s="103">
        <v>0</v>
      </c>
      <c r="T29" s="395">
        <v>1</v>
      </c>
    </row>
    <row r="30" spans="1:20" x14ac:dyDescent="0.3">
      <c r="A30" s="401" t="s">
        <v>690</v>
      </c>
      <c r="B30" s="103" t="s">
        <v>424</v>
      </c>
      <c r="C30" s="103" t="s">
        <v>639</v>
      </c>
      <c r="D30" s="103" t="s">
        <v>14</v>
      </c>
      <c r="E30" s="103" t="s">
        <v>654</v>
      </c>
      <c r="F30" s="103" t="s">
        <v>643</v>
      </c>
      <c r="G30" s="103" t="s">
        <v>644</v>
      </c>
      <c r="H30" s="103" t="s">
        <v>306</v>
      </c>
      <c r="I30" s="103">
        <v>0</v>
      </c>
      <c r="J30" s="103" t="s">
        <v>661</v>
      </c>
      <c r="K30" s="103">
        <v>0</v>
      </c>
      <c r="L30" s="103" t="s">
        <v>307</v>
      </c>
      <c r="M30" s="102">
        <v>3</v>
      </c>
      <c r="N30" s="102">
        <v>0</v>
      </c>
      <c r="O30" s="393">
        <v>9000000</v>
      </c>
      <c r="P30" s="396">
        <f t="shared" si="0"/>
        <v>27000000</v>
      </c>
      <c r="Q30" s="102">
        <v>0</v>
      </c>
      <c r="R30" s="102">
        <v>0</v>
      </c>
      <c r="S30" s="103">
        <v>0</v>
      </c>
      <c r="T30" s="395">
        <v>1</v>
      </c>
    </row>
    <row r="31" spans="1:20" x14ac:dyDescent="0.3">
      <c r="A31" s="401" t="s">
        <v>691</v>
      </c>
      <c r="B31" s="103" t="s">
        <v>424</v>
      </c>
      <c r="C31" s="103" t="s">
        <v>639</v>
      </c>
      <c r="D31" s="103" t="s">
        <v>14</v>
      </c>
      <c r="E31" s="103" t="s">
        <v>654</v>
      </c>
      <c r="F31" s="103" t="s">
        <v>643</v>
      </c>
      <c r="G31" s="103" t="s">
        <v>645</v>
      </c>
      <c r="H31" s="103" t="s">
        <v>622</v>
      </c>
      <c r="I31" s="103">
        <v>0</v>
      </c>
      <c r="J31" s="103" t="s">
        <v>661</v>
      </c>
      <c r="K31" s="103">
        <v>0</v>
      </c>
      <c r="L31" s="103" t="s">
        <v>307</v>
      </c>
      <c r="M31" s="102">
        <v>3</v>
      </c>
      <c r="N31" s="102">
        <v>0</v>
      </c>
      <c r="O31" s="393">
        <v>8000000</v>
      </c>
      <c r="P31" s="396">
        <f t="shared" si="0"/>
        <v>24000000</v>
      </c>
      <c r="Q31" s="102">
        <v>0</v>
      </c>
      <c r="R31" s="102">
        <v>0</v>
      </c>
      <c r="S31" s="103">
        <v>0</v>
      </c>
      <c r="T31" s="395">
        <v>1</v>
      </c>
    </row>
    <row r="32" spans="1:20" x14ac:dyDescent="0.3">
      <c r="A32" s="401" t="s">
        <v>692</v>
      </c>
      <c r="B32" s="103" t="s">
        <v>424</v>
      </c>
      <c r="C32" s="103" t="s">
        <v>639</v>
      </c>
      <c r="D32" s="103" t="s">
        <v>14</v>
      </c>
      <c r="E32" s="103" t="s">
        <v>654</v>
      </c>
      <c r="F32" s="103" t="s">
        <v>646</v>
      </c>
      <c r="G32" s="103" t="s">
        <v>647</v>
      </c>
      <c r="H32" s="103" t="s">
        <v>642</v>
      </c>
      <c r="I32" s="103">
        <v>0</v>
      </c>
      <c r="J32" s="103" t="s">
        <v>661</v>
      </c>
      <c r="K32" s="103">
        <v>0</v>
      </c>
      <c r="L32" s="103" t="s">
        <v>307</v>
      </c>
      <c r="M32" s="102">
        <v>1</v>
      </c>
      <c r="N32" s="102">
        <v>0</v>
      </c>
      <c r="O32" s="393">
        <v>11000000</v>
      </c>
      <c r="P32" s="396">
        <f t="shared" si="0"/>
        <v>11000000</v>
      </c>
      <c r="Q32" s="102">
        <v>0</v>
      </c>
      <c r="R32" s="102">
        <v>0</v>
      </c>
      <c r="S32" s="103">
        <v>0</v>
      </c>
      <c r="T32" s="395">
        <v>1</v>
      </c>
    </row>
    <row r="33" spans="1:20" x14ac:dyDescent="0.3">
      <c r="A33" s="401" t="s">
        <v>693</v>
      </c>
      <c r="B33" s="103" t="s">
        <v>424</v>
      </c>
      <c r="C33" s="103" t="s">
        <v>639</v>
      </c>
      <c r="D33" s="103" t="s">
        <v>14</v>
      </c>
      <c r="E33" s="103" t="s">
        <v>654</v>
      </c>
      <c r="F33" s="103" t="s">
        <v>648</v>
      </c>
      <c r="G33" s="103" t="s">
        <v>649</v>
      </c>
      <c r="H33" s="103" t="s">
        <v>306</v>
      </c>
      <c r="I33" s="103">
        <v>0</v>
      </c>
      <c r="J33" s="103" t="s">
        <v>661</v>
      </c>
      <c r="K33" s="103">
        <v>0</v>
      </c>
      <c r="L33" s="103" t="s">
        <v>307</v>
      </c>
      <c r="M33" s="102">
        <v>2</v>
      </c>
      <c r="N33" s="102">
        <v>0</v>
      </c>
      <c r="O33" s="393">
        <v>9000000</v>
      </c>
      <c r="P33" s="396">
        <f t="shared" si="0"/>
        <v>18000000</v>
      </c>
      <c r="Q33" s="102">
        <v>0</v>
      </c>
      <c r="R33" s="102">
        <v>0</v>
      </c>
      <c r="S33" s="103">
        <v>0</v>
      </c>
      <c r="T33" s="395">
        <v>1</v>
      </c>
    </row>
    <row r="34" spans="1:20" x14ac:dyDescent="0.3">
      <c r="A34" s="401" t="s">
        <v>694</v>
      </c>
      <c r="B34" s="103" t="s">
        <v>424</v>
      </c>
      <c r="C34" s="103" t="s">
        <v>639</v>
      </c>
      <c r="D34" s="103" t="s">
        <v>14</v>
      </c>
      <c r="E34" s="103" t="s">
        <v>654</v>
      </c>
      <c r="F34" s="103" t="s">
        <v>650</v>
      </c>
      <c r="G34" s="103" t="s">
        <v>651</v>
      </c>
      <c r="H34" s="103" t="s">
        <v>306</v>
      </c>
      <c r="I34" s="103">
        <v>0</v>
      </c>
      <c r="J34" s="103" t="s">
        <v>661</v>
      </c>
      <c r="K34" s="103">
        <v>0</v>
      </c>
      <c r="L34" s="103" t="s">
        <v>307</v>
      </c>
      <c r="M34" s="102">
        <v>2</v>
      </c>
      <c r="N34" s="102">
        <v>0</v>
      </c>
      <c r="O34" s="393">
        <v>9000000</v>
      </c>
      <c r="P34" s="396">
        <f t="shared" si="0"/>
        <v>18000000</v>
      </c>
      <c r="Q34" s="102">
        <v>0</v>
      </c>
      <c r="R34" s="102">
        <v>0</v>
      </c>
      <c r="S34" s="103">
        <v>0</v>
      </c>
      <c r="T34" s="395">
        <v>1</v>
      </c>
    </row>
    <row r="35" spans="1:20" x14ac:dyDescent="0.3">
      <c r="A35" s="401" t="s">
        <v>695</v>
      </c>
      <c r="B35" s="103" t="s">
        <v>424</v>
      </c>
      <c r="C35" s="419" t="s">
        <v>652</v>
      </c>
      <c r="D35" s="419" t="s">
        <v>14</v>
      </c>
      <c r="E35" s="419" t="s">
        <v>654</v>
      </c>
      <c r="F35" s="103" t="s">
        <v>655</v>
      </c>
      <c r="G35" s="103" t="s">
        <v>656</v>
      </c>
      <c r="H35" s="103" t="s">
        <v>305</v>
      </c>
      <c r="I35" s="103">
        <v>0</v>
      </c>
      <c r="J35" s="103" t="s">
        <v>661</v>
      </c>
      <c r="K35" s="103">
        <v>0</v>
      </c>
      <c r="L35" s="103" t="s">
        <v>307</v>
      </c>
      <c r="M35" s="103">
        <v>20</v>
      </c>
      <c r="N35" s="102">
        <v>0</v>
      </c>
      <c r="O35" s="393">
        <v>11250000</v>
      </c>
      <c r="P35" s="396">
        <f t="shared" si="0"/>
        <v>225000000</v>
      </c>
      <c r="Q35" s="103">
        <v>0</v>
      </c>
      <c r="R35" s="103">
        <v>0</v>
      </c>
      <c r="S35" s="103">
        <v>0</v>
      </c>
      <c r="T35" s="395">
        <v>1</v>
      </c>
    </row>
    <row r="36" spans="1:20" x14ac:dyDescent="0.3">
      <c r="A36" s="401" t="s">
        <v>696</v>
      </c>
      <c r="B36" s="103" t="s">
        <v>424</v>
      </c>
      <c r="C36" s="419" t="s">
        <v>657</v>
      </c>
      <c r="D36" s="419" t="s">
        <v>14</v>
      </c>
      <c r="E36" s="419" t="s">
        <v>654</v>
      </c>
      <c r="F36" s="419" t="s">
        <v>660</v>
      </c>
      <c r="G36" s="103">
        <v>0</v>
      </c>
      <c r="H36" s="103" t="s">
        <v>305</v>
      </c>
      <c r="I36" s="103">
        <v>0</v>
      </c>
      <c r="J36" s="103" t="s">
        <v>661</v>
      </c>
      <c r="K36" s="103">
        <v>0</v>
      </c>
      <c r="L36" s="103" t="s">
        <v>307</v>
      </c>
      <c r="M36" s="420">
        <v>10</v>
      </c>
      <c r="N36" s="103">
        <v>0</v>
      </c>
      <c r="O36" s="393">
        <v>3333333.3333333335</v>
      </c>
      <c r="P36" s="396">
        <f t="shared" si="0"/>
        <v>33333333.333333336</v>
      </c>
      <c r="Q36" s="103">
        <v>0</v>
      </c>
      <c r="R36" s="103">
        <v>0</v>
      </c>
      <c r="S36" s="103">
        <v>0</v>
      </c>
      <c r="T36" s="395">
        <v>1</v>
      </c>
    </row>
    <row r="37" spans="1:20" x14ac:dyDescent="0.3">
      <c r="A37" s="401" t="s">
        <v>697</v>
      </c>
      <c r="B37" s="103" t="s">
        <v>424</v>
      </c>
      <c r="C37" s="419" t="s">
        <v>623</v>
      </c>
      <c r="D37" s="419" t="s">
        <v>14</v>
      </c>
      <c r="E37" s="419" t="s">
        <v>654</v>
      </c>
      <c r="F37" s="419" t="s">
        <v>660</v>
      </c>
      <c r="G37" s="103">
        <v>0</v>
      </c>
      <c r="H37" s="103" t="s">
        <v>305</v>
      </c>
      <c r="I37" s="103">
        <v>0</v>
      </c>
      <c r="J37" s="103" t="s">
        <v>661</v>
      </c>
      <c r="K37" s="103">
        <v>0</v>
      </c>
      <c r="L37" s="103" t="s">
        <v>307</v>
      </c>
      <c r="M37" s="420">
        <v>10</v>
      </c>
      <c r="N37" s="103">
        <v>0</v>
      </c>
      <c r="O37" s="393">
        <v>3333333.3333333335</v>
      </c>
      <c r="P37" s="396">
        <f t="shared" si="0"/>
        <v>33333333.333333336</v>
      </c>
      <c r="Q37" s="103">
        <v>0</v>
      </c>
      <c r="R37" s="103">
        <v>0</v>
      </c>
      <c r="S37" s="103">
        <v>0</v>
      </c>
      <c r="T37" s="395">
        <v>1</v>
      </c>
    </row>
    <row r="38" spans="1:20" x14ac:dyDescent="0.3">
      <c r="A38" s="401" t="s">
        <v>698</v>
      </c>
      <c r="B38" s="103" t="s">
        <v>424</v>
      </c>
      <c r="C38" s="419" t="s">
        <v>639</v>
      </c>
      <c r="D38" s="419" t="s">
        <v>14</v>
      </c>
      <c r="E38" s="419" t="s">
        <v>654</v>
      </c>
      <c r="F38" s="419" t="s">
        <v>660</v>
      </c>
      <c r="G38" s="103">
        <v>0</v>
      </c>
      <c r="H38" s="103" t="s">
        <v>305</v>
      </c>
      <c r="I38" s="103">
        <v>0</v>
      </c>
      <c r="J38" s="103" t="s">
        <v>661</v>
      </c>
      <c r="K38" s="103">
        <v>0</v>
      </c>
      <c r="L38" s="103" t="s">
        <v>307</v>
      </c>
      <c r="M38" s="420">
        <v>10</v>
      </c>
      <c r="N38" s="103">
        <v>0</v>
      </c>
      <c r="O38" s="393">
        <v>3333333.3333333335</v>
      </c>
      <c r="P38" s="396">
        <f t="shared" si="0"/>
        <v>33333333.333333336</v>
      </c>
      <c r="Q38" s="103">
        <v>0</v>
      </c>
      <c r="R38" s="103">
        <v>0</v>
      </c>
      <c r="S38" s="103">
        <v>0</v>
      </c>
      <c r="T38" s="395">
        <v>1</v>
      </c>
    </row>
    <row r="39" spans="1:20" x14ac:dyDescent="0.3">
      <c r="A39" s="401" t="s">
        <v>716</v>
      </c>
      <c r="B39" s="103" t="s">
        <v>424</v>
      </c>
      <c r="C39" s="419" t="s">
        <v>658</v>
      </c>
      <c r="D39" s="419" t="s">
        <v>714</v>
      </c>
      <c r="E39" s="419" t="s">
        <v>715</v>
      </c>
      <c r="F39" s="103" t="s">
        <v>699</v>
      </c>
      <c r="G39" s="103" t="s">
        <v>706</v>
      </c>
      <c r="H39" s="103">
        <v>0</v>
      </c>
      <c r="I39" s="103">
        <v>0</v>
      </c>
      <c r="J39" s="103" t="s">
        <v>661</v>
      </c>
      <c r="K39" s="103">
        <v>0</v>
      </c>
      <c r="L39" s="103" t="s">
        <v>712</v>
      </c>
      <c r="M39" s="103">
        <v>2</v>
      </c>
      <c r="N39" s="103">
        <v>0</v>
      </c>
      <c r="O39" s="103">
        <v>15000000</v>
      </c>
      <c r="P39" s="396">
        <f t="shared" si="0"/>
        <v>30000000</v>
      </c>
      <c r="Q39" s="103">
        <v>0</v>
      </c>
      <c r="R39" s="103">
        <v>0</v>
      </c>
      <c r="S39" s="103">
        <v>0</v>
      </c>
      <c r="T39" s="395">
        <v>1</v>
      </c>
    </row>
    <row r="40" spans="1:20" x14ac:dyDescent="0.3">
      <c r="A40" s="401" t="s">
        <v>717</v>
      </c>
      <c r="B40" s="103" t="s">
        <v>424</v>
      </c>
      <c r="C40" s="419" t="s">
        <v>658</v>
      </c>
      <c r="D40" s="419" t="s">
        <v>714</v>
      </c>
      <c r="E40" s="419" t="s">
        <v>715</v>
      </c>
      <c r="F40" s="103" t="s">
        <v>700</v>
      </c>
      <c r="G40" s="103" t="s">
        <v>707</v>
      </c>
      <c r="H40" s="103">
        <v>0</v>
      </c>
      <c r="I40" s="103">
        <v>0</v>
      </c>
      <c r="J40" s="103" t="s">
        <v>661</v>
      </c>
      <c r="K40" s="103">
        <v>0</v>
      </c>
      <c r="L40" s="103" t="s">
        <v>712</v>
      </c>
      <c r="M40" s="103">
        <v>1</v>
      </c>
      <c r="N40" s="103">
        <v>0</v>
      </c>
      <c r="O40" s="103">
        <v>15000000</v>
      </c>
      <c r="P40" s="396">
        <f t="shared" si="0"/>
        <v>15000000</v>
      </c>
      <c r="Q40" s="103">
        <v>0</v>
      </c>
      <c r="R40" s="103">
        <v>0</v>
      </c>
      <c r="S40" s="103">
        <v>0</v>
      </c>
      <c r="T40" s="395">
        <v>1</v>
      </c>
    </row>
    <row r="41" spans="1:20" x14ac:dyDescent="0.3">
      <c r="A41" s="401" t="s">
        <v>718</v>
      </c>
      <c r="B41" s="103" t="s">
        <v>424</v>
      </c>
      <c r="C41" s="419" t="s">
        <v>658</v>
      </c>
      <c r="D41" s="419" t="s">
        <v>714</v>
      </c>
      <c r="E41" s="419" t="s">
        <v>715</v>
      </c>
      <c r="F41" s="103" t="s">
        <v>701</v>
      </c>
      <c r="G41" s="103" t="s">
        <v>708</v>
      </c>
      <c r="H41" s="103">
        <v>0</v>
      </c>
      <c r="I41" s="103">
        <v>0</v>
      </c>
      <c r="J41" s="103" t="s">
        <v>661</v>
      </c>
      <c r="K41" s="103">
        <v>0</v>
      </c>
      <c r="L41" s="103" t="s">
        <v>712</v>
      </c>
      <c r="M41" s="103">
        <v>1</v>
      </c>
      <c r="N41" s="103">
        <v>0</v>
      </c>
      <c r="O41" s="103">
        <v>3750000</v>
      </c>
      <c r="P41" s="396">
        <f t="shared" si="0"/>
        <v>3750000</v>
      </c>
      <c r="Q41" s="103">
        <v>0</v>
      </c>
      <c r="R41" s="103">
        <v>0</v>
      </c>
      <c r="S41" s="103">
        <v>0</v>
      </c>
      <c r="T41" s="395">
        <v>1</v>
      </c>
    </row>
    <row r="42" spans="1:20" x14ac:dyDescent="0.3">
      <c r="A42" s="401" t="s">
        <v>719</v>
      </c>
      <c r="B42" s="103" t="s">
        <v>424</v>
      </c>
      <c r="C42" s="419" t="s">
        <v>658</v>
      </c>
      <c r="D42" s="419" t="s">
        <v>714</v>
      </c>
      <c r="E42" s="419" t="s">
        <v>715</v>
      </c>
      <c r="F42" s="103" t="s">
        <v>702</v>
      </c>
      <c r="G42" s="103" t="s">
        <v>709</v>
      </c>
      <c r="H42" s="103">
        <v>0</v>
      </c>
      <c r="I42" s="103">
        <v>0</v>
      </c>
      <c r="J42" s="103" t="s">
        <v>661</v>
      </c>
      <c r="K42" s="103">
        <v>0</v>
      </c>
      <c r="L42" s="103" t="s">
        <v>712</v>
      </c>
      <c r="M42" s="103">
        <v>1</v>
      </c>
      <c r="N42" s="103">
        <v>0</v>
      </c>
      <c r="O42" s="103">
        <v>7525000</v>
      </c>
      <c r="P42" s="396">
        <f t="shared" si="0"/>
        <v>7525000</v>
      </c>
      <c r="Q42" s="103">
        <v>0</v>
      </c>
      <c r="R42" s="103">
        <v>0</v>
      </c>
      <c r="S42" s="103">
        <v>0</v>
      </c>
      <c r="T42" s="395">
        <v>1</v>
      </c>
    </row>
    <row r="43" spans="1:20" x14ac:dyDescent="0.3">
      <c r="A43" s="401" t="s">
        <v>720</v>
      </c>
      <c r="B43" s="103" t="s">
        <v>424</v>
      </c>
      <c r="C43" s="419" t="s">
        <v>658</v>
      </c>
      <c r="D43" s="419" t="s">
        <v>714</v>
      </c>
      <c r="E43" s="419" t="s">
        <v>715</v>
      </c>
      <c r="F43" s="103" t="s">
        <v>703</v>
      </c>
      <c r="G43" s="103" t="s">
        <v>710</v>
      </c>
      <c r="H43" s="103">
        <v>0</v>
      </c>
      <c r="I43" s="103">
        <v>0</v>
      </c>
      <c r="J43" s="103" t="s">
        <v>661</v>
      </c>
      <c r="K43" s="103">
        <v>0</v>
      </c>
      <c r="L43" s="103" t="s">
        <v>712</v>
      </c>
      <c r="M43" s="103">
        <v>1</v>
      </c>
      <c r="N43" s="103">
        <v>0</v>
      </c>
      <c r="O43" s="103">
        <v>1870000</v>
      </c>
      <c r="P43" s="396">
        <f t="shared" si="0"/>
        <v>1870000</v>
      </c>
      <c r="Q43" s="103">
        <v>0</v>
      </c>
      <c r="R43" s="103">
        <v>0</v>
      </c>
      <c r="S43" s="103">
        <v>0</v>
      </c>
      <c r="T43" s="395">
        <v>1</v>
      </c>
    </row>
    <row r="44" spans="1:20" x14ac:dyDescent="0.3">
      <c r="A44" s="401" t="s">
        <v>721</v>
      </c>
      <c r="B44" s="103" t="s">
        <v>424</v>
      </c>
      <c r="C44" s="419" t="s">
        <v>658</v>
      </c>
      <c r="D44" s="419" t="s">
        <v>714</v>
      </c>
      <c r="E44" s="419" t="s">
        <v>715</v>
      </c>
      <c r="F44" s="103" t="s">
        <v>704</v>
      </c>
      <c r="G44" s="103" t="s">
        <v>704</v>
      </c>
      <c r="H44" s="103">
        <v>0</v>
      </c>
      <c r="I44" s="103">
        <v>0</v>
      </c>
      <c r="J44" s="103" t="s">
        <v>661</v>
      </c>
      <c r="K44" s="103">
        <v>0</v>
      </c>
      <c r="L44" s="103" t="s">
        <v>713</v>
      </c>
      <c r="M44" s="103">
        <v>400</v>
      </c>
      <c r="N44" s="103">
        <v>0</v>
      </c>
      <c r="O44" s="103">
        <v>20000</v>
      </c>
      <c r="P44" s="396">
        <f t="shared" si="0"/>
        <v>8000000</v>
      </c>
      <c r="Q44" s="103">
        <v>0</v>
      </c>
      <c r="R44" s="103">
        <v>0</v>
      </c>
      <c r="S44" s="103">
        <v>0</v>
      </c>
      <c r="T44" s="395">
        <v>1</v>
      </c>
    </row>
    <row r="45" spans="1:20" x14ac:dyDescent="0.3">
      <c r="A45" s="401" t="s">
        <v>722</v>
      </c>
      <c r="B45" s="103" t="s">
        <v>424</v>
      </c>
      <c r="C45" s="419" t="s">
        <v>658</v>
      </c>
      <c r="D45" s="419" t="s">
        <v>714</v>
      </c>
      <c r="E45" s="419" t="s">
        <v>715</v>
      </c>
      <c r="F45" s="103" t="s">
        <v>705</v>
      </c>
      <c r="G45" s="103" t="s">
        <v>711</v>
      </c>
      <c r="H45" s="103">
        <v>0</v>
      </c>
      <c r="I45" s="103">
        <v>0</v>
      </c>
      <c r="J45" s="103" t="s">
        <v>661</v>
      </c>
      <c r="K45" s="103">
        <v>0</v>
      </c>
      <c r="L45" s="103" t="s">
        <v>712</v>
      </c>
      <c r="M45" s="103">
        <v>1</v>
      </c>
      <c r="N45" s="103">
        <v>0</v>
      </c>
      <c r="O45" s="103">
        <v>23000000</v>
      </c>
      <c r="P45" s="396">
        <f t="shared" si="0"/>
        <v>23000000</v>
      </c>
      <c r="Q45" s="103">
        <v>0</v>
      </c>
      <c r="R45" s="103">
        <v>0</v>
      </c>
      <c r="S45" s="103">
        <v>0</v>
      </c>
      <c r="T45" s="395">
        <v>1</v>
      </c>
    </row>
    <row r="46" spans="1:20" x14ac:dyDescent="0.3">
      <c r="A46" s="401" t="s">
        <v>725</v>
      </c>
      <c r="B46" s="103" t="s">
        <v>424</v>
      </c>
      <c r="C46" s="419" t="s">
        <v>658</v>
      </c>
      <c r="D46" s="419" t="s">
        <v>723</v>
      </c>
      <c r="E46" s="419" t="s">
        <v>715</v>
      </c>
      <c r="F46" s="103" t="s">
        <v>741</v>
      </c>
      <c r="G46" s="103">
        <v>0</v>
      </c>
      <c r="H46" s="103">
        <v>0</v>
      </c>
      <c r="I46" s="103">
        <v>0</v>
      </c>
      <c r="J46" s="103" t="s">
        <v>661</v>
      </c>
      <c r="K46" s="103">
        <v>0</v>
      </c>
      <c r="L46" s="103" t="s">
        <v>724</v>
      </c>
      <c r="M46" s="103">
        <v>60</v>
      </c>
      <c r="N46" s="103">
        <v>0</v>
      </c>
      <c r="O46" s="103">
        <v>484541.66666666669</v>
      </c>
      <c r="P46" s="396">
        <f t="shared" si="0"/>
        <v>29072500</v>
      </c>
      <c r="Q46" s="103">
        <v>24</v>
      </c>
      <c r="R46" s="103">
        <v>60</v>
      </c>
      <c r="S46" s="103">
        <v>0.2</v>
      </c>
      <c r="T46" s="395">
        <v>1</v>
      </c>
    </row>
    <row r="47" spans="1:20" x14ac:dyDescent="0.3">
      <c r="A47" s="401" t="s">
        <v>726</v>
      </c>
      <c r="B47" s="103" t="s">
        <v>424</v>
      </c>
      <c r="C47" s="419" t="s">
        <v>658</v>
      </c>
      <c r="D47" s="419" t="s">
        <v>723</v>
      </c>
      <c r="E47" s="419" t="s">
        <v>715</v>
      </c>
      <c r="F47" s="103" t="s">
        <v>742</v>
      </c>
      <c r="G47" s="103">
        <v>0</v>
      </c>
      <c r="H47" s="103">
        <v>0</v>
      </c>
      <c r="I47" s="103">
        <v>0</v>
      </c>
      <c r="J47" s="103" t="s">
        <v>661</v>
      </c>
      <c r="K47" s="103">
        <v>0</v>
      </c>
      <c r="L47" s="103" t="s">
        <v>724</v>
      </c>
      <c r="M47" s="103">
        <v>60</v>
      </c>
      <c r="N47" s="103">
        <v>0</v>
      </c>
      <c r="O47" s="103">
        <v>66666.666666666672</v>
      </c>
      <c r="P47" s="396">
        <f t="shared" si="0"/>
        <v>4000000.0000000005</v>
      </c>
      <c r="Q47" s="103">
        <v>24</v>
      </c>
      <c r="R47" s="103">
        <v>60</v>
      </c>
      <c r="S47" s="103">
        <v>0.19999999999999998</v>
      </c>
      <c r="T47" s="395">
        <v>1</v>
      </c>
    </row>
    <row r="48" spans="1:20" x14ac:dyDescent="0.3">
      <c r="A48" s="401" t="s">
        <v>735</v>
      </c>
      <c r="B48" s="103" t="s">
        <v>424</v>
      </c>
      <c r="C48" s="419" t="s">
        <v>658</v>
      </c>
      <c r="D48" s="419" t="s">
        <v>714</v>
      </c>
      <c r="E48" s="419" t="s">
        <v>715</v>
      </c>
      <c r="F48" s="103" t="s">
        <v>737</v>
      </c>
      <c r="G48" s="103" t="s">
        <v>727</v>
      </c>
      <c r="H48" s="103" t="s">
        <v>728</v>
      </c>
      <c r="I48" s="103">
        <v>0</v>
      </c>
      <c r="J48" s="103" t="s">
        <v>661</v>
      </c>
      <c r="K48" s="103">
        <v>0</v>
      </c>
      <c r="L48" s="103" t="s">
        <v>712</v>
      </c>
      <c r="M48" s="419">
        <v>1</v>
      </c>
      <c r="N48" s="103">
        <v>0</v>
      </c>
      <c r="O48" s="103">
        <v>70000000</v>
      </c>
      <c r="P48" s="396">
        <f t="shared" si="0"/>
        <v>70000000</v>
      </c>
      <c r="Q48" s="103">
        <v>0</v>
      </c>
      <c r="R48" s="103">
        <v>0</v>
      </c>
      <c r="S48" s="103">
        <v>0</v>
      </c>
      <c r="T48" s="395">
        <v>1</v>
      </c>
    </row>
    <row r="49" spans="1:20" x14ac:dyDescent="0.3">
      <c r="A49" s="401" t="s">
        <v>761</v>
      </c>
      <c r="B49" s="103" t="s">
        <v>424</v>
      </c>
      <c r="C49" s="419" t="s">
        <v>658</v>
      </c>
      <c r="D49" s="419" t="s">
        <v>714</v>
      </c>
      <c r="E49" s="419" t="s">
        <v>715</v>
      </c>
      <c r="F49" s="103" t="s">
        <v>738</v>
      </c>
      <c r="G49" s="103" t="s">
        <v>729</v>
      </c>
      <c r="H49" s="103" t="s">
        <v>730</v>
      </c>
      <c r="I49" s="103">
        <v>0</v>
      </c>
      <c r="J49" s="103" t="s">
        <v>661</v>
      </c>
      <c r="K49" s="103">
        <v>0</v>
      </c>
      <c r="L49" s="103" t="s">
        <v>712</v>
      </c>
      <c r="M49" s="419">
        <v>1</v>
      </c>
      <c r="N49" s="103">
        <v>0</v>
      </c>
      <c r="O49" s="103">
        <v>50000000</v>
      </c>
      <c r="P49" s="396">
        <f t="shared" si="0"/>
        <v>50000000</v>
      </c>
      <c r="Q49" s="103">
        <v>0</v>
      </c>
      <c r="R49" s="103">
        <v>0</v>
      </c>
      <c r="S49" s="103">
        <v>0</v>
      </c>
      <c r="T49" s="395">
        <v>1</v>
      </c>
    </row>
    <row r="50" spans="1:20" x14ac:dyDescent="0.3">
      <c r="A50" s="401" t="s">
        <v>762</v>
      </c>
      <c r="B50" s="103" t="s">
        <v>424</v>
      </c>
      <c r="C50" s="419" t="s">
        <v>658</v>
      </c>
      <c r="D50" s="419" t="s">
        <v>714</v>
      </c>
      <c r="E50" s="419" t="s">
        <v>715</v>
      </c>
      <c r="F50" s="103" t="s">
        <v>739</v>
      </c>
      <c r="G50" s="103" t="s">
        <v>729</v>
      </c>
      <c r="H50" s="103" t="s">
        <v>731</v>
      </c>
      <c r="I50" s="103">
        <v>0</v>
      </c>
      <c r="J50" s="103" t="s">
        <v>661</v>
      </c>
      <c r="K50" s="103">
        <v>0</v>
      </c>
      <c r="L50" s="103" t="s">
        <v>712</v>
      </c>
      <c r="M50" s="419">
        <v>1</v>
      </c>
      <c r="N50" s="103">
        <v>0</v>
      </c>
      <c r="O50" s="103">
        <v>40000000</v>
      </c>
      <c r="P50" s="396">
        <f t="shared" si="0"/>
        <v>40000000</v>
      </c>
      <c r="Q50" s="103">
        <v>0</v>
      </c>
      <c r="R50" s="103">
        <v>0</v>
      </c>
      <c r="S50" s="103">
        <v>0</v>
      </c>
      <c r="T50" s="395">
        <v>1</v>
      </c>
    </row>
    <row r="51" spans="1:20" x14ac:dyDescent="0.3">
      <c r="A51" s="401" t="s">
        <v>763</v>
      </c>
      <c r="B51" s="103" t="s">
        <v>424</v>
      </c>
      <c r="C51" s="419" t="s">
        <v>658</v>
      </c>
      <c r="D51" s="419" t="s">
        <v>714</v>
      </c>
      <c r="E51" s="419" t="s">
        <v>715</v>
      </c>
      <c r="F51" s="103" t="s">
        <v>737</v>
      </c>
      <c r="G51" s="103" t="s">
        <v>732</v>
      </c>
      <c r="H51" s="103" t="s">
        <v>733</v>
      </c>
      <c r="I51" s="103">
        <v>0</v>
      </c>
      <c r="J51" s="103" t="s">
        <v>661</v>
      </c>
      <c r="K51" s="103">
        <v>0</v>
      </c>
      <c r="L51" s="103" t="s">
        <v>712</v>
      </c>
      <c r="M51" s="419">
        <v>1</v>
      </c>
      <c r="N51" s="103">
        <v>0</v>
      </c>
      <c r="O51" s="103">
        <v>15000000</v>
      </c>
      <c r="P51" s="396">
        <f t="shared" si="0"/>
        <v>15000000</v>
      </c>
      <c r="Q51" s="103">
        <v>0</v>
      </c>
      <c r="R51" s="103">
        <v>0</v>
      </c>
      <c r="S51" s="103">
        <v>0</v>
      </c>
      <c r="T51" s="395">
        <v>1</v>
      </c>
    </row>
    <row r="52" spans="1:20" x14ac:dyDescent="0.3">
      <c r="A52" s="401" t="s">
        <v>764</v>
      </c>
      <c r="B52" s="103" t="s">
        <v>424</v>
      </c>
      <c r="C52" s="419" t="s">
        <v>658</v>
      </c>
      <c r="D52" s="419" t="s">
        <v>714</v>
      </c>
      <c r="E52" s="419" t="s">
        <v>715</v>
      </c>
      <c r="F52" s="103" t="s">
        <v>737</v>
      </c>
      <c r="G52" s="103" t="s">
        <v>732</v>
      </c>
      <c r="H52" s="103" t="s">
        <v>734</v>
      </c>
      <c r="I52" s="103">
        <v>0</v>
      </c>
      <c r="J52" s="103" t="s">
        <v>661</v>
      </c>
      <c r="K52" s="103">
        <v>0</v>
      </c>
      <c r="L52" s="103" t="s">
        <v>712</v>
      </c>
      <c r="M52" s="419">
        <v>1</v>
      </c>
      <c r="N52" s="103">
        <v>0</v>
      </c>
      <c r="O52" s="103">
        <v>25000000</v>
      </c>
      <c r="P52" s="396">
        <f t="shared" si="0"/>
        <v>25000000</v>
      </c>
      <c r="Q52" s="103">
        <v>0</v>
      </c>
      <c r="R52" s="103">
        <v>0</v>
      </c>
      <c r="S52" s="103">
        <v>0</v>
      </c>
      <c r="T52" s="395">
        <v>1</v>
      </c>
    </row>
    <row r="53" spans="1:20" x14ac:dyDescent="0.3">
      <c r="A53" s="401" t="s">
        <v>765</v>
      </c>
      <c r="B53" s="103" t="s">
        <v>424</v>
      </c>
      <c r="C53" s="419" t="s">
        <v>658</v>
      </c>
      <c r="D53" s="419" t="s">
        <v>723</v>
      </c>
      <c r="E53" s="419" t="s">
        <v>715</v>
      </c>
      <c r="F53" s="103" t="s">
        <v>737</v>
      </c>
      <c r="G53" s="103" t="s">
        <v>736</v>
      </c>
      <c r="H53" s="103" t="s">
        <v>736</v>
      </c>
      <c r="I53" s="103">
        <v>0</v>
      </c>
      <c r="J53" s="103" t="s">
        <v>661</v>
      </c>
      <c r="K53" s="103">
        <v>0</v>
      </c>
      <c r="L53" s="103" t="s">
        <v>724</v>
      </c>
      <c r="M53" s="103">
        <v>60</v>
      </c>
      <c r="N53" s="103">
        <v>0</v>
      </c>
      <c r="O53" s="103">
        <v>2000000</v>
      </c>
      <c r="P53" s="396">
        <f t="shared" si="0"/>
        <v>120000000</v>
      </c>
      <c r="Q53" s="103">
        <v>24</v>
      </c>
      <c r="R53" s="103">
        <v>60</v>
      </c>
      <c r="S53" s="103">
        <v>0.2</v>
      </c>
      <c r="T53" s="395">
        <v>1</v>
      </c>
    </row>
    <row r="54" spans="1:20" x14ac:dyDescent="0.3">
      <c r="A54" s="401" t="s">
        <v>766</v>
      </c>
      <c r="B54" s="103" t="s">
        <v>424</v>
      </c>
      <c r="C54" s="419" t="s">
        <v>658</v>
      </c>
      <c r="D54" s="419" t="s">
        <v>714</v>
      </c>
      <c r="E54" s="419" t="s">
        <v>750</v>
      </c>
      <c r="F54" s="103" t="s">
        <v>740</v>
      </c>
      <c r="G54" s="103" t="s">
        <v>743</v>
      </c>
      <c r="H54" s="103" t="s">
        <v>744</v>
      </c>
      <c r="I54" s="103">
        <v>0</v>
      </c>
      <c r="J54" s="103" t="s">
        <v>661</v>
      </c>
      <c r="K54" s="103">
        <v>0</v>
      </c>
      <c r="L54" s="103" t="s">
        <v>712</v>
      </c>
      <c r="M54" s="103">
        <v>3</v>
      </c>
      <c r="N54" s="103">
        <v>0</v>
      </c>
      <c r="O54" s="103">
        <v>8000000</v>
      </c>
      <c r="P54" s="396">
        <f t="shared" si="0"/>
        <v>24000000</v>
      </c>
      <c r="Q54" s="103">
        <v>0</v>
      </c>
      <c r="R54" s="103">
        <v>0</v>
      </c>
      <c r="S54" s="103">
        <v>0</v>
      </c>
      <c r="T54" s="395">
        <v>1</v>
      </c>
    </row>
    <row r="55" spans="1:20" x14ac:dyDescent="0.3">
      <c r="A55" s="401" t="s">
        <v>767</v>
      </c>
      <c r="B55" s="103" t="s">
        <v>424</v>
      </c>
      <c r="C55" s="419" t="s">
        <v>658</v>
      </c>
      <c r="D55" s="419" t="s">
        <v>714</v>
      </c>
      <c r="E55" s="419" t="s">
        <v>750</v>
      </c>
      <c r="F55" s="103" t="s">
        <v>740</v>
      </c>
      <c r="G55" s="103" t="s">
        <v>743</v>
      </c>
      <c r="H55" s="103" t="s">
        <v>745</v>
      </c>
      <c r="I55" s="103">
        <v>0</v>
      </c>
      <c r="J55" s="103" t="s">
        <v>661</v>
      </c>
      <c r="K55" s="103">
        <v>0</v>
      </c>
      <c r="L55" s="103" t="s">
        <v>712</v>
      </c>
      <c r="M55" s="103">
        <v>3</v>
      </c>
      <c r="N55" s="103">
        <v>0</v>
      </c>
      <c r="O55" s="103">
        <v>4000000</v>
      </c>
      <c r="P55" s="396">
        <f t="shared" si="0"/>
        <v>12000000</v>
      </c>
      <c r="Q55" s="103">
        <v>0</v>
      </c>
      <c r="R55" s="103">
        <v>0</v>
      </c>
      <c r="S55" s="103">
        <v>0</v>
      </c>
      <c r="T55" s="395">
        <v>1</v>
      </c>
    </row>
    <row r="56" spans="1:20" x14ac:dyDescent="0.3">
      <c r="A56" s="401" t="s">
        <v>768</v>
      </c>
      <c r="B56" s="103" t="s">
        <v>424</v>
      </c>
      <c r="C56" s="419" t="s">
        <v>658</v>
      </c>
      <c r="D56" s="419" t="s">
        <v>714</v>
      </c>
      <c r="E56" s="419" t="s">
        <v>750</v>
      </c>
      <c r="F56" s="103" t="s">
        <v>740</v>
      </c>
      <c r="G56" s="103" t="s">
        <v>746</v>
      </c>
      <c r="H56" s="103" t="s">
        <v>747</v>
      </c>
      <c r="I56" s="103">
        <v>0</v>
      </c>
      <c r="J56" s="103" t="s">
        <v>661</v>
      </c>
      <c r="K56" s="103">
        <v>0</v>
      </c>
      <c r="L56" s="103" t="s">
        <v>712</v>
      </c>
      <c r="M56" s="103">
        <v>2</v>
      </c>
      <c r="N56" s="103">
        <v>0</v>
      </c>
      <c r="O56" s="103">
        <v>6000000</v>
      </c>
      <c r="P56" s="396">
        <f t="shared" si="0"/>
        <v>12000000</v>
      </c>
      <c r="Q56" s="103">
        <v>0</v>
      </c>
      <c r="R56" s="103">
        <v>0</v>
      </c>
      <c r="S56" s="103">
        <v>0</v>
      </c>
      <c r="T56" s="395">
        <v>1</v>
      </c>
    </row>
    <row r="57" spans="1:20" x14ac:dyDescent="0.3">
      <c r="A57" s="401" t="s">
        <v>769</v>
      </c>
      <c r="B57" s="103" t="s">
        <v>424</v>
      </c>
      <c r="C57" s="419" t="s">
        <v>658</v>
      </c>
      <c r="D57" s="419" t="s">
        <v>714</v>
      </c>
      <c r="E57" s="419" t="s">
        <v>750</v>
      </c>
      <c r="F57" s="103" t="s">
        <v>740</v>
      </c>
      <c r="G57" s="103" t="s">
        <v>748</v>
      </c>
      <c r="H57" s="103" t="s">
        <v>749</v>
      </c>
      <c r="I57" s="103">
        <v>0</v>
      </c>
      <c r="J57" s="103" t="s">
        <v>661</v>
      </c>
      <c r="K57" s="103">
        <v>0</v>
      </c>
      <c r="L57" s="103" t="s">
        <v>712</v>
      </c>
      <c r="M57" s="103">
        <v>2</v>
      </c>
      <c r="N57" s="103">
        <v>0</v>
      </c>
      <c r="O57" s="103">
        <v>6000000</v>
      </c>
      <c r="P57" s="396">
        <f t="shared" si="0"/>
        <v>12000000</v>
      </c>
      <c r="Q57" s="103">
        <v>0</v>
      </c>
      <c r="R57" s="103">
        <v>0</v>
      </c>
      <c r="S57" s="103">
        <v>0</v>
      </c>
      <c r="T57" s="395">
        <v>1</v>
      </c>
    </row>
    <row r="58" spans="1:20" x14ac:dyDescent="0.3">
      <c r="A58" s="401" t="s">
        <v>770</v>
      </c>
      <c r="B58" s="103" t="s">
        <v>424</v>
      </c>
      <c r="C58" s="419" t="s">
        <v>658</v>
      </c>
      <c r="D58" s="419" t="s">
        <v>723</v>
      </c>
      <c r="E58" s="419" t="s">
        <v>752</v>
      </c>
      <c r="F58" s="103" t="s">
        <v>740</v>
      </c>
      <c r="G58" s="103" t="s">
        <v>751</v>
      </c>
      <c r="H58" s="103">
        <v>0</v>
      </c>
      <c r="I58" s="103" t="s">
        <v>751</v>
      </c>
      <c r="J58" s="103" t="s">
        <v>661</v>
      </c>
      <c r="K58" s="103">
        <v>0</v>
      </c>
      <c r="L58" s="103" t="s">
        <v>724</v>
      </c>
      <c r="M58" s="103">
        <v>60</v>
      </c>
      <c r="N58" s="103">
        <v>0</v>
      </c>
      <c r="O58" s="103">
        <v>600000</v>
      </c>
      <c r="P58" s="396">
        <f t="shared" si="0"/>
        <v>36000000</v>
      </c>
      <c r="Q58" s="103">
        <v>24</v>
      </c>
      <c r="R58" s="103">
        <v>60</v>
      </c>
      <c r="S58" s="103">
        <v>0.2</v>
      </c>
      <c r="T58" s="395">
        <v>1</v>
      </c>
    </row>
    <row r="59" spans="1:20" x14ac:dyDescent="0.3">
      <c r="A59" s="401" t="s">
        <v>771</v>
      </c>
      <c r="B59" s="103" t="s">
        <v>424</v>
      </c>
      <c r="C59" s="419" t="s">
        <v>658</v>
      </c>
      <c r="D59" s="419" t="s">
        <v>757</v>
      </c>
      <c r="E59" s="419" t="s">
        <v>800</v>
      </c>
      <c r="F59" s="103" t="s">
        <v>753</v>
      </c>
      <c r="G59" s="103" t="s">
        <v>753</v>
      </c>
      <c r="H59" s="103">
        <v>0</v>
      </c>
      <c r="I59" s="103">
        <v>0</v>
      </c>
      <c r="J59" s="103" t="s">
        <v>661</v>
      </c>
      <c r="K59" s="103">
        <v>0</v>
      </c>
      <c r="L59" s="103" t="s">
        <v>724</v>
      </c>
      <c r="M59" s="103">
        <v>74</v>
      </c>
      <c r="N59" s="103">
        <v>0</v>
      </c>
      <c r="O59" s="103">
        <v>2600000</v>
      </c>
      <c r="P59" s="396">
        <f t="shared" si="0"/>
        <v>192400000</v>
      </c>
      <c r="Q59" s="103">
        <v>10</v>
      </c>
      <c r="R59" s="103">
        <v>74</v>
      </c>
      <c r="S59" s="103">
        <v>0.16216216216216217</v>
      </c>
      <c r="T59" s="395">
        <v>1</v>
      </c>
    </row>
    <row r="60" spans="1:20" x14ac:dyDescent="0.3">
      <c r="A60" s="401" t="s">
        <v>772</v>
      </c>
      <c r="B60" s="103" t="s">
        <v>424</v>
      </c>
      <c r="C60" s="419" t="s">
        <v>758</v>
      </c>
      <c r="D60" s="419" t="s">
        <v>759</v>
      </c>
      <c r="E60" s="419" t="s">
        <v>800</v>
      </c>
      <c r="F60" s="103" t="s">
        <v>754</v>
      </c>
      <c r="G60" s="103" t="s">
        <v>754</v>
      </c>
      <c r="H60" s="103">
        <v>0</v>
      </c>
      <c r="I60" s="103">
        <v>0</v>
      </c>
      <c r="J60" s="103" t="s">
        <v>661</v>
      </c>
      <c r="K60" s="103">
        <v>0</v>
      </c>
      <c r="L60" s="103" t="s">
        <v>724</v>
      </c>
      <c r="M60" s="103">
        <v>74</v>
      </c>
      <c r="N60" s="103">
        <v>0</v>
      </c>
      <c r="O60" s="103">
        <v>2600000</v>
      </c>
      <c r="P60" s="396">
        <f t="shared" si="0"/>
        <v>192400000</v>
      </c>
      <c r="Q60" s="103">
        <v>10</v>
      </c>
      <c r="R60" s="103">
        <v>74</v>
      </c>
      <c r="S60" s="103">
        <v>0.16216216216216217</v>
      </c>
      <c r="T60" s="395">
        <v>1</v>
      </c>
    </row>
    <row r="61" spans="1:20" x14ac:dyDescent="0.3">
      <c r="A61" s="401" t="s">
        <v>773</v>
      </c>
      <c r="B61" s="103" t="s">
        <v>424</v>
      </c>
      <c r="C61" s="419" t="s">
        <v>760</v>
      </c>
      <c r="D61" s="419" t="s">
        <v>756</v>
      </c>
      <c r="E61" s="419" t="s">
        <v>800</v>
      </c>
      <c r="F61" s="103" t="s">
        <v>755</v>
      </c>
      <c r="G61" s="103" t="s">
        <v>755</v>
      </c>
      <c r="H61" s="103">
        <v>0</v>
      </c>
      <c r="I61" s="103">
        <v>0</v>
      </c>
      <c r="J61" s="103" t="s">
        <v>661</v>
      </c>
      <c r="K61" s="103">
        <v>0</v>
      </c>
      <c r="L61" s="103" t="s">
        <v>724</v>
      </c>
      <c r="M61" s="103">
        <v>74</v>
      </c>
      <c r="N61" s="103">
        <v>0</v>
      </c>
      <c r="O61" s="103">
        <v>2600000</v>
      </c>
      <c r="P61" s="396">
        <f t="shared" si="0"/>
        <v>192400000</v>
      </c>
      <c r="Q61" s="103">
        <v>10</v>
      </c>
      <c r="R61" s="103">
        <v>74</v>
      </c>
      <c r="S61" s="103">
        <v>0.16216216216216217</v>
      </c>
      <c r="T61" s="395">
        <v>1</v>
      </c>
    </row>
    <row r="62" spans="1:20" x14ac:dyDescent="0.3">
      <c r="A62" s="401" t="s">
        <v>774</v>
      </c>
      <c r="B62" s="103" t="s">
        <v>424</v>
      </c>
      <c r="C62" s="419" t="s">
        <v>658</v>
      </c>
      <c r="D62" s="419" t="s">
        <v>653</v>
      </c>
      <c r="E62" s="419" t="s">
        <v>659</v>
      </c>
      <c r="F62" s="419" t="s">
        <v>775</v>
      </c>
      <c r="G62" s="103" t="s">
        <v>776</v>
      </c>
      <c r="H62" s="103">
        <v>0</v>
      </c>
      <c r="I62" s="103">
        <v>0</v>
      </c>
      <c r="J62" s="103" t="s">
        <v>661</v>
      </c>
      <c r="K62" s="103">
        <v>0</v>
      </c>
      <c r="L62" s="103" t="s">
        <v>777</v>
      </c>
      <c r="M62" s="103">
        <v>2</v>
      </c>
      <c r="N62" s="103">
        <v>0</v>
      </c>
      <c r="O62" s="103">
        <v>21000000</v>
      </c>
      <c r="P62" s="396">
        <f t="shared" si="0"/>
        <v>42000000</v>
      </c>
      <c r="Q62" s="103">
        <v>0</v>
      </c>
      <c r="R62" s="103">
        <v>0</v>
      </c>
      <c r="S62" s="103">
        <v>0</v>
      </c>
      <c r="T62" s="395">
        <v>1</v>
      </c>
    </row>
    <row r="63" spans="1:20" x14ac:dyDescent="0.3">
      <c r="A63" s="401" t="s">
        <v>787</v>
      </c>
      <c r="B63" s="103" t="s">
        <v>424</v>
      </c>
      <c r="C63" s="419" t="s">
        <v>658</v>
      </c>
      <c r="D63" s="419" t="s">
        <v>653</v>
      </c>
      <c r="E63" s="419" t="s">
        <v>659</v>
      </c>
      <c r="F63" s="103" t="s">
        <v>778</v>
      </c>
      <c r="G63" s="103" t="s">
        <v>779</v>
      </c>
      <c r="H63" s="103" t="s">
        <v>305</v>
      </c>
      <c r="I63" s="103">
        <v>0</v>
      </c>
      <c r="J63" s="419" t="s">
        <v>794</v>
      </c>
      <c r="K63" s="103">
        <v>0</v>
      </c>
      <c r="L63" s="103" t="s">
        <v>307</v>
      </c>
      <c r="M63" s="103">
        <v>6</v>
      </c>
      <c r="N63" s="103">
        <v>0</v>
      </c>
      <c r="O63" s="103">
        <v>9880194</v>
      </c>
      <c r="P63" s="396">
        <f t="shared" si="0"/>
        <v>59281164</v>
      </c>
      <c r="Q63" s="103">
        <v>0</v>
      </c>
      <c r="R63" s="103">
        <v>0</v>
      </c>
      <c r="S63" s="103">
        <v>0</v>
      </c>
      <c r="T63" s="395">
        <v>1</v>
      </c>
    </row>
    <row r="64" spans="1:20" x14ac:dyDescent="0.3">
      <c r="A64" s="401" t="s">
        <v>788</v>
      </c>
      <c r="B64" s="103" t="s">
        <v>424</v>
      </c>
      <c r="C64" s="419" t="s">
        <v>658</v>
      </c>
      <c r="D64" s="419" t="s">
        <v>653</v>
      </c>
      <c r="E64" s="419" t="s">
        <v>659</v>
      </c>
      <c r="F64" s="103" t="s">
        <v>14</v>
      </c>
      <c r="G64" s="103" t="s">
        <v>780</v>
      </c>
      <c r="H64" s="103" t="s">
        <v>305</v>
      </c>
      <c r="I64" s="103">
        <v>0</v>
      </c>
      <c r="J64" s="419" t="s">
        <v>794</v>
      </c>
      <c r="K64" s="103">
        <v>0</v>
      </c>
      <c r="L64" s="103" t="s">
        <v>307</v>
      </c>
      <c r="M64" s="103">
        <v>6</v>
      </c>
      <c r="N64" s="103">
        <v>0</v>
      </c>
      <c r="O64" s="103">
        <v>9880194</v>
      </c>
      <c r="P64" s="396">
        <f t="shared" si="0"/>
        <v>59281164</v>
      </c>
      <c r="Q64" s="103">
        <v>0</v>
      </c>
      <c r="R64" s="103">
        <v>0</v>
      </c>
      <c r="S64" s="103">
        <v>0</v>
      </c>
      <c r="T64" s="395">
        <v>1</v>
      </c>
    </row>
    <row r="65" spans="1:20" x14ac:dyDescent="0.3">
      <c r="A65" s="401" t="s">
        <v>789</v>
      </c>
      <c r="B65" s="103" t="s">
        <v>424</v>
      </c>
      <c r="C65" s="419" t="s">
        <v>658</v>
      </c>
      <c r="D65" s="419" t="s">
        <v>653</v>
      </c>
      <c r="E65" s="419" t="s">
        <v>659</v>
      </c>
      <c r="F65" s="103" t="s">
        <v>14</v>
      </c>
      <c r="G65" s="103" t="s">
        <v>781</v>
      </c>
      <c r="H65" s="103" t="s">
        <v>306</v>
      </c>
      <c r="I65" s="103">
        <v>0</v>
      </c>
      <c r="J65" s="419" t="s">
        <v>794</v>
      </c>
      <c r="K65" s="103">
        <v>0</v>
      </c>
      <c r="L65" s="103" t="s">
        <v>307</v>
      </c>
      <c r="M65" s="103">
        <v>4</v>
      </c>
      <c r="N65" s="103">
        <v>0</v>
      </c>
      <c r="O65" s="103">
        <v>8329880</v>
      </c>
      <c r="P65" s="396">
        <f t="shared" si="0"/>
        <v>33319520</v>
      </c>
      <c r="Q65" s="103">
        <v>0</v>
      </c>
      <c r="R65" s="103">
        <v>0</v>
      </c>
      <c r="S65" s="103">
        <v>0</v>
      </c>
      <c r="T65" s="395">
        <v>1</v>
      </c>
    </row>
    <row r="66" spans="1:20" x14ac:dyDescent="0.3">
      <c r="A66" s="401" t="s">
        <v>790</v>
      </c>
      <c r="B66" s="103" t="s">
        <v>424</v>
      </c>
      <c r="C66" s="419" t="s">
        <v>658</v>
      </c>
      <c r="D66" s="419" t="s">
        <v>653</v>
      </c>
      <c r="E66" s="419" t="s">
        <v>659</v>
      </c>
      <c r="F66" s="103" t="s">
        <v>14</v>
      </c>
      <c r="G66" s="103" t="s">
        <v>782</v>
      </c>
      <c r="H66" s="103" t="s">
        <v>306</v>
      </c>
      <c r="I66" s="103">
        <v>0</v>
      </c>
      <c r="J66" s="419" t="s">
        <v>794</v>
      </c>
      <c r="K66" s="103">
        <v>0</v>
      </c>
      <c r="L66" s="103" t="s">
        <v>307</v>
      </c>
      <c r="M66" s="103">
        <v>4</v>
      </c>
      <c r="N66" s="103">
        <v>0</v>
      </c>
      <c r="O66" s="103">
        <v>8329880</v>
      </c>
      <c r="P66" s="396">
        <f t="shared" si="0"/>
        <v>33319520</v>
      </c>
      <c r="Q66" s="103">
        <v>0</v>
      </c>
      <c r="R66" s="103">
        <v>0</v>
      </c>
      <c r="S66" s="103">
        <v>0</v>
      </c>
      <c r="T66" s="395">
        <v>1</v>
      </c>
    </row>
    <row r="67" spans="1:20" x14ac:dyDescent="0.3">
      <c r="A67" s="401" t="s">
        <v>791</v>
      </c>
      <c r="B67" s="103" t="s">
        <v>424</v>
      </c>
      <c r="C67" s="419" t="s">
        <v>658</v>
      </c>
      <c r="D67" s="419" t="s">
        <v>653</v>
      </c>
      <c r="E67" s="419" t="s">
        <v>659</v>
      </c>
      <c r="F67" s="103" t="s">
        <v>14</v>
      </c>
      <c r="G67" s="103" t="s">
        <v>783</v>
      </c>
      <c r="H67" s="103" t="s">
        <v>622</v>
      </c>
      <c r="I67" s="103">
        <v>0</v>
      </c>
      <c r="J67" s="419" t="s">
        <v>794</v>
      </c>
      <c r="K67" s="103">
        <v>0</v>
      </c>
      <c r="L67" s="103" t="s">
        <v>307</v>
      </c>
      <c r="M67" s="103">
        <v>4</v>
      </c>
      <c r="N67" s="103">
        <v>0</v>
      </c>
      <c r="O67" s="103">
        <v>7063018</v>
      </c>
      <c r="P67" s="396">
        <f t="shared" ref="P67:P107" si="1">M67*O67</f>
        <v>28252072</v>
      </c>
      <c r="Q67" s="103">
        <v>0</v>
      </c>
      <c r="R67" s="103">
        <v>0</v>
      </c>
      <c r="S67" s="103">
        <v>0</v>
      </c>
      <c r="T67" s="395">
        <v>1</v>
      </c>
    </row>
    <row r="68" spans="1:20" x14ac:dyDescent="0.3">
      <c r="A68" s="401" t="s">
        <v>792</v>
      </c>
      <c r="B68" s="103" t="s">
        <v>424</v>
      </c>
      <c r="C68" s="419" t="s">
        <v>658</v>
      </c>
      <c r="D68" s="419" t="s">
        <v>653</v>
      </c>
      <c r="E68" s="419" t="s">
        <v>659</v>
      </c>
      <c r="F68" s="103" t="s">
        <v>784</v>
      </c>
      <c r="G68" s="103" t="s">
        <v>785</v>
      </c>
      <c r="H68" s="103" t="s">
        <v>306</v>
      </c>
      <c r="I68" s="103">
        <v>0</v>
      </c>
      <c r="J68" s="419" t="s">
        <v>794</v>
      </c>
      <c r="K68" s="103">
        <v>0</v>
      </c>
      <c r="L68" s="103" t="s">
        <v>307</v>
      </c>
      <c r="M68" s="103">
        <v>1</v>
      </c>
      <c r="N68" s="103">
        <v>0</v>
      </c>
      <c r="O68" s="103">
        <v>8329880</v>
      </c>
      <c r="P68" s="396">
        <f t="shared" si="1"/>
        <v>8329880</v>
      </c>
      <c r="Q68" s="103">
        <v>0</v>
      </c>
      <c r="R68" s="103">
        <v>0</v>
      </c>
      <c r="S68" s="103">
        <v>0</v>
      </c>
      <c r="T68" s="395">
        <v>1</v>
      </c>
    </row>
    <row r="69" spans="1:20" x14ac:dyDescent="0.3">
      <c r="A69" s="401" t="s">
        <v>793</v>
      </c>
      <c r="B69" s="103" t="s">
        <v>424</v>
      </c>
      <c r="C69" s="419" t="s">
        <v>658</v>
      </c>
      <c r="D69" s="419" t="s">
        <v>653</v>
      </c>
      <c r="E69" s="419" t="s">
        <v>659</v>
      </c>
      <c r="F69" s="103" t="s">
        <v>636</v>
      </c>
      <c r="G69" s="103" t="s">
        <v>786</v>
      </c>
      <c r="H69" s="103" t="s">
        <v>305</v>
      </c>
      <c r="I69" s="103">
        <v>0</v>
      </c>
      <c r="J69" s="419" t="s">
        <v>794</v>
      </c>
      <c r="K69" s="103">
        <v>0</v>
      </c>
      <c r="L69" s="103" t="s">
        <v>307</v>
      </c>
      <c r="M69" s="103">
        <v>1</v>
      </c>
      <c r="N69" s="103">
        <v>0</v>
      </c>
      <c r="O69" s="103">
        <v>9880194</v>
      </c>
      <c r="P69" s="396">
        <f t="shared" si="1"/>
        <v>9880194</v>
      </c>
      <c r="Q69" s="103">
        <v>0</v>
      </c>
      <c r="R69" s="103">
        <v>0</v>
      </c>
      <c r="S69" s="103">
        <v>0</v>
      </c>
      <c r="T69" s="395">
        <v>1</v>
      </c>
    </row>
    <row r="70" spans="1:20" x14ac:dyDescent="0.3">
      <c r="A70" s="401" t="s">
        <v>773</v>
      </c>
      <c r="B70" s="103" t="s">
        <v>424</v>
      </c>
      <c r="C70" s="419" t="s">
        <v>795</v>
      </c>
      <c r="D70" s="419" t="s">
        <v>756</v>
      </c>
      <c r="E70" s="419" t="s">
        <v>800</v>
      </c>
      <c r="F70" s="103" t="s">
        <v>796</v>
      </c>
      <c r="G70" s="103" t="s">
        <v>796</v>
      </c>
      <c r="H70" s="103">
        <v>0</v>
      </c>
      <c r="I70" s="103">
        <v>0</v>
      </c>
      <c r="J70" s="419" t="s">
        <v>794</v>
      </c>
      <c r="K70" s="103">
        <v>0</v>
      </c>
      <c r="L70" s="103" t="s">
        <v>724</v>
      </c>
      <c r="M70" s="103">
        <v>72</v>
      </c>
      <c r="N70" s="103">
        <v>0</v>
      </c>
      <c r="O70" s="103">
        <v>3768378</v>
      </c>
      <c r="P70" s="396">
        <f t="shared" si="1"/>
        <v>271323216</v>
      </c>
      <c r="Q70" s="103">
        <v>12</v>
      </c>
      <c r="R70" s="103">
        <v>72</v>
      </c>
      <c r="S70" s="103">
        <v>0.16666666666666666</v>
      </c>
      <c r="T70" s="395">
        <v>1</v>
      </c>
    </row>
    <row r="71" spans="1:20" x14ac:dyDescent="0.3">
      <c r="A71" s="401" t="s">
        <v>793</v>
      </c>
      <c r="B71" s="103" t="s">
        <v>424</v>
      </c>
      <c r="C71" s="419" t="s">
        <v>925</v>
      </c>
      <c r="D71" s="419" t="s">
        <v>653</v>
      </c>
      <c r="E71" s="419" t="s">
        <v>860</v>
      </c>
      <c r="F71" s="103" t="s">
        <v>801</v>
      </c>
      <c r="G71" s="103" t="s">
        <v>802</v>
      </c>
      <c r="H71" s="103" t="s">
        <v>803</v>
      </c>
      <c r="I71" s="103">
        <v>0</v>
      </c>
      <c r="J71" s="103" t="s">
        <v>889</v>
      </c>
      <c r="K71" s="103">
        <v>0</v>
      </c>
      <c r="L71" s="103" t="s">
        <v>859</v>
      </c>
      <c r="M71" s="103">
        <v>2</v>
      </c>
      <c r="N71" s="103">
        <v>0</v>
      </c>
      <c r="O71" s="103">
        <v>7699940</v>
      </c>
      <c r="P71" s="396">
        <f t="shared" si="1"/>
        <v>15399880</v>
      </c>
      <c r="Q71" s="103">
        <v>48</v>
      </c>
      <c r="R71" s="103">
        <v>36</v>
      </c>
      <c r="S71" s="103">
        <v>0.04</v>
      </c>
      <c r="T71" s="395">
        <v>1</v>
      </c>
    </row>
    <row r="72" spans="1:20" x14ac:dyDescent="0.3">
      <c r="A72" s="401" t="s">
        <v>861</v>
      </c>
      <c r="B72" s="103" t="s">
        <v>424</v>
      </c>
      <c r="C72" s="419" t="s">
        <v>925</v>
      </c>
      <c r="D72" s="419" t="s">
        <v>653</v>
      </c>
      <c r="E72" s="419" t="s">
        <v>860</v>
      </c>
      <c r="F72" s="103" t="s">
        <v>804</v>
      </c>
      <c r="G72" s="103" t="s">
        <v>802</v>
      </c>
      <c r="H72" s="103" t="s">
        <v>805</v>
      </c>
      <c r="I72" s="103">
        <v>0</v>
      </c>
      <c r="J72" s="103" t="s">
        <v>889</v>
      </c>
      <c r="K72" s="103">
        <v>0</v>
      </c>
      <c r="L72" s="103" t="s">
        <v>859</v>
      </c>
      <c r="M72" s="103">
        <v>2</v>
      </c>
      <c r="N72" s="103">
        <v>0</v>
      </c>
      <c r="O72" s="103">
        <v>7172560</v>
      </c>
      <c r="P72" s="396">
        <f t="shared" si="1"/>
        <v>14345120</v>
      </c>
      <c r="Q72" s="103">
        <v>48</v>
      </c>
      <c r="R72" s="103">
        <v>36</v>
      </c>
      <c r="S72" s="103">
        <v>0.04</v>
      </c>
      <c r="T72" s="395">
        <v>1</v>
      </c>
    </row>
    <row r="73" spans="1:20" x14ac:dyDescent="0.3">
      <c r="A73" s="401" t="s">
        <v>862</v>
      </c>
      <c r="B73" s="103" t="s">
        <v>424</v>
      </c>
      <c r="C73" s="419" t="s">
        <v>925</v>
      </c>
      <c r="D73" s="419" t="s">
        <v>653</v>
      </c>
      <c r="E73" s="419" t="s">
        <v>860</v>
      </c>
      <c r="F73" s="103" t="s">
        <v>806</v>
      </c>
      <c r="G73" s="103" t="s">
        <v>802</v>
      </c>
      <c r="H73" s="103" t="s">
        <v>807</v>
      </c>
      <c r="I73" s="103">
        <v>0</v>
      </c>
      <c r="J73" s="103" t="s">
        <v>889</v>
      </c>
      <c r="K73" s="103">
        <v>0</v>
      </c>
      <c r="L73" s="103" t="s">
        <v>859</v>
      </c>
      <c r="M73" s="103">
        <v>2</v>
      </c>
      <c r="N73" s="103">
        <v>0</v>
      </c>
      <c r="O73" s="103">
        <v>9565360</v>
      </c>
      <c r="P73" s="396">
        <f t="shared" si="1"/>
        <v>19130720</v>
      </c>
      <c r="Q73" s="103">
        <v>48</v>
      </c>
      <c r="R73" s="103">
        <v>36</v>
      </c>
      <c r="S73" s="103">
        <v>0.04</v>
      </c>
      <c r="T73" s="395">
        <v>1</v>
      </c>
    </row>
    <row r="74" spans="1:20" x14ac:dyDescent="0.3">
      <c r="A74" s="401" t="s">
        <v>863</v>
      </c>
      <c r="B74" s="103" t="s">
        <v>424</v>
      </c>
      <c r="C74" s="419" t="s">
        <v>926</v>
      </c>
      <c r="D74" s="419" t="s">
        <v>653</v>
      </c>
      <c r="E74" s="419" t="s">
        <v>860</v>
      </c>
      <c r="F74" s="103" t="s">
        <v>808</v>
      </c>
      <c r="G74" s="103" t="s">
        <v>802</v>
      </c>
      <c r="H74" s="103" t="s">
        <v>809</v>
      </c>
      <c r="I74" s="103">
        <v>0</v>
      </c>
      <c r="J74" s="103" t="s">
        <v>889</v>
      </c>
      <c r="K74" s="103">
        <v>0</v>
      </c>
      <c r="L74" s="103" t="s">
        <v>859</v>
      </c>
      <c r="M74" s="103">
        <v>3</v>
      </c>
      <c r="N74" s="103">
        <v>0</v>
      </c>
      <c r="O74" s="103">
        <v>14676370</v>
      </c>
      <c r="P74" s="396">
        <f t="shared" si="1"/>
        <v>44029110</v>
      </c>
      <c r="Q74" s="103">
        <v>48</v>
      </c>
      <c r="R74" s="103">
        <v>36</v>
      </c>
      <c r="S74" s="103">
        <v>0.04</v>
      </c>
      <c r="T74" s="395">
        <v>1</v>
      </c>
    </row>
    <row r="75" spans="1:20" x14ac:dyDescent="0.3">
      <c r="A75" s="401" t="s">
        <v>864</v>
      </c>
      <c r="B75" s="103" t="s">
        <v>424</v>
      </c>
      <c r="C75" s="419" t="s">
        <v>925</v>
      </c>
      <c r="D75" s="419" t="s">
        <v>653</v>
      </c>
      <c r="E75" s="419" t="s">
        <v>860</v>
      </c>
      <c r="F75" s="103" t="s">
        <v>810</v>
      </c>
      <c r="G75" s="103" t="s">
        <v>802</v>
      </c>
      <c r="H75" s="103" t="s">
        <v>811</v>
      </c>
      <c r="I75" s="103">
        <v>0</v>
      </c>
      <c r="J75" s="103" t="s">
        <v>889</v>
      </c>
      <c r="K75" s="103">
        <v>0</v>
      </c>
      <c r="L75" s="103" t="s">
        <v>859</v>
      </c>
      <c r="M75" s="103">
        <v>2</v>
      </c>
      <c r="N75" s="103">
        <v>0</v>
      </c>
      <c r="O75" s="103">
        <v>9361120</v>
      </c>
      <c r="P75" s="396">
        <f t="shared" si="1"/>
        <v>18722240</v>
      </c>
      <c r="Q75" s="103">
        <v>48</v>
      </c>
      <c r="R75" s="103">
        <v>36</v>
      </c>
      <c r="S75" s="103">
        <v>0.04</v>
      </c>
      <c r="T75" s="395">
        <v>1</v>
      </c>
    </row>
    <row r="76" spans="1:20" x14ac:dyDescent="0.3">
      <c r="A76" s="401" t="s">
        <v>865</v>
      </c>
      <c r="B76" s="103" t="s">
        <v>424</v>
      </c>
      <c r="C76" s="419" t="s">
        <v>925</v>
      </c>
      <c r="D76" s="419" t="s">
        <v>653</v>
      </c>
      <c r="E76" s="419" t="s">
        <v>860</v>
      </c>
      <c r="F76" s="103" t="s">
        <v>812</v>
      </c>
      <c r="G76" s="103" t="s">
        <v>802</v>
      </c>
      <c r="H76" s="103" t="s">
        <v>811</v>
      </c>
      <c r="I76" s="103">
        <v>0</v>
      </c>
      <c r="J76" s="103" t="s">
        <v>889</v>
      </c>
      <c r="K76" s="103">
        <v>0</v>
      </c>
      <c r="L76" s="103" t="s">
        <v>859</v>
      </c>
      <c r="M76" s="103">
        <v>2</v>
      </c>
      <c r="N76" s="103">
        <v>0</v>
      </c>
      <c r="O76" s="103">
        <v>9361120</v>
      </c>
      <c r="P76" s="396">
        <f t="shared" si="1"/>
        <v>18722240</v>
      </c>
      <c r="Q76" s="103">
        <v>48</v>
      </c>
      <c r="R76" s="103">
        <v>36</v>
      </c>
      <c r="S76" s="103">
        <v>0.04</v>
      </c>
      <c r="T76" s="395">
        <v>1</v>
      </c>
    </row>
    <row r="77" spans="1:20" x14ac:dyDescent="0.3">
      <c r="A77" s="401" t="s">
        <v>866</v>
      </c>
      <c r="B77" s="103" t="s">
        <v>424</v>
      </c>
      <c r="C77" s="419" t="s">
        <v>925</v>
      </c>
      <c r="D77" s="419" t="s">
        <v>653</v>
      </c>
      <c r="E77" s="419" t="s">
        <v>860</v>
      </c>
      <c r="F77" s="103" t="s">
        <v>813</v>
      </c>
      <c r="G77" s="103" t="s">
        <v>814</v>
      </c>
      <c r="H77" s="103" t="s">
        <v>815</v>
      </c>
      <c r="I77" s="103">
        <v>0</v>
      </c>
      <c r="J77" s="103" t="s">
        <v>889</v>
      </c>
      <c r="K77" s="103">
        <v>0</v>
      </c>
      <c r="L77" s="103" t="s">
        <v>859</v>
      </c>
      <c r="M77" s="103">
        <v>2</v>
      </c>
      <c r="N77" s="103">
        <v>0</v>
      </c>
      <c r="O77" s="103">
        <v>4548800</v>
      </c>
      <c r="P77" s="396">
        <f t="shared" si="1"/>
        <v>9097600</v>
      </c>
      <c r="Q77" s="103">
        <v>48</v>
      </c>
      <c r="R77" s="103">
        <v>36</v>
      </c>
      <c r="S77" s="103">
        <v>0.04</v>
      </c>
      <c r="T77" s="395">
        <v>1</v>
      </c>
    </row>
    <row r="78" spans="1:20" x14ac:dyDescent="0.3">
      <c r="A78" s="401" t="s">
        <v>867</v>
      </c>
      <c r="B78" s="103" t="s">
        <v>424</v>
      </c>
      <c r="C78" s="419" t="s">
        <v>926</v>
      </c>
      <c r="D78" s="419" t="s">
        <v>653</v>
      </c>
      <c r="E78" s="419" t="s">
        <v>860</v>
      </c>
      <c r="F78" s="103" t="s">
        <v>816</v>
      </c>
      <c r="G78" s="103" t="s">
        <v>814</v>
      </c>
      <c r="H78" s="103" t="s">
        <v>815</v>
      </c>
      <c r="I78" s="103">
        <v>0</v>
      </c>
      <c r="J78" s="103" t="s">
        <v>889</v>
      </c>
      <c r="K78" s="103">
        <v>0</v>
      </c>
      <c r="L78" s="103" t="s">
        <v>859</v>
      </c>
      <c r="M78" s="103">
        <v>2</v>
      </c>
      <c r="N78" s="103">
        <v>0</v>
      </c>
      <c r="O78" s="103">
        <v>4548800</v>
      </c>
      <c r="P78" s="396">
        <f t="shared" si="1"/>
        <v>9097600</v>
      </c>
      <c r="Q78" s="103">
        <v>48</v>
      </c>
      <c r="R78" s="103">
        <v>36</v>
      </c>
      <c r="S78" s="103">
        <v>0.04</v>
      </c>
      <c r="T78" s="395">
        <v>1</v>
      </c>
    </row>
    <row r="79" spans="1:20" x14ac:dyDescent="0.3">
      <c r="A79" s="401" t="s">
        <v>868</v>
      </c>
      <c r="B79" s="103" t="s">
        <v>424</v>
      </c>
      <c r="C79" s="419" t="s">
        <v>925</v>
      </c>
      <c r="D79" s="419" t="s">
        <v>653</v>
      </c>
      <c r="E79" s="419" t="s">
        <v>860</v>
      </c>
      <c r="F79" s="103" t="s">
        <v>817</v>
      </c>
      <c r="G79" s="103" t="s">
        <v>814</v>
      </c>
      <c r="H79" s="103" t="s">
        <v>818</v>
      </c>
      <c r="I79" s="103">
        <v>0</v>
      </c>
      <c r="J79" s="103" t="s">
        <v>889</v>
      </c>
      <c r="K79" s="103">
        <v>0</v>
      </c>
      <c r="L79" s="103" t="s">
        <v>859</v>
      </c>
      <c r="M79" s="103">
        <v>2</v>
      </c>
      <c r="N79" s="103">
        <v>0</v>
      </c>
      <c r="O79" s="103">
        <v>6943980</v>
      </c>
      <c r="P79" s="396">
        <f t="shared" si="1"/>
        <v>13887960</v>
      </c>
      <c r="Q79" s="103">
        <v>48</v>
      </c>
      <c r="R79" s="103">
        <v>36</v>
      </c>
      <c r="S79" s="103">
        <v>0.04</v>
      </c>
      <c r="T79" s="395">
        <v>1</v>
      </c>
    </row>
    <row r="80" spans="1:20" x14ac:dyDescent="0.3">
      <c r="A80" s="401" t="s">
        <v>869</v>
      </c>
      <c r="B80" s="103" t="s">
        <v>424</v>
      </c>
      <c r="C80" s="419" t="s">
        <v>925</v>
      </c>
      <c r="D80" s="419" t="s">
        <v>653</v>
      </c>
      <c r="E80" s="419" t="s">
        <v>860</v>
      </c>
      <c r="F80" s="103" t="s">
        <v>819</v>
      </c>
      <c r="G80" s="103" t="s">
        <v>814</v>
      </c>
      <c r="H80" s="103" t="s">
        <v>815</v>
      </c>
      <c r="I80" s="103">
        <v>0</v>
      </c>
      <c r="J80" s="103" t="s">
        <v>889</v>
      </c>
      <c r="K80" s="103">
        <v>0</v>
      </c>
      <c r="L80" s="103" t="s">
        <v>859</v>
      </c>
      <c r="M80" s="103">
        <v>2</v>
      </c>
      <c r="N80" s="103">
        <v>0</v>
      </c>
      <c r="O80" s="103">
        <v>4548800</v>
      </c>
      <c r="P80" s="396">
        <f t="shared" si="1"/>
        <v>9097600</v>
      </c>
      <c r="Q80" s="103">
        <v>48</v>
      </c>
      <c r="R80" s="103">
        <v>36</v>
      </c>
      <c r="S80" s="103">
        <v>0.04</v>
      </c>
      <c r="T80" s="395">
        <v>1</v>
      </c>
    </row>
    <row r="81" spans="1:20" x14ac:dyDescent="0.3">
      <c r="A81" s="401" t="s">
        <v>870</v>
      </c>
      <c r="B81" s="103" t="s">
        <v>424</v>
      </c>
      <c r="C81" s="419" t="s">
        <v>925</v>
      </c>
      <c r="D81" s="419" t="s">
        <v>653</v>
      </c>
      <c r="E81" s="419" t="s">
        <v>860</v>
      </c>
      <c r="F81" s="103" t="s">
        <v>820</v>
      </c>
      <c r="G81" s="103" t="s">
        <v>814</v>
      </c>
      <c r="H81" s="103" t="s">
        <v>821</v>
      </c>
      <c r="I81" s="103">
        <v>0</v>
      </c>
      <c r="J81" s="103" t="s">
        <v>889</v>
      </c>
      <c r="K81" s="103">
        <v>0</v>
      </c>
      <c r="L81" s="103" t="s">
        <v>859</v>
      </c>
      <c r="M81" s="103">
        <v>1</v>
      </c>
      <c r="N81" s="103">
        <v>0</v>
      </c>
      <c r="O81" s="103">
        <v>5931600</v>
      </c>
      <c r="P81" s="396">
        <f t="shared" si="1"/>
        <v>5931600</v>
      </c>
      <c r="Q81" s="103">
        <v>48</v>
      </c>
      <c r="R81" s="103">
        <v>36</v>
      </c>
      <c r="S81" s="103">
        <v>0.04</v>
      </c>
      <c r="T81" s="395">
        <v>1</v>
      </c>
    </row>
    <row r="82" spans="1:20" x14ac:dyDescent="0.3">
      <c r="A82" s="401" t="s">
        <v>871</v>
      </c>
      <c r="B82" s="103" t="s">
        <v>424</v>
      </c>
      <c r="C82" s="419" t="s">
        <v>925</v>
      </c>
      <c r="D82" s="419" t="s">
        <v>653</v>
      </c>
      <c r="E82" s="419" t="s">
        <v>860</v>
      </c>
      <c r="F82" s="103" t="s">
        <v>822</v>
      </c>
      <c r="G82" s="103" t="s">
        <v>814</v>
      </c>
      <c r="H82" s="103" t="s">
        <v>815</v>
      </c>
      <c r="I82" s="103">
        <v>0</v>
      </c>
      <c r="J82" s="103" t="s">
        <v>889</v>
      </c>
      <c r="K82" s="103">
        <v>0</v>
      </c>
      <c r="L82" s="103" t="s">
        <v>859</v>
      </c>
      <c r="M82" s="103">
        <v>2</v>
      </c>
      <c r="N82" s="103">
        <v>0</v>
      </c>
      <c r="O82" s="103">
        <v>4548800</v>
      </c>
      <c r="P82" s="396">
        <f t="shared" si="1"/>
        <v>9097600</v>
      </c>
      <c r="Q82" s="103">
        <v>48</v>
      </c>
      <c r="R82" s="103">
        <v>36</v>
      </c>
      <c r="S82" s="103">
        <v>0.04</v>
      </c>
      <c r="T82" s="395">
        <v>1</v>
      </c>
    </row>
    <row r="83" spans="1:20" x14ac:dyDescent="0.3">
      <c r="A83" s="401" t="s">
        <v>872</v>
      </c>
      <c r="B83" s="103" t="s">
        <v>424</v>
      </c>
      <c r="C83" s="419" t="s">
        <v>925</v>
      </c>
      <c r="D83" s="419" t="s">
        <v>653</v>
      </c>
      <c r="E83" s="419" t="s">
        <v>860</v>
      </c>
      <c r="F83" s="103" t="s">
        <v>823</v>
      </c>
      <c r="G83" s="103" t="s">
        <v>802</v>
      </c>
      <c r="H83" s="103" t="s">
        <v>824</v>
      </c>
      <c r="I83" s="103">
        <v>0</v>
      </c>
      <c r="J83" s="103" t="s">
        <v>889</v>
      </c>
      <c r="K83" s="103">
        <v>0</v>
      </c>
      <c r="L83" s="103" t="s">
        <v>859</v>
      </c>
      <c r="M83" s="103">
        <v>2</v>
      </c>
      <c r="N83" s="103">
        <v>0</v>
      </c>
      <c r="O83" s="103">
        <v>12465240</v>
      </c>
      <c r="P83" s="396">
        <f t="shared" si="1"/>
        <v>24930480</v>
      </c>
      <c r="Q83" s="103">
        <v>48</v>
      </c>
      <c r="R83" s="103">
        <v>36</v>
      </c>
      <c r="S83" s="103">
        <v>0.04</v>
      </c>
      <c r="T83" s="395">
        <v>1</v>
      </c>
    </row>
    <row r="84" spans="1:20" x14ac:dyDescent="0.3">
      <c r="A84" s="401" t="s">
        <v>873</v>
      </c>
      <c r="B84" s="103" t="s">
        <v>424</v>
      </c>
      <c r="C84" s="419" t="s">
        <v>925</v>
      </c>
      <c r="D84" s="419" t="s">
        <v>653</v>
      </c>
      <c r="E84" s="419" t="s">
        <v>860</v>
      </c>
      <c r="F84" s="103" t="s">
        <v>825</v>
      </c>
      <c r="G84" s="103" t="s">
        <v>802</v>
      </c>
      <c r="H84" s="103" t="s">
        <v>826</v>
      </c>
      <c r="I84" s="103">
        <v>0</v>
      </c>
      <c r="J84" s="103" t="s">
        <v>889</v>
      </c>
      <c r="K84" s="103">
        <v>0</v>
      </c>
      <c r="L84" s="103" t="s">
        <v>859</v>
      </c>
      <c r="M84" s="103">
        <v>1</v>
      </c>
      <c r="N84" s="103">
        <v>0</v>
      </c>
      <c r="O84" s="103">
        <v>12704010</v>
      </c>
      <c r="P84" s="396">
        <f t="shared" si="1"/>
        <v>12704010</v>
      </c>
      <c r="Q84" s="103">
        <v>48</v>
      </c>
      <c r="R84" s="103">
        <v>36</v>
      </c>
      <c r="S84" s="103">
        <v>0.04</v>
      </c>
      <c r="T84" s="395">
        <v>1</v>
      </c>
    </row>
    <row r="85" spans="1:20" x14ac:dyDescent="0.3">
      <c r="A85" s="401" t="s">
        <v>874</v>
      </c>
      <c r="B85" s="103" t="s">
        <v>424</v>
      </c>
      <c r="C85" s="419" t="s">
        <v>925</v>
      </c>
      <c r="D85" s="419" t="s">
        <v>653</v>
      </c>
      <c r="E85" s="419" t="s">
        <v>860</v>
      </c>
      <c r="F85" s="103" t="s">
        <v>827</v>
      </c>
      <c r="G85" s="103" t="s">
        <v>828</v>
      </c>
      <c r="H85" s="103" t="s">
        <v>829</v>
      </c>
      <c r="I85" s="103">
        <v>0</v>
      </c>
      <c r="J85" s="103" t="s">
        <v>889</v>
      </c>
      <c r="K85" s="103">
        <v>0</v>
      </c>
      <c r="L85" s="103" t="s">
        <v>859</v>
      </c>
      <c r="M85" s="103">
        <v>1</v>
      </c>
      <c r="N85" s="103">
        <v>0</v>
      </c>
      <c r="O85" s="103">
        <v>43000000</v>
      </c>
      <c r="P85" s="396">
        <f t="shared" si="1"/>
        <v>43000000</v>
      </c>
      <c r="Q85" s="103">
        <v>48</v>
      </c>
      <c r="R85" s="103">
        <v>36</v>
      </c>
      <c r="S85" s="103">
        <v>0.08</v>
      </c>
      <c r="T85" s="395">
        <v>1</v>
      </c>
    </row>
    <row r="86" spans="1:20" x14ac:dyDescent="0.3">
      <c r="A86" s="401" t="s">
        <v>875</v>
      </c>
      <c r="B86" s="103" t="s">
        <v>424</v>
      </c>
      <c r="C86" s="419" t="s">
        <v>925</v>
      </c>
      <c r="D86" s="419" t="s">
        <v>653</v>
      </c>
      <c r="E86" s="419" t="s">
        <v>860</v>
      </c>
      <c r="F86" s="103" t="s">
        <v>830</v>
      </c>
      <c r="G86" s="103" t="s">
        <v>828</v>
      </c>
      <c r="H86" s="103" t="s">
        <v>831</v>
      </c>
      <c r="I86" s="103">
        <v>0</v>
      </c>
      <c r="J86" s="103" t="s">
        <v>889</v>
      </c>
      <c r="K86" s="103">
        <v>0</v>
      </c>
      <c r="L86" s="103" t="s">
        <v>859</v>
      </c>
      <c r="M86" s="103">
        <v>1</v>
      </c>
      <c r="N86" s="103">
        <v>0</v>
      </c>
      <c r="O86" s="103">
        <v>41000000</v>
      </c>
      <c r="P86" s="396">
        <f t="shared" si="1"/>
        <v>41000000</v>
      </c>
      <c r="Q86" s="103">
        <v>48</v>
      </c>
      <c r="R86" s="103">
        <v>36</v>
      </c>
      <c r="S86" s="103">
        <v>0.08</v>
      </c>
      <c r="T86" s="395">
        <v>1</v>
      </c>
    </row>
    <row r="87" spans="1:20" x14ac:dyDescent="0.3">
      <c r="A87" s="401" t="s">
        <v>876</v>
      </c>
      <c r="B87" s="103" t="s">
        <v>424</v>
      </c>
      <c r="C87" s="419" t="s">
        <v>925</v>
      </c>
      <c r="D87" s="419" t="s">
        <v>653</v>
      </c>
      <c r="E87" s="419" t="s">
        <v>860</v>
      </c>
      <c r="F87" s="103" t="s">
        <v>832</v>
      </c>
      <c r="G87" s="103" t="s">
        <v>833</v>
      </c>
      <c r="H87" s="103" t="s">
        <v>834</v>
      </c>
      <c r="I87" s="103">
        <v>0</v>
      </c>
      <c r="J87" s="103" t="s">
        <v>889</v>
      </c>
      <c r="K87" s="103">
        <v>0</v>
      </c>
      <c r="L87" s="103" t="s">
        <v>859</v>
      </c>
      <c r="M87" s="103">
        <v>2</v>
      </c>
      <c r="N87" s="103">
        <v>0</v>
      </c>
      <c r="O87" s="103">
        <v>6624450</v>
      </c>
      <c r="P87" s="396">
        <f t="shared" si="1"/>
        <v>13248900</v>
      </c>
      <c r="Q87" s="103">
        <v>24</v>
      </c>
      <c r="R87" s="103">
        <v>60</v>
      </c>
      <c r="S87" s="103">
        <v>0.04</v>
      </c>
      <c r="T87" s="395">
        <v>1</v>
      </c>
    </row>
    <row r="88" spans="1:20" x14ac:dyDescent="0.3">
      <c r="A88" s="401" t="s">
        <v>877</v>
      </c>
      <c r="B88" s="103" t="s">
        <v>424</v>
      </c>
      <c r="C88" s="419" t="s">
        <v>925</v>
      </c>
      <c r="D88" s="419" t="s">
        <v>653</v>
      </c>
      <c r="E88" s="419" t="s">
        <v>860</v>
      </c>
      <c r="F88" s="103" t="s">
        <v>835</v>
      </c>
      <c r="G88" s="103" t="s">
        <v>836</v>
      </c>
      <c r="H88" s="103" t="s">
        <v>837</v>
      </c>
      <c r="I88" s="103">
        <v>0</v>
      </c>
      <c r="J88" s="103" t="s">
        <v>889</v>
      </c>
      <c r="K88" s="103">
        <v>0</v>
      </c>
      <c r="L88" s="103" t="s">
        <v>859</v>
      </c>
      <c r="M88" s="103">
        <v>2</v>
      </c>
      <c r="N88" s="103">
        <v>0</v>
      </c>
      <c r="O88" s="103">
        <v>8100000</v>
      </c>
      <c r="P88" s="396">
        <f t="shared" si="1"/>
        <v>16200000</v>
      </c>
      <c r="Q88" s="103">
        <v>48</v>
      </c>
      <c r="R88" s="103">
        <v>36</v>
      </c>
      <c r="S88" s="103">
        <v>0.1</v>
      </c>
      <c r="T88" s="395">
        <v>1</v>
      </c>
    </row>
    <row r="89" spans="1:20" x14ac:dyDescent="0.3">
      <c r="A89" s="401" t="s">
        <v>878</v>
      </c>
      <c r="B89" s="103" t="s">
        <v>424</v>
      </c>
      <c r="C89" s="419" t="s">
        <v>926</v>
      </c>
      <c r="D89" s="419" t="s">
        <v>653</v>
      </c>
      <c r="E89" s="419" t="s">
        <v>860</v>
      </c>
      <c r="F89" s="103" t="s">
        <v>838</v>
      </c>
      <c r="G89" s="103" t="s">
        <v>839</v>
      </c>
      <c r="H89" s="103" t="s">
        <v>840</v>
      </c>
      <c r="I89" s="103">
        <v>0</v>
      </c>
      <c r="J89" s="103" t="s">
        <v>889</v>
      </c>
      <c r="K89" s="103">
        <v>0</v>
      </c>
      <c r="L89" s="103" t="s">
        <v>859</v>
      </c>
      <c r="M89" s="103">
        <v>2</v>
      </c>
      <c r="N89" s="103">
        <v>0</v>
      </c>
      <c r="O89" s="103">
        <v>33000000</v>
      </c>
      <c r="P89" s="396">
        <f t="shared" si="1"/>
        <v>66000000</v>
      </c>
      <c r="Q89" s="103">
        <v>24</v>
      </c>
      <c r="R89" s="103">
        <v>60</v>
      </c>
      <c r="S89" s="103">
        <v>0.1</v>
      </c>
      <c r="T89" s="395">
        <v>1</v>
      </c>
    </row>
    <row r="90" spans="1:20" x14ac:dyDescent="0.3">
      <c r="A90" s="401" t="s">
        <v>879</v>
      </c>
      <c r="B90" s="103" t="s">
        <v>424</v>
      </c>
      <c r="C90" s="419" t="s">
        <v>926</v>
      </c>
      <c r="D90" s="419" t="s">
        <v>653</v>
      </c>
      <c r="E90" s="419" t="s">
        <v>860</v>
      </c>
      <c r="F90" s="103" t="s">
        <v>841</v>
      </c>
      <c r="G90" s="103" t="s">
        <v>842</v>
      </c>
      <c r="H90" s="103" t="s">
        <v>843</v>
      </c>
      <c r="I90" s="103">
        <v>0</v>
      </c>
      <c r="J90" s="103" t="s">
        <v>889</v>
      </c>
      <c r="K90" s="103">
        <v>0</v>
      </c>
      <c r="L90" s="103" t="s">
        <v>859</v>
      </c>
      <c r="M90" s="103">
        <v>2</v>
      </c>
      <c r="N90" s="103">
        <v>0</v>
      </c>
      <c r="O90" s="103">
        <v>10500000</v>
      </c>
      <c r="P90" s="396">
        <f t="shared" si="1"/>
        <v>21000000</v>
      </c>
      <c r="Q90" s="103">
        <v>24</v>
      </c>
      <c r="R90" s="103">
        <v>60</v>
      </c>
      <c r="S90" s="103">
        <v>0.1</v>
      </c>
      <c r="T90" s="395">
        <v>1</v>
      </c>
    </row>
    <row r="91" spans="1:20" x14ac:dyDescent="0.3">
      <c r="A91" s="401" t="s">
        <v>880</v>
      </c>
      <c r="B91" s="103" t="s">
        <v>424</v>
      </c>
      <c r="C91" s="419" t="s">
        <v>926</v>
      </c>
      <c r="D91" s="419" t="s">
        <v>653</v>
      </c>
      <c r="E91" s="419" t="s">
        <v>860</v>
      </c>
      <c r="F91" s="103" t="s">
        <v>844</v>
      </c>
      <c r="G91" s="103" t="s">
        <v>845</v>
      </c>
      <c r="H91" s="103" t="s">
        <v>846</v>
      </c>
      <c r="I91" s="103">
        <v>0</v>
      </c>
      <c r="J91" s="103" t="s">
        <v>889</v>
      </c>
      <c r="K91" s="103">
        <v>0</v>
      </c>
      <c r="L91" s="103" t="s">
        <v>859</v>
      </c>
      <c r="M91" s="103">
        <v>2</v>
      </c>
      <c r="N91" s="103">
        <v>0</v>
      </c>
      <c r="O91" s="103">
        <v>9500000</v>
      </c>
      <c r="P91" s="396">
        <f t="shared" si="1"/>
        <v>19000000</v>
      </c>
      <c r="Q91" s="103">
        <v>24</v>
      </c>
      <c r="R91" s="103">
        <v>60</v>
      </c>
      <c r="S91" s="103">
        <v>0.1</v>
      </c>
      <c r="T91" s="395">
        <v>1</v>
      </c>
    </row>
    <row r="92" spans="1:20" x14ac:dyDescent="0.3">
      <c r="A92" s="401" t="s">
        <v>881</v>
      </c>
      <c r="B92" s="103" t="s">
        <v>424</v>
      </c>
      <c r="C92" s="419" t="s">
        <v>926</v>
      </c>
      <c r="D92" s="419" t="s">
        <v>653</v>
      </c>
      <c r="E92" s="419" t="s">
        <v>860</v>
      </c>
      <c r="F92" s="103" t="s">
        <v>847</v>
      </c>
      <c r="G92" s="103" t="s">
        <v>848</v>
      </c>
      <c r="H92" s="103" t="s">
        <v>849</v>
      </c>
      <c r="I92" s="103">
        <v>0</v>
      </c>
      <c r="J92" s="103" t="s">
        <v>889</v>
      </c>
      <c r="K92" s="103">
        <v>0</v>
      </c>
      <c r="L92" s="103" t="s">
        <v>307</v>
      </c>
      <c r="M92" s="103">
        <v>25</v>
      </c>
      <c r="N92" s="103">
        <v>0</v>
      </c>
      <c r="O92" s="103">
        <v>500000</v>
      </c>
      <c r="P92" s="396">
        <f t="shared" si="1"/>
        <v>12500000</v>
      </c>
      <c r="Q92" s="103">
        <v>0</v>
      </c>
      <c r="R92" s="103">
        <v>0</v>
      </c>
      <c r="S92" s="103">
        <v>0</v>
      </c>
      <c r="T92" s="395">
        <v>1</v>
      </c>
    </row>
    <row r="93" spans="1:20" x14ac:dyDescent="0.3">
      <c r="A93" s="401" t="s">
        <v>882</v>
      </c>
      <c r="B93" s="103" t="s">
        <v>424</v>
      </c>
      <c r="C93" s="419" t="s">
        <v>925</v>
      </c>
      <c r="D93" s="419" t="s">
        <v>653</v>
      </c>
      <c r="E93" s="419" t="s">
        <v>860</v>
      </c>
      <c r="F93" s="103" t="s">
        <v>850</v>
      </c>
      <c r="G93" s="103" t="s">
        <v>851</v>
      </c>
      <c r="H93" s="103" t="s">
        <v>852</v>
      </c>
      <c r="I93" s="103">
        <v>0</v>
      </c>
      <c r="J93" s="103" t="s">
        <v>889</v>
      </c>
      <c r="K93" s="103">
        <v>0</v>
      </c>
      <c r="L93" s="103" t="s">
        <v>859</v>
      </c>
      <c r="M93" s="103">
        <v>1</v>
      </c>
      <c r="N93" s="103">
        <v>0</v>
      </c>
      <c r="O93" s="103">
        <v>4000000</v>
      </c>
      <c r="P93" s="396">
        <f t="shared" si="1"/>
        <v>4000000</v>
      </c>
      <c r="Q93" s="103">
        <v>0</v>
      </c>
      <c r="R93" s="103">
        <v>0</v>
      </c>
      <c r="S93" s="103">
        <v>0</v>
      </c>
      <c r="T93" s="395">
        <v>1</v>
      </c>
    </row>
    <row r="94" spans="1:20" x14ac:dyDescent="0.3">
      <c r="A94" s="401" t="s">
        <v>883</v>
      </c>
      <c r="B94" s="103" t="s">
        <v>424</v>
      </c>
      <c r="C94" s="419" t="s">
        <v>927</v>
      </c>
      <c r="D94" s="419" t="s">
        <v>653</v>
      </c>
      <c r="E94" s="419" t="s">
        <v>860</v>
      </c>
      <c r="F94" s="103" t="s">
        <v>853</v>
      </c>
      <c r="G94" s="103" t="s">
        <v>854</v>
      </c>
      <c r="H94" s="103" t="s">
        <v>855</v>
      </c>
      <c r="I94" s="103">
        <v>0</v>
      </c>
      <c r="J94" s="103" t="s">
        <v>889</v>
      </c>
      <c r="K94" s="103">
        <v>0</v>
      </c>
      <c r="L94" s="103" t="s">
        <v>859</v>
      </c>
      <c r="M94" s="103">
        <v>30</v>
      </c>
      <c r="N94" s="103">
        <v>0</v>
      </c>
      <c r="O94" s="103">
        <v>100000</v>
      </c>
      <c r="P94" s="396">
        <f t="shared" si="1"/>
        <v>3000000</v>
      </c>
      <c r="Q94" s="103">
        <v>0</v>
      </c>
      <c r="R94" s="103">
        <v>0</v>
      </c>
      <c r="S94" s="103">
        <v>0</v>
      </c>
      <c r="T94" s="395">
        <v>1</v>
      </c>
    </row>
    <row r="95" spans="1:20" x14ac:dyDescent="0.3">
      <c r="A95" s="401" t="s">
        <v>884</v>
      </c>
      <c r="B95" s="103" t="s">
        <v>424</v>
      </c>
      <c r="C95" s="419" t="s">
        <v>926</v>
      </c>
      <c r="D95" s="419" t="s">
        <v>653</v>
      </c>
      <c r="E95" s="419" t="s">
        <v>860</v>
      </c>
      <c r="F95" s="103" t="s">
        <v>856</v>
      </c>
      <c r="G95" s="103" t="s">
        <v>857</v>
      </c>
      <c r="H95" s="103" t="s">
        <v>858</v>
      </c>
      <c r="I95" s="103">
        <v>0</v>
      </c>
      <c r="J95" s="103" t="s">
        <v>889</v>
      </c>
      <c r="K95" s="103">
        <v>0</v>
      </c>
      <c r="L95" s="103" t="s">
        <v>859</v>
      </c>
      <c r="M95" s="103">
        <v>2</v>
      </c>
      <c r="N95" s="103">
        <v>0</v>
      </c>
      <c r="O95" s="103">
        <v>500000</v>
      </c>
      <c r="P95" s="396">
        <f t="shared" si="1"/>
        <v>1000000</v>
      </c>
      <c r="Q95" s="103">
        <v>0</v>
      </c>
      <c r="R95" s="103">
        <v>0</v>
      </c>
      <c r="S95" s="103">
        <v>0</v>
      </c>
      <c r="T95" s="395">
        <v>1</v>
      </c>
    </row>
    <row r="96" spans="1:20" x14ac:dyDescent="0.3">
      <c r="A96" s="401" t="s">
        <v>890</v>
      </c>
      <c r="B96" s="103" t="s">
        <v>424</v>
      </c>
      <c r="C96" s="419" t="s">
        <v>925</v>
      </c>
      <c r="D96" s="419" t="s">
        <v>653</v>
      </c>
      <c r="E96" s="419" t="s">
        <v>860</v>
      </c>
      <c r="F96" s="103" t="s">
        <v>885</v>
      </c>
      <c r="G96" s="103" t="s">
        <v>802</v>
      </c>
      <c r="H96" s="103" t="s">
        <v>809</v>
      </c>
      <c r="I96" s="103">
        <v>0</v>
      </c>
      <c r="J96" s="103" t="s">
        <v>889</v>
      </c>
      <c r="K96" s="103">
        <v>0</v>
      </c>
      <c r="L96" s="103" t="s">
        <v>859</v>
      </c>
      <c r="M96" s="103">
        <v>1</v>
      </c>
      <c r="N96" s="103">
        <v>0</v>
      </c>
      <c r="O96" s="103">
        <v>14676370</v>
      </c>
      <c r="P96" s="396">
        <f t="shared" si="1"/>
        <v>14676370</v>
      </c>
      <c r="Q96" s="103">
        <f t="shared" ref="Q96:Q108" si="2">84-R96</f>
        <v>48</v>
      </c>
      <c r="R96" s="103">
        <v>36</v>
      </c>
      <c r="S96" s="103">
        <v>0.04</v>
      </c>
      <c r="T96" s="395">
        <v>1</v>
      </c>
    </row>
    <row r="97" spans="1:20" x14ac:dyDescent="0.3">
      <c r="A97" s="401" t="s">
        <v>891</v>
      </c>
      <c r="B97" s="103" t="s">
        <v>424</v>
      </c>
      <c r="C97" s="419" t="s">
        <v>925</v>
      </c>
      <c r="D97" s="419" t="s">
        <v>653</v>
      </c>
      <c r="E97" s="419" t="s">
        <v>860</v>
      </c>
      <c r="F97" s="103" t="s">
        <v>810</v>
      </c>
      <c r="G97" s="103" t="s">
        <v>802</v>
      </c>
      <c r="H97" s="103" t="s">
        <v>811</v>
      </c>
      <c r="I97" s="103">
        <v>0</v>
      </c>
      <c r="J97" s="103" t="s">
        <v>889</v>
      </c>
      <c r="K97" s="103">
        <v>0</v>
      </c>
      <c r="L97" s="103" t="s">
        <v>859</v>
      </c>
      <c r="M97" s="103">
        <v>1</v>
      </c>
      <c r="N97" s="103">
        <v>0</v>
      </c>
      <c r="O97" s="103">
        <v>9361120</v>
      </c>
      <c r="P97" s="396">
        <f t="shared" si="1"/>
        <v>9361120</v>
      </c>
      <c r="Q97" s="103">
        <f t="shared" si="2"/>
        <v>48</v>
      </c>
      <c r="R97" s="103">
        <v>36</v>
      </c>
      <c r="S97" s="103">
        <v>0.04</v>
      </c>
      <c r="T97" s="395">
        <v>1</v>
      </c>
    </row>
    <row r="98" spans="1:20" x14ac:dyDescent="0.3">
      <c r="A98" s="401" t="s">
        <v>892</v>
      </c>
      <c r="B98" s="103" t="s">
        <v>424</v>
      </c>
      <c r="C98" s="419" t="s">
        <v>926</v>
      </c>
      <c r="D98" s="419" t="s">
        <v>653</v>
      </c>
      <c r="E98" s="419" t="s">
        <v>860</v>
      </c>
      <c r="F98" s="103" t="s">
        <v>817</v>
      </c>
      <c r="G98" s="103" t="s">
        <v>814</v>
      </c>
      <c r="H98" s="103" t="s">
        <v>818</v>
      </c>
      <c r="I98" s="103">
        <v>0</v>
      </c>
      <c r="J98" s="103" t="s">
        <v>889</v>
      </c>
      <c r="K98" s="103">
        <v>0</v>
      </c>
      <c r="L98" s="103" t="s">
        <v>859</v>
      </c>
      <c r="M98" s="103">
        <v>1</v>
      </c>
      <c r="N98" s="103">
        <v>0</v>
      </c>
      <c r="O98" s="103">
        <v>6943980</v>
      </c>
      <c r="P98" s="396">
        <f t="shared" si="1"/>
        <v>6943980</v>
      </c>
      <c r="Q98" s="103">
        <f t="shared" si="2"/>
        <v>48</v>
      </c>
      <c r="R98" s="103">
        <v>36</v>
      </c>
      <c r="S98" s="103">
        <v>0.04</v>
      </c>
      <c r="T98" s="395">
        <v>1</v>
      </c>
    </row>
    <row r="99" spans="1:20" x14ac:dyDescent="0.3">
      <c r="A99" s="401" t="s">
        <v>893</v>
      </c>
      <c r="B99" s="103" t="s">
        <v>424</v>
      </c>
      <c r="C99" s="419" t="s">
        <v>927</v>
      </c>
      <c r="D99" s="419" t="s">
        <v>653</v>
      </c>
      <c r="E99" s="419" t="s">
        <v>860</v>
      </c>
      <c r="F99" s="103" t="s">
        <v>886</v>
      </c>
      <c r="G99" s="103" t="s">
        <v>814</v>
      </c>
      <c r="H99" s="103" t="s">
        <v>815</v>
      </c>
      <c r="I99" s="103">
        <v>0</v>
      </c>
      <c r="J99" s="103" t="s">
        <v>889</v>
      </c>
      <c r="K99" s="103">
        <v>0</v>
      </c>
      <c r="L99" s="103" t="s">
        <v>859</v>
      </c>
      <c r="M99" s="103">
        <v>1</v>
      </c>
      <c r="N99" s="103">
        <v>0</v>
      </c>
      <c r="O99" s="103">
        <v>4548800</v>
      </c>
      <c r="P99" s="396">
        <f t="shared" si="1"/>
        <v>4548800</v>
      </c>
      <c r="Q99" s="103">
        <f t="shared" si="2"/>
        <v>48</v>
      </c>
      <c r="R99" s="103">
        <v>36</v>
      </c>
      <c r="S99" s="103">
        <v>0.04</v>
      </c>
      <c r="T99" s="395">
        <v>1</v>
      </c>
    </row>
    <row r="100" spans="1:20" x14ac:dyDescent="0.3">
      <c r="A100" s="401" t="s">
        <v>894</v>
      </c>
      <c r="B100" s="103" t="s">
        <v>424</v>
      </c>
      <c r="C100" s="419" t="s">
        <v>926</v>
      </c>
      <c r="D100" s="419" t="s">
        <v>653</v>
      </c>
      <c r="E100" s="419" t="s">
        <v>860</v>
      </c>
      <c r="F100" s="103" t="s">
        <v>832</v>
      </c>
      <c r="G100" s="103" t="s">
        <v>833</v>
      </c>
      <c r="H100" s="103" t="s">
        <v>834</v>
      </c>
      <c r="I100" s="103">
        <v>0</v>
      </c>
      <c r="J100" s="103" t="s">
        <v>889</v>
      </c>
      <c r="K100" s="103">
        <v>0</v>
      </c>
      <c r="L100" s="103" t="s">
        <v>859</v>
      </c>
      <c r="M100" s="103">
        <v>1</v>
      </c>
      <c r="N100" s="103">
        <v>0</v>
      </c>
      <c r="O100" s="103">
        <v>6624450</v>
      </c>
      <c r="P100" s="396">
        <f t="shared" si="1"/>
        <v>6624450</v>
      </c>
      <c r="Q100" s="103">
        <f t="shared" si="2"/>
        <v>24</v>
      </c>
      <c r="R100" s="103">
        <v>60</v>
      </c>
      <c r="S100" s="103">
        <v>0.04</v>
      </c>
      <c r="T100" s="395">
        <v>1</v>
      </c>
    </row>
    <row r="101" spans="1:20" x14ac:dyDescent="0.3">
      <c r="A101" s="401" t="s">
        <v>895</v>
      </c>
      <c r="B101" s="103" t="s">
        <v>424</v>
      </c>
      <c r="C101" s="419" t="s">
        <v>925</v>
      </c>
      <c r="D101" s="419" t="s">
        <v>653</v>
      </c>
      <c r="E101" s="419" t="s">
        <v>860</v>
      </c>
      <c r="F101" s="103" t="s">
        <v>844</v>
      </c>
      <c r="G101" s="103" t="s">
        <v>887</v>
      </c>
      <c r="H101" s="103" t="s">
        <v>888</v>
      </c>
      <c r="I101" s="103">
        <v>0</v>
      </c>
      <c r="J101" s="103" t="s">
        <v>889</v>
      </c>
      <c r="K101" s="103">
        <v>0</v>
      </c>
      <c r="L101" s="103" t="s">
        <v>859</v>
      </c>
      <c r="M101" s="103">
        <v>1</v>
      </c>
      <c r="N101" s="103">
        <v>0</v>
      </c>
      <c r="O101" s="103">
        <v>5500000</v>
      </c>
      <c r="P101" s="396">
        <f t="shared" si="1"/>
        <v>5500000</v>
      </c>
      <c r="Q101" s="103">
        <f t="shared" si="2"/>
        <v>24</v>
      </c>
      <c r="R101" s="103">
        <v>60</v>
      </c>
      <c r="S101" s="103">
        <v>0.1</v>
      </c>
      <c r="T101" s="395">
        <v>1</v>
      </c>
    </row>
    <row r="102" spans="1:20" x14ac:dyDescent="0.3">
      <c r="A102" s="401" t="s">
        <v>915</v>
      </c>
      <c r="B102" s="103" t="s">
        <v>424</v>
      </c>
      <c r="C102" s="419" t="s">
        <v>925</v>
      </c>
      <c r="D102" s="419" t="s">
        <v>653</v>
      </c>
      <c r="E102" s="419" t="s">
        <v>752</v>
      </c>
      <c r="F102" s="103" t="s">
        <v>896</v>
      </c>
      <c r="G102" s="103" t="s">
        <v>897</v>
      </c>
      <c r="H102" s="103" t="s">
        <v>898</v>
      </c>
      <c r="I102" s="103">
        <v>0</v>
      </c>
      <c r="J102" s="103" t="s">
        <v>889</v>
      </c>
      <c r="K102" s="103">
        <v>0</v>
      </c>
      <c r="L102" s="103" t="s">
        <v>914</v>
      </c>
      <c r="M102" s="103">
        <v>24</v>
      </c>
      <c r="N102" s="103">
        <v>0</v>
      </c>
      <c r="O102" s="103">
        <v>3000000</v>
      </c>
      <c r="P102" s="396">
        <f t="shared" si="1"/>
        <v>72000000</v>
      </c>
      <c r="Q102" s="103">
        <f t="shared" si="2"/>
        <v>24</v>
      </c>
      <c r="R102" s="103">
        <v>60</v>
      </c>
      <c r="S102" s="103">
        <v>0.12</v>
      </c>
      <c r="T102" s="395">
        <v>1</v>
      </c>
    </row>
    <row r="103" spans="1:20" x14ac:dyDescent="0.3">
      <c r="A103" s="401" t="s">
        <v>916</v>
      </c>
      <c r="B103" s="103" t="s">
        <v>424</v>
      </c>
      <c r="C103" s="419" t="s">
        <v>925</v>
      </c>
      <c r="D103" s="419" t="s">
        <v>653</v>
      </c>
      <c r="E103" s="419" t="s">
        <v>752</v>
      </c>
      <c r="F103" s="103" t="s">
        <v>899</v>
      </c>
      <c r="G103" s="103" t="s">
        <v>900</v>
      </c>
      <c r="H103" s="103" t="s">
        <v>901</v>
      </c>
      <c r="I103" s="103">
        <v>0</v>
      </c>
      <c r="J103" s="103" t="s">
        <v>889</v>
      </c>
      <c r="K103" s="103">
        <v>0</v>
      </c>
      <c r="L103" s="103" t="s">
        <v>914</v>
      </c>
      <c r="M103" s="103">
        <v>8</v>
      </c>
      <c r="N103" s="103">
        <v>0</v>
      </c>
      <c r="O103" s="103">
        <v>1500000</v>
      </c>
      <c r="P103" s="396">
        <f t="shared" si="1"/>
        <v>12000000</v>
      </c>
      <c r="Q103" s="103">
        <f t="shared" si="2"/>
        <v>24</v>
      </c>
      <c r="R103" s="103">
        <v>60</v>
      </c>
      <c r="S103" s="103">
        <v>0.1</v>
      </c>
      <c r="T103" s="395">
        <v>1</v>
      </c>
    </row>
    <row r="104" spans="1:20" x14ac:dyDescent="0.3">
      <c r="A104" s="401" t="s">
        <v>917</v>
      </c>
      <c r="B104" s="103" t="s">
        <v>424</v>
      </c>
      <c r="C104" s="419" t="s">
        <v>925</v>
      </c>
      <c r="D104" s="419" t="s">
        <v>653</v>
      </c>
      <c r="E104" s="419" t="s">
        <v>752</v>
      </c>
      <c r="F104" s="103" t="s">
        <v>902</v>
      </c>
      <c r="G104" s="103" t="s">
        <v>903</v>
      </c>
      <c r="H104" s="103" t="s">
        <v>904</v>
      </c>
      <c r="I104" s="103">
        <v>0</v>
      </c>
      <c r="J104" s="103" t="s">
        <v>889</v>
      </c>
      <c r="K104" s="103">
        <v>0</v>
      </c>
      <c r="L104" s="103" t="s">
        <v>914</v>
      </c>
      <c r="M104" s="103">
        <v>54</v>
      </c>
      <c r="N104" s="103">
        <v>0</v>
      </c>
      <c r="O104" s="103">
        <v>570000</v>
      </c>
      <c r="P104" s="396">
        <f t="shared" si="1"/>
        <v>30780000</v>
      </c>
      <c r="Q104" s="103">
        <f t="shared" si="2"/>
        <v>24</v>
      </c>
      <c r="R104" s="103">
        <v>60</v>
      </c>
      <c r="S104" s="103">
        <v>0.12</v>
      </c>
      <c r="T104" s="395">
        <v>1</v>
      </c>
    </row>
    <row r="105" spans="1:20" x14ac:dyDescent="0.3">
      <c r="A105" s="401" t="s">
        <v>918</v>
      </c>
      <c r="B105" s="103" t="s">
        <v>424</v>
      </c>
      <c r="C105" s="419" t="s">
        <v>925</v>
      </c>
      <c r="D105" s="419" t="s">
        <v>653</v>
      </c>
      <c r="E105" s="419" t="s">
        <v>752</v>
      </c>
      <c r="F105" s="103" t="s">
        <v>905</v>
      </c>
      <c r="G105" s="103" t="s">
        <v>906</v>
      </c>
      <c r="H105" s="103" t="s">
        <v>907</v>
      </c>
      <c r="I105" s="103">
        <v>0</v>
      </c>
      <c r="J105" s="103" t="s">
        <v>889</v>
      </c>
      <c r="K105" s="103">
        <v>0</v>
      </c>
      <c r="L105" s="103" t="s">
        <v>914</v>
      </c>
      <c r="M105" s="103">
        <v>4</v>
      </c>
      <c r="N105" s="103">
        <v>0</v>
      </c>
      <c r="O105" s="103">
        <v>5000000</v>
      </c>
      <c r="P105" s="396">
        <f t="shared" si="1"/>
        <v>20000000</v>
      </c>
      <c r="Q105" s="103">
        <f t="shared" si="2"/>
        <v>24</v>
      </c>
      <c r="R105" s="103">
        <v>60</v>
      </c>
      <c r="S105" s="103">
        <v>0.12</v>
      </c>
      <c r="T105" s="395">
        <v>1</v>
      </c>
    </row>
    <row r="106" spans="1:20" x14ac:dyDescent="0.3">
      <c r="A106" s="401" t="s">
        <v>919</v>
      </c>
      <c r="B106" s="103" t="s">
        <v>424</v>
      </c>
      <c r="C106" s="419" t="s">
        <v>925</v>
      </c>
      <c r="D106" s="419" t="s">
        <v>653</v>
      </c>
      <c r="E106" s="419" t="s">
        <v>752</v>
      </c>
      <c r="F106" s="103" t="s">
        <v>908</v>
      </c>
      <c r="G106" s="103" t="s">
        <v>909</v>
      </c>
      <c r="H106" s="103" t="s">
        <v>910</v>
      </c>
      <c r="I106" s="103">
        <v>0</v>
      </c>
      <c r="J106" s="103" t="s">
        <v>889</v>
      </c>
      <c r="K106" s="103">
        <v>0</v>
      </c>
      <c r="L106" s="103" t="s">
        <v>914</v>
      </c>
      <c r="M106" s="103">
        <v>27</v>
      </c>
      <c r="N106" s="103">
        <v>0</v>
      </c>
      <c r="O106" s="103">
        <v>165000</v>
      </c>
      <c r="P106" s="396">
        <f t="shared" si="1"/>
        <v>4455000</v>
      </c>
      <c r="Q106" s="103">
        <f t="shared" si="2"/>
        <v>24</v>
      </c>
      <c r="R106" s="103">
        <v>60</v>
      </c>
      <c r="S106" s="103">
        <v>0.1</v>
      </c>
      <c r="T106" s="395">
        <v>1</v>
      </c>
    </row>
    <row r="107" spans="1:20" ht="17.25" thickBot="1" x14ac:dyDescent="0.35">
      <c r="A107" s="402" t="s">
        <v>920</v>
      </c>
      <c r="B107" s="403" t="s">
        <v>424</v>
      </c>
      <c r="C107" s="421" t="s">
        <v>925</v>
      </c>
      <c r="D107" s="421" t="s">
        <v>723</v>
      </c>
      <c r="E107" s="421" t="s">
        <v>752</v>
      </c>
      <c r="F107" s="403" t="s">
        <v>911</v>
      </c>
      <c r="G107" s="403" t="s">
        <v>912</v>
      </c>
      <c r="H107" s="403" t="s">
        <v>913</v>
      </c>
      <c r="I107" s="403">
        <v>0</v>
      </c>
      <c r="J107" s="403" t="s">
        <v>889</v>
      </c>
      <c r="K107" s="403">
        <v>0</v>
      </c>
      <c r="L107" s="403" t="s">
        <v>724</v>
      </c>
      <c r="M107" s="403">
        <v>78</v>
      </c>
      <c r="N107" s="403">
        <v>0</v>
      </c>
      <c r="O107" s="403">
        <v>858000</v>
      </c>
      <c r="P107" s="396">
        <f t="shared" si="1"/>
        <v>66924000</v>
      </c>
      <c r="Q107" s="403">
        <f t="shared" si="2"/>
        <v>6</v>
      </c>
      <c r="R107" s="403">
        <v>78</v>
      </c>
      <c r="S107" s="403">
        <v>0.15384615384615385</v>
      </c>
      <c r="T107" s="406">
        <v>1</v>
      </c>
    </row>
    <row r="108" spans="1:20" ht="17.25" thickBot="1" x14ac:dyDescent="0.35">
      <c r="A108" s="401" t="s">
        <v>919</v>
      </c>
      <c r="B108" s="103" t="s">
        <v>424</v>
      </c>
      <c r="C108" s="418" t="s">
        <v>925</v>
      </c>
      <c r="D108" s="418" t="s">
        <v>756</v>
      </c>
      <c r="E108" s="418" t="s">
        <v>924</v>
      </c>
      <c r="F108" t="s">
        <v>921</v>
      </c>
      <c r="G108" t="s">
        <v>922</v>
      </c>
      <c r="H108" t="s">
        <v>923</v>
      </c>
      <c r="J108" s="403" t="s">
        <v>889</v>
      </c>
      <c r="L108" s="403" t="s">
        <v>724</v>
      </c>
      <c r="M108" s="418">
        <v>72</v>
      </c>
      <c r="O108">
        <v>3746666.6666666665</v>
      </c>
      <c r="P108" s="396">
        <f>M108*O108</f>
        <v>269760000</v>
      </c>
      <c r="Q108" s="403">
        <f t="shared" si="2"/>
        <v>12</v>
      </c>
      <c r="R108" s="418">
        <v>72</v>
      </c>
      <c r="T108" s="406">
        <v>1</v>
      </c>
    </row>
  </sheetData>
  <phoneticPr fontId="1" type="noConversion"/>
  <conditionalFormatting sqref="Q23:S34 Q4:R4 Q6:R6 Q8:R8 Q10:R10 Q12:R12 Q14:R14 Q16:R16 Q18:R18 Q20:R20 Q22:R22 A2:R2 C3:O18 K19:M28 C19:J34 K29:O33 L35 C35:E36 F36 L36:M38 J35:J38 O19:O28 K34:M34 O34:O38 N34:N35 C37:C46 D39:E46 T2:T52 A3:B69 A101:A107 B102:D107 C108:D108 P3:P108">
    <cfRule type="expression" dxfId="19" priority="20">
      <formula>OR($D2="MA",$D2="운영")</formula>
    </cfRule>
  </conditionalFormatting>
  <conditionalFormatting sqref="Q3:R3 Q5:R5 Q7:R7 Q9:R9 Q11:R11 Q13:R13 Q15:R15 Q17:R17 Q19:R19 Q21:R21">
    <cfRule type="expression" dxfId="18" priority="19">
      <formula>OR($D3="MA",$D3="운영")</formula>
    </cfRule>
  </conditionalFormatting>
  <conditionalFormatting sqref="D37:F37">
    <cfRule type="expression" dxfId="17" priority="18">
      <formula>OR($D37="MA",$D37="운영")</formula>
    </cfRule>
  </conditionalFormatting>
  <conditionalFormatting sqref="D38:F38">
    <cfRule type="expression" dxfId="16" priority="17">
      <formula>OR($D38="MA",$D38="운영")</formula>
    </cfRule>
  </conditionalFormatting>
  <conditionalFormatting sqref="C47:E47">
    <cfRule type="expression" dxfId="15" priority="16">
      <formula>OR($D47="MA",$D47="운영")</formula>
    </cfRule>
  </conditionalFormatting>
  <conditionalFormatting sqref="C48:E52">
    <cfRule type="expression" dxfId="14" priority="15">
      <formula>OR($D48="MA",$D48="운영")</formula>
    </cfRule>
  </conditionalFormatting>
  <conditionalFormatting sqref="E55 E57">
    <cfRule type="expression" dxfId="13" priority="10">
      <formula>OR($D55="MA",$D55="운영")</formula>
    </cfRule>
  </conditionalFormatting>
  <conditionalFormatting sqref="C70:E70">
    <cfRule type="expression" dxfId="12" priority="7">
      <formula>OR($D70="MA",$D70="운영")</formula>
    </cfRule>
  </conditionalFormatting>
  <conditionalFormatting sqref="C53:E53">
    <cfRule type="expression" dxfId="11" priority="14">
      <formula>OR($D53="MA",$D53="운영")</formula>
    </cfRule>
  </conditionalFormatting>
  <conditionalFormatting sqref="T53:T70">
    <cfRule type="expression" dxfId="10" priority="13">
      <formula>OR($D53="MA",$D53="운영")</formula>
    </cfRule>
  </conditionalFormatting>
  <conditionalFormatting sqref="C55:D55 C57:D57">
    <cfRule type="expression" dxfId="9" priority="12">
      <formula>OR($D55="MA",$D55="운영")</formula>
    </cfRule>
  </conditionalFormatting>
  <conditionalFormatting sqref="C54:E54 C56:E56">
    <cfRule type="expression" dxfId="8" priority="11">
      <formula>OR($D54="MA",$D54="운영")</formula>
    </cfRule>
  </conditionalFormatting>
  <conditionalFormatting sqref="T96:T108">
    <cfRule type="expression" dxfId="7" priority="3">
      <formula>OR($D96="MA",$D96="운영")</formula>
    </cfRule>
  </conditionalFormatting>
  <conditionalFormatting sqref="F62 C58:E69">
    <cfRule type="expression" dxfId="6" priority="9">
      <formula>OR($D58="MA",$D58="운영")</formula>
    </cfRule>
  </conditionalFormatting>
  <conditionalFormatting sqref="E103 E105 E107">
    <cfRule type="expression" dxfId="5" priority="2">
      <formula>OR($D103="MA",$D103="운영")</formula>
    </cfRule>
  </conditionalFormatting>
  <conditionalFormatting sqref="A70:B70">
    <cfRule type="expression" dxfId="4" priority="8">
      <formula>OR($D70="MA",$D70="운영")</formula>
    </cfRule>
  </conditionalFormatting>
  <conditionalFormatting sqref="C71:E101 E102 E104 E106 E108">
    <cfRule type="expression" dxfId="3" priority="4">
      <formula>OR($D71="MA",$D71="운영")</formula>
    </cfRule>
  </conditionalFormatting>
  <conditionalFormatting sqref="T71:T95">
    <cfRule type="expression" dxfId="2" priority="6">
      <formula>OR($D71="MA",$D71="운영")</formula>
    </cfRule>
  </conditionalFormatting>
  <conditionalFormatting sqref="A71:B100 B101">
    <cfRule type="expression" dxfId="1" priority="5">
      <formula>OR($D71="MA",$D71="운영")</formula>
    </cfRule>
  </conditionalFormatting>
  <conditionalFormatting sqref="A108:B108">
    <cfRule type="expression" dxfId="0" priority="1">
      <formula>OR($D108="MA",$D108="운영")</formula>
    </cfRule>
  </conditionalFormatting>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theme="4" tint="0.59999389629810485"/>
  </sheetPr>
  <dimension ref="A1:N37"/>
  <sheetViews>
    <sheetView topLeftCell="A22" workbookViewId="0">
      <selection activeCell="L37" sqref="L37"/>
    </sheetView>
  </sheetViews>
  <sheetFormatPr defaultRowHeight="16.5" x14ac:dyDescent="0.3"/>
  <sheetData>
    <row r="1" spans="1:14" x14ac:dyDescent="0.3">
      <c r="A1" t="s">
        <v>424</v>
      </c>
      <c r="B1" t="s">
        <v>657</v>
      </c>
      <c r="C1" t="s">
        <v>14</v>
      </c>
      <c r="D1" t="s">
        <v>654</v>
      </c>
      <c r="E1" t="s">
        <v>274</v>
      </c>
      <c r="F1" t="s">
        <v>607</v>
      </c>
      <c r="G1" t="s">
        <v>305</v>
      </c>
      <c r="H1">
        <v>0</v>
      </c>
      <c r="I1" t="s">
        <v>661</v>
      </c>
      <c r="J1">
        <v>0</v>
      </c>
      <c r="K1" t="s">
        <v>307</v>
      </c>
      <c r="L1">
        <v>3</v>
      </c>
      <c r="M1">
        <v>0</v>
      </c>
      <c r="N1">
        <v>10000000</v>
      </c>
    </row>
    <row r="2" spans="1:14" x14ac:dyDescent="0.3">
      <c r="A2" t="s">
        <v>424</v>
      </c>
      <c r="B2" t="s">
        <v>657</v>
      </c>
      <c r="C2" t="s">
        <v>14</v>
      </c>
      <c r="D2" t="s">
        <v>654</v>
      </c>
      <c r="E2" t="s">
        <v>274</v>
      </c>
      <c r="F2" t="s">
        <v>611</v>
      </c>
      <c r="G2" t="s">
        <v>305</v>
      </c>
      <c r="H2">
        <v>0</v>
      </c>
      <c r="I2" t="s">
        <v>661</v>
      </c>
      <c r="J2">
        <v>0</v>
      </c>
      <c r="K2" t="s">
        <v>307</v>
      </c>
      <c r="L2">
        <v>2</v>
      </c>
      <c r="M2">
        <v>0</v>
      </c>
      <c r="N2">
        <v>10000000</v>
      </c>
    </row>
    <row r="3" spans="1:14" x14ac:dyDescent="0.3">
      <c r="A3" t="s">
        <v>424</v>
      </c>
      <c r="B3" t="s">
        <v>657</v>
      </c>
      <c r="C3" t="s">
        <v>14</v>
      </c>
      <c r="D3" t="s">
        <v>654</v>
      </c>
      <c r="E3" t="s">
        <v>274</v>
      </c>
      <c r="F3" t="s">
        <v>612</v>
      </c>
      <c r="G3" t="s">
        <v>306</v>
      </c>
      <c r="H3">
        <v>0</v>
      </c>
      <c r="I3" t="s">
        <v>661</v>
      </c>
      <c r="J3">
        <v>0</v>
      </c>
      <c r="K3" t="s">
        <v>307</v>
      </c>
      <c r="L3">
        <v>3</v>
      </c>
      <c r="M3">
        <v>0</v>
      </c>
      <c r="N3">
        <v>9000000</v>
      </c>
    </row>
    <row r="4" spans="1:14" x14ac:dyDescent="0.3">
      <c r="A4" t="s">
        <v>424</v>
      </c>
      <c r="B4" t="s">
        <v>657</v>
      </c>
      <c r="C4" t="s">
        <v>14</v>
      </c>
      <c r="D4" t="s">
        <v>654</v>
      </c>
      <c r="E4" t="s">
        <v>274</v>
      </c>
      <c r="F4" t="s">
        <v>613</v>
      </c>
      <c r="G4" t="s">
        <v>306</v>
      </c>
      <c r="H4">
        <v>0</v>
      </c>
      <c r="I4" t="s">
        <v>661</v>
      </c>
      <c r="J4">
        <v>0</v>
      </c>
      <c r="K4" t="s">
        <v>307</v>
      </c>
      <c r="L4">
        <v>1</v>
      </c>
      <c r="M4">
        <v>0</v>
      </c>
      <c r="N4">
        <v>9000000</v>
      </c>
    </row>
    <row r="5" spans="1:14" x14ac:dyDescent="0.3">
      <c r="A5" t="s">
        <v>424</v>
      </c>
      <c r="B5" t="s">
        <v>657</v>
      </c>
      <c r="C5" t="s">
        <v>14</v>
      </c>
      <c r="D5" t="s">
        <v>654</v>
      </c>
      <c r="E5" t="s">
        <v>274</v>
      </c>
      <c r="F5" t="s">
        <v>614</v>
      </c>
      <c r="G5" t="s">
        <v>306</v>
      </c>
      <c r="H5">
        <v>0</v>
      </c>
      <c r="I5" t="s">
        <v>661</v>
      </c>
      <c r="J5">
        <v>0</v>
      </c>
      <c r="K5" t="s">
        <v>307</v>
      </c>
      <c r="L5">
        <v>0</v>
      </c>
      <c r="M5">
        <v>0</v>
      </c>
      <c r="N5">
        <v>9000000</v>
      </c>
    </row>
    <row r="6" spans="1:14" x14ac:dyDescent="0.3">
      <c r="A6" t="s">
        <v>424</v>
      </c>
      <c r="B6" t="s">
        <v>657</v>
      </c>
      <c r="C6" t="s">
        <v>14</v>
      </c>
      <c r="D6" t="s">
        <v>654</v>
      </c>
      <c r="E6" t="s">
        <v>274</v>
      </c>
      <c r="F6" t="s">
        <v>615</v>
      </c>
      <c r="G6" t="s">
        <v>305</v>
      </c>
      <c r="H6">
        <v>0</v>
      </c>
      <c r="I6" t="s">
        <v>661</v>
      </c>
      <c r="J6">
        <v>0</v>
      </c>
      <c r="K6" t="s">
        <v>307</v>
      </c>
      <c r="L6">
        <v>1</v>
      </c>
      <c r="M6">
        <v>0</v>
      </c>
      <c r="N6">
        <v>10000000</v>
      </c>
    </row>
    <row r="7" spans="1:14" x14ac:dyDescent="0.3">
      <c r="A7" t="s">
        <v>424</v>
      </c>
      <c r="B7" t="s">
        <v>657</v>
      </c>
      <c r="C7" t="s">
        <v>14</v>
      </c>
      <c r="D7" t="s">
        <v>654</v>
      </c>
      <c r="E7" t="s">
        <v>274</v>
      </c>
      <c r="F7" t="s">
        <v>616</v>
      </c>
      <c r="G7" t="s">
        <v>306</v>
      </c>
      <c r="H7">
        <v>0</v>
      </c>
      <c r="I7" t="s">
        <v>661</v>
      </c>
      <c r="J7">
        <v>0</v>
      </c>
      <c r="K7" t="s">
        <v>307</v>
      </c>
      <c r="L7">
        <v>2</v>
      </c>
      <c r="M7">
        <v>0</v>
      </c>
      <c r="N7">
        <v>9000000</v>
      </c>
    </row>
    <row r="8" spans="1:14" x14ac:dyDescent="0.3">
      <c r="A8" t="s">
        <v>424</v>
      </c>
      <c r="B8" t="s">
        <v>657</v>
      </c>
      <c r="C8" t="s">
        <v>14</v>
      </c>
      <c r="D8" t="s">
        <v>654</v>
      </c>
      <c r="E8" t="s">
        <v>274</v>
      </c>
      <c r="F8" t="s">
        <v>617</v>
      </c>
      <c r="G8" t="s">
        <v>306</v>
      </c>
      <c r="H8">
        <v>0</v>
      </c>
      <c r="I8" t="s">
        <v>661</v>
      </c>
      <c r="J8">
        <v>0</v>
      </c>
      <c r="K8" t="s">
        <v>307</v>
      </c>
      <c r="L8">
        <v>1</v>
      </c>
      <c r="M8">
        <v>0</v>
      </c>
      <c r="N8">
        <v>9000000</v>
      </c>
    </row>
    <row r="9" spans="1:14" x14ac:dyDescent="0.3">
      <c r="A9" t="s">
        <v>424</v>
      </c>
      <c r="B9" t="s">
        <v>657</v>
      </c>
      <c r="C9" t="s">
        <v>14</v>
      </c>
      <c r="D9" t="s">
        <v>654</v>
      </c>
      <c r="E9" t="s">
        <v>274</v>
      </c>
      <c r="F9" t="s">
        <v>618</v>
      </c>
      <c r="G9" t="s">
        <v>619</v>
      </c>
      <c r="H9">
        <v>0</v>
      </c>
      <c r="I9" t="s">
        <v>661</v>
      </c>
      <c r="J9">
        <v>0</v>
      </c>
      <c r="K9" t="s">
        <v>307</v>
      </c>
      <c r="L9">
        <v>2.5</v>
      </c>
      <c r="M9">
        <v>0</v>
      </c>
      <c r="N9">
        <v>20000000</v>
      </c>
    </row>
    <row r="10" spans="1:14" x14ac:dyDescent="0.3">
      <c r="A10" t="s">
        <v>424</v>
      </c>
      <c r="B10" t="s">
        <v>657</v>
      </c>
      <c r="C10" t="s">
        <v>14</v>
      </c>
      <c r="D10" t="s">
        <v>654</v>
      </c>
      <c r="E10" t="s">
        <v>274</v>
      </c>
      <c r="F10" t="s">
        <v>620</v>
      </c>
      <c r="G10" t="s">
        <v>305</v>
      </c>
      <c r="H10">
        <v>0</v>
      </c>
      <c r="I10" t="s">
        <v>661</v>
      </c>
      <c r="J10">
        <v>0</v>
      </c>
      <c r="K10" t="s">
        <v>307</v>
      </c>
      <c r="L10">
        <v>0.5</v>
      </c>
      <c r="M10">
        <v>0</v>
      </c>
      <c r="N10">
        <v>10000000</v>
      </c>
    </row>
    <row r="11" spans="1:14" x14ac:dyDescent="0.3">
      <c r="A11" t="s">
        <v>424</v>
      </c>
      <c r="B11" t="s">
        <v>657</v>
      </c>
      <c r="C11" t="s">
        <v>14</v>
      </c>
      <c r="D11" t="s">
        <v>654</v>
      </c>
      <c r="E11" t="s">
        <v>274</v>
      </c>
      <c r="F11" t="s">
        <v>621</v>
      </c>
      <c r="G11" t="s">
        <v>622</v>
      </c>
      <c r="H11">
        <v>0</v>
      </c>
      <c r="I11" t="s">
        <v>661</v>
      </c>
      <c r="J11">
        <v>0</v>
      </c>
      <c r="K11" t="s">
        <v>307</v>
      </c>
      <c r="L11">
        <v>0.5</v>
      </c>
      <c r="M11">
        <v>0</v>
      </c>
      <c r="N11">
        <v>8000000</v>
      </c>
    </row>
    <row r="12" spans="1:14" x14ac:dyDescent="0.3">
      <c r="A12" t="s">
        <v>424</v>
      </c>
      <c r="B12" t="s">
        <v>623</v>
      </c>
      <c r="C12" t="s">
        <v>14</v>
      </c>
      <c r="D12" t="s">
        <v>654</v>
      </c>
      <c r="E12" t="s">
        <v>274</v>
      </c>
      <c r="F12" t="s">
        <v>624</v>
      </c>
      <c r="G12" t="s">
        <v>305</v>
      </c>
      <c r="H12">
        <v>0</v>
      </c>
      <c r="I12" t="s">
        <v>661</v>
      </c>
      <c r="J12">
        <v>0</v>
      </c>
      <c r="K12" t="s">
        <v>307</v>
      </c>
      <c r="L12">
        <v>3</v>
      </c>
      <c r="M12">
        <v>0</v>
      </c>
      <c r="N12">
        <v>10000000</v>
      </c>
    </row>
    <row r="13" spans="1:14" x14ac:dyDescent="0.3">
      <c r="A13" t="s">
        <v>424</v>
      </c>
      <c r="B13" t="s">
        <v>623</v>
      </c>
      <c r="C13" t="s">
        <v>14</v>
      </c>
      <c r="D13" t="s">
        <v>654</v>
      </c>
      <c r="E13" t="s">
        <v>274</v>
      </c>
      <c r="F13" t="s">
        <v>625</v>
      </c>
      <c r="G13" t="s">
        <v>305</v>
      </c>
      <c r="H13">
        <v>0</v>
      </c>
      <c r="I13" t="s">
        <v>661</v>
      </c>
      <c r="J13">
        <v>0</v>
      </c>
      <c r="K13" t="s">
        <v>307</v>
      </c>
      <c r="L13">
        <v>3</v>
      </c>
      <c r="M13">
        <v>0</v>
      </c>
      <c r="N13">
        <v>10000000</v>
      </c>
    </row>
    <row r="14" spans="1:14" x14ac:dyDescent="0.3">
      <c r="A14" t="s">
        <v>424</v>
      </c>
      <c r="B14" t="s">
        <v>623</v>
      </c>
      <c r="C14" t="s">
        <v>14</v>
      </c>
      <c r="D14" t="s">
        <v>654</v>
      </c>
      <c r="E14" t="s">
        <v>274</v>
      </c>
      <c r="F14" t="s">
        <v>358</v>
      </c>
      <c r="G14" t="s">
        <v>306</v>
      </c>
      <c r="H14">
        <v>0</v>
      </c>
      <c r="I14" t="s">
        <v>661</v>
      </c>
      <c r="J14">
        <v>0</v>
      </c>
      <c r="K14" t="s">
        <v>307</v>
      </c>
      <c r="L14">
        <v>3</v>
      </c>
      <c r="M14">
        <v>0</v>
      </c>
      <c r="N14">
        <v>9000000</v>
      </c>
    </row>
    <row r="15" spans="1:14" x14ac:dyDescent="0.3">
      <c r="A15" t="s">
        <v>424</v>
      </c>
      <c r="B15" t="s">
        <v>623</v>
      </c>
      <c r="C15" t="s">
        <v>14</v>
      </c>
      <c r="D15" t="s">
        <v>654</v>
      </c>
      <c r="E15" t="s">
        <v>274</v>
      </c>
      <c r="F15" t="s">
        <v>626</v>
      </c>
      <c r="G15" t="s">
        <v>305</v>
      </c>
      <c r="H15">
        <v>0</v>
      </c>
      <c r="I15" t="s">
        <v>661</v>
      </c>
      <c r="J15">
        <v>0</v>
      </c>
      <c r="K15" t="s">
        <v>307</v>
      </c>
      <c r="L15">
        <v>2</v>
      </c>
      <c r="M15">
        <v>0</v>
      </c>
      <c r="N15">
        <v>10000000</v>
      </c>
    </row>
    <row r="16" spans="1:14" x14ac:dyDescent="0.3">
      <c r="A16" t="s">
        <v>424</v>
      </c>
      <c r="B16" t="s">
        <v>623</v>
      </c>
      <c r="C16" t="s">
        <v>14</v>
      </c>
      <c r="D16" t="s">
        <v>654</v>
      </c>
      <c r="E16" t="s">
        <v>274</v>
      </c>
      <c r="F16" t="s">
        <v>627</v>
      </c>
      <c r="G16" t="s">
        <v>305</v>
      </c>
      <c r="H16">
        <v>0</v>
      </c>
      <c r="I16" t="s">
        <v>661</v>
      </c>
      <c r="J16">
        <v>0</v>
      </c>
      <c r="K16" t="s">
        <v>307</v>
      </c>
      <c r="L16">
        <v>3</v>
      </c>
      <c r="M16">
        <v>0</v>
      </c>
      <c r="N16">
        <v>10000000</v>
      </c>
    </row>
    <row r="17" spans="1:14" x14ac:dyDescent="0.3">
      <c r="A17" t="s">
        <v>424</v>
      </c>
      <c r="B17" t="s">
        <v>623</v>
      </c>
      <c r="C17" t="s">
        <v>14</v>
      </c>
      <c r="D17" t="s">
        <v>654</v>
      </c>
      <c r="E17" t="s">
        <v>274</v>
      </c>
      <c r="F17" t="s">
        <v>628</v>
      </c>
      <c r="G17" t="s">
        <v>305</v>
      </c>
      <c r="H17">
        <v>0</v>
      </c>
      <c r="I17" t="s">
        <v>661</v>
      </c>
      <c r="J17">
        <v>0</v>
      </c>
      <c r="K17" t="s">
        <v>307</v>
      </c>
      <c r="L17">
        <v>4</v>
      </c>
      <c r="M17">
        <v>0</v>
      </c>
      <c r="N17">
        <v>10000000</v>
      </c>
    </row>
    <row r="18" spans="1:14" x14ac:dyDescent="0.3">
      <c r="A18" t="s">
        <v>424</v>
      </c>
      <c r="B18" t="s">
        <v>639</v>
      </c>
      <c r="C18" t="s">
        <v>14</v>
      </c>
      <c r="D18" t="s">
        <v>654</v>
      </c>
      <c r="E18" t="s">
        <v>274</v>
      </c>
      <c r="F18" t="s">
        <v>629</v>
      </c>
      <c r="G18" t="s">
        <v>305</v>
      </c>
      <c r="H18">
        <v>0</v>
      </c>
      <c r="I18" t="s">
        <v>661</v>
      </c>
      <c r="J18">
        <v>0</v>
      </c>
      <c r="K18" t="s">
        <v>307</v>
      </c>
      <c r="L18">
        <v>6</v>
      </c>
      <c r="M18">
        <v>0</v>
      </c>
      <c r="N18">
        <v>10000000</v>
      </c>
    </row>
    <row r="19" spans="1:14" x14ac:dyDescent="0.3">
      <c r="A19" t="s">
        <v>424</v>
      </c>
      <c r="B19" t="s">
        <v>639</v>
      </c>
      <c r="C19" t="s">
        <v>14</v>
      </c>
      <c r="D19" t="s">
        <v>654</v>
      </c>
      <c r="E19" t="s">
        <v>274</v>
      </c>
      <c r="F19" t="s">
        <v>630</v>
      </c>
      <c r="G19" t="s">
        <v>305</v>
      </c>
      <c r="H19">
        <v>0</v>
      </c>
      <c r="I19" t="s">
        <v>661</v>
      </c>
      <c r="J19">
        <v>0</v>
      </c>
      <c r="K19" t="s">
        <v>307</v>
      </c>
      <c r="L19">
        <v>6</v>
      </c>
      <c r="M19">
        <v>0</v>
      </c>
      <c r="N19">
        <v>10000000</v>
      </c>
    </row>
    <row r="20" spans="1:14" x14ac:dyDescent="0.3">
      <c r="A20" t="s">
        <v>424</v>
      </c>
      <c r="B20" t="s">
        <v>639</v>
      </c>
      <c r="C20" t="s">
        <v>14</v>
      </c>
      <c r="D20" t="s">
        <v>654</v>
      </c>
      <c r="E20" t="s">
        <v>274</v>
      </c>
      <c r="F20" t="s">
        <v>631</v>
      </c>
      <c r="G20" t="s">
        <v>622</v>
      </c>
      <c r="H20">
        <v>0</v>
      </c>
      <c r="I20" t="s">
        <v>661</v>
      </c>
      <c r="J20">
        <v>0</v>
      </c>
      <c r="K20" t="s">
        <v>307</v>
      </c>
      <c r="L20">
        <v>3</v>
      </c>
      <c r="M20">
        <v>0</v>
      </c>
      <c r="N20">
        <v>8000000</v>
      </c>
    </row>
    <row r="21" spans="1:14" x14ac:dyDescent="0.3">
      <c r="A21" t="s">
        <v>424</v>
      </c>
      <c r="B21" t="s">
        <v>639</v>
      </c>
      <c r="C21" t="s">
        <v>14</v>
      </c>
      <c r="D21" t="s">
        <v>654</v>
      </c>
      <c r="E21" t="s">
        <v>274</v>
      </c>
      <c r="F21" t="s">
        <v>632</v>
      </c>
      <c r="G21" t="s">
        <v>306</v>
      </c>
      <c r="H21">
        <v>0</v>
      </c>
      <c r="I21" t="s">
        <v>661</v>
      </c>
      <c r="J21">
        <v>0</v>
      </c>
      <c r="K21" t="s">
        <v>307</v>
      </c>
      <c r="L21">
        <v>4</v>
      </c>
      <c r="M21">
        <v>0</v>
      </c>
      <c r="N21">
        <v>9000000</v>
      </c>
    </row>
    <row r="22" spans="1:14" x14ac:dyDescent="0.3">
      <c r="A22" t="s">
        <v>424</v>
      </c>
      <c r="B22" t="s">
        <v>639</v>
      </c>
      <c r="C22" t="s">
        <v>14</v>
      </c>
      <c r="D22" t="s">
        <v>654</v>
      </c>
      <c r="E22" t="s">
        <v>274</v>
      </c>
      <c r="F22" t="s">
        <v>633</v>
      </c>
      <c r="G22" t="s">
        <v>305</v>
      </c>
      <c r="H22">
        <v>0</v>
      </c>
      <c r="I22" t="s">
        <v>661</v>
      </c>
      <c r="J22">
        <v>0</v>
      </c>
      <c r="K22" t="s">
        <v>307</v>
      </c>
      <c r="L22">
        <v>2</v>
      </c>
      <c r="M22">
        <v>0</v>
      </c>
      <c r="N22">
        <v>10000000</v>
      </c>
    </row>
    <row r="23" spans="1:14" x14ac:dyDescent="0.3">
      <c r="A23" t="s">
        <v>424</v>
      </c>
      <c r="B23" t="s">
        <v>639</v>
      </c>
      <c r="C23" t="s">
        <v>14</v>
      </c>
      <c r="D23" t="s">
        <v>654</v>
      </c>
      <c r="E23" t="s">
        <v>274</v>
      </c>
      <c r="F23" t="s">
        <v>634</v>
      </c>
      <c r="G23" t="s">
        <v>306</v>
      </c>
      <c r="H23">
        <v>0</v>
      </c>
      <c r="I23" t="s">
        <v>661</v>
      </c>
      <c r="J23">
        <v>0</v>
      </c>
      <c r="K23" t="s">
        <v>307</v>
      </c>
      <c r="L23">
        <v>5</v>
      </c>
      <c r="M23">
        <v>0</v>
      </c>
      <c r="N23">
        <v>9000000</v>
      </c>
    </row>
    <row r="24" spans="1:14" x14ac:dyDescent="0.3">
      <c r="A24" t="s">
        <v>424</v>
      </c>
      <c r="B24" t="s">
        <v>639</v>
      </c>
      <c r="C24" t="s">
        <v>14</v>
      </c>
      <c r="D24" t="s">
        <v>654</v>
      </c>
      <c r="E24" t="s">
        <v>274</v>
      </c>
      <c r="F24" t="s">
        <v>635</v>
      </c>
      <c r="G24" t="s">
        <v>306</v>
      </c>
      <c r="H24">
        <v>0</v>
      </c>
      <c r="I24" t="s">
        <v>661</v>
      </c>
      <c r="J24">
        <v>0</v>
      </c>
      <c r="K24" t="s">
        <v>307</v>
      </c>
      <c r="L24">
        <v>1</v>
      </c>
      <c r="M24">
        <v>0</v>
      </c>
      <c r="N24">
        <v>9000000</v>
      </c>
    </row>
    <row r="25" spans="1:14" x14ac:dyDescent="0.3">
      <c r="A25" t="s">
        <v>424</v>
      </c>
      <c r="B25" t="s">
        <v>639</v>
      </c>
      <c r="C25" t="s">
        <v>14</v>
      </c>
      <c r="D25" t="s">
        <v>654</v>
      </c>
      <c r="E25" t="s">
        <v>274</v>
      </c>
      <c r="F25" t="s">
        <v>636</v>
      </c>
      <c r="G25" t="s">
        <v>306</v>
      </c>
      <c r="H25">
        <v>0</v>
      </c>
      <c r="I25" t="s">
        <v>661</v>
      </c>
      <c r="J25">
        <v>0</v>
      </c>
      <c r="K25" t="s">
        <v>307</v>
      </c>
      <c r="L25">
        <v>1</v>
      </c>
      <c r="M25">
        <v>0</v>
      </c>
      <c r="N25">
        <v>9000000</v>
      </c>
    </row>
    <row r="26" spans="1:14" x14ac:dyDescent="0.3">
      <c r="A26" t="s">
        <v>424</v>
      </c>
      <c r="B26" t="s">
        <v>639</v>
      </c>
      <c r="C26" t="s">
        <v>14</v>
      </c>
      <c r="D26" t="s">
        <v>654</v>
      </c>
      <c r="E26" t="s">
        <v>274</v>
      </c>
      <c r="F26" t="s">
        <v>637</v>
      </c>
      <c r="G26" t="s">
        <v>306</v>
      </c>
      <c r="H26">
        <v>0</v>
      </c>
      <c r="I26" t="s">
        <v>661</v>
      </c>
      <c r="J26">
        <v>0</v>
      </c>
      <c r="K26" t="s">
        <v>307</v>
      </c>
      <c r="L26">
        <v>2</v>
      </c>
      <c r="M26">
        <v>0</v>
      </c>
      <c r="N26">
        <v>9000000</v>
      </c>
    </row>
    <row r="27" spans="1:14" x14ac:dyDescent="0.3">
      <c r="A27" t="s">
        <v>424</v>
      </c>
      <c r="B27" t="s">
        <v>639</v>
      </c>
      <c r="C27" t="s">
        <v>14</v>
      </c>
      <c r="D27" t="s">
        <v>654</v>
      </c>
      <c r="E27" t="s">
        <v>274</v>
      </c>
      <c r="F27" t="s">
        <v>638</v>
      </c>
      <c r="G27" t="s">
        <v>305</v>
      </c>
      <c r="H27">
        <v>0</v>
      </c>
      <c r="I27" t="s">
        <v>661</v>
      </c>
      <c r="J27">
        <v>0</v>
      </c>
      <c r="K27" t="s">
        <v>307</v>
      </c>
      <c r="L27">
        <v>3</v>
      </c>
      <c r="M27">
        <v>0</v>
      </c>
      <c r="N27">
        <v>10000000</v>
      </c>
    </row>
    <row r="28" spans="1:14" x14ac:dyDescent="0.3">
      <c r="A28" t="s">
        <v>424</v>
      </c>
      <c r="B28" t="s">
        <v>639</v>
      </c>
      <c r="C28" t="s">
        <v>14</v>
      </c>
      <c r="D28" t="s">
        <v>654</v>
      </c>
      <c r="E28" t="s">
        <v>640</v>
      </c>
      <c r="F28" t="s">
        <v>641</v>
      </c>
      <c r="G28" t="s">
        <v>642</v>
      </c>
      <c r="H28">
        <v>0</v>
      </c>
      <c r="I28" t="s">
        <v>661</v>
      </c>
      <c r="J28">
        <v>0</v>
      </c>
      <c r="K28" t="s">
        <v>307</v>
      </c>
      <c r="L28">
        <v>3</v>
      </c>
      <c r="M28">
        <v>0</v>
      </c>
      <c r="N28">
        <v>11000000</v>
      </c>
    </row>
    <row r="29" spans="1:14" x14ac:dyDescent="0.3">
      <c r="A29" t="s">
        <v>424</v>
      </c>
      <c r="B29" t="s">
        <v>639</v>
      </c>
      <c r="C29" t="s">
        <v>14</v>
      </c>
      <c r="D29" t="s">
        <v>654</v>
      </c>
      <c r="E29" t="s">
        <v>643</v>
      </c>
      <c r="F29" t="s">
        <v>644</v>
      </c>
      <c r="G29" t="s">
        <v>306</v>
      </c>
      <c r="H29">
        <v>0</v>
      </c>
      <c r="I29" t="s">
        <v>661</v>
      </c>
      <c r="J29">
        <v>0</v>
      </c>
      <c r="K29" t="s">
        <v>307</v>
      </c>
      <c r="L29">
        <v>3</v>
      </c>
      <c r="M29">
        <v>0</v>
      </c>
      <c r="N29">
        <v>9000000</v>
      </c>
    </row>
    <row r="30" spans="1:14" x14ac:dyDescent="0.3">
      <c r="A30" t="s">
        <v>424</v>
      </c>
      <c r="B30" t="s">
        <v>639</v>
      </c>
      <c r="C30" t="s">
        <v>14</v>
      </c>
      <c r="D30" t="s">
        <v>654</v>
      </c>
      <c r="E30" t="s">
        <v>643</v>
      </c>
      <c r="F30" t="s">
        <v>645</v>
      </c>
      <c r="G30" t="s">
        <v>622</v>
      </c>
      <c r="H30">
        <v>0</v>
      </c>
      <c r="I30" t="s">
        <v>661</v>
      </c>
      <c r="J30">
        <v>0</v>
      </c>
      <c r="K30" t="s">
        <v>307</v>
      </c>
      <c r="L30">
        <v>3</v>
      </c>
      <c r="M30">
        <v>0</v>
      </c>
      <c r="N30">
        <v>8000000</v>
      </c>
    </row>
    <row r="31" spans="1:14" x14ac:dyDescent="0.3">
      <c r="A31" t="s">
        <v>424</v>
      </c>
      <c r="B31" t="s">
        <v>639</v>
      </c>
      <c r="C31" t="s">
        <v>14</v>
      </c>
      <c r="D31" t="s">
        <v>654</v>
      </c>
      <c r="E31" t="s">
        <v>646</v>
      </c>
      <c r="F31" t="s">
        <v>647</v>
      </c>
      <c r="G31" t="s">
        <v>642</v>
      </c>
      <c r="H31">
        <v>0</v>
      </c>
      <c r="I31" t="s">
        <v>661</v>
      </c>
      <c r="J31">
        <v>0</v>
      </c>
      <c r="K31" t="s">
        <v>307</v>
      </c>
      <c r="L31">
        <v>1</v>
      </c>
      <c r="M31">
        <v>0</v>
      </c>
      <c r="N31">
        <v>11000000</v>
      </c>
    </row>
    <row r="32" spans="1:14" x14ac:dyDescent="0.3">
      <c r="A32" t="s">
        <v>424</v>
      </c>
      <c r="B32" t="s">
        <v>639</v>
      </c>
      <c r="C32" t="s">
        <v>14</v>
      </c>
      <c r="D32" t="s">
        <v>654</v>
      </c>
      <c r="E32" t="s">
        <v>648</v>
      </c>
      <c r="F32" t="s">
        <v>649</v>
      </c>
      <c r="G32" t="s">
        <v>306</v>
      </c>
      <c r="H32">
        <v>0</v>
      </c>
      <c r="I32" t="s">
        <v>661</v>
      </c>
      <c r="J32">
        <v>0</v>
      </c>
      <c r="K32" t="s">
        <v>307</v>
      </c>
      <c r="L32">
        <v>2</v>
      </c>
      <c r="M32">
        <v>0</v>
      </c>
      <c r="N32">
        <v>9000000</v>
      </c>
    </row>
    <row r="33" spans="1:14" x14ac:dyDescent="0.3">
      <c r="A33" t="s">
        <v>424</v>
      </c>
      <c r="B33" t="s">
        <v>639</v>
      </c>
      <c r="C33" t="s">
        <v>14</v>
      </c>
      <c r="D33" t="s">
        <v>654</v>
      </c>
      <c r="E33" t="s">
        <v>650</v>
      </c>
      <c r="F33" t="s">
        <v>651</v>
      </c>
      <c r="G33" t="s">
        <v>306</v>
      </c>
      <c r="H33">
        <v>0</v>
      </c>
      <c r="I33" t="s">
        <v>661</v>
      </c>
      <c r="J33">
        <v>0</v>
      </c>
      <c r="K33" t="s">
        <v>307</v>
      </c>
      <c r="L33">
        <v>2</v>
      </c>
      <c r="M33">
        <v>0</v>
      </c>
      <c r="N33">
        <v>9000000</v>
      </c>
    </row>
    <row r="34" spans="1:14" x14ac:dyDescent="0.3">
      <c r="A34" t="s">
        <v>424</v>
      </c>
      <c r="B34" t="s">
        <v>652</v>
      </c>
      <c r="C34" t="s">
        <v>14</v>
      </c>
      <c r="D34" t="s">
        <v>654</v>
      </c>
      <c r="E34" t="s">
        <v>655</v>
      </c>
      <c r="F34" t="s">
        <v>656</v>
      </c>
      <c r="G34" t="s">
        <v>305</v>
      </c>
      <c r="H34">
        <v>0</v>
      </c>
      <c r="I34" t="s">
        <v>661</v>
      </c>
      <c r="J34">
        <v>0</v>
      </c>
      <c r="K34" t="s">
        <v>307</v>
      </c>
      <c r="L34">
        <v>20</v>
      </c>
      <c r="M34">
        <v>0</v>
      </c>
      <c r="N34">
        <v>11250000</v>
      </c>
    </row>
    <row r="35" spans="1:14" x14ac:dyDescent="0.3">
      <c r="A35" t="s">
        <v>424</v>
      </c>
      <c r="B35" t="s">
        <v>657</v>
      </c>
      <c r="C35" t="s">
        <v>14</v>
      </c>
      <c r="D35" t="s">
        <v>654</v>
      </c>
      <c r="E35" t="s">
        <v>660</v>
      </c>
      <c r="F35">
        <v>0</v>
      </c>
      <c r="G35" t="s">
        <v>305</v>
      </c>
      <c r="H35">
        <v>0</v>
      </c>
      <c r="I35" t="s">
        <v>661</v>
      </c>
      <c r="J35">
        <v>0</v>
      </c>
      <c r="K35" t="s">
        <v>307</v>
      </c>
      <c r="L35">
        <v>10</v>
      </c>
      <c r="M35">
        <v>0</v>
      </c>
      <c r="N35">
        <v>3333333.3333333335</v>
      </c>
    </row>
    <row r="36" spans="1:14" x14ac:dyDescent="0.3">
      <c r="A36" t="s">
        <v>424</v>
      </c>
      <c r="B36" t="s">
        <v>623</v>
      </c>
      <c r="C36" t="s">
        <v>14</v>
      </c>
      <c r="D36" t="s">
        <v>654</v>
      </c>
      <c r="E36" t="s">
        <v>660</v>
      </c>
      <c r="F36">
        <v>0</v>
      </c>
      <c r="G36" t="s">
        <v>305</v>
      </c>
      <c r="H36">
        <v>0</v>
      </c>
      <c r="I36" t="s">
        <v>661</v>
      </c>
      <c r="J36">
        <v>0</v>
      </c>
      <c r="K36" t="s">
        <v>307</v>
      </c>
      <c r="L36">
        <v>10</v>
      </c>
      <c r="M36">
        <v>0</v>
      </c>
      <c r="N36">
        <v>3333333.3333333335</v>
      </c>
    </row>
    <row r="37" spans="1:14" x14ac:dyDescent="0.3">
      <c r="A37" t="s">
        <v>424</v>
      </c>
      <c r="B37" t="s">
        <v>639</v>
      </c>
      <c r="C37" t="s">
        <v>14</v>
      </c>
      <c r="D37" t="s">
        <v>654</v>
      </c>
      <c r="E37" t="s">
        <v>660</v>
      </c>
      <c r="F37">
        <v>0</v>
      </c>
      <c r="G37" t="s">
        <v>305</v>
      </c>
      <c r="H37">
        <v>0</v>
      </c>
      <c r="I37" t="s">
        <v>661</v>
      </c>
      <c r="J37">
        <v>0</v>
      </c>
      <c r="K37" t="s">
        <v>307</v>
      </c>
      <c r="L37">
        <v>10</v>
      </c>
      <c r="M37">
        <v>0</v>
      </c>
      <c r="N37">
        <v>3333333.3333333335</v>
      </c>
    </row>
  </sheetData>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98AAAA-E8EA-4723-AFDC-DAE5B005C2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23</vt:i4>
      </vt:variant>
    </vt:vector>
  </HeadingPairs>
  <TitlesOfParts>
    <vt:vector size="23" baseType="lpstr">
      <vt:lpstr>HOME</vt:lpstr>
      <vt:lpstr>A.시뮬레이션</vt:lpstr>
      <vt:lpstr>B.통합시트</vt:lpstr>
      <vt:lpstr>1.인건비_요약</vt:lpstr>
      <vt:lpstr>2.구축비_요약</vt:lpstr>
      <vt:lpstr>3.수행비_요약</vt:lpstr>
      <vt:lpstr>BL_인건비</vt:lpstr>
      <vt:lpstr>CS_인건비</vt:lpstr>
      <vt:lpstr>CS_구축</vt:lpstr>
      <vt:lpstr>CS_수행</vt:lpstr>
      <vt:lpstr>(참조)BL_인건비</vt:lpstr>
      <vt:lpstr>(참조)CS_인건비</vt:lpstr>
      <vt:lpstr>(참조)FTE산정</vt:lpstr>
      <vt:lpstr>(참조)솔루션효과</vt:lpstr>
      <vt:lpstr>D.사업성분석</vt:lpstr>
      <vt:lpstr>D.사업성매출</vt:lpstr>
      <vt:lpstr>D.사업성투자</vt:lpstr>
      <vt:lpstr>D.사업성비용</vt:lpstr>
      <vt:lpstr>D.VDC-C</vt:lpstr>
      <vt:lpstr>Sheet4</vt:lpstr>
      <vt:lpstr>Sheet1</vt:lpstr>
      <vt:lpstr>Sheet3</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강민수</dc:creator>
  <cp:lastModifiedBy>강 민수</cp:lastModifiedBy>
  <dcterms:created xsi:type="dcterms:W3CDTF">2020-12-26T06:12:05Z</dcterms:created>
  <dcterms:modified xsi:type="dcterms:W3CDTF">2021-01-16T11:15:07Z</dcterms:modified>
</cp:coreProperties>
</file>