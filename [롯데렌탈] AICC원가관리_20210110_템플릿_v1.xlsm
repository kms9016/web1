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6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7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8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kms\Downloads\"/>
    </mc:Choice>
  </mc:AlternateContent>
  <xr:revisionPtr revIDLastSave="0" documentId="13_ncr:1_{8FD78B3F-E8A5-4CCE-AC12-0DCF71908D51}" xr6:coauthVersionLast="45" xr6:coauthVersionMax="45" xr10:uidLastSave="{00000000-0000-0000-0000-000000000000}"/>
  <bookViews>
    <workbookView xWindow="-20610" yWindow="1830" windowWidth="20730" windowHeight="11160" xr2:uid="{C0EDA8C6-449A-422A-A7BB-E9E6C2F26B72}"/>
  </bookViews>
  <sheets>
    <sheet name="HOME" sheetId="44" r:id="rId1"/>
    <sheet name="0. 통합시트" sheetId="45" r:id="rId2"/>
    <sheet name="1.인건비_요약" sheetId="33" r:id="rId3"/>
    <sheet name="2.구축비_요약" sheetId="42" r:id="rId4"/>
    <sheet name="3.수행비_요약" sheetId="43" r:id="rId5"/>
    <sheet name="BL_인건비" sheetId="25" r:id="rId6"/>
    <sheet name="CS_인건비" sheetId="38" r:id="rId7"/>
    <sheet name="CS_구축" sheetId="22" r:id="rId8"/>
    <sheet name="CS_수행" sheetId="41" r:id="rId9"/>
    <sheet name="(참조)BL_인건비" sheetId="28" r:id="rId10"/>
    <sheet name="(참조)CS_인건비" sheetId="37" r:id="rId11"/>
    <sheet name="(참조)솔루션효과" sheetId="30" r:id="rId12"/>
    <sheet name="(참조)분류체계" sheetId="39" r:id="rId13"/>
  </sheets>
  <definedNames>
    <definedName name="인건비">'(참조)분류체계'!$A$3:$A$5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15" i="45" l="1"/>
  <c r="Q15" i="45" s="1"/>
  <c r="P15" i="45" s="1"/>
  <c r="I17" i="45"/>
  <c r="J17" i="45"/>
  <c r="K17" i="45"/>
  <c r="L17" i="45"/>
  <c r="M17" i="45"/>
  <c r="N17" i="45"/>
  <c r="O17" i="45"/>
  <c r="P17" i="45"/>
  <c r="Q17" i="45"/>
  <c r="R17" i="45"/>
  <c r="H17" i="45"/>
  <c r="J16" i="45"/>
  <c r="K16" i="45"/>
  <c r="L16" i="45"/>
  <c r="M16" i="45"/>
  <c r="N16" i="45"/>
  <c r="O16" i="45"/>
  <c r="P16" i="45"/>
  <c r="Q16" i="45"/>
  <c r="R16" i="45"/>
  <c r="I16" i="45"/>
  <c r="H16" i="45"/>
  <c r="G16" i="45" s="1"/>
  <c r="F40" i="33"/>
  <c r="F34" i="33"/>
  <c r="F26" i="33"/>
  <c r="F20" i="33"/>
  <c r="F12" i="33"/>
  <c r="F6" i="33"/>
  <c r="R14" i="45"/>
  <c r="R7" i="45"/>
  <c r="O15" i="45" l="1"/>
  <c r="G17" i="45"/>
  <c r="N15" i="45" l="1"/>
  <c r="T68" i="42"/>
  <c r="S68" i="42"/>
  <c r="R68" i="42"/>
  <c r="Q68" i="42"/>
  <c r="P68" i="42"/>
  <c r="O68" i="42"/>
  <c r="N68" i="42"/>
  <c r="M68" i="42"/>
  <c r="L68" i="42"/>
  <c r="K68" i="42"/>
  <c r="J68" i="42"/>
  <c r="I68" i="42"/>
  <c r="H68" i="42"/>
  <c r="G68" i="42"/>
  <c r="T62" i="42"/>
  <c r="S62" i="42"/>
  <c r="R62" i="42"/>
  <c r="Q62" i="42"/>
  <c r="P62" i="42"/>
  <c r="O62" i="42"/>
  <c r="N62" i="42"/>
  <c r="M62" i="42"/>
  <c r="L62" i="42"/>
  <c r="K62" i="42"/>
  <c r="J62" i="42"/>
  <c r="I62" i="42"/>
  <c r="H62" i="42"/>
  <c r="G62" i="42"/>
  <c r="G56" i="42"/>
  <c r="H56" i="42"/>
  <c r="D113" i="42"/>
  <c r="D112" i="42"/>
  <c r="D111" i="42"/>
  <c r="D110" i="42"/>
  <c r="D109" i="42"/>
  <c r="D107" i="42"/>
  <c r="D106" i="42"/>
  <c r="D105" i="42"/>
  <c r="D104" i="42"/>
  <c r="D103" i="42"/>
  <c r="D98" i="42"/>
  <c r="D99" i="42"/>
  <c r="D100" i="42"/>
  <c r="D101" i="42"/>
  <c r="D97" i="42"/>
  <c r="D90" i="42"/>
  <c r="D89" i="42"/>
  <c r="D88" i="42"/>
  <c r="D87" i="42"/>
  <c r="D86" i="42"/>
  <c r="D84" i="42"/>
  <c r="D83" i="42"/>
  <c r="D82" i="42"/>
  <c r="D81" i="42"/>
  <c r="D80" i="42"/>
  <c r="D75" i="42"/>
  <c r="D76" i="42"/>
  <c r="D77" i="42"/>
  <c r="D78" i="42"/>
  <c r="D74" i="42"/>
  <c r="D67" i="42"/>
  <c r="D66" i="42"/>
  <c r="D65" i="42"/>
  <c r="D64" i="42"/>
  <c r="D63" i="42"/>
  <c r="D61" i="42"/>
  <c r="D60" i="42"/>
  <c r="D59" i="42"/>
  <c r="D58" i="42"/>
  <c r="D57" i="42"/>
  <c r="D52" i="42"/>
  <c r="D53" i="42"/>
  <c r="D54" i="42"/>
  <c r="D55" i="42"/>
  <c r="D51" i="42"/>
  <c r="D44" i="42"/>
  <c r="D43" i="42"/>
  <c r="D42" i="42"/>
  <c r="D41" i="42"/>
  <c r="D40" i="42"/>
  <c r="D38" i="42"/>
  <c r="D37" i="42"/>
  <c r="D36" i="42"/>
  <c r="D35" i="42"/>
  <c r="D34" i="42"/>
  <c r="D29" i="42"/>
  <c r="D30" i="42"/>
  <c r="D31" i="42"/>
  <c r="D32" i="42"/>
  <c r="D28" i="42"/>
  <c r="D19" i="42"/>
  <c r="D18" i="42"/>
  <c r="D17" i="42"/>
  <c r="D12" i="42"/>
  <c r="D11" i="42"/>
  <c r="D6" i="42"/>
  <c r="D7" i="42"/>
  <c r="D8" i="42"/>
  <c r="D5" i="42"/>
  <c r="G136" i="42"/>
  <c r="H136" i="42"/>
  <c r="I136" i="42"/>
  <c r="J136" i="42"/>
  <c r="K136" i="42"/>
  <c r="L136" i="42"/>
  <c r="M136" i="42"/>
  <c r="N136" i="42"/>
  <c r="O136" i="42"/>
  <c r="P136" i="42"/>
  <c r="Q136" i="42"/>
  <c r="R136" i="42"/>
  <c r="S136" i="42"/>
  <c r="T136" i="42"/>
  <c r="T114" i="42"/>
  <c r="S114" i="42"/>
  <c r="R114" i="42"/>
  <c r="Q114" i="42"/>
  <c r="P114" i="42"/>
  <c r="O114" i="42"/>
  <c r="N114" i="42"/>
  <c r="M114" i="42"/>
  <c r="L114" i="42"/>
  <c r="K114" i="42"/>
  <c r="J114" i="42"/>
  <c r="I114" i="42"/>
  <c r="H114" i="42"/>
  <c r="G114" i="42"/>
  <c r="T108" i="42"/>
  <c r="S108" i="42"/>
  <c r="R108" i="42"/>
  <c r="Q108" i="42"/>
  <c r="P108" i="42"/>
  <c r="O108" i="42"/>
  <c r="N108" i="42"/>
  <c r="M108" i="42"/>
  <c r="L108" i="42"/>
  <c r="K108" i="42"/>
  <c r="J108" i="42"/>
  <c r="I108" i="42"/>
  <c r="H108" i="42"/>
  <c r="G108" i="42"/>
  <c r="T102" i="42"/>
  <c r="S102" i="42"/>
  <c r="R102" i="42"/>
  <c r="Q102" i="42"/>
  <c r="P102" i="42"/>
  <c r="O102" i="42"/>
  <c r="N102" i="42"/>
  <c r="M102" i="42"/>
  <c r="L102" i="42"/>
  <c r="K102" i="42"/>
  <c r="J102" i="42"/>
  <c r="I102" i="42"/>
  <c r="H102" i="42"/>
  <c r="G102" i="42"/>
  <c r="T91" i="42"/>
  <c r="S91" i="42"/>
  <c r="R91" i="42"/>
  <c r="Q91" i="42"/>
  <c r="P91" i="42"/>
  <c r="O91" i="42"/>
  <c r="N91" i="42"/>
  <c r="M91" i="42"/>
  <c r="L91" i="42"/>
  <c r="K91" i="42"/>
  <c r="J91" i="42"/>
  <c r="I91" i="42"/>
  <c r="H91" i="42"/>
  <c r="G91" i="42"/>
  <c r="T85" i="42"/>
  <c r="S85" i="42"/>
  <c r="R85" i="42"/>
  <c r="Q85" i="42"/>
  <c r="P85" i="42"/>
  <c r="O85" i="42"/>
  <c r="N85" i="42"/>
  <c r="M85" i="42"/>
  <c r="L85" i="42"/>
  <c r="K85" i="42"/>
  <c r="J85" i="42"/>
  <c r="I85" i="42"/>
  <c r="H85" i="42"/>
  <c r="G85" i="42"/>
  <c r="T79" i="42"/>
  <c r="S79" i="42"/>
  <c r="R79" i="42"/>
  <c r="Q79" i="42"/>
  <c r="P79" i="42"/>
  <c r="O79" i="42"/>
  <c r="N79" i="42"/>
  <c r="M79" i="42"/>
  <c r="L79" i="42"/>
  <c r="K79" i="42"/>
  <c r="J79" i="42"/>
  <c r="I79" i="42"/>
  <c r="H79" i="42"/>
  <c r="G79" i="42"/>
  <c r="T56" i="42"/>
  <c r="S56" i="42"/>
  <c r="R56" i="42"/>
  <c r="Q56" i="42"/>
  <c r="P56" i="42"/>
  <c r="O56" i="42"/>
  <c r="N56" i="42"/>
  <c r="M56" i="42"/>
  <c r="L56" i="42"/>
  <c r="K56" i="42"/>
  <c r="J56" i="42"/>
  <c r="I56" i="42"/>
  <c r="T45" i="42"/>
  <c r="S45" i="42"/>
  <c r="R45" i="42"/>
  <c r="Q45" i="42"/>
  <c r="P45" i="42"/>
  <c r="O45" i="42"/>
  <c r="N45" i="42"/>
  <c r="M45" i="42"/>
  <c r="L45" i="42"/>
  <c r="K45" i="42"/>
  <c r="J45" i="42"/>
  <c r="I45" i="42"/>
  <c r="H45" i="42"/>
  <c r="G45" i="42"/>
  <c r="T39" i="42"/>
  <c r="S39" i="42"/>
  <c r="R39" i="42"/>
  <c r="Q39" i="42"/>
  <c r="P39" i="42"/>
  <c r="O39" i="42"/>
  <c r="N39" i="42"/>
  <c r="M39" i="42"/>
  <c r="L39" i="42"/>
  <c r="K39" i="42"/>
  <c r="J39" i="42"/>
  <c r="I39" i="42"/>
  <c r="H39" i="42"/>
  <c r="G39" i="42"/>
  <c r="T33" i="42"/>
  <c r="S33" i="42"/>
  <c r="R33" i="42"/>
  <c r="Q33" i="42"/>
  <c r="P33" i="42"/>
  <c r="O33" i="42"/>
  <c r="N33" i="42"/>
  <c r="M33" i="42"/>
  <c r="L33" i="42"/>
  <c r="K33" i="42"/>
  <c r="J33" i="42"/>
  <c r="I33" i="42"/>
  <c r="H33" i="42"/>
  <c r="G33" i="42"/>
  <c r="M15" i="45" l="1"/>
  <c r="G48" i="42"/>
  <c r="O48" i="42"/>
  <c r="N71" i="42"/>
  <c r="M94" i="42"/>
  <c r="N25" i="42"/>
  <c r="H71" i="42"/>
  <c r="P71" i="42"/>
  <c r="H94" i="42"/>
  <c r="P94" i="42"/>
  <c r="L94" i="42"/>
  <c r="T25" i="42"/>
  <c r="I25" i="42"/>
  <c r="G94" i="42"/>
  <c r="O94" i="42"/>
  <c r="T71" i="42"/>
  <c r="I94" i="42"/>
  <c r="Q94" i="42"/>
  <c r="K94" i="42"/>
  <c r="S94" i="42"/>
  <c r="T94" i="42"/>
  <c r="G25" i="42"/>
  <c r="O25" i="42"/>
  <c r="G71" i="42"/>
  <c r="J71" i="42"/>
  <c r="R71" i="42"/>
  <c r="L71" i="42"/>
  <c r="K25" i="42"/>
  <c r="S25" i="42"/>
  <c r="I71" i="42"/>
  <c r="Q71" i="42"/>
  <c r="M71" i="42"/>
  <c r="H48" i="42"/>
  <c r="P48" i="42"/>
  <c r="I48" i="42"/>
  <c r="Q48" i="42"/>
  <c r="M48" i="42"/>
  <c r="L25" i="42"/>
  <c r="T48" i="42"/>
  <c r="M25" i="42"/>
  <c r="N94" i="42"/>
  <c r="J94" i="42"/>
  <c r="R94" i="42"/>
  <c r="J25" i="42"/>
  <c r="R25" i="42"/>
  <c r="L48" i="42"/>
  <c r="O71" i="42"/>
  <c r="H25" i="42"/>
  <c r="P25" i="42"/>
  <c r="K71" i="42"/>
  <c r="S71" i="42"/>
  <c r="Q25" i="42"/>
  <c r="N48" i="42"/>
  <c r="J48" i="42"/>
  <c r="R48" i="42"/>
  <c r="K48" i="42"/>
  <c r="S48" i="42"/>
  <c r="T166" i="42"/>
  <c r="S166" i="42"/>
  <c r="R166" i="42"/>
  <c r="Q166" i="42"/>
  <c r="P166" i="42"/>
  <c r="O166" i="42"/>
  <c r="N166" i="42"/>
  <c r="M166" i="42"/>
  <c r="L166" i="42"/>
  <c r="K166" i="42"/>
  <c r="J166" i="42"/>
  <c r="I166" i="42"/>
  <c r="H166" i="42"/>
  <c r="G166" i="42"/>
  <c r="T160" i="42"/>
  <c r="S160" i="42"/>
  <c r="R160" i="42"/>
  <c r="Q160" i="42"/>
  <c r="P160" i="42"/>
  <c r="O160" i="42"/>
  <c r="N160" i="42"/>
  <c r="M160" i="42"/>
  <c r="L160" i="42"/>
  <c r="K160" i="42"/>
  <c r="J160" i="42"/>
  <c r="I160" i="42"/>
  <c r="H160" i="42"/>
  <c r="G160" i="42"/>
  <c r="T154" i="42"/>
  <c r="S154" i="42"/>
  <c r="R154" i="42"/>
  <c r="Q154" i="42"/>
  <c r="P154" i="42"/>
  <c r="O154" i="42"/>
  <c r="N154" i="42"/>
  <c r="M154" i="42"/>
  <c r="L154" i="42"/>
  <c r="K154" i="42"/>
  <c r="J154" i="42"/>
  <c r="I154" i="42"/>
  <c r="H154" i="42"/>
  <c r="G154" i="42"/>
  <c r="T142" i="42"/>
  <c r="S142" i="42"/>
  <c r="R142" i="42"/>
  <c r="Q142" i="42"/>
  <c r="P142" i="42"/>
  <c r="O142" i="42"/>
  <c r="N142" i="42"/>
  <c r="M142" i="42"/>
  <c r="L142" i="42"/>
  <c r="K142" i="42"/>
  <c r="J142" i="42"/>
  <c r="I142" i="42"/>
  <c r="H142" i="42"/>
  <c r="G142" i="42"/>
  <c r="T130" i="42"/>
  <c r="S130" i="42"/>
  <c r="R130" i="42"/>
  <c r="Q130" i="42"/>
  <c r="P130" i="42"/>
  <c r="O130" i="42"/>
  <c r="N130" i="42"/>
  <c r="M130" i="42"/>
  <c r="L130" i="42"/>
  <c r="K130" i="42"/>
  <c r="J130" i="42"/>
  <c r="I130" i="42"/>
  <c r="H130" i="42"/>
  <c r="G130" i="42"/>
  <c r="G22" i="42"/>
  <c r="G16" i="42"/>
  <c r="G10" i="42"/>
  <c r="H22" i="42"/>
  <c r="T16" i="42"/>
  <c r="S16" i="42"/>
  <c r="R16" i="42"/>
  <c r="Q16" i="42"/>
  <c r="P16" i="42"/>
  <c r="O16" i="42"/>
  <c r="N16" i="42"/>
  <c r="M16" i="42"/>
  <c r="L16" i="42"/>
  <c r="K16" i="42"/>
  <c r="J16" i="42"/>
  <c r="I16" i="42"/>
  <c r="H16" i="42"/>
  <c r="H10" i="42"/>
  <c r="J22" i="42"/>
  <c r="K22" i="42"/>
  <c r="L22" i="42"/>
  <c r="M22" i="42"/>
  <c r="N22" i="42"/>
  <c r="O22" i="42"/>
  <c r="P22" i="42"/>
  <c r="Q22" i="42"/>
  <c r="R22" i="42"/>
  <c r="S22" i="42"/>
  <c r="T22" i="42"/>
  <c r="J10" i="42"/>
  <c r="K10" i="42"/>
  <c r="L10" i="42"/>
  <c r="M10" i="42"/>
  <c r="N10" i="42"/>
  <c r="O10" i="42"/>
  <c r="P10" i="42"/>
  <c r="Q10" i="42"/>
  <c r="R10" i="42"/>
  <c r="S10" i="42"/>
  <c r="T10" i="42"/>
  <c r="I22" i="42"/>
  <c r="I10" i="42"/>
  <c r="P16" i="22"/>
  <c r="P17" i="22"/>
  <c r="P18" i="22"/>
  <c r="P19" i="22"/>
  <c r="P20" i="22"/>
  <c r="P21" i="22"/>
  <c r="P22" i="22"/>
  <c r="P24" i="22"/>
  <c r="P6" i="22"/>
  <c r="P7" i="22"/>
  <c r="P8" i="22"/>
  <c r="P9" i="22"/>
  <c r="P10" i="22"/>
  <c r="P11" i="22"/>
  <c r="P12" i="22"/>
  <c r="P13" i="22"/>
  <c r="P14" i="22"/>
  <c r="P25" i="22"/>
  <c r="P26" i="22"/>
  <c r="P27" i="22"/>
  <c r="P28" i="22"/>
  <c r="P29" i="22"/>
  <c r="P30" i="22"/>
  <c r="P31" i="22"/>
  <c r="P32" i="22"/>
  <c r="P33" i="22"/>
  <c r="P34" i="22"/>
  <c r="P35" i="22"/>
  <c r="P36" i="22"/>
  <c r="P37" i="22"/>
  <c r="L15" i="45" l="1"/>
  <c r="G146" i="42"/>
  <c r="O146" i="42"/>
  <c r="Q146" i="42"/>
  <c r="L146" i="42"/>
  <c r="T146" i="42"/>
  <c r="N146" i="42"/>
  <c r="J146" i="42"/>
  <c r="R146" i="42"/>
  <c r="K146" i="42"/>
  <c r="S146" i="42"/>
  <c r="I146" i="42"/>
  <c r="M146" i="42"/>
  <c r="H146" i="42"/>
  <c r="P146" i="42"/>
  <c r="O2" i="42"/>
  <c r="H122" i="42"/>
  <c r="P122" i="42"/>
  <c r="I122" i="42"/>
  <c r="Q122" i="42"/>
  <c r="N122" i="42"/>
  <c r="G2" i="42"/>
  <c r="L122" i="42"/>
  <c r="K122" i="42"/>
  <c r="M122" i="42"/>
  <c r="S122" i="42"/>
  <c r="G122" i="42"/>
  <c r="O122" i="42"/>
  <c r="J122" i="42"/>
  <c r="R122" i="42"/>
  <c r="Q2" i="42"/>
  <c r="H2" i="42"/>
  <c r="T2" i="42"/>
  <c r="J2" i="42"/>
  <c r="I2" i="42"/>
  <c r="N2" i="42"/>
  <c r="R2" i="42"/>
  <c r="M2" i="42"/>
  <c r="P2" i="42"/>
  <c r="L2" i="42"/>
  <c r="S2" i="42"/>
  <c r="K2" i="42"/>
  <c r="K15" i="45" l="1"/>
  <c r="Q39" i="33"/>
  <c r="H11" i="33"/>
  <c r="I11" i="33"/>
  <c r="J11" i="33"/>
  <c r="K11" i="33"/>
  <c r="L11" i="33"/>
  <c r="M11" i="33"/>
  <c r="N11" i="33"/>
  <c r="O11" i="33"/>
  <c r="P11" i="33"/>
  <c r="G11" i="33"/>
  <c r="I10" i="33"/>
  <c r="J10" i="33"/>
  <c r="K10" i="33"/>
  <c r="L10" i="33"/>
  <c r="M10" i="33"/>
  <c r="N10" i="33"/>
  <c r="O10" i="33"/>
  <c r="P10" i="33"/>
  <c r="H10" i="33"/>
  <c r="G10" i="33"/>
  <c r="H25" i="33"/>
  <c r="H39" i="33" s="1"/>
  <c r="I14" i="45" s="1"/>
  <c r="I25" i="33"/>
  <c r="I39" i="33" s="1"/>
  <c r="J14" i="45" s="1"/>
  <c r="J25" i="33"/>
  <c r="J39" i="33" s="1"/>
  <c r="K14" i="45" s="1"/>
  <c r="K25" i="33"/>
  <c r="K39" i="33" s="1"/>
  <c r="L14" i="45" s="1"/>
  <c r="L25" i="33"/>
  <c r="L39" i="33" s="1"/>
  <c r="M14" i="45" s="1"/>
  <c r="M25" i="33"/>
  <c r="N25" i="33"/>
  <c r="N39" i="33" s="1"/>
  <c r="O14" i="45" s="1"/>
  <c r="O25" i="33"/>
  <c r="O39" i="33" s="1"/>
  <c r="P14" i="45" s="1"/>
  <c r="P25" i="33"/>
  <c r="P39" i="33" s="1"/>
  <c r="Q14" i="45" s="1"/>
  <c r="G25" i="33"/>
  <c r="G39" i="33" s="1"/>
  <c r="H14" i="45" s="1"/>
  <c r="H24" i="33"/>
  <c r="H38" i="33" s="1"/>
  <c r="I13" i="45" s="1"/>
  <c r="I24" i="33"/>
  <c r="I38" i="33" s="1"/>
  <c r="J13" i="45" s="1"/>
  <c r="J24" i="33"/>
  <c r="K24" i="33"/>
  <c r="K27" i="33" s="1"/>
  <c r="L24" i="33"/>
  <c r="L38" i="33" s="1"/>
  <c r="M13" i="45" s="1"/>
  <c r="M18" i="45" s="1"/>
  <c r="M24" i="33"/>
  <c r="M38" i="33" s="1"/>
  <c r="N13" i="45" s="1"/>
  <c r="N24" i="33"/>
  <c r="N38" i="33" s="1"/>
  <c r="O13" i="45" s="1"/>
  <c r="O24" i="33"/>
  <c r="O38" i="33" s="1"/>
  <c r="P13" i="45" s="1"/>
  <c r="P24" i="33"/>
  <c r="P38" i="33" s="1"/>
  <c r="Q13" i="45" s="1"/>
  <c r="G24" i="33"/>
  <c r="G38" i="33" s="1"/>
  <c r="H13" i="45" s="1"/>
  <c r="J38" i="33"/>
  <c r="K13" i="45" s="1"/>
  <c r="Q38" i="33"/>
  <c r="R13" i="45" s="1"/>
  <c r="R18" i="45" s="1"/>
  <c r="Q32" i="33"/>
  <c r="P33" i="33"/>
  <c r="Q7" i="45" s="1"/>
  <c r="O33" i="33"/>
  <c r="P7" i="45" s="1"/>
  <c r="N33" i="33"/>
  <c r="O7" i="45" s="1"/>
  <c r="M33" i="33"/>
  <c r="N7" i="45" s="1"/>
  <c r="L33" i="33"/>
  <c r="M7" i="45" s="1"/>
  <c r="K33" i="33"/>
  <c r="L7" i="45" s="1"/>
  <c r="J33" i="33"/>
  <c r="K7" i="45" s="1"/>
  <c r="I33" i="33"/>
  <c r="J7" i="45" s="1"/>
  <c r="H33" i="33"/>
  <c r="I7" i="45" s="1"/>
  <c r="G33" i="33"/>
  <c r="H7" i="45" s="1"/>
  <c r="D6" i="30"/>
  <c r="E6" i="30"/>
  <c r="F6" i="30"/>
  <c r="G6" i="30"/>
  <c r="H6" i="30"/>
  <c r="I6" i="30"/>
  <c r="J6" i="30"/>
  <c r="K6" i="30"/>
  <c r="L6" i="30"/>
  <c r="M6" i="30"/>
  <c r="C6" i="30"/>
  <c r="Q27" i="33"/>
  <c r="G19" i="33"/>
  <c r="H19" i="33"/>
  <c r="I19" i="33"/>
  <c r="J19" i="33"/>
  <c r="K19" i="33"/>
  <c r="L19" i="33"/>
  <c r="M19" i="33"/>
  <c r="N19" i="33"/>
  <c r="O19" i="33"/>
  <c r="P19" i="33"/>
  <c r="H18" i="33"/>
  <c r="H21" i="33" s="1"/>
  <c r="I18" i="33"/>
  <c r="I32" i="33" s="1"/>
  <c r="J18" i="33"/>
  <c r="J32" i="33" s="1"/>
  <c r="K6" i="45" s="1"/>
  <c r="K8" i="45" s="1"/>
  <c r="K18" i="33"/>
  <c r="K32" i="33" s="1"/>
  <c r="L18" i="33"/>
  <c r="L32" i="33" s="1"/>
  <c r="M18" i="33"/>
  <c r="N18" i="33"/>
  <c r="N32" i="33" s="1"/>
  <c r="O6" i="45" s="1"/>
  <c r="O18" i="33"/>
  <c r="O32" i="33" s="1"/>
  <c r="P6" i="45" s="1"/>
  <c r="P18" i="33"/>
  <c r="P32" i="33" s="1"/>
  <c r="Q6" i="45" s="1"/>
  <c r="Q8" i="45" s="1"/>
  <c r="G18" i="33"/>
  <c r="G32" i="33" s="1"/>
  <c r="H6" i="45" s="1"/>
  <c r="H8" i="45" s="1"/>
  <c r="Z5" i="38"/>
  <c r="AA5" i="38"/>
  <c r="AB5" i="38"/>
  <c r="AC5" i="38"/>
  <c r="AD5" i="38"/>
  <c r="AE5" i="38"/>
  <c r="AF5" i="38"/>
  <c r="AG5" i="38"/>
  <c r="AH5" i="38"/>
  <c r="AI5" i="38"/>
  <c r="Z6" i="38"/>
  <c r="AA6" i="38"/>
  <c r="AB6" i="38"/>
  <c r="AC6" i="38"/>
  <c r="AD6" i="38"/>
  <c r="AE6" i="38"/>
  <c r="AF6" i="38"/>
  <c r="AG6" i="38"/>
  <c r="AH6" i="38"/>
  <c r="AI6" i="38"/>
  <c r="Z7" i="38"/>
  <c r="AA7" i="38"/>
  <c r="AB7" i="38"/>
  <c r="AC7" i="38"/>
  <c r="AD7" i="38"/>
  <c r="AE7" i="38"/>
  <c r="AF7" i="38"/>
  <c r="AG7" i="38"/>
  <c r="AH7" i="38"/>
  <c r="AI7" i="38"/>
  <c r="Z8" i="38"/>
  <c r="AA8" i="38"/>
  <c r="AB8" i="38"/>
  <c r="AC8" i="38"/>
  <c r="AD8" i="38"/>
  <c r="AE8" i="38"/>
  <c r="AF8" i="38"/>
  <c r="AG8" i="38"/>
  <c r="AH8" i="38"/>
  <c r="AI8" i="38"/>
  <c r="Z9" i="38"/>
  <c r="AA9" i="38"/>
  <c r="AB9" i="38"/>
  <c r="AC9" i="38"/>
  <c r="AD9" i="38"/>
  <c r="AE9" i="38"/>
  <c r="AF9" i="38"/>
  <c r="AG9" i="38"/>
  <c r="AH9" i="38"/>
  <c r="AI9" i="38"/>
  <c r="Z10" i="38"/>
  <c r="AA10" i="38"/>
  <c r="AB10" i="38"/>
  <c r="AC10" i="38"/>
  <c r="AD10" i="38"/>
  <c r="AE10" i="38"/>
  <c r="AF10" i="38"/>
  <c r="AG10" i="38"/>
  <c r="AH10" i="38"/>
  <c r="AI10" i="38"/>
  <c r="Z11" i="38"/>
  <c r="AA11" i="38"/>
  <c r="AB11" i="38"/>
  <c r="AC11" i="38"/>
  <c r="AD11" i="38"/>
  <c r="AE11" i="38"/>
  <c r="AF11" i="38"/>
  <c r="AG11" i="38"/>
  <c r="AH11" i="38"/>
  <c r="AI11" i="38"/>
  <c r="Z12" i="38"/>
  <c r="AA12" i="38"/>
  <c r="AB12" i="38"/>
  <c r="AC12" i="38"/>
  <c r="AD12" i="38"/>
  <c r="AE12" i="38"/>
  <c r="AF12" i="38"/>
  <c r="AG12" i="38"/>
  <c r="AH12" i="38"/>
  <c r="AI12" i="38"/>
  <c r="Z13" i="38"/>
  <c r="AA13" i="38"/>
  <c r="AB13" i="38"/>
  <c r="AC13" i="38"/>
  <c r="AD13" i="38"/>
  <c r="AE13" i="38"/>
  <c r="AF13" i="38"/>
  <c r="AG13" i="38"/>
  <c r="AH13" i="38"/>
  <c r="AI13" i="38"/>
  <c r="Z14" i="38"/>
  <c r="AA14" i="38"/>
  <c r="AB14" i="38"/>
  <c r="AC14" i="38"/>
  <c r="AD14" i="38"/>
  <c r="AE14" i="38"/>
  <c r="AF14" i="38"/>
  <c r="AG14" i="38"/>
  <c r="AH14" i="38"/>
  <c r="AI14" i="38"/>
  <c r="Z15" i="38"/>
  <c r="AA15" i="38"/>
  <c r="AB15" i="38"/>
  <c r="AC15" i="38"/>
  <c r="AD15" i="38"/>
  <c r="AE15" i="38"/>
  <c r="AF15" i="38"/>
  <c r="AG15" i="38"/>
  <c r="AH15" i="38"/>
  <c r="AI15" i="38"/>
  <c r="Z16" i="38"/>
  <c r="AA16" i="38"/>
  <c r="AB16" i="38"/>
  <c r="AC16" i="38"/>
  <c r="AD16" i="38"/>
  <c r="AE16" i="38"/>
  <c r="AF16" i="38"/>
  <c r="AG16" i="38"/>
  <c r="AH16" i="38"/>
  <c r="AI16" i="38"/>
  <c r="Z17" i="38"/>
  <c r="AA17" i="38"/>
  <c r="AB17" i="38"/>
  <c r="AC17" i="38"/>
  <c r="AD17" i="38"/>
  <c r="AE17" i="38"/>
  <c r="AF17" i="38"/>
  <c r="AG17" i="38"/>
  <c r="AH17" i="38"/>
  <c r="AI17" i="38"/>
  <c r="Z18" i="38"/>
  <c r="AA18" i="38"/>
  <c r="AB18" i="38"/>
  <c r="AC18" i="38"/>
  <c r="AD18" i="38"/>
  <c r="AE18" i="38"/>
  <c r="AF18" i="38"/>
  <c r="AG18" i="38"/>
  <c r="AH18" i="38"/>
  <c r="AI18" i="38"/>
  <c r="Z19" i="38"/>
  <c r="AA19" i="38"/>
  <c r="AB19" i="38"/>
  <c r="AC19" i="38"/>
  <c r="AD19" i="38"/>
  <c r="AE19" i="38"/>
  <c r="AF19" i="38"/>
  <c r="AG19" i="38"/>
  <c r="AH19" i="38"/>
  <c r="AI19" i="38"/>
  <c r="Z20" i="38"/>
  <c r="AA20" i="38"/>
  <c r="AB20" i="38"/>
  <c r="AC20" i="38"/>
  <c r="AD20" i="38"/>
  <c r="AE20" i="38"/>
  <c r="AF20" i="38"/>
  <c r="AG20" i="38"/>
  <c r="AH20" i="38"/>
  <c r="AI20" i="38"/>
  <c r="Z21" i="38"/>
  <c r="AA21" i="38"/>
  <c r="AB21" i="38"/>
  <c r="AC21" i="38"/>
  <c r="AD21" i="38"/>
  <c r="AE21" i="38"/>
  <c r="AF21" i="38"/>
  <c r="AG21" i="38"/>
  <c r="AH21" i="38"/>
  <c r="AI21" i="38"/>
  <c r="Z22" i="38"/>
  <c r="AA22" i="38"/>
  <c r="AB22" i="38"/>
  <c r="AC22" i="38"/>
  <c r="AD22" i="38"/>
  <c r="AE22" i="38"/>
  <c r="AF22" i="38"/>
  <c r="AG22" i="38"/>
  <c r="AH22" i="38"/>
  <c r="AI22" i="38"/>
  <c r="Z23" i="38"/>
  <c r="AA23" i="38"/>
  <c r="AB23" i="38"/>
  <c r="AC23" i="38"/>
  <c r="AD23" i="38"/>
  <c r="AE23" i="38"/>
  <c r="AF23" i="38"/>
  <c r="AG23" i="38"/>
  <c r="AH23" i="38"/>
  <c r="AI23" i="38"/>
  <c r="Z24" i="38"/>
  <c r="AA24" i="38"/>
  <c r="AB24" i="38"/>
  <c r="AC24" i="38"/>
  <c r="AD24" i="38"/>
  <c r="AE24" i="38"/>
  <c r="AF24" i="38"/>
  <c r="AG24" i="38"/>
  <c r="AH24" i="38"/>
  <c r="AI24" i="38"/>
  <c r="Z25" i="38"/>
  <c r="AA25" i="38"/>
  <c r="AB25" i="38"/>
  <c r="AC25" i="38"/>
  <c r="AD25" i="38"/>
  <c r="AE25" i="38"/>
  <c r="AF25" i="38"/>
  <c r="AG25" i="38"/>
  <c r="AH25" i="38"/>
  <c r="AI25" i="38"/>
  <c r="Z26" i="38"/>
  <c r="AA26" i="38"/>
  <c r="AB26" i="38"/>
  <c r="AC26" i="38"/>
  <c r="AD26" i="38"/>
  <c r="AE26" i="38"/>
  <c r="AF26" i="38"/>
  <c r="AG26" i="38"/>
  <c r="AH26" i="38"/>
  <c r="AI26" i="38"/>
  <c r="Z27" i="38"/>
  <c r="AA27" i="38"/>
  <c r="AB27" i="38"/>
  <c r="AC27" i="38"/>
  <c r="AD27" i="38"/>
  <c r="AE27" i="38"/>
  <c r="AF27" i="38"/>
  <c r="AG27" i="38"/>
  <c r="AH27" i="38"/>
  <c r="AI27" i="38"/>
  <c r="Z28" i="38"/>
  <c r="AA28" i="38"/>
  <c r="AB28" i="38"/>
  <c r="AC28" i="38"/>
  <c r="AD28" i="38"/>
  <c r="AE28" i="38"/>
  <c r="AF28" i="38"/>
  <c r="AG28" i="38"/>
  <c r="AH28" i="38"/>
  <c r="AI28" i="38"/>
  <c r="Z29" i="38"/>
  <c r="AA29" i="38"/>
  <c r="AB29" i="38"/>
  <c r="AC29" i="38"/>
  <c r="AD29" i="38"/>
  <c r="AE29" i="38"/>
  <c r="AF29" i="38"/>
  <c r="AG29" i="38"/>
  <c r="AH29" i="38"/>
  <c r="AI29" i="38"/>
  <c r="Z30" i="38"/>
  <c r="AA30" i="38"/>
  <c r="AB30" i="38"/>
  <c r="AC30" i="38"/>
  <c r="AD30" i="38"/>
  <c r="AE30" i="38"/>
  <c r="AF30" i="38"/>
  <c r="AG30" i="38"/>
  <c r="AH30" i="38"/>
  <c r="AI30" i="38"/>
  <c r="Z31" i="38"/>
  <c r="AA31" i="38"/>
  <c r="AB31" i="38"/>
  <c r="AC31" i="38"/>
  <c r="AD31" i="38"/>
  <c r="AE31" i="38"/>
  <c r="AF31" i="38"/>
  <c r="AG31" i="38"/>
  <c r="AH31" i="38"/>
  <c r="AI31" i="38"/>
  <c r="Z32" i="38"/>
  <c r="AA32" i="38"/>
  <c r="AB32" i="38"/>
  <c r="AC32" i="38"/>
  <c r="AD32" i="38"/>
  <c r="AE32" i="38"/>
  <c r="AF32" i="38"/>
  <c r="AG32" i="38"/>
  <c r="AH32" i="38"/>
  <c r="AI32" i="38"/>
  <c r="Z33" i="38"/>
  <c r="AA33" i="38"/>
  <c r="AB33" i="38"/>
  <c r="AC33" i="38"/>
  <c r="AD33" i="38"/>
  <c r="AE33" i="38"/>
  <c r="AF33" i="38"/>
  <c r="AG33" i="38"/>
  <c r="AH33" i="38"/>
  <c r="AI33" i="38"/>
  <c r="Z34" i="38"/>
  <c r="AA34" i="38"/>
  <c r="AB34" i="38"/>
  <c r="AC34" i="38"/>
  <c r="AD34" i="38"/>
  <c r="AE34" i="38"/>
  <c r="AF34" i="38"/>
  <c r="AG34" i="38"/>
  <c r="AH34" i="38"/>
  <c r="AI34" i="38"/>
  <c r="Z35" i="38"/>
  <c r="AA35" i="38"/>
  <c r="AB35" i="38"/>
  <c r="AC35" i="38"/>
  <c r="AD35" i="38"/>
  <c r="AE35" i="38"/>
  <c r="AF35" i="38"/>
  <c r="AG35" i="38"/>
  <c r="AH35" i="38"/>
  <c r="AI35" i="38"/>
  <c r="Z36" i="38"/>
  <c r="AA36" i="38"/>
  <c r="AB36" i="38"/>
  <c r="AC36" i="38"/>
  <c r="AD36" i="38"/>
  <c r="AE36" i="38"/>
  <c r="AF36" i="38"/>
  <c r="AG36" i="38"/>
  <c r="AH36" i="38"/>
  <c r="AI36" i="38"/>
  <c r="Z37" i="38"/>
  <c r="AA37" i="38"/>
  <c r="AB37" i="38"/>
  <c r="AC37" i="38"/>
  <c r="AD37" i="38"/>
  <c r="AE37" i="38"/>
  <c r="AF37" i="38"/>
  <c r="AG37" i="38"/>
  <c r="AH37" i="38"/>
  <c r="AI37" i="38"/>
  <c r="Z38" i="38"/>
  <c r="AA38" i="38"/>
  <c r="AB38" i="38"/>
  <c r="AC38" i="38"/>
  <c r="AD38" i="38"/>
  <c r="AE38" i="38"/>
  <c r="AF38" i="38"/>
  <c r="AG38" i="38"/>
  <c r="AH38" i="38"/>
  <c r="AI38" i="38"/>
  <c r="Z39" i="38"/>
  <c r="AA39" i="38"/>
  <c r="AB39" i="38"/>
  <c r="AC39" i="38"/>
  <c r="AD39" i="38"/>
  <c r="AE39" i="38"/>
  <c r="AF39" i="38"/>
  <c r="AG39" i="38"/>
  <c r="AH39" i="38"/>
  <c r="AI39" i="38"/>
  <c r="Z40" i="38"/>
  <c r="AA40" i="38"/>
  <c r="AB40" i="38"/>
  <c r="AC40" i="38"/>
  <c r="AD40" i="38"/>
  <c r="AE40" i="38"/>
  <c r="AF40" i="38"/>
  <c r="AG40" i="38"/>
  <c r="AH40" i="38"/>
  <c r="AI40" i="38"/>
  <c r="Z41" i="38"/>
  <c r="AA41" i="38"/>
  <c r="AB41" i="38"/>
  <c r="AC41" i="38"/>
  <c r="AD41" i="38"/>
  <c r="AE41" i="38"/>
  <c r="AF41" i="38"/>
  <c r="AG41" i="38"/>
  <c r="AH41" i="38"/>
  <c r="AI41" i="38"/>
  <c r="Z42" i="38"/>
  <c r="AA42" i="38"/>
  <c r="AB42" i="38"/>
  <c r="AC42" i="38"/>
  <c r="AD42" i="38"/>
  <c r="AE42" i="38"/>
  <c r="AF42" i="38"/>
  <c r="AG42" i="38"/>
  <c r="AH42" i="38"/>
  <c r="AI42" i="38"/>
  <c r="Y6" i="38"/>
  <c r="Y7" i="38"/>
  <c r="Y8" i="38"/>
  <c r="Y9" i="38"/>
  <c r="Y10" i="38"/>
  <c r="Y11" i="38"/>
  <c r="Y12" i="38"/>
  <c r="Y13" i="38"/>
  <c r="Y14" i="38"/>
  <c r="Y15" i="38"/>
  <c r="Y16" i="38"/>
  <c r="Y17" i="38"/>
  <c r="Y18" i="38"/>
  <c r="Y19" i="38"/>
  <c r="Y20" i="38"/>
  <c r="Y21" i="38"/>
  <c r="Y22" i="38"/>
  <c r="Y23" i="38"/>
  <c r="Y24" i="38"/>
  <c r="Y25" i="38"/>
  <c r="Y26" i="38"/>
  <c r="Y27" i="38"/>
  <c r="Y28" i="38"/>
  <c r="Y29" i="38"/>
  <c r="Y30" i="38"/>
  <c r="Y31" i="38"/>
  <c r="Y32" i="38"/>
  <c r="Y33" i="38"/>
  <c r="Y34" i="38"/>
  <c r="Y35" i="38"/>
  <c r="Y36" i="38"/>
  <c r="Y37" i="38"/>
  <c r="Y38" i="38"/>
  <c r="Y39" i="38"/>
  <c r="Y40" i="38"/>
  <c r="Y41" i="38"/>
  <c r="Y42" i="38"/>
  <c r="Y5" i="38"/>
  <c r="Z5" i="25"/>
  <c r="AA5" i="25"/>
  <c r="AB5" i="25"/>
  <c r="AC5" i="25"/>
  <c r="AD5" i="25"/>
  <c r="AE5" i="25"/>
  <c r="AF5" i="25"/>
  <c r="AG5" i="25"/>
  <c r="AH5" i="25"/>
  <c r="AI5" i="25"/>
  <c r="Z6" i="25"/>
  <c r="AA6" i="25"/>
  <c r="AB6" i="25"/>
  <c r="AC6" i="25"/>
  <c r="AD6" i="25"/>
  <c r="AE6" i="25"/>
  <c r="AF6" i="25"/>
  <c r="AG6" i="25"/>
  <c r="AH6" i="25"/>
  <c r="AI6" i="25"/>
  <c r="Z7" i="25"/>
  <c r="AA7" i="25"/>
  <c r="AB7" i="25"/>
  <c r="AC7" i="25"/>
  <c r="AD7" i="25"/>
  <c r="AE7" i="25"/>
  <c r="AF7" i="25"/>
  <c r="AG7" i="25"/>
  <c r="AH7" i="25"/>
  <c r="AI7" i="25"/>
  <c r="Z8" i="25"/>
  <c r="AA8" i="25"/>
  <c r="AB8" i="25"/>
  <c r="AC8" i="25"/>
  <c r="AD8" i="25"/>
  <c r="AE8" i="25"/>
  <c r="AF8" i="25"/>
  <c r="AG8" i="25"/>
  <c r="AH8" i="25"/>
  <c r="AI8" i="25"/>
  <c r="Z9" i="25"/>
  <c r="AA9" i="25"/>
  <c r="AB9" i="25"/>
  <c r="AC9" i="25"/>
  <c r="AD9" i="25"/>
  <c r="AE9" i="25"/>
  <c r="AF9" i="25"/>
  <c r="AG9" i="25"/>
  <c r="AH9" i="25"/>
  <c r="AI9" i="25"/>
  <c r="Z10" i="25"/>
  <c r="AA10" i="25"/>
  <c r="AB10" i="25"/>
  <c r="AC10" i="25"/>
  <c r="AD10" i="25"/>
  <c r="AE10" i="25"/>
  <c r="AF10" i="25"/>
  <c r="AG10" i="25"/>
  <c r="AH10" i="25"/>
  <c r="AI10" i="25"/>
  <c r="Z11" i="25"/>
  <c r="AA11" i="25"/>
  <c r="AB11" i="25"/>
  <c r="AC11" i="25"/>
  <c r="AD11" i="25"/>
  <c r="AE11" i="25"/>
  <c r="AF11" i="25"/>
  <c r="AG11" i="25"/>
  <c r="AH11" i="25"/>
  <c r="AI11" i="25"/>
  <c r="Z12" i="25"/>
  <c r="AA12" i="25"/>
  <c r="AB12" i="25"/>
  <c r="AC12" i="25"/>
  <c r="AD12" i="25"/>
  <c r="AE12" i="25"/>
  <c r="AF12" i="25"/>
  <c r="AG12" i="25"/>
  <c r="AH12" i="25"/>
  <c r="AI12" i="25"/>
  <c r="Z13" i="25"/>
  <c r="AA13" i="25"/>
  <c r="AB13" i="25"/>
  <c r="AC13" i="25"/>
  <c r="AD13" i="25"/>
  <c r="AE13" i="25"/>
  <c r="AF13" i="25"/>
  <c r="AG13" i="25"/>
  <c r="AH13" i="25"/>
  <c r="AI13" i="25"/>
  <c r="Z14" i="25"/>
  <c r="AA14" i="25"/>
  <c r="AB14" i="25"/>
  <c r="AC14" i="25"/>
  <c r="AD14" i="25"/>
  <c r="AE14" i="25"/>
  <c r="AF14" i="25"/>
  <c r="AG14" i="25"/>
  <c r="AH14" i="25"/>
  <c r="AI14" i="25"/>
  <c r="Z15" i="25"/>
  <c r="AA15" i="25"/>
  <c r="AB15" i="25"/>
  <c r="AC15" i="25"/>
  <c r="AD15" i="25"/>
  <c r="AE15" i="25"/>
  <c r="AF15" i="25"/>
  <c r="AG15" i="25"/>
  <c r="AH15" i="25"/>
  <c r="AI15" i="25"/>
  <c r="Z16" i="25"/>
  <c r="AA16" i="25"/>
  <c r="AB16" i="25"/>
  <c r="AC16" i="25"/>
  <c r="AD16" i="25"/>
  <c r="AE16" i="25"/>
  <c r="AF16" i="25"/>
  <c r="AG16" i="25"/>
  <c r="AH16" i="25"/>
  <c r="AI16" i="25"/>
  <c r="Z17" i="25"/>
  <c r="AA17" i="25"/>
  <c r="AB17" i="25"/>
  <c r="AC17" i="25"/>
  <c r="AD17" i="25"/>
  <c r="AE17" i="25"/>
  <c r="AF17" i="25"/>
  <c r="AG17" i="25"/>
  <c r="AH17" i="25"/>
  <c r="AI17" i="25"/>
  <c r="Z18" i="25"/>
  <c r="AA18" i="25"/>
  <c r="AB18" i="25"/>
  <c r="AC18" i="25"/>
  <c r="AD18" i="25"/>
  <c r="AE18" i="25"/>
  <c r="AF18" i="25"/>
  <c r="AG18" i="25"/>
  <c r="AH18" i="25"/>
  <c r="AI18" i="25"/>
  <c r="Z19" i="25"/>
  <c r="AA19" i="25"/>
  <c r="AB19" i="25"/>
  <c r="AC19" i="25"/>
  <c r="AD19" i="25"/>
  <c r="AE19" i="25"/>
  <c r="AF19" i="25"/>
  <c r="AG19" i="25"/>
  <c r="AH19" i="25"/>
  <c r="AI19" i="25"/>
  <c r="Z20" i="25"/>
  <c r="AA20" i="25"/>
  <c r="AB20" i="25"/>
  <c r="AC20" i="25"/>
  <c r="AD20" i="25"/>
  <c r="AE20" i="25"/>
  <c r="AF20" i="25"/>
  <c r="AG20" i="25"/>
  <c r="AH20" i="25"/>
  <c r="AI20" i="25"/>
  <c r="Z21" i="25"/>
  <c r="AA21" i="25"/>
  <c r="AB21" i="25"/>
  <c r="AC21" i="25"/>
  <c r="AD21" i="25"/>
  <c r="AE21" i="25"/>
  <c r="AF21" i="25"/>
  <c r="AG21" i="25"/>
  <c r="AH21" i="25"/>
  <c r="AI21" i="25"/>
  <c r="Z22" i="25"/>
  <c r="AA22" i="25"/>
  <c r="AB22" i="25"/>
  <c r="AC22" i="25"/>
  <c r="AD22" i="25"/>
  <c r="AE22" i="25"/>
  <c r="AF22" i="25"/>
  <c r="AG22" i="25"/>
  <c r="AH22" i="25"/>
  <c r="AI22" i="25"/>
  <c r="Z23" i="25"/>
  <c r="AA23" i="25"/>
  <c r="AB23" i="25"/>
  <c r="AC23" i="25"/>
  <c r="AD23" i="25"/>
  <c r="AE23" i="25"/>
  <c r="AF23" i="25"/>
  <c r="AG23" i="25"/>
  <c r="AH23" i="25"/>
  <c r="AI23" i="25"/>
  <c r="Z24" i="25"/>
  <c r="AA24" i="25"/>
  <c r="AB24" i="25"/>
  <c r="AC24" i="25"/>
  <c r="AD24" i="25"/>
  <c r="AE24" i="25"/>
  <c r="AF24" i="25"/>
  <c r="AG24" i="25"/>
  <c r="AH24" i="25"/>
  <c r="AI24" i="25"/>
  <c r="Z25" i="25"/>
  <c r="AA25" i="25"/>
  <c r="AB25" i="25"/>
  <c r="AC25" i="25"/>
  <c r="AD25" i="25"/>
  <c r="AE25" i="25"/>
  <c r="AF25" i="25"/>
  <c r="AG25" i="25"/>
  <c r="AH25" i="25"/>
  <c r="AI25" i="25"/>
  <c r="Z26" i="25"/>
  <c r="AA26" i="25"/>
  <c r="AB26" i="25"/>
  <c r="AC26" i="25"/>
  <c r="AD26" i="25"/>
  <c r="AE26" i="25"/>
  <c r="AF26" i="25"/>
  <c r="AG26" i="25"/>
  <c r="AH26" i="25"/>
  <c r="AI26" i="25"/>
  <c r="Z27" i="25"/>
  <c r="AA27" i="25"/>
  <c r="AB27" i="25"/>
  <c r="AC27" i="25"/>
  <c r="AD27" i="25"/>
  <c r="AE27" i="25"/>
  <c r="AF27" i="25"/>
  <c r="AG27" i="25"/>
  <c r="AH27" i="25"/>
  <c r="AI27" i="25"/>
  <c r="Z28" i="25"/>
  <c r="AA28" i="25"/>
  <c r="AB28" i="25"/>
  <c r="AC28" i="25"/>
  <c r="AD28" i="25"/>
  <c r="AE28" i="25"/>
  <c r="AF28" i="25"/>
  <c r="AG28" i="25"/>
  <c r="AH28" i="25"/>
  <c r="AI28" i="25"/>
  <c r="Z29" i="25"/>
  <c r="AA29" i="25"/>
  <c r="AB29" i="25"/>
  <c r="AC29" i="25"/>
  <c r="AD29" i="25"/>
  <c r="AE29" i="25"/>
  <c r="AF29" i="25"/>
  <c r="AG29" i="25"/>
  <c r="AH29" i="25"/>
  <c r="AI29" i="25"/>
  <c r="Z30" i="25"/>
  <c r="AA30" i="25"/>
  <c r="AB30" i="25"/>
  <c r="AC30" i="25"/>
  <c r="AD30" i="25"/>
  <c r="AE30" i="25"/>
  <c r="AF30" i="25"/>
  <c r="AG30" i="25"/>
  <c r="AH30" i="25"/>
  <c r="AI30" i="25"/>
  <c r="Z31" i="25"/>
  <c r="AA31" i="25"/>
  <c r="AB31" i="25"/>
  <c r="AC31" i="25"/>
  <c r="AD31" i="25"/>
  <c r="AE31" i="25"/>
  <c r="AF31" i="25"/>
  <c r="AG31" i="25"/>
  <c r="AH31" i="25"/>
  <c r="AI31" i="25"/>
  <c r="Z32" i="25"/>
  <c r="AA32" i="25"/>
  <c r="AB32" i="25"/>
  <c r="AC32" i="25"/>
  <c r="AD32" i="25"/>
  <c r="AE32" i="25"/>
  <c r="AF32" i="25"/>
  <c r="AG32" i="25"/>
  <c r="AH32" i="25"/>
  <c r="AI32" i="25"/>
  <c r="Z33" i="25"/>
  <c r="AA33" i="25"/>
  <c r="AB33" i="25"/>
  <c r="AC33" i="25"/>
  <c r="AD33" i="25"/>
  <c r="AE33" i="25"/>
  <c r="AF33" i="25"/>
  <c r="AG33" i="25"/>
  <c r="AH33" i="25"/>
  <c r="AI33" i="25"/>
  <c r="Z34" i="25"/>
  <c r="AA34" i="25"/>
  <c r="AB34" i="25"/>
  <c r="AC34" i="25"/>
  <c r="AD34" i="25"/>
  <c r="AE34" i="25"/>
  <c r="AF34" i="25"/>
  <c r="AG34" i="25"/>
  <c r="AH34" i="25"/>
  <c r="AI34" i="25"/>
  <c r="Z35" i="25"/>
  <c r="AA35" i="25"/>
  <c r="AB35" i="25"/>
  <c r="AC35" i="25"/>
  <c r="AD35" i="25"/>
  <c r="AE35" i="25"/>
  <c r="AF35" i="25"/>
  <c r="AG35" i="25"/>
  <c r="AH35" i="25"/>
  <c r="AI35" i="25"/>
  <c r="Z36" i="25"/>
  <c r="AA36" i="25"/>
  <c r="AB36" i="25"/>
  <c r="AC36" i="25"/>
  <c r="AD36" i="25"/>
  <c r="AE36" i="25"/>
  <c r="AF36" i="25"/>
  <c r="AG36" i="25"/>
  <c r="AH36" i="25"/>
  <c r="AI36" i="25"/>
  <c r="Z37" i="25"/>
  <c r="AA37" i="25"/>
  <c r="AB37" i="25"/>
  <c r="AC37" i="25"/>
  <c r="AD37" i="25"/>
  <c r="AE37" i="25"/>
  <c r="AF37" i="25"/>
  <c r="AG37" i="25"/>
  <c r="AH37" i="25"/>
  <c r="AI37" i="25"/>
  <c r="Z38" i="25"/>
  <c r="AA38" i="25"/>
  <c r="AB38" i="25"/>
  <c r="AC38" i="25"/>
  <c r="AD38" i="25"/>
  <c r="AE38" i="25"/>
  <c r="AF38" i="25"/>
  <c r="AG38" i="25"/>
  <c r="AH38" i="25"/>
  <c r="AI38" i="25"/>
  <c r="Z39" i="25"/>
  <c r="AA39" i="25"/>
  <c r="AB39" i="25"/>
  <c r="AC39" i="25"/>
  <c r="AD39" i="25"/>
  <c r="AE39" i="25"/>
  <c r="AF39" i="25"/>
  <c r="AG39" i="25"/>
  <c r="AH39" i="25"/>
  <c r="AI39" i="25"/>
  <c r="Z40" i="25"/>
  <c r="AA40" i="25"/>
  <c r="AB40" i="25"/>
  <c r="AC40" i="25"/>
  <c r="AD40" i="25"/>
  <c r="AE40" i="25"/>
  <c r="AF40" i="25"/>
  <c r="AG40" i="25"/>
  <c r="AH40" i="25"/>
  <c r="AI40" i="25"/>
  <c r="Z41" i="25"/>
  <c r="AA41" i="25"/>
  <c r="AB41" i="25"/>
  <c r="AC41" i="25"/>
  <c r="AD41" i="25"/>
  <c r="AE41" i="25"/>
  <c r="AF41" i="25"/>
  <c r="AG41" i="25"/>
  <c r="AH41" i="25"/>
  <c r="AI41" i="25"/>
  <c r="Z42" i="25"/>
  <c r="AA42" i="25"/>
  <c r="AB42" i="25"/>
  <c r="AC42" i="25"/>
  <c r="AD42" i="25"/>
  <c r="AE42" i="25"/>
  <c r="AF42" i="25"/>
  <c r="AG42" i="25"/>
  <c r="AH42" i="25"/>
  <c r="AI42" i="25"/>
  <c r="Y6" i="25"/>
  <c r="Y7" i="25"/>
  <c r="Y8" i="25"/>
  <c r="Y9" i="25"/>
  <c r="Y10" i="25"/>
  <c r="Y11" i="25"/>
  <c r="Y12" i="25"/>
  <c r="Y13" i="25"/>
  <c r="Y14" i="25"/>
  <c r="Y15" i="25"/>
  <c r="Y16" i="25"/>
  <c r="Y17" i="25"/>
  <c r="Y18" i="25"/>
  <c r="Y19" i="25"/>
  <c r="Y20" i="25"/>
  <c r="Y21" i="25"/>
  <c r="Y22" i="25"/>
  <c r="Y23" i="25"/>
  <c r="Y24" i="25"/>
  <c r="Y25" i="25"/>
  <c r="Y26" i="25"/>
  <c r="Y27" i="25"/>
  <c r="Y28" i="25"/>
  <c r="Y29" i="25"/>
  <c r="Y30" i="25"/>
  <c r="Y31" i="25"/>
  <c r="Y32" i="25"/>
  <c r="Y33" i="25"/>
  <c r="Y34" i="25"/>
  <c r="Y35" i="25"/>
  <c r="Y36" i="25"/>
  <c r="Y37" i="25"/>
  <c r="Y38" i="25"/>
  <c r="Y39" i="25"/>
  <c r="Y40" i="25"/>
  <c r="Y41" i="25"/>
  <c r="Y42" i="25"/>
  <c r="Y5" i="25"/>
  <c r="N5" i="38"/>
  <c r="O5" i="38"/>
  <c r="P5" i="38"/>
  <c r="Q5" i="38"/>
  <c r="R5" i="38"/>
  <c r="S5" i="38"/>
  <c r="T5" i="38"/>
  <c r="U5" i="38"/>
  <c r="V5" i="38"/>
  <c r="W5" i="38"/>
  <c r="N6" i="38"/>
  <c r="O6" i="38"/>
  <c r="P6" i="38"/>
  <c r="Q6" i="38"/>
  <c r="R6" i="38"/>
  <c r="S6" i="38"/>
  <c r="T6" i="38"/>
  <c r="U6" i="38"/>
  <c r="V6" i="38"/>
  <c r="W6" i="38"/>
  <c r="N7" i="38"/>
  <c r="O7" i="38"/>
  <c r="P7" i="38"/>
  <c r="Q7" i="38"/>
  <c r="R7" i="38"/>
  <c r="S7" i="38"/>
  <c r="T7" i="38"/>
  <c r="U7" i="38"/>
  <c r="V7" i="38"/>
  <c r="W7" i="38"/>
  <c r="N8" i="38"/>
  <c r="O8" i="38"/>
  <c r="P8" i="38"/>
  <c r="Q8" i="38"/>
  <c r="R8" i="38"/>
  <c r="S8" i="38"/>
  <c r="T8" i="38"/>
  <c r="U8" i="38"/>
  <c r="V8" i="38"/>
  <c r="W8" i="38"/>
  <c r="N9" i="38"/>
  <c r="O9" i="38"/>
  <c r="P9" i="38"/>
  <c r="Q9" i="38"/>
  <c r="R9" i="38"/>
  <c r="S9" i="38"/>
  <c r="T9" i="38"/>
  <c r="U9" i="38"/>
  <c r="V9" i="38"/>
  <c r="W9" i="38"/>
  <c r="N10" i="38"/>
  <c r="O10" i="38"/>
  <c r="P10" i="38"/>
  <c r="Q10" i="38"/>
  <c r="R10" i="38"/>
  <c r="S10" i="38"/>
  <c r="T10" i="38"/>
  <c r="U10" i="38"/>
  <c r="V10" i="38"/>
  <c r="W10" i="38"/>
  <c r="N11" i="38"/>
  <c r="O11" i="38"/>
  <c r="P11" i="38"/>
  <c r="Q11" i="38"/>
  <c r="R11" i="38"/>
  <c r="S11" i="38"/>
  <c r="T11" i="38"/>
  <c r="U11" i="38"/>
  <c r="V11" i="38"/>
  <c r="W11" i="38"/>
  <c r="N12" i="38"/>
  <c r="O12" i="38"/>
  <c r="P12" i="38"/>
  <c r="Q12" i="38"/>
  <c r="R12" i="38"/>
  <c r="S12" i="38"/>
  <c r="T12" i="38"/>
  <c r="U12" i="38"/>
  <c r="V12" i="38"/>
  <c r="W12" i="38"/>
  <c r="N13" i="38"/>
  <c r="O13" i="38"/>
  <c r="P13" i="38"/>
  <c r="Q13" i="38"/>
  <c r="R13" i="38"/>
  <c r="S13" i="38"/>
  <c r="T13" i="38"/>
  <c r="U13" i="38"/>
  <c r="V13" i="38"/>
  <c r="W13" i="38"/>
  <c r="N14" i="38"/>
  <c r="O14" i="38"/>
  <c r="P14" i="38"/>
  <c r="Q14" i="38"/>
  <c r="R14" i="38"/>
  <c r="S14" i="38"/>
  <c r="T14" i="38"/>
  <c r="U14" i="38"/>
  <c r="V14" i="38"/>
  <c r="W14" i="38"/>
  <c r="N15" i="38"/>
  <c r="O15" i="38"/>
  <c r="P15" i="38"/>
  <c r="Q15" i="38"/>
  <c r="R15" i="38"/>
  <c r="S15" i="38"/>
  <c r="T15" i="38"/>
  <c r="U15" i="38"/>
  <c r="V15" i="38"/>
  <c r="W15" i="38"/>
  <c r="N16" i="38"/>
  <c r="O16" i="38"/>
  <c r="P16" i="38"/>
  <c r="Q16" i="38"/>
  <c r="R16" i="38"/>
  <c r="S16" i="38"/>
  <c r="T16" i="38"/>
  <c r="U16" i="38"/>
  <c r="V16" i="38"/>
  <c r="W16" i="38"/>
  <c r="N17" i="38"/>
  <c r="O17" i="38"/>
  <c r="P17" i="38"/>
  <c r="Q17" i="38"/>
  <c r="R17" i="38"/>
  <c r="S17" i="38"/>
  <c r="T17" i="38"/>
  <c r="U17" i="38"/>
  <c r="V17" i="38"/>
  <c r="W17" i="38"/>
  <c r="N18" i="38"/>
  <c r="O18" i="38"/>
  <c r="P18" i="38"/>
  <c r="Q18" i="38"/>
  <c r="R18" i="38"/>
  <c r="S18" i="38"/>
  <c r="T18" i="38"/>
  <c r="U18" i="38"/>
  <c r="V18" i="38"/>
  <c r="W18" i="38"/>
  <c r="N19" i="38"/>
  <c r="O19" i="38"/>
  <c r="P19" i="38"/>
  <c r="Q19" i="38"/>
  <c r="R19" i="38"/>
  <c r="S19" i="38"/>
  <c r="T19" i="38"/>
  <c r="U19" i="38"/>
  <c r="V19" i="38"/>
  <c r="W19" i="38"/>
  <c r="N20" i="38"/>
  <c r="O20" i="38"/>
  <c r="P20" i="38"/>
  <c r="Q20" i="38"/>
  <c r="R20" i="38"/>
  <c r="S20" i="38"/>
  <c r="T20" i="38"/>
  <c r="U20" i="38"/>
  <c r="V20" i="38"/>
  <c r="W20" i="38"/>
  <c r="N21" i="38"/>
  <c r="O21" i="38"/>
  <c r="P21" i="38"/>
  <c r="Q21" i="38"/>
  <c r="R21" i="38"/>
  <c r="S21" i="38"/>
  <c r="T21" i="38"/>
  <c r="U21" i="38"/>
  <c r="V21" i="38"/>
  <c r="W21" i="38"/>
  <c r="N22" i="38"/>
  <c r="O22" i="38"/>
  <c r="P22" i="38"/>
  <c r="Q22" i="38"/>
  <c r="R22" i="38"/>
  <c r="S22" i="38"/>
  <c r="T22" i="38"/>
  <c r="U22" i="38"/>
  <c r="V22" i="38"/>
  <c r="W22" i="38"/>
  <c r="N23" i="38"/>
  <c r="O23" i="38"/>
  <c r="P23" i="38"/>
  <c r="Q23" i="38"/>
  <c r="R23" i="38"/>
  <c r="S23" i="38"/>
  <c r="T23" i="38"/>
  <c r="U23" i="38"/>
  <c r="V23" i="38"/>
  <c r="W23" i="38"/>
  <c r="N24" i="38"/>
  <c r="O24" i="38"/>
  <c r="P24" i="38"/>
  <c r="Q24" i="38"/>
  <c r="R24" i="38"/>
  <c r="S24" i="38"/>
  <c r="T24" i="38"/>
  <c r="U24" i="38"/>
  <c r="V24" i="38"/>
  <c r="W24" i="38"/>
  <c r="N25" i="38"/>
  <c r="O25" i="38"/>
  <c r="P25" i="38"/>
  <c r="Q25" i="38"/>
  <c r="R25" i="38"/>
  <c r="S25" i="38"/>
  <c r="T25" i="38"/>
  <c r="U25" i="38"/>
  <c r="V25" i="38"/>
  <c r="W25" i="38"/>
  <c r="N26" i="38"/>
  <c r="O26" i="38"/>
  <c r="P26" i="38"/>
  <c r="Q26" i="38"/>
  <c r="R26" i="38"/>
  <c r="S26" i="38"/>
  <c r="T26" i="38"/>
  <c r="U26" i="38"/>
  <c r="V26" i="38"/>
  <c r="W26" i="38"/>
  <c r="N27" i="38"/>
  <c r="O27" i="38"/>
  <c r="P27" i="38"/>
  <c r="Q27" i="38"/>
  <c r="R27" i="38"/>
  <c r="S27" i="38"/>
  <c r="T27" i="38"/>
  <c r="U27" i="38"/>
  <c r="V27" i="38"/>
  <c r="W27" i="38"/>
  <c r="N28" i="38"/>
  <c r="O28" i="38"/>
  <c r="P28" i="38"/>
  <c r="Q28" i="38"/>
  <c r="R28" i="38"/>
  <c r="S28" i="38"/>
  <c r="T28" i="38"/>
  <c r="U28" i="38"/>
  <c r="V28" i="38"/>
  <c r="W28" i="38"/>
  <c r="N29" i="38"/>
  <c r="O29" i="38"/>
  <c r="P29" i="38"/>
  <c r="Q29" i="38"/>
  <c r="R29" i="38"/>
  <c r="S29" i="38"/>
  <c r="T29" i="38"/>
  <c r="U29" i="38"/>
  <c r="V29" i="38"/>
  <c r="W29" i="38"/>
  <c r="N30" i="38"/>
  <c r="O30" i="38"/>
  <c r="P30" i="38"/>
  <c r="Q30" i="38"/>
  <c r="R30" i="38"/>
  <c r="S30" i="38"/>
  <c r="T30" i="38"/>
  <c r="U30" i="38"/>
  <c r="V30" i="38"/>
  <c r="W30" i="38"/>
  <c r="N31" i="38"/>
  <c r="O31" i="38"/>
  <c r="P31" i="38"/>
  <c r="Q31" i="38"/>
  <c r="R31" i="38"/>
  <c r="S31" i="38"/>
  <c r="T31" i="38"/>
  <c r="U31" i="38"/>
  <c r="V31" i="38"/>
  <c r="W31" i="38"/>
  <c r="N32" i="38"/>
  <c r="O32" i="38"/>
  <c r="P32" i="38"/>
  <c r="Q32" i="38"/>
  <c r="R32" i="38"/>
  <c r="S32" i="38"/>
  <c r="T32" i="38"/>
  <c r="U32" i="38"/>
  <c r="V32" i="38"/>
  <c r="W32" i="38"/>
  <c r="N33" i="38"/>
  <c r="O33" i="38"/>
  <c r="P33" i="38"/>
  <c r="Q33" i="38"/>
  <c r="R33" i="38"/>
  <c r="S33" i="38"/>
  <c r="T33" i="38"/>
  <c r="U33" i="38"/>
  <c r="V33" i="38"/>
  <c r="W33" i="38"/>
  <c r="N34" i="38"/>
  <c r="O34" i="38"/>
  <c r="P34" i="38"/>
  <c r="Q34" i="38"/>
  <c r="R34" i="38"/>
  <c r="S34" i="38"/>
  <c r="T34" i="38"/>
  <c r="U34" i="38"/>
  <c r="V34" i="38"/>
  <c r="W34" i="38"/>
  <c r="N35" i="38"/>
  <c r="O35" i="38"/>
  <c r="P35" i="38"/>
  <c r="Q35" i="38"/>
  <c r="R35" i="38"/>
  <c r="S35" i="38"/>
  <c r="T35" i="38"/>
  <c r="U35" i="38"/>
  <c r="V35" i="38"/>
  <c r="W35" i="38"/>
  <c r="N36" i="38"/>
  <c r="O36" i="38"/>
  <c r="P36" i="38"/>
  <c r="Q36" i="38"/>
  <c r="R36" i="38"/>
  <c r="S36" i="38"/>
  <c r="T36" i="38"/>
  <c r="U36" i="38"/>
  <c r="V36" i="38"/>
  <c r="W36" i="38"/>
  <c r="N37" i="38"/>
  <c r="O37" i="38"/>
  <c r="P37" i="38"/>
  <c r="Q37" i="38"/>
  <c r="R37" i="38"/>
  <c r="S37" i="38"/>
  <c r="T37" i="38"/>
  <c r="U37" i="38"/>
  <c r="V37" i="38"/>
  <c r="W37" i="38"/>
  <c r="N38" i="38"/>
  <c r="O38" i="38"/>
  <c r="P38" i="38"/>
  <c r="Q38" i="38"/>
  <c r="R38" i="38"/>
  <c r="S38" i="38"/>
  <c r="T38" i="38"/>
  <c r="U38" i="38"/>
  <c r="V38" i="38"/>
  <c r="W38" i="38"/>
  <c r="N39" i="38"/>
  <c r="O39" i="38"/>
  <c r="P39" i="38"/>
  <c r="Q39" i="38"/>
  <c r="R39" i="38"/>
  <c r="S39" i="38"/>
  <c r="T39" i="38"/>
  <c r="U39" i="38"/>
  <c r="V39" i="38"/>
  <c r="W39" i="38"/>
  <c r="N40" i="38"/>
  <c r="O40" i="38"/>
  <c r="P40" i="38"/>
  <c r="Q40" i="38"/>
  <c r="R40" i="38"/>
  <c r="S40" i="38"/>
  <c r="T40" i="38"/>
  <c r="U40" i="38"/>
  <c r="V40" i="38"/>
  <c r="W40" i="38"/>
  <c r="N41" i="38"/>
  <c r="O41" i="38"/>
  <c r="P41" i="38"/>
  <c r="Q41" i="38"/>
  <c r="R41" i="38"/>
  <c r="S41" i="38"/>
  <c r="T41" i="38"/>
  <c r="U41" i="38"/>
  <c r="V41" i="38"/>
  <c r="W41" i="38"/>
  <c r="N42" i="38"/>
  <c r="O42" i="38"/>
  <c r="P42" i="38"/>
  <c r="Q42" i="38"/>
  <c r="R42" i="38"/>
  <c r="S42" i="38"/>
  <c r="T42" i="38"/>
  <c r="U42" i="38"/>
  <c r="V42" i="38"/>
  <c r="W42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M28" i="38"/>
  <c r="M29" i="38"/>
  <c r="M30" i="38"/>
  <c r="M31" i="38"/>
  <c r="M32" i="38"/>
  <c r="M33" i="38"/>
  <c r="M34" i="38"/>
  <c r="M35" i="38"/>
  <c r="M36" i="38"/>
  <c r="M37" i="38"/>
  <c r="M38" i="38"/>
  <c r="M39" i="38"/>
  <c r="M40" i="38"/>
  <c r="M41" i="38"/>
  <c r="M42" i="38"/>
  <c r="M5" i="38"/>
  <c r="G3" i="37"/>
  <c r="H3" i="37" s="1"/>
  <c r="I3" i="37" s="1"/>
  <c r="J3" i="37" s="1"/>
  <c r="K3" i="37" s="1"/>
  <c r="L3" i="37" s="1"/>
  <c r="M3" i="37" s="1"/>
  <c r="N3" i="37" s="1"/>
  <c r="O3" i="37" s="1"/>
  <c r="G4" i="37"/>
  <c r="H4" i="37" s="1"/>
  <c r="I4" i="37" s="1"/>
  <c r="J4" i="37" s="1"/>
  <c r="K4" i="37" s="1"/>
  <c r="L4" i="37" s="1"/>
  <c r="M4" i="37" s="1"/>
  <c r="N4" i="37" s="1"/>
  <c r="O4" i="37" s="1"/>
  <c r="G5" i="37"/>
  <c r="G6" i="37"/>
  <c r="G7" i="37"/>
  <c r="H7" i="37" s="1"/>
  <c r="I7" i="37" s="1"/>
  <c r="J7" i="37" s="1"/>
  <c r="K7" i="37" s="1"/>
  <c r="L7" i="37" s="1"/>
  <c r="M7" i="37" s="1"/>
  <c r="N7" i="37" s="1"/>
  <c r="O7" i="37" s="1"/>
  <c r="G8" i="37"/>
  <c r="H8" i="37" s="1"/>
  <c r="I8" i="37" s="1"/>
  <c r="J8" i="37" s="1"/>
  <c r="K8" i="37" s="1"/>
  <c r="L8" i="37" s="1"/>
  <c r="M8" i="37" s="1"/>
  <c r="N8" i="37" s="1"/>
  <c r="O8" i="37" s="1"/>
  <c r="G9" i="37"/>
  <c r="H9" i="37" s="1"/>
  <c r="I9" i="37" s="1"/>
  <c r="J9" i="37" s="1"/>
  <c r="K9" i="37" s="1"/>
  <c r="L9" i="37" s="1"/>
  <c r="M9" i="37" s="1"/>
  <c r="N9" i="37" s="1"/>
  <c r="O9" i="37" s="1"/>
  <c r="G10" i="37"/>
  <c r="H10" i="37" s="1"/>
  <c r="I10" i="37" s="1"/>
  <c r="J10" i="37" s="1"/>
  <c r="K10" i="37" s="1"/>
  <c r="L10" i="37" s="1"/>
  <c r="M10" i="37" s="1"/>
  <c r="N10" i="37" s="1"/>
  <c r="O10" i="37" s="1"/>
  <c r="G11" i="37"/>
  <c r="H11" i="37" s="1"/>
  <c r="I11" i="37" s="1"/>
  <c r="J11" i="37" s="1"/>
  <c r="K11" i="37" s="1"/>
  <c r="L11" i="37" s="1"/>
  <c r="M11" i="37" s="1"/>
  <c r="N11" i="37" s="1"/>
  <c r="O11" i="37" s="1"/>
  <c r="G12" i="37"/>
  <c r="H12" i="37" s="1"/>
  <c r="I12" i="37" s="1"/>
  <c r="J12" i="37" s="1"/>
  <c r="K12" i="37" s="1"/>
  <c r="L12" i="37" s="1"/>
  <c r="M12" i="37" s="1"/>
  <c r="N12" i="37" s="1"/>
  <c r="O12" i="37" s="1"/>
  <c r="G13" i="37"/>
  <c r="H13" i="37" s="1"/>
  <c r="I13" i="37" s="1"/>
  <c r="J13" i="37" s="1"/>
  <c r="K13" i="37" s="1"/>
  <c r="L13" i="37" s="1"/>
  <c r="M13" i="37" s="1"/>
  <c r="N13" i="37" s="1"/>
  <c r="O13" i="37" s="1"/>
  <c r="G14" i="37"/>
  <c r="G15" i="37"/>
  <c r="H15" i="37" s="1"/>
  <c r="I15" i="37" s="1"/>
  <c r="J15" i="37" s="1"/>
  <c r="K15" i="37" s="1"/>
  <c r="L15" i="37" s="1"/>
  <c r="M15" i="37" s="1"/>
  <c r="N15" i="37" s="1"/>
  <c r="O15" i="37" s="1"/>
  <c r="G16" i="37"/>
  <c r="H16" i="37" s="1"/>
  <c r="I16" i="37" s="1"/>
  <c r="J16" i="37" s="1"/>
  <c r="K16" i="37" s="1"/>
  <c r="L16" i="37" s="1"/>
  <c r="M16" i="37" s="1"/>
  <c r="N16" i="37" s="1"/>
  <c r="O16" i="37" s="1"/>
  <c r="G17" i="37"/>
  <c r="H17" i="37" s="1"/>
  <c r="I17" i="37" s="1"/>
  <c r="J17" i="37" s="1"/>
  <c r="K17" i="37" s="1"/>
  <c r="L17" i="37" s="1"/>
  <c r="M17" i="37" s="1"/>
  <c r="N17" i="37" s="1"/>
  <c r="O17" i="37" s="1"/>
  <c r="G18" i="37"/>
  <c r="H18" i="37" s="1"/>
  <c r="I18" i="37" s="1"/>
  <c r="J18" i="37" s="1"/>
  <c r="K18" i="37" s="1"/>
  <c r="L18" i="37" s="1"/>
  <c r="M18" i="37" s="1"/>
  <c r="N18" i="37" s="1"/>
  <c r="O18" i="37" s="1"/>
  <c r="G19" i="37"/>
  <c r="H19" i="37" s="1"/>
  <c r="I19" i="37" s="1"/>
  <c r="J19" i="37" s="1"/>
  <c r="K19" i="37" s="1"/>
  <c r="L19" i="37" s="1"/>
  <c r="M19" i="37" s="1"/>
  <c r="N19" i="37" s="1"/>
  <c r="O19" i="37" s="1"/>
  <c r="G20" i="37"/>
  <c r="H20" i="37" s="1"/>
  <c r="I20" i="37" s="1"/>
  <c r="J20" i="37" s="1"/>
  <c r="K20" i="37" s="1"/>
  <c r="L20" i="37" s="1"/>
  <c r="M20" i="37" s="1"/>
  <c r="N20" i="37" s="1"/>
  <c r="O20" i="37" s="1"/>
  <c r="G21" i="37"/>
  <c r="H21" i="37" s="1"/>
  <c r="I21" i="37" s="1"/>
  <c r="J21" i="37" s="1"/>
  <c r="K21" i="37" s="1"/>
  <c r="L21" i="37" s="1"/>
  <c r="M21" i="37" s="1"/>
  <c r="N21" i="37" s="1"/>
  <c r="O21" i="37" s="1"/>
  <c r="G22" i="37"/>
  <c r="G23" i="37"/>
  <c r="G24" i="37"/>
  <c r="G25" i="37"/>
  <c r="H25" i="37" s="1"/>
  <c r="I25" i="37" s="1"/>
  <c r="J25" i="37" s="1"/>
  <c r="K25" i="37" s="1"/>
  <c r="L25" i="37" s="1"/>
  <c r="M25" i="37" s="1"/>
  <c r="N25" i="37" s="1"/>
  <c r="O25" i="37" s="1"/>
  <c r="G26" i="37"/>
  <c r="H26" i="37" s="1"/>
  <c r="I26" i="37" s="1"/>
  <c r="J26" i="37" s="1"/>
  <c r="K26" i="37" s="1"/>
  <c r="L26" i="37" s="1"/>
  <c r="M26" i="37" s="1"/>
  <c r="N26" i="37" s="1"/>
  <c r="O26" i="37" s="1"/>
  <c r="G27" i="37"/>
  <c r="H27" i="37" s="1"/>
  <c r="I27" i="37" s="1"/>
  <c r="J27" i="37" s="1"/>
  <c r="K27" i="37" s="1"/>
  <c r="L27" i="37" s="1"/>
  <c r="M27" i="37" s="1"/>
  <c r="N27" i="37" s="1"/>
  <c r="O27" i="37" s="1"/>
  <c r="G28" i="37"/>
  <c r="H28" i="37" s="1"/>
  <c r="I28" i="37" s="1"/>
  <c r="J28" i="37" s="1"/>
  <c r="K28" i="37" s="1"/>
  <c r="L28" i="37" s="1"/>
  <c r="M28" i="37" s="1"/>
  <c r="N28" i="37" s="1"/>
  <c r="O28" i="37" s="1"/>
  <c r="G29" i="37"/>
  <c r="G30" i="37"/>
  <c r="G31" i="37"/>
  <c r="H31" i="37" s="1"/>
  <c r="I31" i="37" s="1"/>
  <c r="J31" i="37" s="1"/>
  <c r="K31" i="37" s="1"/>
  <c r="L31" i="37" s="1"/>
  <c r="M31" i="37" s="1"/>
  <c r="N31" i="37" s="1"/>
  <c r="O31" i="37" s="1"/>
  <c r="G32" i="37"/>
  <c r="H32" i="37" s="1"/>
  <c r="I32" i="37" s="1"/>
  <c r="J32" i="37" s="1"/>
  <c r="K32" i="37" s="1"/>
  <c r="L32" i="37" s="1"/>
  <c r="M32" i="37" s="1"/>
  <c r="N32" i="37" s="1"/>
  <c r="O32" i="37" s="1"/>
  <c r="G33" i="37"/>
  <c r="G34" i="37"/>
  <c r="H34" i="37" s="1"/>
  <c r="I34" i="37" s="1"/>
  <c r="J34" i="37" s="1"/>
  <c r="K34" i="37" s="1"/>
  <c r="L34" i="37" s="1"/>
  <c r="M34" i="37" s="1"/>
  <c r="N34" i="37" s="1"/>
  <c r="O34" i="37" s="1"/>
  <c r="G35" i="37"/>
  <c r="H35" i="37" s="1"/>
  <c r="I35" i="37" s="1"/>
  <c r="J35" i="37" s="1"/>
  <c r="K35" i="37" s="1"/>
  <c r="L35" i="37" s="1"/>
  <c r="M35" i="37" s="1"/>
  <c r="N35" i="37" s="1"/>
  <c r="O35" i="37" s="1"/>
  <c r="G36" i="37"/>
  <c r="H36" i="37" s="1"/>
  <c r="I36" i="37" s="1"/>
  <c r="J36" i="37" s="1"/>
  <c r="K36" i="37" s="1"/>
  <c r="L36" i="37" s="1"/>
  <c r="M36" i="37" s="1"/>
  <c r="N36" i="37" s="1"/>
  <c r="O36" i="37" s="1"/>
  <c r="G37" i="37"/>
  <c r="H37" i="37" s="1"/>
  <c r="I37" i="37" s="1"/>
  <c r="J37" i="37" s="1"/>
  <c r="K37" i="37" s="1"/>
  <c r="L37" i="37" s="1"/>
  <c r="M37" i="37" s="1"/>
  <c r="N37" i="37" s="1"/>
  <c r="O37" i="37" s="1"/>
  <c r="G38" i="37"/>
  <c r="H38" i="37" s="1"/>
  <c r="I38" i="37" s="1"/>
  <c r="J38" i="37" s="1"/>
  <c r="K38" i="37" s="1"/>
  <c r="L38" i="37" s="1"/>
  <c r="M38" i="37" s="1"/>
  <c r="N38" i="37" s="1"/>
  <c r="O38" i="37" s="1"/>
  <c r="G39" i="37"/>
  <c r="H39" i="37" s="1"/>
  <c r="I39" i="37" s="1"/>
  <c r="J39" i="37" s="1"/>
  <c r="K39" i="37" s="1"/>
  <c r="L39" i="37" s="1"/>
  <c r="M39" i="37" s="1"/>
  <c r="N39" i="37" s="1"/>
  <c r="O39" i="37" s="1"/>
  <c r="G40" i="37"/>
  <c r="H40" i="37" s="1"/>
  <c r="I40" i="37" s="1"/>
  <c r="J40" i="37" s="1"/>
  <c r="K40" i="37" s="1"/>
  <c r="L40" i="37" s="1"/>
  <c r="M40" i="37" s="1"/>
  <c r="N40" i="37" s="1"/>
  <c r="O40" i="37" s="1"/>
  <c r="H33" i="37"/>
  <c r="I33" i="37" s="1"/>
  <c r="J33" i="37" s="1"/>
  <c r="K33" i="37" s="1"/>
  <c r="L33" i="37" s="1"/>
  <c r="M33" i="37" s="1"/>
  <c r="N33" i="37" s="1"/>
  <c r="O33" i="37" s="1"/>
  <c r="H30" i="37"/>
  <c r="I30" i="37" s="1"/>
  <c r="J30" i="37" s="1"/>
  <c r="K30" i="37" s="1"/>
  <c r="L30" i="37" s="1"/>
  <c r="M30" i="37" s="1"/>
  <c r="N30" i="37" s="1"/>
  <c r="O30" i="37" s="1"/>
  <c r="H29" i="37"/>
  <c r="I29" i="37" s="1"/>
  <c r="J29" i="37" s="1"/>
  <c r="K29" i="37" s="1"/>
  <c r="L29" i="37" s="1"/>
  <c r="M29" i="37" s="1"/>
  <c r="N29" i="37" s="1"/>
  <c r="O29" i="37" s="1"/>
  <c r="H24" i="37"/>
  <c r="I24" i="37" s="1"/>
  <c r="J24" i="37" s="1"/>
  <c r="K24" i="37" s="1"/>
  <c r="L24" i="37" s="1"/>
  <c r="M24" i="37" s="1"/>
  <c r="N24" i="37" s="1"/>
  <c r="O24" i="37" s="1"/>
  <c r="H23" i="37"/>
  <c r="I23" i="37" s="1"/>
  <c r="J23" i="37" s="1"/>
  <c r="K23" i="37" s="1"/>
  <c r="L23" i="37" s="1"/>
  <c r="M23" i="37" s="1"/>
  <c r="N23" i="37" s="1"/>
  <c r="O23" i="37" s="1"/>
  <c r="H22" i="37"/>
  <c r="I22" i="37" s="1"/>
  <c r="J22" i="37" s="1"/>
  <c r="K22" i="37" s="1"/>
  <c r="L22" i="37" s="1"/>
  <c r="M22" i="37" s="1"/>
  <c r="N22" i="37" s="1"/>
  <c r="O22" i="37" s="1"/>
  <c r="H14" i="37"/>
  <c r="I14" i="37" s="1"/>
  <c r="J14" i="37" s="1"/>
  <c r="K14" i="37" s="1"/>
  <c r="L14" i="37" s="1"/>
  <c r="M14" i="37" s="1"/>
  <c r="N14" i="37" s="1"/>
  <c r="O14" i="37" s="1"/>
  <c r="H6" i="37"/>
  <c r="I6" i="37" s="1"/>
  <c r="J6" i="37" s="1"/>
  <c r="K6" i="37" s="1"/>
  <c r="L6" i="37" s="1"/>
  <c r="M6" i="37" s="1"/>
  <c r="N6" i="37" s="1"/>
  <c r="O6" i="37" s="1"/>
  <c r="H5" i="37"/>
  <c r="I5" i="37" s="1"/>
  <c r="J5" i="37" s="1"/>
  <c r="K5" i="37" s="1"/>
  <c r="L5" i="37" s="1"/>
  <c r="M5" i="37" s="1"/>
  <c r="N5" i="37" s="1"/>
  <c r="O5" i="37" s="1"/>
  <c r="P8" i="45" l="1"/>
  <c r="P18" i="45"/>
  <c r="G7" i="45"/>
  <c r="O8" i="45"/>
  <c r="O18" i="45"/>
  <c r="Q18" i="45"/>
  <c r="J15" i="45"/>
  <c r="K18" i="45"/>
  <c r="K35" i="33"/>
  <c r="L6" i="45"/>
  <c r="L8" i="45" s="1"/>
  <c r="Q35" i="33"/>
  <c r="R6" i="45"/>
  <c r="R8" i="45" s="1"/>
  <c r="I35" i="33"/>
  <c r="J6" i="45"/>
  <c r="J8" i="45" s="1"/>
  <c r="M21" i="33"/>
  <c r="L35" i="33"/>
  <c r="M6" i="45"/>
  <c r="M8" i="45" s="1"/>
  <c r="P35" i="33"/>
  <c r="J35" i="33"/>
  <c r="M27" i="33"/>
  <c r="L41" i="33"/>
  <c r="F33" i="33"/>
  <c r="O35" i="33"/>
  <c r="J41" i="33"/>
  <c r="N35" i="33"/>
  <c r="M32" i="33"/>
  <c r="N41" i="33"/>
  <c r="M39" i="33"/>
  <c r="K38" i="33"/>
  <c r="H32" i="33"/>
  <c r="P41" i="33"/>
  <c r="H41" i="33"/>
  <c r="Q41" i="33"/>
  <c r="J21" i="33"/>
  <c r="I41" i="33"/>
  <c r="O41" i="33"/>
  <c r="H27" i="33"/>
  <c r="G27" i="33"/>
  <c r="G35" i="33"/>
  <c r="G41" i="33"/>
  <c r="K21" i="33"/>
  <c r="L21" i="33"/>
  <c r="O27" i="33"/>
  <c r="I27" i="33"/>
  <c r="I21" i="33"/>
  <c r="N27" i="33"/>
  <c r="F19" i="33"/>
  <c r="P27" i="33"/>
  <c r="N21" i="33"/>
  <c r="G21" i="33"/>
  <c r="Q21" i="33"/>
  <c r="P21" i="33"/>
  <c r="O21" i="33"/>
  <c r="J27" i="33"/>
  <c r="F25" i="33"/>
  <c r="L27" i="33"/>
  <c r="F18" i="33"/>
  <c r="F24" i="33"/>
  <c r="I15" i="45" l="1"/>
  <c r="J18" i="45"/>
  <c r="H35" i="33"/>
  <c r="I6" i="45"/>
  <c r="I8" i="45" s="1"/>
  <c r="K41" i="33"/>
  <c r="L13" i="45"/>
  <c r="F39" i="33"/>
  <c r="N14" i="45"/>
  <c r="M35" i="33"/>
  <c r="N6" i="45"/>
  <c r="N8" i="45" s="1"/>
  <c r="F38" i="33"/>
  <c r="M41" i="33"/>
  <c r="F32" i="33"/>
  <c r="F35" i="33" s="1"/>
  <c r="F21" i="33"/>
  <c r="F27" i="33"/>
  <c r="G13" i="45" l="1"/>
  <c r="L18" i="45"/>
  <c r="G14" i="45"/>
  <c r="N18" i="45"/>
  <c r="H15" i="45"/>
  <c r="I18" i="45"/>
  <c r="G6" i="45"/>
  <c r="G8" i="45" s="1"/>
  <c r="F41" i="33"/>
  <c r="C39" i="30"/>
  <c r="Q11" i="33"/>
  <c r="Q10" i="33"/>
  <c r="K13" i="33"/>
  <c r="K44" i="33" s="1"/>
  <c r="J13" i="33"/>
  <c r="J44" i="33" s="1"/>
  <c r="I13" i="33"/>
  <c r="I44" i="33" s="1"/>
  <c r="G13" i="33"/>
  <c r="G44" i="33" s="1"/>
  <c r="H18" i="45" l="1"/>
  <c r="G15" i="45"/>
  <c r="G18" i="45" s="1"/>
  <c r="H13" i="33"/>
  <c r="H44" i="33" s="1"/>
  <c r="P13" i="33"/>
  <c r="P44" i="33" s="1"/>
  <c r="Q13" i="33"/>
  <c r="Q44" i="33" s="1"/>
  <c r="M13" i="33"/>
  <c r="M44" i="33" s="1"/>
  <c r="L13" i="33"/>
  <c r="L44" i="33" s="1"/>
  <c r="O13" i="33"/>
  <c r="O44" i="33" s="1"/>
  <c r="N13" i="33"/>
  <c r="N44" i="33" s="1"/>
  <c r="F11" i="33"/>
  <c r="F10" i="33"/>
  <c r="F13" i="33" l="1"/>
  <c r="F44" i="33" s="1"/>
  <c r="I35" i="30"/>
  <c r="F35" i="30"/>
  <c r="K35" i="30" s="1"/>
  <c r="E35" i="30"/>
  <c r="K32" i="30"/>
  <c r="O32" i="30" s="1"/>
  <c r="J32" i="30"/>
  <c r="I26" i="30"/>
  <c r="I32" i="30" s="1"/>
  <c r="E26" i="30"/>
  <c r="F26" i="30" s="1"/>
  <c r="K26" i="30" s="1"/>
  <c r="N26" i="30" s="1"/>
  <c r="O26" i="30" s="1"/>
  <c r="P26" i="30" s="1"/>
  <c r="K31" i="30"/>
  <c r="Q26" i="30" l="1"/>
  <c r="R26" i="30"/>
  <c r="Q35" i="30"/>
  <c r="N35" i="30"/>
  <c r="O35" i="30" s="1"/>
  <c r="P35" i="30" s="1"/>
  <c r="P32" i="30"/>
  <c r="Q32" i="30" s="1"/>
  <c r="R32" i="30" l="1"/>
  <c r="R35" i="30"/>
  <c r="J31" i="30" l="1"/>
  <c r="H31" i="30"/>
  <c r="O31" i="30" s="1"/>
  <c r="I25" i="30"/>
  <c r="I31" i="30" s="1"/>
  <c r="E25" i="30"/>
  <c r="F25" i="30" s="1"/>
  <c r="K25" i="30" s="1"/>
  <c r="N25" i="30" s="1"/>
  <c r="O25" i="30" s="1"/>
  <c r="P25" i="30" s="1"/>
  <c r="R25" i="30" s="1"/>
  <c r="M6" i="25"/>
  <c r="N6" i="25"/>
  <c r="O6" i="25"/>
  <c r="P6" i="25"/>
  <c r="Q6" i="25"/>
  <c r="R6" i="25"/>
  <c r="S6" i="25"/>
  <c r="T6" i="25"/>
  <c r="U6" i="25"/>
  <c r="V6" i="25"/>
  <c r="W6" i="25"/>
  <c r="M7" i="25"/>
  <c r="N7" i="25"/>
  <c r="O7" i="25"/>
  <c r="P7" i="25"/>
  <c r="Q7" i="25"/>
  <c r="R7" i="25"/>
  <c r="S7" i="25"/>
  <c r="T7" i="25"/>
  <c r="U7" i="25"/>
  <c r="V7" i="25"/>
  <c r="W7" i="25"/>
  <c r="M8" i="25"/>
  <c r="N8" i="25"/>
  <c r="O8" i="25"/>
  <c r="P8" i="25"/>
  <c r="Q8" i="25"/>
  <c r="R8" i="25"/>
  <c r="S8" i="25"/>
  <c r="T8" i="25"/>
  <c r="U8" i="25"/>
  <c r="V8" i="25"/>
  <c r="W8" i="25"/>
  <c r="M9" i="25"/>
  <c r="N9" i="25"/>
  <c r="O9" i="25"/>
  <c r="P9" i="25"/>
  <c r="Q9" i="25"/>
  <c r="R9" i="25"/>
  <c r="S9" i="25"/>
  <c r="T9" i="25"/>
  <c r="U9" i="25"/>
  <c r="V9" i="25"/>
  <c r="W9" i="25"/>
  <c r="M10" i="25"/>
  <c r="N10" i="25"/>
  <c r="O10" i="25"/>
  <c r="P10" i="25"/>
  <c r="Q10" i="25"/>
  <c r="R10" i="25"/>
  <c r="S10" i="25"/>
  <c r="T10" i="25"/>
  <c r="U10" i="25"/>
  <c r="V10" i="25"/>
  <c r="W10" i="25"/>
  <c r="M11" i="25"/>
  <c r="N11" i="25"/>
  <c r="O11" i="25"/>
  <c r="P11" i="25"/>
  <c r="Q11" i="25"/>
  <c r="R11" i="25"/>
  <c r="S11" i="25"/>
  <c r="T11" i="25"/>
  <c r="U11" i="25"/>
  <c r="V11" i="25"/>
  <c r="W11" i="25"/>
  <c r="M12" i="25"/>
  <c r="N12" i="25"/>
  <c r="O12" i="25"/>
  <c r="P12" i="25"/>
  <c r="Q12" i="25"/>
  <c r="R12" i="25"/>
  <c r="S12" i="25"/>
  <c r="T12" i="25"/>
  <c r="U12" i="25"/>
  <c r="V12" i="25"/>
  <c r="W12" i="25"/>
  <c r="M13" i="25"/>
  <c r="N13" i="25"/>
  <c r="O13" i="25"/>
  <c r="P13" i="25"/>
  <c r="Q13" i="25"/>
  <c r="R13" i="25"/>
  <c r="S13" i="25"/>
  <c r="T13" i="25"/>
  <c r="U13" i="25"/>
  <c r="V13" i="25"/>
  <c r="W13" i="25"/>
  <c r="M14" i="25"/>
  <c r="N14" i="25"/>
  <c r="O14" i="25"/>
  <c r="P14" i="25"/>
  <c r="Q14" i="25"/>
  <c r="R14" i="25"/>
  <c r="S14" i="25"/>
  <c r="T14" i="25"/>
  <c r="U14" i="25"/>
  <c r="V14" i="25"/>
  <c r="W14" i="25"/>
  <c r="M15" i="25"/>
  <c r="N15" i="25"/>
  <c r="O15" i="25"/>
  <c r="P15" i="25"/>
  <c r="Q15" i="25"/>
  <c r="R15" i="25"/>
  <c r="S15" i="25"/>
  <c r="T15" i="25"/>
  <c r="U15" i="25"/>
  <c r="V15" i="25"/>
  <c r="W15" i="25"/>
  <c r="M16" i="25"/>
  <c r="N16" i="25"/>
  <c r="O16" i="25"/>
  <c r="P16" i="25"/>
  <c r="Q16" i="25"/>
  <c r="R16" i="25"/>
  <c r="S16" i="25"/>
  <c r="T16" i="25"/>
  <c r="U16" i="25"/>
  <c r="V16" i="25"/>
  <c r="W16" i="25"/>
  <c r="M17" i="25"/>
  <c r="N17" i="25"/>
  <c r="O17" i="25"/>
  <c r="P17" i="25"/>
  <c r="Q17" i="25"/>
  <c r="R17" i="25"/>
  <c r="S17" i="25"/>
  <c r="T17" i="25"/>
  <c r="U17" i="25"/>
  <c r="V17" i="25"/>
  <c r="W17" i="25"/>
  <c r="M18" i="25"/>
  <c r="N18" i="25"/>
  <c r="O18" i="25"/>
  <c r="P18" i="25"/>
  <c r="Q18" i="25"/>
  <c r="R18" i="25"/>
  <c r="S18" i="25"/>
  <c r="T18" i="25"/>
  <c r="U18" i="25"/>
  <c r="V18" i="25"/>
  <c r="W18" i="25"/>
  <c r="M19" i="25"/>
  <c r="N19" i="25"/>
  <c r="O19" i="25"/>
  <c r="P19" i="25"/>
  <c r="Q19" i="25"/>
  <c r="R19" i="25"/>
  <c r="S19" i="25"/>
  <c r="T19" i="25"/>
  <c r="U19" i="25"/>
  <c r="V19" i="25"/>
  <c r="W19" i="25"/>
  <c r="M20" i="25"/>
  <c r="N20" i="25"/>
  <c r="O20" i="25"/>
  <c r="P20" i="25"/>
  <c r="Q20" i="25"/>
  <c r="R20" i="25"/>
  <c r="S20" i="25"/>
  <c r="T20" i="25"/>
  <c r="U20" i="25"/>
  <c r="V20" i="25"/>
  <c r="W20" i="25"/>
  <c r="M21" i="25"/>
  <c r="N21" i="25"/>
  <c r="O21" i="25"/>
  <c r="P21" i="25"/>
  <c r="Q21" i="25"/>
  <c r="R21" i="25"/>
  <c r="S21" i="25"/>
  <c r="T21" i="25"/>
  <c r="U21" i="25"/>
  <c r="V21" i="25"/>
  <c r="W21" i="25"/>
  <c r="M22" i="25"/>
  <c r="N22" i="25"/>
  <c r="O22" i="25"/>
  <c r="P22" i="25"/>
  <c r="Q22" i="25"/>
  <c r="R22" i="25"/>
  <c r="S22" i="25"/>
  <c r="T22" i="25"/>
  <c r="U22" i="25"/>
  <c r="V22" i="25"/>
  <c r="W22" i="25"/>
  <c r="M23" i="25"/>
  <c r="N23" i="25"/>
  <c r="O23" i="25"/>
  <c r="P23" i="25"/>
  <c r="Q23" i="25"/>
  <c r="R23" i="25"/>
  <c r="S23" i="25"/>
  <c r="T23" i="25"/>
  <c r="U23" i="25"/>
  <c r="V23" i="25"/>
  <c r="W23" i="25"/>
  <c r="M24" i="25"/>
  <c r="N24" i="25"/>
  <c r="O24" i="25"/>
  <c r="P24" i="25"/>
  <c r="Q24" i="25"/>
  <c r="R24" i="25"/>
  <c r="S24" i="25"/>
  <c r="T24" i="25"/>
  <c r="U24" i="25"/>
  <c r="V24" i="25"/>
  <c r="W24" i="25"/>
  <c r="M25" i="25"/>
  <c r="N25" i="25"/>
  <c r="O25" i="25"/>
  <c r="P25" i="25"/>
  <c r="Q25" i="25"/>
  <c r="R25" i="25"/>
  <c r="S25" i="25"/>
  <c r="T25" i="25"/>
  <c r="U25" i="25"/>
  <c r="V25" i="25"/>
  <c r="W25" i="25"/>
  <c r="M26" i="25"/>
  <c r="N26" i="25"/>
  <c r="O26" i="25"/>
  <c r="P26" i="25"/>
  <c r="Q26" i="25"/>
  <c r="R26" i="25"/>
  <c r="S26" i="25"/>
  <c r="T26" i="25"/>
  <c r="U26" i="25"/>
  <c r="V26" i="25"/>
  <c r="W26" i="25"/>
  <c r="M27" i="25"/>
  <c r="N27" i="25"/>
  <c r="O27" i="25"/>
  <c r="P27" i="25"/>
  <c r="Q27" i="25"/>
  <c r="R27" i="25"/>
  <c r="S27" i="25"/>
  <c r="T27" i="25"/>
  <c r="U27" i="25"/>
  <c r="V27" i="25"/>
  <c r="W27" i="25"/>
  <c r="M28" i="25"/>
  <c r="N28" i="25"/>
  <c r="O28" i="25"/>
  <c r="P28" i="25"/>
  <c r="Q28" i="25"/>
  <c r="R28" i="25"/>
  <c r="S28" i="25"/>
  <c r="T28" i="25"/>
  <c r="U28" i="25"/>
  <c r="V28" i="25"/>
  <c r="W28" i="25"/>
  <c r="M29" i="25"/>
  <c r="N29" i="25"/>
  <c r="O29" i="25"/>
  <c r="P29" i="25"/>
  <c r="Q29" i="25"/>
  <c r="R29" i="25"/>
  <c r="S29" i="25"/>
  <c r="T29" i="25"/>
  <c r="U29" i="25"/>
  <c r="V29" i="25"/>
  <c r="W29" i="25"/>
  <c r="M30" i="25"/>
  <c r="N30" i="25"/>
  <c r="O30" i="25"/>
  <c r="P30" i="25"/>
  <c r="Q30" i="25"/>
  <c r="R30" i="25"/>
  <c r="S30" i="25"/>
  <c r="T30" i="25"/>
  <c r="U30" i="25"/>
  <c r="V30" i="25"/>
  <c r="W30" i="25"/>
  <c r="M31" i="25"/>
  <c r="N31" i="25"/>
  <c r="O31" i="25"/>
  <c r="P31" i="25"/>
  <c r="Q31" i="25"/>
  <c r="R31" i="25"/>
  <c r="S31" i="25"/>
  <c r="T31" i="25"/>
  <c r="U31" i="25"/>
  <c r="V31" i="25"/>
  <c r="W31" i="25"/>
  <c r="M32" i="25"/>
  <c r="N32" i="25"/>
  <c r="O32" i="25"/>
  <c r="P32" i="25"/>
  <c r="Q32" i="25"/>
  <c r="R32" i="25"/>
  <c r="S32" i="25"/>
  <c r="T32" i="25"/>
  <c r="U32" i="25"/>
  <c r="V32" i="25"/>
  <c r="W32" i="25"/>
  <c r="M33" i="25"/>
  <c r="N33" i="25"/>
  <c r="O33" i="25"/>
  <c r="P33" i="25"/>
  <c r="Q33" i="25"/>
  <c r="R33" i="25"/>
  <c r="S33" i="25"/>
  <c r="T33" i="25"/>
  <c r="U33" i="25"/>
  <c r="V33" i="25"/>
  <c r="W33" i="25"/>
  <c r="M34" i="25"/>
  <c r="N34" i="25"/>
  <c r="O34" i="25"/>
  <c r="P34" i="25"/>
  <c r="Q34" i="25"/>
  <c r="R34" i="25"/>
  <c r="S34" i="25"/>
  <c r="T34" i="25"/>
  <c r="U34" i="25"/>
  <c r="V34" i="25"/>
  <c r="W34" i="25"/>
  <c r="M35" i="25"/>
  <c r="N35" i="25"/>
  <c r="O35" i="25"/>
  <c r="P35" i="25"/>
  <c r="Q35" i="25"/>
  <c r="R35" i="25"/>
  <c r="S35" i="25"/>
  <c r="T35" i="25"/>
  <c r="U35" i="25"/>
  <c r="V35" i="25"/>
  <c r="W35" i="25"/>
  <c r="M36" i="25"/>
  <c r="N36" i="25"/>
  <c r="O36" i="25"/>
  <c r="P36" i="25"/>
  <c r="Q36" i="25"/>
  <c r="R36" i="25"/>
  <c r="S36" i="25"/>
  <c r="T36" i="25"/>
  <c r="U36" i="25"/>
  <c r="V36" i="25"/>
  <c r="W36" i="25"/>
  <c r="M37" i="25"/>
  <c r="N37" i="25"/>
  <c r="O37" i="25"/>
  <c r="P37" i="25"/>
  <c r="Q37" i="25"/>
  <c r="R37" i="25"/>
  <c r="S37" i="25"/>
  <c r="T37" i="25"/>
  <c r="U37" i="25"/>
  <c r="V37" i="25"/>
  <c r="W37" i="25"/>
  <c r="M38" i="25"/>
  <c r="N38" i="25"/>
  <c r="O38" i="25"/>
  <c r="P38" i="25"/>
  <c r="Q38" i="25"/>
  <c r="R38" i="25"/>
  <c r="S38" i="25"/>
  <c r="T38" i="25"/>
  <c r="U38" i="25"/>
  <c r="V38" i="25"/>
  <c r="W38" i="25"/>
  <c r="M39" i="25"/>
  <c r="N39" i="25"/>
  <c r="O39" i="25"/>
  <c r="P39" i="25"/>
  <c r="Q39" i="25"/>
  <c r="R39" i="25"/>
  <c r="S39" i="25"/>
  <c r="T39" i="25"/>
  <c r="U39" i="25"/>
  <c r="V39" i="25"/>
  <c r="W39" i="25"/>
  <c r="M40" i="25"/>
  <c r="N40" i="25"/>
  <c r="O40" i="25"/>
  <c r="P40" i="25"/>
  <c r="Q40" i="25"/>
  <c r="R40" i="25"/>
  <c r="S40" i="25"/>
  <c r="T40" i="25"/>
  <c r="U40" i="25"/>
  <c r="V40" i="25"/>
  <c r="W40" i="25"/>
  <c r="M41" i="25"/>
  <c r="N41" i="25"/>
  <c r="O41" i="25"/>
  <c r="P41" i="25"/>
  <c r="Q41" i="25"/>
  <c r="R41" i="25"/>
  <c r="S41" i="25"/>
  <c r="T41" i="25"/>
  <c r="U41" i="25"/>
  <c r="V41" i="25"/>
  <c r="W41" i="25"/>
  <c r="M42" i="25"/>
  <c r="N42" i="25"/>
  <c r="O42" i="25"/>
  <c r="P42" i="25"/>
  <c r="Q42" i="25"/>
  <c r="R42" i="25"/>
  <c r="S42" i="25"/>
  <c r="T42" i="25"/>
  <c r="U42" i="25"/>
  <c r="V42" i="25"/>
  <c r="W42" i="25"/>
  <c r="N5" i="25"/>
  <c r="O5" i="25"/>
  <c r="I4" i="33" s="1"/>
  <c r="P5" i="25"/>
  <c r="Q5" i="25"/>
  <c r="R5" i="25"/>
  <c r="S5" i="25"/>
  <c r="T5" i="25"/>
  <c r="U5" i="25"/>
  <c r="V5" i="25"/>
  <c r="W5" i="25"/>
  <c r="Q4" i="33" s="1"/>
  <c r="M5" i="25"/>
  <c r="G26" i="28"/>
  <c r="H26" i="28" s="1"/>
  <c r="I26" i="28" s="1"/>
  <c r="J26" i="28" s="1"/>
  <c r="K26" i="28" s="1"/>
  <c r="L26" i="28" s="1"/>
  <c r="M26" i="28" s="1"/>
  <c r="N26" i="28" s="1"/>
  <c r="O26" i="28" s="1"/>
  <c r="G27" i="28"/>
  <c r="H27" i="28" s="1"/>
  <c r="I27" i="28" s="1"/>
  <c r="J27" i="28" s="1"/>
  <c r="K27" i="28" s="1"/>
  <c r="L27" i="28" s="1"/>
  <c r="M27" i="28" s="1"/>
  <c r="N27" i="28" s="1"/>
  <c r="O27" i="28" s="1"/>
  <c r="G28" i="28"/>
  <c r="H28" i="28" s="1"/>
  <c r="I28" i="28" s="1"/>
  <c r="J28" i="28" s="1"/>
  <c r="K28" i="28" s="1"/>
  <c r="L28" i="28" s="1"/>
  <c r="M28" i="28" s="1"/>
  <c r="N28" i="28" s="1"/>
  <c r="O28" i="28" s="1"/>
  <c r="G29" i="28"/>
  <c r="H29" i="28"/>
  <c r="I29" i="28"/>
  <c r="J29" i="28" s="1"/>
  <c r="K29" i="28" s="1"/>
  <c r="L29" i="28" s="1"/>
  <c r="M29" i="28" s="1"/>
  <c r="N29" i="28" s="1"/>
  <c r="O29" i="28" s="1"/>
  <c r="G30" i="28"/>
  <c r="H30" i="28"/>
  <c r="I30" i="28" s="1"/>
  <c r="J30" i="28" s="1"/>
  <c r="K30" i="28" s="1"/>
  <c r="L30" i="28" s="1"/>
  <c r="M30" i="28" s="1"/>
  <c r="N30" i="28" s="1"/>
  <c r="O30" i="28" s="1"/>
  <c r="G31" i="28"/>
  <c r="H31" i="28" s="1"/>
  <c r="I31" i="28" s="1"/>
  <c r="J31" i="28" s="1"/>
  <c r="K31" i="28" s="1"/>
  <c r="L31" i="28" s="1"/>
  <c r="M31" i="28" s="1"/>
  <c r="N31" i="28" s="1"/>
  <c r="O31" i="28" s="1"/>
  <c r="G32" i="28"/>
  <c r="H32" i="28" s="1"/>
  <c r="I32" i="28" s="1"/>
  <c r="J32" i="28" s="1"/>
  <c r="K32" i="28" s="1"/>
  <c r="L32" i="28" s="1"/>
  <c r="M32" i="28" s="1"/>
  <c r="N32" i="28" s="1"/>
  <c r="O32" i="28" s="1"/>
  <c r="G33" i="28"/>
  <c r="H33" i="28" s="1"/>
  <c r="I33" i="28" s="1"/>
  <c r="J33" i="28" s="1"/>
  <c r="K33" i="28" s="1"/>
  <c r="L33" i="28" s="1"/>
  <c r="M33" i="28" s="1"/>
  <c r="N33" i="28" s="1"/>
  <c r="O33" i="28" s="1"/>
  <c r="G34" i="28"/>
  <c r="H34" i="28" s="1"/>
  <c r="I34" i="28" s="1"/>
  <c r="J34" i="28" s="1"/>
  <c r="K34" i="28" s="1"/>
  <c r="L34" i="28" s="1"/>
  <c r="M34" i="28" s="1"/>
  <c r="N34" i="28" s="1"/>
  <c r="O34" i="28" s="1"/>
  <c r="G35" i="28"/>
  <c r="H35" i="28" s="1"/>
  <c r="I35" i="28" s="1"/>
  <c r="J35" i="28" s="1"/>
  <c r="K35" i="28" s="1"/>
  <c r="L35" i="28" s="1"/>
  <c r="M35" i="28" s="1"/>
  <c r="N35" i="28" s="1"/>
  <c r="O35" i="28" s="1"/>
  <c r="G36" i="28"/>
  <c r="H36" i="28" s="1"/>
  <c r="I36" i="28" s="1"/>
  <c r="J36" i="28" s="1"/>
  <c r="K36" i="28" s="1"/>
  <c r="L36" i="28" s="1"/>
  <c r="M36" i="28" s="1"/>
  <c r="N36" i="28" s="1"/>
  <c r="O36" i="28" s="1"/>
  <c r="G37" i="28"/>
  <c r="H37" i="28"/>
  <c r="I37" i="28"/>
  <c r="J37" i="28"/>
  <c r="K37" i="28" s="1"/>
  <c r="L37" i="28" s="1"/>
  <c r="M37" i="28" s="1"/>
  <c r="N37" i="28" s="1"/>
  <c r="O37" i="28" s="1"/>
  <c r="G38" i="28"/>
  <c r="H38" i="28"/>
  <c r="I38" i="28"/>
  <c r="J38" i="28" s="1"/>
  <c r="K38" i="28" s="1"/>
  <c r="L38" i="28" s="1"/>
  <c r="M38" i="28" s="1"/>
  <c r="N38" i="28" s="1"/>
  <c r="O38" i="28" s="1"/>
  <c r="G39" i="28"/>
  <c r="H39" i="28"/>
  <c r="I39" i="28" s="1"/>
  <c r="J39" i="28" s="1"/>
  <c r="K39" i="28" s="1"/>
  <c r="L39" i="28" s="1"/>
  <c r="M39" i="28" s="1"/>
  <c r="N39" i="28" s="1"/>
  <c r="O39" i="28" s="1"/>
  <c r="G40" i="28"/>
  <c r="H40" i="28" s="1"/>
  <c r="I40" i="28" s="1"/>
  <c r="J40" i="28" s="1"/>
  <c r="K40" i="28" s="1"/>
  <c r="L40" i="28" s="1"/>
  <c r="M40" i="28" s="1"/>
  <c r="N40" i="28" s="1"/>
  <c r="O40" i="28" s="1"/>
  <c r="G18" i="28"/>
  <c r="H18" i="28" s="1"/>
  <c r="I18" i="28" s="1"/>
  <c r="J18" i="28" s="1"/>
  <c r="K18" i="28" s="1"/>
  <c r="L18" i="28" s="1"/>
  <c r="M18" i="28" s="1"/>
  <c r="N18" i="28" s="1"/>
  <c r="O18" i="28" s="1"/>
  <c r="G19" i="28"/>
  <c r="H19" i="28" s="1"/>
  <c r="I19" i="28" s="1"/>
  <c r="J19" i="28" s="1"/>
  <c r="K19" i="28" s="1"/>
  <c r="L19" i="28" s="1"/>
  <c r="M19" i="28" s="1"/>
  <c r="N19" i="28" s="1"/>
  <c r="O19" i="28" s="1"/>
  <c r="G20" i="28"/>
  <c r="H20" i="28" s="1"/>
  <c r="I20" i="28" s="1"/>
  <c r="J20" i="28" s="1"/>
  <c r="K20" i="28" s="1"/>
  <c r="L20" i="28" s="1"/>
  <c r="M20" i="28" s="1"/>
  <c r="N20" i="28" s="1"/>
  <c r="O20" i="28" s="1"/>
  <c r="G21" i="28"/>
  <c r="H21" i="28" s="1"/>
  <c r="I21" i="28" s="1"/>
  <c r="J21" i="28" s="1"/>
  <c r="K21" i="28" s="1"/>
  <c r="L21" i="28" s="1"/>
  <c r="M21" i="28" s="1"/>
  <c r="N21" i="28" s="1"/>
  <c r="O21" i="28" s="1"/>
  <c r="G22" i="28"/>
  <c r="H22" i="28" s="1"/>
  <c r="I22" i="28" s="1"/>
  <c r="J22" i="28" s="1"/>
  <c r="K22" i="28" s="1"/>
  <c r="L22" i="28" s="1"/>
  <c r="M22" i="28" s="1"/>
  <c r="N22" i="28" s="1"/>
  <c r="O22" i="28" s="1"/>
  <c r="G23" i="28"/>
  <c r="H23" i="28" s="1"/>
  <c r="I23" i="28" s="1"/>
  <c r="J23" i="28" s="1"/>
  <c r="K23" i="28" s="1"/>
  <c r="L23" i="28" s="1"/>
  <c r="M23" i="28" s="1"/>
  <c r="N23" i="28" s="1"/>
  <c r="O23" i="28" s="1"/>
  <c r="G24" i="28"/>
  <c r="H24" i="28" s="1"/>
  <c r="I24" i="28" s="1"/>
  <c r="J24" i="28" s="1"/>
  <c r="K24" i="28" s="1"/>
  <c r="L24" i="28" s="1"/>
  <c r="M24" i="28" s="1"/>
  <c r="N24" i="28" s="1"/>
  <c r="O24" i="28" s="1"/>
  <c r="G25" i="28"/>
  <c r="H25" i="28" s="1"/>
  <c r="I25" i="28" s="1"/>
  <c r="J25" i="28" s="1"/>
  <c r="K25" i="28" s="1"/>
  <c r="L25" i="28" s="1"/>
  <c r="M25" i="28" s="1"/>
  <c r="N25" i="28" s="1"/>
  <c r="O25" i="28" s="1"/>
  <c r="G4" i="28"/>
  <c r="H4" i="28" s="1"/>
  <c r="I4" i="28" s="1"/>
  <c r="J4" i="28" s="1"/>
  <c r="K4" i="28" s="1"/>
  <c r="L4" i="28" s="1"/>
  <c r="M4" i="28" s="1"/>
  <c r="N4" i="28" s="1"/>
  <c r="O4" i="28" s="1"/>
  <c r="G5" i="28"/>
  <c r="H5" i="28" s="1"/>
  <c r="I5" i="28" s="1"/>
  <c r="J5" i="28" s="1"/>
  <c r="K5" i="28" s="1"/>
  <c r="L5" i="28" s="1"/>
  <c r="M5" i="28" s="1"/>
  <c r="N5" i="28" s="1"/>
  <c r="O5" i="28" s="1"/>
  <c r="G6" i="28"/>
  <c r="H6" i="28" s="1"/>
  <c r="I6" i="28" s="1"/>
  <c r="J6" i="28" s="1"/>
  <c r="K6" i="28" s="1"/>
  <c r="L6" i="28" s="1"/>
  <c r="M6" i="28" s="1"/>
  <c r="N6" i="28" s="1"/>
  <c r="O6" i="28" s="1"/>
  <c r="G7" i="28"/>
  <c r="H7" i="28" s="1"/>
  <c r="G8" i="28"/>
  <c r="H8" i="28" s="1"/>
  <c r="G9" i="28"/>
  <c r="H9" i="28" s="1"/>
  <c r="I9" i="28" s="1"/>
  <c r="J9" i="28" s="1"/>
  <c r="K9" i="28" s="1"/>
  <c r="L9" i="28" s="1"/>
  <c r="M9" i="28" s="1"/>
  <c r="N9" i="28" s="1"/>
  <c r="O9" i="28" s="1"/>
  <c r="G10" i="28"/>
  <c r="G11" i="28"/>
  <c r="H11" i="28" s="1"/>
  <c r="I11" i="28" s="1"/>
  <c r="J11" i="28" s="1"/>
  <c r="K11" i="28" s="1"/>
  <c r="L11" i="28" s="1"/>
  <c r="M11" i="28" s="1"/>
  <c r="N11" i="28" s="1"/>
  <c r="O11" i="28" s="1"/>
  <c r="G12" i="28"/>
  <c r="H12" i="28" s="1"/>
  <c r="I12" i="28" s="1"/>
  <c r="J12" i="28" s="1"/>
  <c r="K12" i="28" s="1"/>
  <c r="L12" i="28" s="1"/>
  <c r="M12" i="28" s="1"/>
  <c r="N12" i="28" s="1"/>
  <c r="O12" i="28" s="1"/>
  <c r="G13" i="28"/>
  <c r="H13" i="28" s="1"/>
  <c r="I13" i="28" s="1"/>
  <c r="J13" i="28" s="1"/>
  <c r="K13" i="28" s="1"/>
  <c r="L13" i="28" s="1"/>
  <c r="M13" i="28" s="1"/>
  <c r="N13" i="28" s="1"/>
  <c r="O13" i="28" s="1"/>
  <c r="G14" i="28"/>
  <c r="H14" i="28" s="1"/>
  <c r="I14" i="28" s="1"/>
  <c r="J14" i="28" s="1"/>
  <c r="K14" i="28" s="1"/>
  <c r="L14" i="28" s="1"/>
  <c r="M14" i="28" s="1"/>
  <c r="N14" i="28" s="1"/>
  <c r="O14" i="28" s="1"/>
  <c r="G15" i="28"/>
  <c r="H15" i="28"/>
  <c r="I15" i="28" s="1"/>
  <c r="J15" i="28" s="1"/>
  <c r="K15" i="28" s="1"/>
  <c r="L15" i="28" s="1"/>
  <c r="M15" i="28" s="1"/>
  <c r="N15" i="28" s="1"/>
  <c r="O15" i="28" s="1"/>
  <c r="G16" i="28"/>
  <c r="H16" i="28" s="1"/>
  <c r="I16" i="28" s="1"/>
  <c r="J16" i="28" s="1"/>
  <c r="K16" i="28" s="1"/>
  <c r="L16" i="28" s="1"/>
  <c r="M16" i="28" s="1"/>
  <c r="N16" i="28" s="1"/>
  <c r="O16" i="28" s="1"/>
  <c r="G17" i="28"/>
  <c r="H17" i="28" s="1"/>
  <c r="G3" i="28"/>
  <c r="H3" i="28" s="1"/>
  <c r="I3" i="28" s="1"/>
  <c r="J3" i="28" s="1"/>
  <c r="K3" i="28" s="1"/>
  <c r="L3" i="28" s="1"/>
  <c r="M3" i="28" s="1"/>
  <c r="N3" i="28" s="1"/>
  <c r="O3" i="28" s="1"/>
  <c r="K4" i="33" l="1"/>
  <c r="G5" i="33"/>
  <c r="P31" i="30"/>
  <c r="G4" i="33"/>
  <c r="J4" i="33"/>
  <c r="P4" i="33"/>
  <c r="H4" i="33"/>
  <c r="O4" i="33"/>
  <c r="N4" i="33"/>
  <c r="M4" i="33"/>
  <c r="L4" i="33"/>
  <c r="O5" i="33"/>
  <c r="N5" i="33"/>
  <c r="M5" i="33"/>
  <c r="L5" i="33"/>
  <c r="K5" i="33"/>
  <c r="J5" i="33"/>
  <c r="Q5" i="33"/>
  <c r="Q7" i="33" s="1"/>
  <c r="Q43" i="33" s="1"/>
  <c r="I5" i="33"/>
  <c r="I7" i="33" s="1"/>
  <c r="I43" i="33" s="1"/>
  <c r="P5" i="33"/>
  <c r="H5" i="33"/>
  <c r="Q25" i="30"/>
  <c r="I17" i="28"/>
  <c r="I8" i="28"/>
  <c r="I7" i="28"/>
  <c r="H10" i="28"/>
  <c r="J17" i="28"/>
  <c r="P5" i="22"/>
  <c r="H7" i="33" l="1"/>
  <c r="H43" i="33" s="1"/>
  <c r="J7" i="33"/>
  <c r="J43" i="33" s="1"/>
  <c r="K7" i="33"/>
  <c r="K43" i="33" s="1"/>
  <c r="N7" i="33"/>
  <c r="N43" i="33" s="1"/>
  <c r="P7" i="33"/>
  <c r="P43" i="33" s="1"/>
  <c r="O7" i="33"/>
  <c r="O43" i="33" s="1"/>
  <c r="M7" i="33"/>
  <c r="M43" i="33" s="1"/>
  <c r="G7" i="33"/>
  <c r="G43" i="33" s="1"/>
  <c r="F4" i="33"/>
  <c r="Q31" i="30"/>
  <c r="R31" i="30"/>
  <c r="L7" i="33"/>
  <c r="L43" i="33" s="1"/>
  <c r="F5" i="33"/>
  <c r="J7" i="28"/>
  <c r="J8" i="28"/>
  <c r="I10" i="28"/>
  <c r="K17" i="28"/>
  <c r="F7" i="33" l="1"/>
  <c r="F43" i="33" s="1"/>
  <c r="J10" i="28"/>
  <c r="K8" i="28"/>
  <c r="K7" i="28"/>
  <c r="L17" i="28"/>
  <c r="L7" i="28" l="1"/>
  <c r="L8" i="28"/>
  <c r="K10" i="28"/>
  <c r="M17" i="28"/>
  <c r="L10" i="28" l="1"/>
  <c r="M8" i="28"/>
  <c r="M7" i="28"/>
  <c r="N17" i="28"/>
  <c r="N7" i="28" l="1"/>
  <c r="M10" i="28"/>
  <c r="N8" i="28"/>
  <c r="O17" i="28"/>
  <c r="O8" i="28" l="1"/>
  <c r="O7" i="28"/>
  <c r="N10" i="28"/>
  <c r="O10" i="28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316DD0D-8008-4494-BC15-DA5D0A2AB051}" keepAlive="1" name="쿼리 - 개발" description="통합 문서의 '개발' 쿼리에 대한 연결입니다." type="5" refreshedVersion="0" background="1">
    <dbPr connection="Provider=Microsoft.Mashup.OleDb.1;Data Source=$Workbook$;Location=개발;Extended Properties=&quot;&quot;" command="SELECT * FROM [개발]"/>
  </connection>
  <connection id="2" xr16:uid="{5BCD476C-B34B-4CAF-9F1C-10FB5C03AC22}" keepAlive="1" name="쿼리 - 개발_연비용" description="통합 문서의 '개발_연비용' 쿼리에 대한 연결입니다." type="5" refreshedVersion="0" background="1">
    <dbPr connection="Provider=Microsoft.Mashup.OleDb.1;Data Source=$Workbook$;Location=개발_연비용;Extended Properties=&quot;&quot;" command="SELECT * FROM [개발_연비용]"/>
  </connection>
  <connection id="3" xr16:uid="{37A6DD31-18DB-437B-9EA4-D26FCD0ACE52}" keepAlive="1" name="쿼리 - 개발병합" description="통합 문서의 '개발병합' 쿼리에 대한 연결입니다." type="5" refreshedVersion="6" background="1" saveData="1">
    <dbPr connection="Provider=Microsoft.Mashup.OleDb.1;Data Source=$Workbook$;Location=개발병합;Extended Properties=&quot;&quot;" command="SELECT * FROM [개발병합]"/>
  </connection>
</connections>
</file>

<file path=xl/sharedStrings.xml><?xml version="1.0" encoding="utf-8"?>
<sst xmlns="http://schemas.openxmlformats.org/spreadsheetml/2006/main" count="3532" uniqueCount="562">
  <si>
    <t>ID</t>
    <phoneticPr fontId="1" type="noConversion"/>
  </si>
  <si>
    <t>고객사</t>
    <phoneticPr fontId="1" type="noConversion"/>
  </si>
  <si>
    <t>대분류</t>
    <phoneticPr fontId="1" type="noConversion"/>
  </si>
  <si>
    <t>중분류</t>
    <phoneticPr fontId="1" type="noConversion"/>
  </si>
  <si>
    <t>소분류</t>
    <phoneticPr fontId="1" type="noConversion"/>
  </si>
  <si>
    <t>공급사</t>
    <phoneticPr fontId="1" type="noConversion"/>
  </si>
  <si>
    <t>단위</t>
    <phoneticPr fontId="1" type="noConversion"/>
  </si>
  <si>
    <t>수량</t>
    <phoneticPr fontId="1" type="noConversion"/>
  </si>
  <si>
    <t>소비자단가</t>
    <phoneticPr fontId="1" type="noConversion"/>
  </si>
  <si>
    <t>공급단가</t>
    <phoneticPr fontId="1" type="noConversion"/>
  </si>
  <si>
    <t>공급가합계</t>
    <phoneticPr fontId="1" type="noConversion"/>
  </si>
  <si>
    <t>Warranty</t>
    <phoneticPr fontId="1" type="noConversion"/>
  </si>
  <si>
    <t>MA기간</t>
    <phoneticPr fontId="1" type="noConversion"/>
  </si>
  <si>
    <t>MA요율</t>
    <phoneticPr fontId="1" type="noConversion"/>
  </si>
  <si>
    <t>구축</t>
  </si>
  <si>
    <t>MA총액</t>
    <phoneticPr fontId="1" type="noConversion"/>
  </si>
  <si>
    <t>비고</t>
    <phoneticPr fontId="1" type="noConversion"/>
  </si>
  <si>
    <t>Y1_M1</t>
    <phoneticPr fontId="1" type="noConversion"/>
  </si>
  <si>
    <t>Y1_M2</t>
  </si>
  <si>
    <t>Y1_M3</t>
  </si>
  <si>
    <t>Y1_M4</t>
  </si>
  <si>
    <t>Y1_M5</t>
  </si>
  <si>
    <t>Y1_M6</t>
  </si>
  <si>
    <t>Y1_M7</t>
  </si>
  <si>
    <t>Y1_M8</t>
  </si>
  <si>
    <t>Y1_M9</t>
  </si>
  <si>
    <t>Y1_M10</t>
  </si>
  <si>
    <t>Y1_M11</t>
  </si>
  <si>
    <t>Y1_M12</t>
  </si>
  <si>
    <t>Y2_M1</t>
  </si>
  <si>
    <t>Y2_M2</t>
  </si>
  <si>
    <t>Y2_M3</t>
  </si>
  <si>
    <t>Y2_M4</t>
  </si>
  <si>
    <t>Y2_M5</t>
  </si>
  <si>
    <t>Y2_M6</t>
  </si>
  <si>
    <t>Y2_M7</t>
  </si>
  <si>
    <t>Y2_M8</t>
  </si>
  <si>
    <t>Y2_M9</t>
  </si>
  <si>
    <t>Y2_M10</t>
  </si>
  <si>
    <t>Y2_M11</t>
  </si>
  <si>
    <t>Y2_M12</t>
  </si>
  <si>
    <t>Y1</t>
    <phoneticPr fontId="1" type="noConversion"/>
  </si>
  <si>
    <t>연증감율</t>
    <phoneticPr fontId="1" type="noConversion"/>
  </si>
  <si>
    <t>Y3_M1</t>
  </si>
  <si>
    <t>Y3_M2</t>
  </si>
  <si>
    <t>Y3_M3</t>
  </si>
  <si>
    <t>Y3_M4</t>
  </si>
  <si>
    <t>Y3_M5</t>
  </si>
  <si>
    <t>Y3_M6</t>
  </si>
  <si>
    <t>Y3_M7</t>
  </si>
  <si>
    <t>Y3_M8</t>
  </si>
  <si>
    <t>Y3_M9</t>
  </si>
  <si>
    <t>Y3_M10</t>
  </si>
  <si>
    <t>Y3_M11</t>
  </si>
  <si>
    <t>Y3_M12</t>
  </si>
  <si>
    <t>Y4_M1</t>
  </si>
  <si>
    <t>Y4_M2</t>
  </si>
  <si>
    <t>Y4_M3</t>
  </si>
  <si>
    <t>Y4_M4</t>
  </si>
  <si>
    <t>Y4_M5</t>
  </si>
  <si>
    <t>Y4_M6</t>
  </si>
  <si>
    <t>Y4_M7</t>
  </si>
  <si>
    <t>Y4_M8</t>
  </si>
  <si>
    <t>Y4_M9</t>
  </si>
  <si>
    <t>Y4_M10</t>
  </si>
  <si>
    <t>Y4_M11</t>
  </si>
  <si>
    <t>Y4_M12</t>
  </si>
  <si>
    <t>Y5_M1</t>
  </si>
  <si>
    <t>Y5_M2</t>
  </si>
  <si>
    <t>Y5_M3</t>
  </si>
  <si>
    <t>Y5_M4</t>
  </si>
  <si>
    <t>Y5_M5</t>
  </si>
  <si>
    <t>Y5_M6</t>
  </si>
  <si>
    <t>Y5_M7</t>
  </si>
  <si>
    <t>Y5_M8</t>
  </si>
  <si>
    <t>Y5_M9</t>
  </si>
  <si>
    <t>Y5_M10</t>
  </si>
  <si>
    <t>Y5_M11</t>
  </si>
  <si>
    <t>Y5_M12</t>
  </si>
  <si>
    <t>Y6_M1</t>
  </si>
  <si>
    <t>Y6_M2</t>
  </si>
  <si>
    <t>Y6_M3</t>
  </si>
  <si>
    <t>Y6_M4</t>
  </si>
  <si>
    <t>Y6_M5</t>
  </si>
  <si>
    <t>Y6_M6</t>
  </si>
  <si>
    <t>Y6_M7</t>
  </si>
  <si>
    <t>Y6_M8</t>
  </si>
  <si>
    <t>Y6_M9</t>
  </si>
  <si>
    <t>Y6_M10</t>
  </si>
  <si>
    <t>Y6_M11</t>
  </si>
  <si>
    <t>Y6_M12</t>
  </si>
  <si>
    <t>Y7_M1</t>
  </si>
  <si>
    <t>Y7_M2</t>
  </si>
  <si>
    <t>Y7_M3</t>
  </si>
  <si>
    <t>Y7_M4</t>
  </si>
  <si>
    <t>Y7_M5</t>
  </si>
  <si>
    <t>Y7_M6</t>
  </si>
  <si>
    <t>Y7_M7</t>
  </si>
  <si>
    <t>Y7_M8</t>
  </si>
  <si>
    <t>Y7_M9</t>
  </si>
  <si>
    <t>Y7_M10</t>
  </si>
  <si>
    <t>Y7_M11</t>
  </si>
  <si>
    <t>Y7_M12</t>
  </si>
  <si>
    <t>Y8_M1</t>
  </si>
  <si>
    <t>Y8_M2</t>
  </si>
  <si>
    <t>Y8_M3</t>
  </si>
  <si>
    <t>Y8_M4</t>
  </si>
  <si>
    <t>Y8_M5</t>
  </si>
  <si>
    <t>Y8_M6</t>
  </si>
  <si>
    <t>Y8_M7</t>
  </si>
  <si>
    <t>Y8_M8</t>
  </si>
  <si>
    <t>Y8_M9</t>
  </si>
  <si>
    <t>Y8_M10</t>
  </si>
  <si>
    <t>Y8_M11</t>
  </si>
  <si>
    <t>Y8_M12</t>
  </si>
  <si>
    <t>Y9_M1</t>
  </si>
  <si>
    <t>Y9_M2</t>
  </si>
  <si>
    <t>Y9_M3</t>
  </si>
  <si>
    <t>Y9_M4</t>
  </si>
  <si>
    <t>Y9_M5</t>
  </si>
  <si>
    <t>Y9_M6</t>
  </si>
  <si>
    <t>Y9_M7</t>
  </si>
  <si>
    <t>Y9_M8</t>
  </si>
  <si>
    <t>Y9_M9</t>
  </si>
  <si>
    <t>Y9_M10</t>
  </si>
  <si>
    <t>Y9_M11</t>
  </si>
  <si>
    <t>Y9_M12</t>
  </si>
  <si>
    <t>Y10_M1</t>
  </si>
  <si>
    <t>Y10_M2</t>
  </si>
  <si>
    <t>Y10_M3</t>
  </si>
  <si>
    <t>Y10_M4</t>
  </si>
  <si>
    <t>Y10_M5</t>
  </si>
  <si>
    <t>Y10_M6</t>
  </si>
  <si>
    <t>Y10_M7</t>
  </si>
  <si>
    <t>Y10_M8</t>
  </si>
  <si>
    <t>Y10_M9</t>
  </si>
  <si>
    <t>Y10_M10</t>
  </si>
  <si>
    <t>Y10_M11</t>
  </si>
  <si>
    <t>Y10_M12</t>
  </si>
  <si>
    <t>Y2</t>
    <phoneticPr fontId="1" type="noConversion"/>
  </si>
  <si>
    <t>Y3</t>
    <phoneticPr fontId="1" type="noConversion"/>
  </si>
  <si>
    <t>Y4</t>
    <phoneticPr fontId="1" type="noConversion"/>
  </si>
  <si>
    <t>Y5</t>
    <phoneticPr fontId="1" type="noConversion"/>
  </si>
  <si>
    <t>Y6</t>
    <phoneticPr fontId="1" type="noConversion"/>
  </si>
  <si>
    <t>Y7</t>
    <phoneticPr fontId="1" type="noConversion"/>
  </si>
  <si>
    <t>Y8</t>
    <phoneticPr fontId="1" type="noConversion"/>
  </si>
  <si>
    <t>Y9</t>
    <phoneticPr fontId="1" type="noConversion"/>
  </si>
  <si>
    <t>Y10</t>
    <phoneticPr fontId="1" type="noConversion"/>
  </si>
  <si>
    <t>과업1</t>
    <phoneticPr fontId="1" type="noConversion"/>
  </si>
  <si>
    <t>과업2</t>
  </si>
  <si>
    <t>과업3</t>
  </si>
  <si>
    <t>공란</t>
    <phoneticPr fontId="1" type="noConversion"/>
  </si>
  <si>
    <t>KMS</t>
  </si>
  <si>
    <t>운영</t>
  </si>
  <si>
    <t>라이선스</t>
  </si>
  <si>
    <t>KTH</t>
  </si>
  <si>
    <t>솔루션</t>
  </si>
  <si>
    <t>공란2</t>
    <phoneticPr fontId="1" type="noConversion"/>
  </si>
  <si>
    <t>요율</t>
    <phoneticPr fontId="1" type="noConversion"/>
  </si>
  <si>
    <t>증가율</t>
    <phoneticPr fontId="1" type="noConversion"/>
  </si>
  <si>
    <t>롯데렌탈</t>
    <phoneticPr fontId="1" type="noConversion"/>
  </si>
  <si>
    <t>일반렌탈</t>
  </si>
  <si>
    <t>전문 기술상담사</t>
  </si>
  <si>
    <t>Y1기간</t>
    <phoneticPr fontId="1" type="noConversion"/>
  </si>
  <si>
    <t>Y2기간</t>
  </si>
  <si>
    <t>Y3기간</t>
  </si>
  <si>
    <t>Y4기간</t>
  </si>
  <si>
    <t>Y5기간</t>
  </si>
  <si>
    <t>Y6기간</t>
  </si>
  <si>
    <t>Y7기간</t>
  </si>
  <si>
    <t>Y8기간</t>
  </si>
  <si>
    <t>Y9기간</t>
  </si>
  <si>
    <t>Y10기간</t>
  </si>
  <si>
    <t>Y11기간</t>
  </si>
  <si>
    <t>롯데렌탈</t>
  </si>
  <si>
    <t>상담사</t>
  </si>
  <si>
    <t>Y11_M1</t>
  </si>
  <si>
    <t>Y11_M2</t>
  </si>
  <si>
    <t>Y11_M3</t>
  </si>
  <si>
    <t>Y11_M4</t>
  </si>
  <si>
    <t>Y11_M5</t>
  </si>
  <si>
    <t>Y11_M6</t>
  </si>
  <si>
    <t>Y11_M7</t>
  </si>
  <si>
    <t>Y11_M8</t>
  </si>
  <si>
    <t>Y11_M9</t>
  </si>
  <si>
    <t>Y11_M10</t>
  </si>
  <si>
    <t>Y11_M11</t>
  </si>
  <si>
    <t>Y11_M12</t>
  </si>
  <si>
    <t>Y11</t>
  </si>
  <si>
    <t>Y11</t>
    <phoneticPr fontId="1" type="noConversion"/>
  </si>
  <si>
    <t>Y1공백기간</t>
    <phoneticPr fontId="1" type="noConversion"/>
  </si>
  <si>
    <t>Y1월단가</t>
    <phoneticPr fontId="1" type="noConversion"/>
  </si>
  <si>
    <t>고객상담</t>
  </si>
  <si>
    <t>관리자</t>
  </si>
  <si>
    <t>지원</t>
  </si>
  <si>
    <t>센터장</t>
  </si>
  <si>
    <t>VOC 파트장</t>
  </si>
  <si>
    <t>QA/교육강사</t>
  </si>
  <si>
    <t>팀장(파트장)</t>
  </si>
  <si>
    <t>해피콜</t>
  </si>
  <si>
    <t>장기대여</t>
  </si>
  <si>
    <t>영어상담 주임</t>
  </si>
  <si>
    <t>영어 상담사</t>
  </si>
  <si>
    <t>CS리더</t>
  </si>
  <si>
    <t>코드</t>
    <phoneticPr fontId="1" type="noConversion"/>
  </si>
  <si>
    <t>구분</t>
    <phoneticPr fontId="1" type="noConversion"/>
  </si>
  <si>
    <t>분야</t>
    <phoneticPr fontId="1" type="noConversion"/>
  </si>
  <si>
    <t>직급</t>
    <phoneticPr fontId="1" type="noConversion"/>
  </si>
  <si>
    <t>임금상승율</t>
    <phoneticPr fontId="1" type="noConversion"/>
  </si>
  <si>
    <t>인건비</t>
    <phoneticPr fontId="1" type="noConversion"/>
  </si>
  <si>
    <t>KTIS</t>
    <phoneticPr fontId="1" type="noConversion"/>
  </si>
  <si>
    <t>명</t>
    <phoneticPr fontId="1" type="noConversion"/>
  </si>
  <si>
    <t>Y1월단가</t>
  </si>
  <si>
    <t>Y2월단가</t>
  </si>
  <si>
    <t>Y3월단가</t>
  </si>
  <si>
    <t>Y4월단가</t>
  </si>
  <si>
    <t>Y5월단가</t>
  </si>
  <si>
    <t>Y6월단가</t>
  </si>
  <si>
    <t>Y7월단가</t>
  </si>
  <si>
    <t>Y8월단가</t>
  </si>
  <si>
    <t>Y9월단가</t>
  </si>
  <si>
    <t>Y10월단가</t>
  </si>
  <si>
    <t>Y11월단가</t>
  </si>
  <si>
    <t>Y1월인력</t>
    <phoneticPr fontId="1" type="noConversion"/>
  </si>
  <si>
    <t>Y2월인력</t>
  </si>
  <si>
    <t>Y3월인력</t>
  </si>
  <si>
    <t>Y4월인력</t>
  </si>
  <si>
    <t>Y5월인력</t>
  </si>
  <si>
    <t>Y6월인력</t>
  </si>
  <si>
    <t>Y7월인력</t>
  </si>
  <si>
    <t>Y8월인력</t>
  </si>
  <si>
    <t>Y9월인력</t>
  </si>
  <si>
    <t>Y10월인력</t>
  </si>
  <si>
    <t>Y11월인력</t>
  </si>
  <si>
    <t>lotte_lbr01</t>
  </si>
  <si>
    <t>lotte_lbr01</t>
    <phoneticPr fontId="1" type="noConversion"/>
  </si>
  <si>
    <t>lotte_lbr02</t>
  </si>
  <si>
    <t>lotte_lbr03</t>
  </si>
  <si>
    <t>lotte_lbr04</t>
  </si>
  <si>
    <t>lotte_lbr05</t>
  </si>
  <si>
    <t>lotte_lbr06</t>
  </si>
  <si>
    <t>lotte_lbr07</t>
  </si>
  <si>
    <t>lotte_lbr08</t>
  </si>
  <si>
    <t>lotte_lbr09</t>
  </si>
  <si>
    <t>lotte_lbr10</t>
  </si>
  <si>
    <t>lotte_lbr11</t>
  </si>
  <si>
    <t>lotte_lbr12</t>
  </si>
  <si>
    <t>lotte_lbr13</t>
  </si>
  <si>
    <t>lotte_lbr14</t>
  </si>
  <si>
    <t>lotte_lbr15</t>
  </si>
  <si>
    <t>일반차량</t>
  </si>
  <si>
    <t>업무지원</t>
  </si>
  <si>
    <t>야간상담</t>
  </si>
  <si>
    <t>파트타임</t>
  </si>
  <si>
    <t>auto_lbr01</t>
  </si>
  <si>
    <t>auto_lbr01</t>
    <phoneticPr fontId="1" type="noConversion"/>
  </si>
  <si>
    <t>오토케어</t>
  </si>
  <si>
    <t>오토케어</t>
    <phoneticPr fontId="1" type="noConversion"/>
  </si>
  <si>
    <t>auto_lbr02</t>
  </si>
  <si>
    <t>auto_lbr03</t>
  </si>
  <si>
    <t>auto_lbr04</t>
  </si>
  <si>
    <t>auto_lbr05</t>
  </si>
  <si>
    <t>auto_lbr06</t>
  </si>
  <si>
    <t>auto_lbr07</t>
  </si>
  <si>
    <t>auto_lbr08</t>
  </si>
  <si>
    <t>lotte_lbr02</t>
    <phoneticPr fontId="1" type="noConversion"/>
  </si>
  <si>
    <t>lotte_lbr03</t>
    <phoneticPr fontId="1" type="noConversion"/>
  </si>
  <si>
    <t>lotte_lbr04</t>
    <phoneticPr fontId="1" type="noConversion"/>
  </si>
  <si>
    <t>lotte_lbr05</t>
    <phoneticPr fontId="1" type="noConversion"/>
  </si>
  <si>
    <t>lotte_lbr06</t>
    <phoneticPr fontId="1" type="noConversion"/>
  </si>
  <si>
    <t>lotte_lbr07</t>
    <phoneticPr fontId="1" type="noConversion"/>
  </si>
  <si>
    <t>lotte_lbr08</t>
    <phoneticPr fontId="1" type="noConversion"/>
  </si>
  <si>
    <t>lotte_lbr09</t>
    <phoneticPr fontId="1" type="noConversion"/>
  </si>
  <si>
    <t>lotte_lbr10</t>
    <phoneticPr fontId="1" type="noConversion"/>
  </si>
  <si>
    <t>lotte_lbr11</t>
    <phoneticPr fontId="1" type="noConversion"/>
  </si>
  <si>
    <t>lotte_lbr12</t>
    <phoneticPr fontId="1" type="noConversion"/>
  </si>
  <si>
    <t>lotte_lbr13</t>
    <phoneticPr fontId="1" type="noConversion"/>
  </si>
  <si>
    <t>lotte_lbr14</t>
    <phoneticPr fontId="1" type="noConversion"/>
  </si>
  <si>
    <t>lotte_lbr15</t>
    <phoneticPr fontId="1" type="noConversion"/>
  </si>
  <si>
    <t>auto_lbr02</t>
    <phoneticPr fontId="1" type="noConversion"/>
  </si>
  <si>
    <t>auto_lbr03</t>
    <phoneticPr fontId="1" type="noConversion"/>
  </si>
  <si>
    <t>auto_lbr04</t>
    <phoneticPr fontId="1" type="noConversion"/>
  </si>
  <si>
    <t>auto_lbr05</t>
    <phoneticPr fontId="1" type="noConversion"/>
  </si>
  <si>
    <t>auto_lbr06</t>
    <phoneticPr fontId="1" type="noConversion"/>
  </si>
  <si>
    <t>auto_lbr07</t>
    <phoneticPr fontId="1" type="noConversion"/>
  </si>
  <si>
    <t>auto_lbr08</t>
    <phoneticPr fontId="1" type="noConversion"/>
  </si>
  <si>
    <t>정규주간</t>
  </si>
  <si>
    <t>게시판</t>
  </si>
  <si>
    <t>정규주간파트</t>
  </si>
  <si>
    <t>정규야간</t>
  </si>
  <si>
    <t>정규심야</t>
  </si>
  <si>
    <t>정규야간파트</t>
  </si>
  <si>
    <t>QA/QC</t>
  </si>
  <si>
    <t>DA</t>
  </si>
  <si>
    <t>주간SVR</t>
  </si>
  <si>
    <t>야간SVR</t>
  </si>
  <si>
    <t>일반차량 - 성수기</t>
  </si>
  <si>
    <t>성수기 관리자</t>
  </si>
  <si>
    <t>성수기 상담사</t>
  </si>
  <si>
    <t>매니저</t>
  </si>
  <si>
    <t>green_lbr01</t>
  </si>
  <si>
    <t>green_lbr01</t>
    <phoneticPr fontId="1" type="noConversion"/>
  </si>
  <si>
    <t>green_lbr02</t>
  </si>
  <si>
    <t>green_lbr03</t>
  </si>
  <si>
    <t>green_lbr04</t>
  </si>
  <si>
    <t>green_lbr05</t>
  </si>
  <si>
    <t>green_lbr06</t>
  </si>
  <si>
    <t>green_lbr07</t>
  </si>
  <si>
    <t>green_lbr08</t>
  </si>
  <si>
    <t>green_lbr09</t>
  </si>
  <si>
    <t>green_lbr10</t>
  </si>
  <si>
    <t>green_lbr11</t>
  </si>
  <si>
    <t>green_lbr12</t>
  </si>
  <si>
    <t>green_lbr13</t>
  </si>
  <si>
    <t>green_lbr14</t>
  </si>
  <si>
    <t>green_lbr15</t>
  </si>
  <si>
    <t>그린카</t>
  </si>
  <si>
    <t>그린카</t>
    <phoneticPr fontId="1" type="noConversion"/>
  </si>
  <si>
    <t>green_lbr02</t>
    <phoneticPr fontId="1" type="noConversion"/>
  </si>
  <si>
    <t>green_lbr03</t>
    <phoneticPr fontId="1" type="noConversion"/>
  </si>
  <si>
    <t>green_lbr04</t>
    <phoneticPr fontId="1" type="noConversion"/>
  </si>
  <si>
    <t>green_lbr05</t>
    <phoneticPr fontId="1" type="noConversion"/>
  </si>
  <si>
    <t>green_lbr06</t>
    <phoneticPr fontId="1" type="noConversion"/>
  </si>
  <si>
    <t>green_lbr07</t>
    <phoneticPr fontId="1" type="noConversion"/>
  </si>
  <si>
    <t>green_lbr08</t>
    <phoneticPr fontId="1" type="noConversion"/>
  </si>
  <si>
    <t>green_lbr09</t>
    <phoneticPr fontId="1" type="noConversion"/>
  </si>
  <si>
    <t>green_lbr10</t>
    <phoneticPr fontId="1" type="noConversion"/>
  </si>
  <si>
    <t>green_lbr11</t>
    <phoneticPr fontId="1" type="noConversion"/>
  </si>
  <si>
    <t>green_lbr12</t>
    <phoneticPr fontId="1" type="noConversion"/>
  </si>
  <si>
    <t>green_lbr13</t>
    <phoneticPr fontId="1" type="noConversion"/>
  </si>
  <si>
    <t>green_lbr14</t>
    <phoneticPr fontId="1" type="noConversion"/>
  </si>
  <si>
    <t>green_lbr15</t>
    <phoneticPr fontId="1" type="noConversion"/>
  </si>
  <si>
    <t>STT_TA</t>
    <phoneticPr fontId="1" type="noConversion"/>
  </si>
  <si>
    <t>솔루션</t>
    <phoneticPr fontId="1" type="noConversion"/>
  </si>
  <si>
    <t>(A)전체콜(연)</t>
    <phoneticPr fontId="1" type="noConversion"/>
  </si>
  <si>
    <t>(B)대상콜비중</t>
    <phoneticPr fontId="1" type="noConversion"/>
  </si>
  <si>
    <t>(C)전체상담시간(년)(초)</t>
    <phoneticPr fontId="1" type="noConversion"/>
  </si>
  <si>
    <t>(D)전체상담시간(일)(초)</t>
    <phoneticPr fontId="1" type="noConversion"/>
  </si>
  <si>
    <t>(E)평균콜상담시간(일)(초)</t>
    <phoneticPr fontId="1" type="noConversion"/>
  </si>
  <si>
    <t>(F)CPD(평일)</t>
    <phoneticPr fontId="1" type="noConversion"/>
  </si>
  <si>
    <t>(G)평균연봉</t>
    <phoneticPr fontId="1" type="noConversion"/>
  </si>
  <si>
    <t>(H)전체인건비</t>
    <phoneticPr fontId="1" type="noConversion"/>
  </si>
  <si>
    <t>A * E</t>
    <phoneticPr fontId="1" type="noConversion"/>
  </si>
  <si>
    <t>C / 12개월 / 21일</t>
    <phoneticPr fontId="1" type="noConversion"/>
  </si>
  <si>
    <t>H x 0.8 / 50</t>
    <phoneticPr fontId="1" type="noConversion"/>
  </si>
  <si>
    <t>(I)총감소시간</t>
    <phoneticPr fontId="1" type="noConversion"/>
  </si>
  <si>
    <t>(J)절감시간비중</t>
    <phoneticPr fontId="1" type="noConversion"/>
  </si>
  <si>
    <t>(K)효과</t>
    <phoneticPr fontId="1" type="noConversion"/>
  </si>
  <si>
    <t>(L)절감콜</t>
    <phoneticPr fontId="1" type="noConversion"/>
  </si>
  <si>
    <t>(N)금액환산</t>
    <phoneticPr fontId="1" type="noConversion"/>
  </si>
  <si>
    <t>(O)인건비감소 비중</t>
    <phoneticPr fontId="1" type="noConversion"/>
  </si>
  <si>
    <t>(P)10년효과</t>
    <phoneticPr fontId="1" type="noConversion"/>
  </si>
  <si>
    <t>D x L x M</t>
    <phoneticPr fontId="1" type="noConversion"/>
  </si>
  <si>
    <t>I / E</t>
    <phoneticPr fontId="1" type="noConversion"/>
  </si>
  <si>
    <t>L / F</t>
    <phoneticPr fontId="1" type="noConversion"/>
  </si>
  <si>
    <t>(M)상담사</t>
    <phoneticPr fontId="1" type="noConversion"/>
  </si>
  <si>
    <t>M * G</t>
    <phoneticPr fontId="1" type="noConversion"/>
  </si>
  <si>
    <t>N / J</t>
    <phoneticPr fontId="1" type="noConversion"/>
  </si>
  <si>
    <t>N * 10년</t>
    <phoneticPr fontId="1" type="noConversion"/>
  </si>
  <si>
    <t>보이는ARS</t>
    <phoneticPr fontId="1" type="noConversion"/>
  </si>
  <si>
    <t>A / 12개월 / 21일 * J  * K</t>
    <phoneticPr fontId="1" type="noConversion"/>
  </si>
  <si>
    <t>(I)셀프처리 예상건수</t>
    <phoneticPr fontId="1" type="noConversion"/>
  </si>
  <si>
    <t>(K)ARS 콜 중 셀프처리</t>
    <phoneticPr fontId="1" type="noConversion"/>
  </si>
  <si>
    <t>(J)ARS처리비중</t>
    <phoneticPr fontId="1" type="noConversion"/>
  </si>
  <si>
    <t>I / F</t>
    <phoneticPr fontId="1" type="noConversion"/>
  </si>
  <si>
    <t>A / 12개월 / 30일 * J  * K</t>
    <phoneticPr fontId="1" type="noConversion"/>
  </si>
  <si>
    <t>C / 12개월 / 30일</t>
    <phoneticPr fontId="1" type="noConversion"/>
  </si>
  <si>
    <t>상담사</t>
    <phoneticPr fontId="1" type="noConversion"/>
  </si>
  <si>
    <t>관리자</t>
    <phoneticPr fontId="1" type="noConversion"/>
  </si>
  <si>
    <t>Base</t>
    <phoneticPr fontId="1" type="noConversion"/>
  </si>
  <si>
    <t>합계</t>
    <phoneticPr fontId="1" type="noConversion"/>
  </si>
  <si>
    <t>Y2</t>
  </si>
  <si>
    <t>Y3</t>
  </si>
  <si>
    <t>Y4</t>
  </si>
  <si>
    <t>Y5</t>
  </si>
  <si>
    <t>Y6</t>
  </si>
  <si>
    <t>Y7</t>
  </si>
  <si>
    <t>Y8</t>
  </si>
  <si>
    <t>Y9</t>
  </si>
  <si>
    <t>Y10</t>
  </si>
  <si>
    <t>인력유형</t>
    <phoneticPr fontId="1" type="noConversion"/>
  </si>
  <si>
    <t>보이는ARS</t>
  </si>
  <si>
    <t>BPR</t>
    <phoneticPr fontId="1" type="noConversion"/>
  </si>
  <si>
    <t>Cost</t>
    <phoneticPr fontId="1" type="noConversion"/>
  </si>
  <si>
    <t>MA월단가</t>
    <phoneticPr fontId="1" type="noConversion"/>
  </si>
  <si>
    <t>1. Base Case</t>
    <phoneticPr fontId="1" type="noConversion"/>
  </si>
  <si>
    <t>롯데렌탈 소계</t>
    <phoneticPr fontId="1" type="noConversion"/>
  </si>
  <si>
    <t>보이스봇</t>
    <phoneticPr fontId="1" type="noConversion"/>
  </si>
  <si>
    <t>2. Cost(효과적용 전) ==&gt; KTIS 견적서</t>
    <phoneticPr fontId="1" type="noConversion"/>
  </si>
  <si>
    <t>인력수 GAP</t>
    <phoneticPr fontId="1" type="noConversion"/>
  </si>
  <si>
    <t>인건비 GAP</t>
    <phoneticPr fontId="1" type="noConversion"/>
  </si>
  <si>
    <t>3. Cost(효과적용 후) ==&gt; 솔루션효과 시트 참조</t>
    <phoneticPr fontId="1" type="noConversion"/>
  </si>
  <si>
    <t>1. Baseline</t>
    <phoneticPr fontId="1" type="noConversion"/>
  </si>
  <si>
    <t>2. 하도급견적</t>
    <phoneticPr fontId="1" type="noConversion"/>
  </si>
  <si>
    <t>인건비</t>
  </si>
  <si>
    <t>ASP</t>
    <phoneticPr fontId="1" type="noConversion"/>
  </si>
  <si>
    <t>관리비용</t>
    <phoneticPr fontId="1" type="noConversion"/>
  </si>
  <si>
    <t>BASE</t>
    <phoneticPr fontId="1" type="noConversion"/>
  </si>
  <si>
    <t>COST</t>
    <phoneticPr fontId="1" type="noConversion"/>
  </si>
  <si>
    <t>수행비용</t>
  </si>
  <si>
    <t>구축</t>
    <phoneticPr fontId="1" type="noConversion"/>
  </si>
  <si>
    <t>BPO</t>
  </si>
  <si>
    <t>직접경비</t>
  </si>
  <si>
    <t>BPO PM</t>
    <phoneticPr fontId="1" type="noConversion"/>
  </si>
  <si>
    <t>렌탈비</t>
  </si>
  <si>
    <t>보고회</t>
  </si>
  <si>
    <t>교육비</t>
  </si>
  <si>
    <t>인쇄비</t>
  </si>
  <si>
    <t>수행출장비(국내)</t>
  </si>
  <si>
    <t>수행활동비</t>
  </si>
  <si>
    <t>구축 PM</t>
    <phoneticPr fontId="1" type="noConversion"/>
  </si>
  <si>
    <t>구축 PL</t>
    <phoneticPr fontId="1" type="noConversion"/>
  </si>
  <si>
    <t xml:space="preserve">노트북(구축인력 1명 X 10개월) </t>
  </si>
  <si>
    <t>노트북(BPO인력 1명 * 120개월)</t>
  </si>
  <si>
    <t>구축 보고회(착수, 중간, 완료)</t>
  </si>
  <si>
    <t>구축 완료 후 고객담당자 대상(완료 전 2회)</t>
  </si>
  <si>
    <t>BPO 보고회(연 2회 + 운영종료보고 = 총 20회,)</t>
  </si>
  <si>
    <t>운영기간 중 솔루션 교육비(연 1회)</t>
  </si>
  <si>
    <t>구축기간 중 소요비용</t>
  </si>
  <si>
    <t>BPO 인쇄비</t>
  </si>
  <si>
    <t>주 2회</t>
  </si>
  <si>
    <t>PM</t>
  </si>
  <si>
    <t>차장</t>
  </si>
  <si>
    <t>KT</t>
    <phoneticPr fontId="1" type="noConversion"/>
  </si>
  <si>
    <t>투입기간</t>
    <phoneticPr fontId="1" type="noConversion"/>
  </si>
  <si>
    <t>공백기간</t>
    <phoneticPr fontId="1" type="noConversion"/>
  </si>
  <si>
    <t>월비용</t>
    <phoneticPr fontId="1" type="noConversion"/>
  </si>
  <si>
    <t>수행비용</t>
    <phoneticPr fontId="1" type="noConversion"/>
  </si>
  <si>
    <t>일반경비</t>
  </si>
  <si>
    <t>수행총액</t>
    <phoneticPr fontId="1" type="noConversion"/>
  </si>
  <si>
    <t>수행01</t>
    <phoneticPr fontId="1" type="noConversion"/>
  </si>
  <si>
    <t>수행02</t>
  </si>
  <si>
    <t>수행03</t>
  </si>
  <si>
    <t>수행04</t>
  </si>
  <si>
    <t>수행05</t>
  </si>
  <si>
    <t>수행06</t>
  </si>
  <si>
    <t>수행07</t>
  </si>
  <si>
    <t>수행08</t>
  </si>
  <si>
    <t>수행09</t>
  </si>
  <si>
    <t>수행10</t>
  </si>
  <si>
    <t>수행11</t>
  </si>
  <si>
    <t>수행12</t>
  </si>
  <si>
    <t>수행13</t>
  </si>
  <si>
    <t>식</t>
  </si>
  <si>
    <t>식</t>
    <phoneticPr fontId="1" type="noConversion"/>
  </si>
  <si>
    <t>Web Voice 계정 가입비</t>
  </si>
  <si>
    <t>Web Voice 계정 가입비(최초 1회 영구)</t>
  </si>
  <si>
    <t>Voice Data Link License</t>
  </si>
  <si>
    <t>Voice Data Link License (채널덩 라이선스 영구)</t>
  </si>
  <si>
    <t>Web Voice License</t>
  </si>
  <si>
    <t>Voice GW Link License</t>
  </si>
  <si>
    <t>SDK 포팅</t>
  </si>
  <si>
    <t>보이는 ARS SDK 포팅 라이선스</t>
  </si>
  <si>
    <t>IVR 라이선스</t>
  </si>
  <si>
    <t>SE Server License</t>
  </si>
  <si>
    <t xml:space="preserve">Phone App Interface Server License </t>
  </si>
  <si>
    <t>IVR Interface Server License</t>
  </si>
  <si>
    <t>IVR Interface Channel License(multi channel)</t>
  </si>
  <si>
    <t>Report License</t>
  </si>
  <si>
    <t>Monitoring License (for Server)</t>
  </si>
  <si>
    <t>MA</t>
  </si>
  <si>
    <t>보이는ARS Renewal license</t>
  </si>
  <si>
    <t>보이는 ARS Renewal license</t>
  </si>
  <si>
    <t>개월</t>
  </si>
  <si>
    <t>개발</t>
  </si>
  <si>
    <t>Web Voice 화면 기획/개발 PL</t>
  </si>
  <si>
    <t>고급기술자</t>
  </si>
  <si>
    <t>MM</t>
  </si>
  <si>
    <t>화면 UI 개발</t>
  </si>
  <si>
    <t>중급기술자</t>
  </si>
  <si>
    <t>화면 디자인 및 퍼블리싱</t>
  </si>
  <si>
    <t>기간계 시스템 연동 개발</t>
  </si>
  <si>
    <t>보이는 ARS 시스템 연동 개발</t>
  </si>
  <si>
    <t>시나리오 개발</t>
  </si>
  <si>
    <t>AICC 솔루션운영</t>
  </si>
  <si>
    <t>ARS 운영</t>
  </si>
  <si>
    <t>HW</t>
  </si>
  <si>
    <t>WEBGW</t>
  </si>
  <si>
    <t xml:space="preserve">Dell R640 </t>
  </si>
  <si>
    <t>Xeon Gold 6134 3.2Ghz 1P 8core, 64GB, 300GB SAS 15k *2, 1G 4P Onboard NIC, 1G 2P NIC *2, 495W AC PS *2</t>
  </si>
  <si>
    <t>DellEMC</t>
  </si>
  <si>
    <t>도연시스템즈</t>
  </si>
  <si>
    <t>set</t>
  </si>
  <si>
    <t>WAS</t>
  </si>
  <si>
    <t>DB</t>
  </si>
  <si>
    <t>Xeon Gold 6134 3.2Ghz 1P 8core, 64GB, 300GB SAS 15k *2, 1G 4P Onboard NIC, 1G 2P NIC *2, 16G 2P HBA*2, 495W AC PS *2</t>
  </si>
  <si>
    <t>공통 / 통합 스토리지</t>
  </si>
  <si>
    <t>EMC UNITY 380</t>
  </si>
  <si>
    <t>Usable 2TB</t>
  </si>
  <si>
    <t>공통  / OS</t>
  </si>
  <si>
    <t>RH00004</t>
  </si>
  <si>
    <t>Red Hat Enterprise Linux Server, Standard (Physical or Virtual Nodes) 1year</t>
  </si>
  <si>
    <t>Redhat</t>
  </si>
  <si>
    <t>Lic</t>
  </si>
  <si>
    <t>공통 / OS 설치 지원</t>
  </si>
  <si>
    <t>DYS_OS</t>
  </si>
  <si>
    <t>Linux 설치 비용</t>
  </si>
  <si>
    <t>공통 / Infrastructure Support</t>
  </si>
  <si>
    <t>DYS_Infra</t>
  </si>
  <si>
    <t>Premium Support for Infrastructure 
(Included Network Cable Implement)</t>
  </si>
  <si>
    <t>M/M</t>
  </si>
  <si>
    <t>보이는 ARS / VPN</t>
  </si>
  <si>
    <t>FortiGate 200E</t>
  </si>
  <si>
    <t>threat : 1.2Gbps, SSL Thrioughput Inspection : 1Gbps</t>
  </si>
  <si>
    <t>Fortinet</t>
  </si>
  <si>
    <t>TEST Server</t>
  </si>
  <si>
    <t>Xeon Silver 4208 2.1Ghz 1P 8core, 16GB, 300GB SAS 15k *2, 1G 4P Onboard NIC, 495W AC PS *2</t>
  </si>
  <si>
    <t>SW</t>
  </si>
  <si>
    <t>HA Solution</t>
  </si>
  <si>
    <t>MCCS-LD</t>
  </si>
  <si>
    <t>Mantech Continuous Cluster Server</t>
  </si>
  <si>
    <t>Mantech</t>
  </si>
  <si>
    <t>DB암호화</t>
  </si>
  <si>
    <t>Cube-one</t>
  </si>
  <si>
    <t>펜타시큐리티</t>
  </si>
  <si>
    <t>서버 보안</t>
  </si>
  <si>
    <t>DHCM</t>
  </si>
  <si>
    <t>서버 보안 중앙관리 도구</t>
  </si>
  <si>
    <t>DONGHOON Itech</t>
  </si>
  <si>
    <t xml:space="preserve">DB 접근제어 </t>
  </si>
  <si>
    <t xml:space="preserve">Petra V4.1 </t>
  </si>
  <si>
    <t>DBMS Server #1, #2 _ 보안서버 별도</t>
  </si>
  <si>
    <t>Sinsiway</t>
  </si>
  <si>
    <t>인건비 총액</t>
    <phoneticPr fontId="1" type="noConversion"/>
  </si>
  <si>
    <t>구축합계</t>
    <phoneticPr fontId="1" type="noConversion"/>
  </si>
  <si>
    <t>MA합계</t>
    <phoneticPr fontId="1" type="noConversion"/>
  </si>
  <si>
    <t>총계</t>
    <phoneticPr fontId="1" type="noConversion"/>
  </si>
  <si>
    <t>개발</t>
    <phoneticPr fontId="1" type="noConversion"/>
  </si>
  <si>
    <t>라이선스</t>
    <phoneticPr fontId="1" type="noConversion"/>
  </si>
  <si>
    <t>HW</t>
    <phoneticPr fontId="1" type="noConversion"/>
  </si>
  <si>
    <t>SW</t>
    <phoneticPr fontId="1" type="noConversion"/>
  </si>
  <si>
    <t>운영</t>
    <phoneticPr fontId="1" type="noConversion"/>
  </si>
  <si>
    <t>MA</t>
    <phoneticPr fontId="1" type="noConversion"/>
  </si>
  <si>
    <t>인프라</t>
    <phoneticPr fontId="1" type="noConversion"/>
  </si>
  <si>
    <t>협력사</t>
    <phoneticPr fontId="1" type="noConversion"/>
  </si>
  <si>
    <t>구축 소계</t>
    <phoneticPr fontId="1" type="noConversion"/>
  </si>
  <si>
    <t>운영 소계</t>
    <phoneticPr fontId="1" type="noConversion"/>
  </si>
  <si>
    <t>MA 소계</t>
    <phoneticPr fontId="1" type="noConversion"/>
  </si>
  <si>
    <t>KTH</t>
    <phoneticPr fontId="1" type="noConversion"/>
  </si>
  <si>
    <t>도연시스템즈</t>
    <phoneticPr fontId="1" type="noConversion"/>
  </si>
  <si>
    <t>HOME</t>
    <phoneticPr fontId="1" type="noConversion"/>
  </si>
  <si>
    <t>AICC 비용산정 목차</t>
    <phoneticPr fontId="1" type="noConversion"/>
  </si>
  <si>
    <t>1. 솔루션효과</t>
    <phoneticPr fontId="1" type="noConversion"/>
  </si>
  <si>
    <t>2. 콜수</t>
    <phoneticPr fontId="1" type="noConversion"/>
  </si>
  <si>
    <t>2. CPD</t>
    <phoneticPr fontId="1" type="noConversion"/>
  </si>
  <si>
    <t>합계/평균</t>
    <phoneticPr fontId="1" type="noConversion"/>
  </si>
  <si>
    <t>인력규모</t>
    <phoneticPr fontId="1" type="noConversion"/>
  </si>
  <si>
    <t>1. 제안 인원수</t>
    <phoneticPr fontId="1" type="noConversion"/>
  </si>
  <si>
    <t>2. 제안금액(솔루션 효과적용)</t>
    <phoneticPr fontId="1" type="noConversion"/>
  </si>
  <si>
    <t>12개월</t>
  </si>
  <si>
    <t>12개월</t>
    <phoneticPr fontId="1" type="noConversion"/>
  </si>
  <si>
    <t>0개월</t>
    <phoneticPr fontId="1" type="noConversion"/>
  </si>
  <si>
    <t>1. 인건비_요약</t>
    <phoneticPr fontId="1" type="noConversion"/>
  </si>
  <si>
    <t>2. 구축비_요약</t>
    <phoneticPr fontId="1" type="noConversion"/>
  </si>
  <si>
    <t>3. 수행비_요약</t>
    <phoneticPr fontId="1" type="noConversion"/>
  </si>
  <si>
    <t>참조시트</t>
    <phoneticPr fontId="1" type="noConversion"/>
  </si>
  <si>
    <t>■ 전체 요약</t>
    <phoneticPr fontId="1" type="noConversion"/>
  </si>
  <si>
    <t>■ 인건비 요약</t>
    <phoneticPr fontId="1" type="noConversion"/>
  </si>
  <si>
    <t>■ 구축비용 요약</t>
    <phoneticPr fontId="1" type="noConversion"/>
  </si>
  <si>
    <t>■ 수행비용 요약</t>
    <phoneticPr fontId="1" type="noConversion"/>
  </si>
  <si>
    <t>■ Baseline 정리</t>
    <phoneticPr fontId="1" type="noConversion"/>
  </si>
  <si>
    <t>■ 견적정리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</si>
</sst>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1" formatCode="_-* #,##0_-;\-* #,##0_-;_-* &quot;-&quot;_-;_-@_-"/>
    <numFmt numFmtId="43" formatCode="_-* #,##0.00_-;\-* #,##0.00_-;_-* &quot;-&quot;??_-;_-@_-"/>
    <numFmt numFmtId="176" formatCode="#,##0_);[Red]\(#,##0\)"/>
    <numFmt numFmtId="177" formatCode="#,##0.0_);[Red]\(#,##0.0\)"/>
    <numFmt numFmtId="178" formatCode="#,##0.0"/>
    <numFmt numFmtId="179" formatCode="0.0%"/>
    <numFmt numFmtId="180" formatCode="_-* #,##0_-;\-* #,##0_-;_-* &quot;-&quot;??_-;_-@_-"/>
    <numFmt numFmtId="181" formatCode="_-* #,##0.00_-;\-* #,##0.00_-;_-* &quot;-&quot;_-;_-@_-"/>
  </numFmts>
  <fonts count="29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9"/>
      <color rgb="FFFF0000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22"/>
      <color theme="1"/>
      <name val="맑은 고딕"/>
      <family val="3"/>
      <charset val="129"/>
      <scheme val="minor"/>
    </font>
    <font>
      <sz val="9"/>
      <color theme="0" tint="-0.14999847407452621"/>
      <name val="맑은 고딕"/>
      <family val="3"/>
      <charset val="129"/>
      <scheme val="minor"/>
    </font>
    <font>
      <b/>
      <sz val="24"/>
      <color theme="1"/>
      <name val="맑은 고딕"/>
      <family val="3"/>
      <charset val="129"/>
      <scheme val="minor"/>
    </font>
    <font>
      <b/>
      <sz val="20"/>
      <color theme="1"/>
      <name val="맑은 고딕"/>
      <family val="3"/>
      <charset val="129"/>
      <scheme val="minor"/>
    </font>
    <font>
      <b/>
      <sz val="14"/>
      <color rgb="FFC00000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u/>
      <sz val="11"/>
      <color theme="0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9"/>
      <color rgb="FFFF0000"/>
      <name val="맑은 고딕"/>
      <family val="3"/>
      <charset val="129"/>
      <scheme val="minor"/>
    </font>
    <font>
      <sz val="9"/>
      <color rgb="FFFF0000"/>
      <name val="맑은 고딕"/>
      <family val="3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b/>
      <sz val="22"/>
      <color theme="0"/>
      <name val="맑은 고딕"/>
      <family val="3"/>
      <charset val="129"/>
      <scheme val="minor"/>
    </font>
    <font>
      <b/>
      <sz val="14"/>
      <name val="맑은 고딕"/>
      <family val="3"/>
      <charset val="129"/>
      <scheme val="minor"/>
    </font>
    <font>
      <sz val="14"/>
      <color theme="1"/>
      <name val="맑은 고딕"/>
      <family val="3"/>
      <charset val="129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</fills>
  <borders count="32">
    <border>
      <left/>
      <right/>
      <top/>
      <bottom/>
      <diagonal/>
    </border>
    <border>
      <left style="dotted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indexed="64"/>
      </bottom>
      <diagonal/>
    </border>
    <border>
      <left style="dotted">
        <color auto="1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auto="1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auto="1"/>
      </right>
      <top/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auto="1"/>
      </right>
      <top style="medium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auto="1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tted">
        <color auto="1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auto="1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auto="1"/>
      </right>
      <top/>
      <bottom style="dotted">
        <color indexed="64"/>
      </bottom>
      <diagonal/>
    </border>
    <border>
      <left style="dotted">
        <color indexed="64"/>
      </left>
      <right style="medium">
        <color indexed="64"/>
      </right>
      <top/>
      <bottom style="dotted">
        <color indexed="64"/>
      </bottom>
      <diagonal/>
    </border>
    <border>
      <left style="medium">
        <color indexed="64"/>
      </left>
      <right style="dotted">
        <color auto="1"/>
      </right>
      <top style="dotted">
        <color indexed="64"/>
      </top>
      <bottom style="dotted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/>
      <bottom style="dotted">
        <color auto="1"/>
      </bottom>
      <diagonal/>
    </border>
    <border>
      <left style="medium">
        <color indexed="64"/>
      </left>
      <right style="dotted">
        <color auto="1"/>
      </right>
      <top style="medium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auto="1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tted">
        <color auto="1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auto="1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auto="1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auto="1"/>
      </right>
      <top/>
      <bottom style="dotted">
        <color indexed="64"/>
      </bottom>
      <diagonal/>
    </border>
    <border>
      <left style="medium">
        <color indexed="64"/>
      </left>
      <right style="dotted">
        <color auto="1"/>
      </right>
      <top/>
      <bottom style="dotted">
        <color indexed="64"/>
      </bottom>
      <diagonal/>
    </border>
    <border>
      <left style="medium">
        <color indexed="64"/>
      </left>
      <right style="dotted">
        <color auto="1"/>
      </right>
      <top style="dotted">
        <color indexed="64"/>
      </top>
      <bottom style="dotted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double">
        <color indexed="64"/>
      </bottom>
      <diagonal/>
    </border>
  </borders>
  <cellStyleXfs count="4">
    <xf numFmtId="0" fontId="0" fillId="0" borderId="0">
      <alignment vertical="center"/>
    </xf>
    <xf numFmtId="41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</cellStyleXfs>
  <cellXfs count="217">
    <xf numFmtId="0" fontId="0" fillId="0" borderId="0" xfId="0">
      <alignment vertical="center"/>
    </xf>
    <xf numFmtId="0" fontId="5" fillId="0" borderId="0" xfId="0" applyFont="1">
      <alignment vertical="center"/>
    </xf>
    <xf numFmtId="0" fontId="7" fillId="0" borderId="0" xfId="0" applyFont="1">
      <alignment vertical="center"/>
    </xf>
    <xf numFmtId="0" fontId="7" fillId="0" borderId="0" xfId="0" applyFont="1" applyAlignment="1">
      <alignment horizontal="center" vertical="center"/>
    </xf>
    <xf numFmtId="41" fontId="0" fillId="0" borderId="0" xfId="1" applyFont="1">
      <alignment vertical="center"/>
    </xf>
    <xf numFmtId="0" fontId="0" fillId="0" borderId="2" xfId="0" applyBorder="1">
      <alignment vertical="center"/>
    </xf>
    <xf numFmtId="0" fontId="6" fillId="0" borderId="2" xfId="0" quotePrefix="1" applyFont="1" applyBorder="1" applyAlignment="1">
      <alignment horizontal="left" vertical="center"/>
    </xf>
    <xf numFmtId="0" fontId="0" fillId="3" borderId="2" xfId="0" applyFill="1" applyBorder="1" applyAlignment="1">
      <alignment horizontal="center" vertical="center"/>
    </xf>
    <xf numFmtId="0" fontId="6" fillId="0" borderId="2" xfId="0" applyFont="1" applyBorder="1">
      <alignment vertical="center"/>
    </xf>
    <xf numFmtId="0" fontId="0" fillId="3" borderId="3" xfId="0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>
      <alignment vertical="center"/>
    </xf>
    <xf numFmtId="0" fontId="2" fillId="0" borderId="2" xfId="0" quotePrefix="1" applyFont="1" applyBorder="1" applyAlignment="1">
      <alignment horizontal="left" vertical="center"/>
    </xf>
    <xf numFmtId="0" fontId="2" fillId="8" borderId="2" xfId="0" applyFont="1" applyFill="1" applyBorder="1">
      <alignment vertical="center"/>
    </xf>
    <xf numFmtId="176" fontId="2" fillId="0" borderId="2" xfId="0" applyNumberFormat="1" applyFont="1" applyBorder="1" applyAlignment="1">
      <alignment vertical="center" shrinkToFit="1"/>
    </xf>
    <xf numFmtId="177" fontId="6" fillId="0" borderId="2" xfId="0" quotePrefix="1" applyNumberFormat="1" applyFont="1" applyBorder="1" applyAlignment="1">
      <alignment vertical="center" shrinkToFit="1"/>
    </xf>
    <xf numFmtId="177" fontId="0" fillId="0" borderId="2" xfId="0" applyNumberFormat="1" applyBorder="1" applyAlignment="1">
      <alignment vertical="center" shrinkToFit="1"/>
    </xf>
    <xf numFmtId="41" fontId="7" fillId="0" borderId="4" xfId="1" applyFont="1" applyBorder="1">
      <alignment vertical="center"/>
    </xf>
    <xf numFmtId="9" fontId="7" fillId="0" borderId="4" xfId="0" applyNumberFormat="1" applyFont="1" applyBorder="1">
      <alignment vertical="center"/>
    </xf>
    <xf numFmtId="43" fontId="7" fillId="0" borderId="4" xfId="0" applyNumberFormat="1" applyFont="1" applyBorder="1">
      <alignment vertical="center"/>
    </xf>
    <xf numFmtId="0" fontId="7" fillId="0" borderId="4" xfId="0" applyFont="1" applyBorder="1">
      <alignment vertical="center"/>
    </xf>
    <xf numFmtId="0" fontId="7" fillId="5" borderId="4" xfId="0" applyFont="1" applyFill="1" applyBorder="1" applyAlignment="1">
      <alignment horizontal="center" vertical="center"/>
    </xf>
    <xf numFmtId="43" fontId="7" fillId="0" borderId="0" xfId="0" applyNumberFormat="1" applyFont="1" applyAlignment="1">
      <alignment horizontal="center" vertical="center"/>
    </xf>
    <xf numFmtId="179" fontId="7" fillId="0" borderId="4" xfId="2" applyNumberFormat="1" applyFont="1" applyBorder="1">
      <alignment vertical="center"/>
    </xf>
    <xf numFmtId="180" fontId="7" fillId="0" borderId="4" xfId="0" applyNumberFormat="1" applyFont="1" applyBorder="1">
      <alignment vertical="center"/>
    </xf>
    <xf numFmtId="41" fontId="7" fillId="0" borderId="0" xfId="1" applyFont="1" applyBorder="1">
      <alignment vertical="center"/>
    </xf>
    <xf numFmtId="9" fontId="7" fillId="0" borderId="0" xfId="0" applyNumberFormat="1" applyFont="1" applyBorder="1">
      <alignment vertical="center"/>
    </xf>
    <xf numFmtId="43" fontId="7" fillId="0" borderId="0" xfId="0" applyNumberFormat="1" applyFont="1" applyBorder="1">
      <alignment vertical="center"/>
    </xf>
    <xf numFmtId="179" fontId="7" fillId="0" borderId="0" xfId="2" applyNumberFormat="1" applyFont="1" applyBorder="1">
      <alignment vertical="center"/>
    </xf>
    <xf numFmtId="0" fontId="7" fillId="0" borderId="0" xfId="0" applyFont="1" applyBorder="1">
      <alignment vertical="center"/>
    </xf>
    <xf numFmtId="0" fontId="2" fillId="9" borderId="2" xfId="0" applyFont="1" applyFill="1" applyBorder="1">
      <alignment vertical="center"/>
    </xf>
    <xf numFmtId="0" fontId="2" fillId="9" borderId="2" xfId="0" quotePrefix="1" applyFont="1" applyFill="1" applyBorder="1" applyAlignment="1">
      <alignment horizontal="left" vertical="center"/>
    </xf>
    <xf numFmtId="176" fontId="2" fillId="9" borderId="2" xfId="0" applyNumberFormat="1" applyFont="1" applyFill="1" applyBorder="1" applyAlignment="1">
      <alignment vertical="center" shrinkToFit="1"/>
    </xf>
    <xf numFmtId="177" fontId="2" fillId="9" borderId="2" xfId="0" applyNumberFormat="1" applyFont="1" applyFill="1" applyBorder="1" applyAlignment="1">
      <alignment vertical="center" shrinkToFit="1"/>
    </xf>
    <xf numFmtId="0" fontId="2" fillId="10" borderId="2" xfId="0" applyFont="1" applyFill="1" applyBorder="1">
      <alignment vertical="center"/>
    </xf>
    <xf numFmtId="0" fontId="2" fillId="10" borderId="2" xfId="0" quotePrefix="1" applyFont="1" applyFill="1" applyBorder="1" applyAlignment="1">
      <alignment horizontal="left" vertical="center"/>
    </xf>
    <xf numFmtId="176" fontId="2" fillId="10" borderId="2" xfId="0" applyNumberFormat="1" applyFont="1" applyFill="1" applyBorder="1" applyAlignment="1">
      <alignment vertical="center" shrinkToFit="1"/>
    </xf>
    <xf numFmtId="177" fontId="2" fillId="10" borderId="2" xfId="0" applyNumberFormat="1" applyFont="1" applyFill="1" applyBorder="1" applyAlignment="1">
      <alignment vertical="center" shrinkToFit="1"/>
    </xf>
    <xf numFmtId="179" fontId="7" fillId="3" borderId="4" xfId="2" applyNumberFormat="1" applyFont="1" applyFill="1" applyBorder="1">
      <alignment vertical="center"/>
    </xf>
    <xf numFmtId="10" fontId="7" fillId="3" borderId="4" xfId="0" applyNumberFormat="1" applyFont="1" applyFill="1" applyBorder="1">
      <alignment vertical="center"/>
    </xf>
    <xf numFmtId="3" fontId="0" fillId="0" borderId="0" xfId="0" applyNumberFormat="1">
      <alignment vertical="center"/>
    </xf>
    <xf numFmtId="179" fontId="7" fillId="0" borderId="0" xfId="2" applyNumberFormat="1" applyFont="1">
      <alignment vertical="center"/>
    </xf>
    <xf numFmtId="41" fontId="7" fillId="0" borderId="4" xfId="0" applyNumberFormat="1" applyFont="1" applyBorder="1">
      <alignment vertical="center"/>
    </xf>
    <xf numFmtId="0" fontId="2" fillId="0" borderId="7" xfId="0" applyFont="1" applyBorder="1">
      <alignment vertical="center"/>
    </xf>
    <xf numFmtId="3" fontId="2" fillId="0" borderId="7" xfId="0" applyNumberFormat="1" applyFont="1" applyBorder="1">
      <alignment vertical="center"/>
    </xf>
    <xf numFmtId="3" fontId="2" fillId="6" borderId="7" xfId="0" applyNumberFormat="1" applyFont="1" applyFill="1" applyBorder="1">
      <alignment vertical="center"/>
    </xf>
    <xf numFmtId="9" fontId="2" fillId="0" borderId="7" xfId="0" applyNumberFormat="1" applyFont="1" applyBorder="1">
      <alignment vertical="center"/>
    </xf>
    <xf numFmtId="41" fontId="2" fillId="0" borderId="7" xfId="1" applyNumberFormat="1" applyFont="1" applyBorder="1">
      <alignment vertical="center"/>
    </xf>
    <xf numFmtId="0" fontId="2" fillId="0" borderId="8" xfId="0" applyFont="1" applyBorder="1">
      <alignment vertical="center"/>
    </xf>
    <xf numFmtId="3" fontId="2" fillId="0" borderId="8" xfId="0" applyNumberFormat="1" applyFont="1" applyBorder="1">
      <alignment vertical="center"/>
    </xf>
    <xf numFmtId="3" fontId="2" fillId="6" borderId="8" xfId="0" applyNumberFormat="1" applyFont="1" applyFill="1" applyBorder="1">
      <alignment vertical="center"/>
    </xf>
    <xf numFmtId="9" fontId="2" fillId="0" borderId="8" xfId="0" applyNumberFormat="1" applyFont="1" applyBorder="1">
      <alignment vertical="center"/>
    </xf>
    <xf numFmtId="41" fontId="2" fillId="0" borderId="8" xfId="1" applyNumberFormat="1" applyFont="1" applyBorder="1">
      <alignment vertical="center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3" fontId="0" fillId="0" borderId="7" xfId="0" applyNumberFormat="1" applyBorder="1">
      <alignment vertical="center"/>
    </xf>
    <xf numFmtId="3" fontId="0" fillId="0" borderId="8" xfId="0" applyNumberFormat="1" applyBorder="1">
      <alignment vertical="center"/>
    </xf>
    <xf numFmtId="0" fontId="4" fillId="5" borderId="1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9" fillId="11" borderId="4" xfId="0" applyFont="1" applyFill="1" applyBorder="1" applyAlignment="1">
      <alignment horizontal="center" vertical="center"/>
    </xf>
    <xf numFmtId="0" fontId="4" fillId="7" borderId="11" xfId="0" applyFont="1" applyFill="1" applyBorder="1" applyAlignment="1">
      <alignment horizontal="center" vertical="center"/>
    </xf>
    <xf numFmtId="0" fontId="0" fillId="0" borderId="12" xfId="0" applyFont="1" applyFill="1" applyBorder="1">
      <alignment vertical="center"/>
    </xf>
    <xf numFmtId="0" fontId="0" fillId="0" borderId="13" xfId="0" applyFont="1" applyFill="1" applyBorder="1">
      <alignment vertical="center"/>
    </xf>
    <xf numFmtId="178" fontId="0" fillId="0" borderId="13" xfId="0" applyNumberFormat="1" applyFont="1" applyFill="1" applyBorder="1">
      <alignment vertical="center"/>
    </xf>
    <xf numFmtId="3" fontId="0" fillId="0" borderId="13" xfId="0" applyNumberFormat="1" applyFont="1" applyFill="1" applyBorder="1">
      <alignment vertical="center"/>
    </xf>
    <xf numFmtId="9" fontId="0" fillId="0" borderId="13" xfId="0" applyNumberFormat="1" applyFont="1" applyFill="1" applyBorder="1">
      <alignment vertical="center"/>
    </xf>
    <xf numFmtId="3" fontId="0" fillId="0" borderId="13" xfId="0" applyNumberFormat="1" applyBorder="1">
      <alignment vertical="center"/>
    </xf>
    <xf numFmtId="0" fontId="0" fillId="0" borderId="13" xfId="0" applyBorder="1">
      <alignment vertical="center"/>
    </xf>
    <xf numFmtId="3" fontId="0" fillId="0" borderId="5" xfId="0" applyNumberFormat="1" applyBorder="1">
      <alignment vertical="center"/>
    </xf>
    <xf numFmtId="0" fontId="0" fillId="0" borderId="7" xfId="0" applyFont="1" applyFill="1" applyBorder="1">
      <alignment vertical="center"/>
    </xf>
    <xf numFmtId="178" fontId="0" fillId="0" borderId="7" xfId="0" applyNumberFormat="1" applyFont="1" applyFill="1" applyBorder="1">
      <alignment vertical="center"/>
    </xf>
    <xf numFmtId="3" fontId="0" fillId="0" borderId="7" xfId="0" applyNumberFormat="1" applyFont="1" applyFill="1" applyBorder="1">
      <alignment vertical="center"/>
    </xf>
    <xf numFmtId="9" fontId="0" fillId="0" borderId="7" xfId="0" applyNumberFormat="1" applyFont="1" applyFill="1" applyBorder="1">
      <alignment vertical="center"/>
    </xf>
    <xf numFmtId="0" fontId="0" fillId="0" borderId="7" xfId="0" applyBorder="1">
      <alignment vertical="center"/>
    </xf>
    <xf numFmtId="0" fontId="6" fillId="0" borderId="7" xfId="0" applyFont="1" applyFill="1" applyBorder="1">
      <alignment vertical="center"/>
    </xf>
    <xf numFmtId="0" fontId="0" fillId="0" borderId="8" xfId="0" applyFont="1" applyFill="1" applyBorder="1">
      <alignment vertical="center"/>
    </xf>
    <xf numFmtId="178" fontId="0" fillId="0" borderId="8" xfId="0" applyNumberFormat="1" applyFont="1" applyFill="1" applyBorder="1">
      <alignment vertical="center"/>
    </xf>
    <xf numFmtId="3" fontId="0" fillId="0" borderId="8" xfId="0" applyNumberFormat="1" applyFont="1" applyFill="1" applyBorder="1">
      <alignment vertical="center"/>
    </xf>
    <xf numFmtId="9" fontId="0" fillId="0" borderId="8" xfId="0" applyNumberFormat="1" applyFont="1" applyFill="1" applyBorder="1">
      <alignment vertical="center"/>
    </xf>
    <xf numFmtId="41" fontId="0" fillId="0" borderId="8" xfId="1" applyNumberFormat="1" applyFont="1" applyFill="1" applyBorder="1">
      <alignment vertical="center"/>
    </xf>
    <xf numFmtId="0" fontId="0" fillId="0" borderId="8" xfId="0" applyBorder="1">
      <alignment vertical="center"/>
    </xf>
    <xf numFmtId="0" fontId="0" fillId="0" borderId="14" xfId="0" applyFont="1" applyFill="1" applyBorder="1">
      <alignment vertical="center"/>
    </xf>
    <xf numFmtId="3" fontId="0" fillId="0" borderId="15" xfId="0" applyNumberFormat="1" applyBorder="1">
      <alignment vertical="center"/>
    </xf>
    <xf numFmtId="0" fontId="0" fillId="0" borderId="16" xfId="0" applyFont="1" applyFill="1" applyBorder="1">
      <alignment vertical="center"/>
    </xf>
    <xf numFmtId="3" fontId="0" fillId="0" borderId="6" xfId="0" applyNumberFormat="1" applyBorder="1">
      <alignment vertical="center"/>
    </xf>
    <xf numFmtId="0" fontId="7" fillId="0" borderId="17" xfId="0" applyFont="1" applyBorder="1">
      <alignment vertical="center"/>
    </xf>
    <xf numFmtId="41" fontId="7" fillId="0" borderId="17" xfId="0" applyNumberFormat="1" applyFont="1" applyBorder="1">
      <alignment vertical="center"/>
    </xf>
    <xf numFmtId="3" fontId="4" fillId="5" borderId="11" xfId="0" applyNumberFormat="1" applyFont="1" applyFill="1" applyBorder="1" applyAlignment="1">
      <alignment horizontal="center" vertical="center"/>
    </xf>
    <xf numFmtId="3" fontId="4" fillId="3" borderId="11" xfId="1" applyNumberFormat="1" applyFont="1" applyFill="1" applyBorder="1" applyAlignment="1">
      <alignment horizontal="center" vertical="center"/>
    </xf>
    <xf numFmtId="3" fontId="4" fillId="2" borderId="11" xfId="1" applyNumberFormat="1" applyFont="1" applyFill="1" applyBorder="1" applyAlignment="1">
      <alignment horizontal="center" vertical="center"/>
    </xf>
    <xf numFmtId="3" fontId="4" fillId="5" borderId="11" xfId="1" applyNumberFormat="1" applyFont="1" applyFill="1" applyBorder="1" applyAlignment="1">
      <alignment horizontal="center" vertical="center"/>
    </xf>
    <xf numFmtId="3" fontId="4" fillId="5" borderId="1" xfId="1" applyNumberFormat="1" applyFont="1" applyFill="1" applyBorder="1" applyAlignment="1">
      <alignment horizontal="center" vertical="center"/>
    </xf>
    <xf numFmtId="3" fontId="4" fillId="6" borderId="9" xfId="1" applyNumberFormat="1" applyFont="1" applyFill="1" applyBorder="1" applyAlignment="1">
      <alignment horizontal="center" vertical="center"/>
    </xf>
    <xf numFmtId="3" fontId="4" fillId="2" borderId="18" xfId="1" applyNumberFormat="1" applyFont="1" applyFill="1" applyBorder="1" applyAlignment="1">
      <alignment horizontal="center" vertical="center"/>
    </xf>
    <xf numFmtId="3" fontId="4" fillId="2" borderId="19" xfId="1" applyNumberFormat="1" applyFont="1" applyFill="1" applyBorder="1" applyAlignment="1">
      <alignment horizontal="center" vertical="center"/>
    </xf>
    <xf numFmtId="3" fontId="4" fillId="5" borderId="19" xfId="1" applyNumberFormat="1" applyFont="1" applyFill="1" applyBorder="1" applyAlignment="1">
      <alignment horizontal="center" vertical="center"/>
    </xf>
    <xf numFmtId="3" fontId="4" fillId="5" borderId="20" xfId="1" applyNumberFormat="1" applyFont="1" applyFill="1" applyBorder="1" applyAlignment="1">
      <alignment horizontal="center" vertical="center"/>
    </xf>
    <xf numFmtId="176" fontId="2" fillId="0" borderId="3" xfId="0" applyNumberFormat="1" applyFont="1" applyFill="1" applyBorder="1" applyAlignment="1">
      <alignment vertical="center" shrinkToFit="1"/>
    </xf>
    <xf numFmtId="0" fontId="7" fillId="12" borderId="4" xfId="0" applyFont="1" applyFill="1" applyBorder="1" applyAlignment="1">
      <alignment horizontal="centerContinuous" vertical="center"/>
    </xf>
    <xf numFmtId="41" fontId="7" fillId="12" borderId="4" xfId="0" applyNumberFormat="1" applyFont="1" applyFill="1" applyBorder="1">
      <alignment vertical="center"/>
    </xf>
    <xf numFmtId="179" fontId="7" fillId="0" borderId="4" xfId="2" applyNumberFormat="1" applyFont="1" applyBorder="1" applyAlignment="1">
      <alignment horizontal="center" vertical="center"/>
    </xf>
    <xf numFmtId="179" fontId="7" fillId="0" borderId="4" xfId="0" applyNumberFormat="1" applyFont="1" applyBorder="1" applyAlignment="1">
      <alignment horizontal="center" vertical="center"/>
    </xf>
    <xf numFmtId="0" fontId="8" fillId="0" borderId="0" xfId="0" applyFont="1">
      <alignment vertical="center"/>
    </xf>
    <xf numFmtId="0" fontId="10" fillId="13" borderId="4" xfId="0" applyFont="1" applyFill="1" applyBorder="1" applyAlignment="1">
      <alignment horizontal="centerContinuous" vertical="center"/>
    </xf>
    <xf numFmtId="0" fontId="11" fillId="0" borderId="0" xfId="0" applyFont="1">
      <alignment vertical="center"/>
    </xf>
    <xf numFmtId="0" fontId="0" fillId="0" borderId="0" xfId="0" applyAlignment="1">
      <alignment horizontal="center" vertical="center"/>
    </xf>
    <xf numFmtId="0" fontId="0" fillId="14" borderId="0" xfId="0" applyFill="1">
      <alignment vertical="center"/>
    </xf>
    <xf numFmtId="178" fontId="2" fillId="0" borderId="7" xfId="0" applyNumberFormat="1" applyFont="1" applyBorder="1">
      <alignment vertical="center"/>
    </xf>
    <xf numFmtId="178" fontId="2" fillId="0" borderId="8" xfId="0" applyNumberFormat="1" applyFont="1" applyBorder="1">
      <alignment vertical="center"/>
    </xf>
    <xf numFmtId="0" fontId="2" fillId="0" borderId="14" xfId="0" applyFont="1" applyBorder="1">
      <alignment vertical="center"/>
    </xf>
    <xf numFmtId="3" fontId="2" fillId="0" borderId="15" xfId="0" applyNumberFormat="1" applyFont="1" applyBorder="1">
      <alignment vertical="center"/>
    </xf>
    <xf numFmtId="0" fontId="2" fillId="0" borderId="16" xfId="0" applyFont="1" applyBorder="1">
      <alignment vertical="center"/>
    </xf>
    <xf numFmtId="3" fontId="2" fillId="0" borderId="6" xfId="0" applyNumberFormat="1" applyFont="1" applyBorder="1">
      <alignment vertical="center"/>
    </xf>
    <xf numFmtId="0" fontId="2" fillId="0" borderId="12" xfId="0" applyFont="1" applyBorder="1">
      <alignment vertical="center"/>
    </xf>
    <xf numFmtId="0" fontId="2" fillId="0" borderId="13" xfId="0" applyFont="1" applyBorder="1">
      <alignment vertical="center"/>
    </xf>
    <xf numFmtId="178" fontId="2" fillId="0" borderId="13" xfId="0" applyNumberFormat="1" applyFont="1" applyBorder="1">
      <alignment vertical="center"/>
    </xf>
    <xf numFmtId="3" fontId="2" fillId="0" borderId="13" xfId="0" applyNumberFormat="1" applyFont="1" applyBorder="1">
      <alignment vertical="center"/>
    </xf>
    <xf numFmtId="3" fontId="2" fillId="6" borderId="13" xfId="0" applyNumberFormat="1" applyFont="1" applyFill="1" applyBorder="1">
      <alignment vertical="center"/>
    </xf>
    <xf numFmtId="3" fontId="2" fillId="0" borderId="5" xfId="0" applyNumberFormat="1" applyFont="1" applyBorder="1">
      <alignment vertical="center"/>
    </xf>
    <xf numFmtId="9" fontId="2" fillId="0" borderId="13" xfId="0" applyNumberFormat="1" applyFont="1" applyBorder="1">
      <alignment vertical="center"/>
    </xf>
    <xf numFmtId="41" fontId="2" fillId="0" borderId="13" xfId="1" applyNumberFormat="1" applyFont="1" applyBorder="1">
      <alignment vertical="center"/>
    </xf>
    <xf numFmtId="181" fontId="2" fillId="0" borderId="8" xfId="1" applyNumberFormat="1" applyFont="1" applyBorder="1">
      <alignment vertical="center"/>
    </xf>
    <xf numFmtId="181" fontId="2" fillId="0" borderId="7" xfId="1" applyNumberFormat="1" applyFont="1" applyBorder="1">
      <alignment vertical="center"/>
    </xf>
    <xf numFmtId="181" fontId="2" fillId="0" borderId="13" xfId="1" applyNumberFormat="1" applyFont="1" applyBorder="1">
      <alignment vertical="center"/>
    </xf>
    <xf numFmtId="3" fontId="2" fillId="4" borderId="7" xfId="0" applyNumberFormat="1" applyFont="1" applyFill="1" applyBorder="1">
      <alignment vertical="center"/>
    </xf>
    <xf numFmtId="3" fontId="2" fillId="4" borderId="13" xfId="0" applyNumberFormat="1" applyFont="1" applyFill="1" applyBorder="1">
      <alignment vertical="center"/>
    </xf>
    <xf numFmtId="0" fontId="9" fillId="11" borderId="1" xfId="0" applyFont="1" applyFill="1" applyBorder="1" applyAlignment="1">
      <alignment horizontal="center" vertical="center"/>
    </xf>
    <xf numFmtId="0" fontId="7" fillId="0" borderId="21" xfId="0" applyFont="1" applyBorder="1">
      <alignment vertical="center"/>
    </xf>
    <xf numFmtId="41" fontId="2" fillId="12" borderId="6" xfId="0" applyNumberFormat="1" applyFont="1" applyFill="1" applyBorder="1">
      <alignment vertical="center"/>
    </xf>
    <xf numFmtId="41" fontId="2" fillId="12" borderId="5" xfId="0" applyNumberFormat="1" applyFont="1" applyFill="1" applyBorder="1">
      <alignment vertical="center"/>
    </xf>
    <xf numFmtId="0" fontId="7" fillId="0" borderId="7" xfId="0" applyFont="1" applyBorder="1">
      <alignment vertical="center"/>
    </xf>
    <xf numFmtId="0" fontId="7" fillId="12" borderId="7" xfId="0" applyFont="1" applyFill="1" applyBorder="1" applyAlignment="1">
      <alignment horizontal="centerContinuous" vertical="center"/>
    </xf>
    <xf numFmtId="41" fontId="2" fillId="12" borderId="7" xfId="0" applyNumberFormat="1" applyFont="1" applyFill="1" applyBorder="1">
      <alignment vertical="center"/>
    </xf>
    <xf numFmtId="0" fontId="7" fillId="0" borderId="8" xfId="0" applyFont="1" applyBorder="1">
      <alignment vertical="center"/>
    </xf>
    <xf numFmtId="0" fontId="9" fillId="11" borderId="10" xfId="0" applyFont="1" applyFill="1" applyBorder="1" applyAlignment="1">
      <alignment horizontal="center" vertical="center"/>
    </xf>
    <xf numFmtId="0" fontId="9" fillId="11" borderId="11" xfId="0" applyFont="1" applyFill="1" applyBorder="1" applyAlignment="1">
      <alignment horizontal="center" vertical="center"/>
    </xf>
    <xf numFmtId="0" fontId="7" fillId="0" borderId="16" xfId="0" applyFont="1" applyBorder="1">
      <alignment vertical="center"/>
    </xf>
    <xf numFmtId="0" fontId="7" fillId="12" borderId="16" xfId="0" applyFont="1" applyFill="1" applyBorder="1" applyAlignment="1">
      <alignment horizontal="centerContinuous" vertical="center"/>
    </xf>
    <xf numFmtId="0" fontId="7" fillId="12" borderId="12" xfId="0" applyFont="1" applyFill="1" applyBorder="1" applyAlignment="1">
      <alignment horizontal="centerContinuous" vertical="center"/>
    </xf>
    <xf numFmtId="0" fontId="7" fillId="12" borderId="13" xfId="0" applyFont="1" applyFill="1" applyBorder="1" applyAlignment="1">
      <alignment horizontal="centerContinuous" vertical="center"/>
    </xf>
    <xf numFmtId="41" fontId="2" fillId="12" borderId="13" xfId="0" applyNumberFormat="1" applyFont="1" applyFill="1" applyBorder="1">
      <alignment vertical="center"/>
    </xf>
    <xf numFmtId="0" fontId="2" fillId="0" borderId="15" xfId="0" applyFont="1" applyBorder="1">
      <alignment vertical="center"/>
    </xf>
    <xf numFmtId="0" fontId="2" fillId="0" borderId="6" xfId="0" applyFont="1" applyBorder="1">
      <alignment vertical="center"/>
    </xf>
    <xf numFmtId="0" fontId="2" fillId="0" borderId="0" xfId="0" applyFont="1">
      <alignment vertical="center"/>
    </xf>
    <xf numFmtId="0" fontId="2" fillId="11" borderId="1" xfId="0" applyFont="1" applyFill="1" applyBorder="1" applyAlignment="1">
      <alignment horizontal="center" vertical="center"/>
    </xf>
    <xf numFmtId="41" fontId="9" fillId="11" borderId="11" xfId="1" applyFont="1" applyFill="1" applyBorder="1" applyAlignment="1">
      <alignment horizontal="center" vertical="center"/>
    </xf>
    <xf numFmtId="41" fontId="9" fillId="11" borderId="1" xfId="1" applyFont="1" applyFill="1" applyBorder="1" applyAlignment="1">
      <alignment horizontal="center" vertical="center"/>
    </xf>
    <xf numFmtId="41" fontId="12" fillId="11" borderId="11" xfId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centerContinuous" vertical="center"/>
    </xf>
    <xf numFmtId="41" fontId="2" fillId="0" borderId="0" xfId="0" applyNumberFormat="1" applyFont="1" applyFill="1" applyBorder="1">
      <alignment vertical="center"/>
    </xf>
    <xf numFmtId="0" fontId="0" fillId="0" borderId="0" xfId="0" applyFill="1">
      <alignment vertical="center"/>
    </xf>
    <xf numFmtId="0" fontId="7" fillId="15" borderId="0" xfId="0" applyFont="1" applyFill="1" applyBorder="1" applyAlignment="1">
      <alignment horizontal="centerContinuous" vertical="center"/>
    </xf>
    <xf numFmtId="41" fontId="2" fillId="15" borderId="0" xfId="0" applyNumberFormat="1" applyFont="1" applyFill="1" applyBorder="1">
      <alignment vertical="center"/>
    </xf>
    <xf numFmtId="0" fontId="9" fillId="11" borderId="23" xfId="0" applyFont="1" applyFill="1" applyBorder="1" applyAlignment="1">
      <alignment horizontal="center" vertical="center"/>
    </xf>
    <xf numFmtId="0" fontId="7" fillId="12" borderId="25" xfId="0" applyFont="1" applyFill="1" applyBorder="1" applyAlignment="1">
      <alignment horizontal="centerContinuous" vertical="center"/>
    </xf>
    <xf numFmtId="41" fontId="2" fillId="12" borderId="25" xfId="0" applyNumberFormat="1" applyFont="1" applyFill="1" applyBorder="1">
      <alignment vertical="center"/>
    </xf>
    <xf numFmtId="0" fontId="2" fillId="11" borderId="23" xfId="0" applyFont="1" applyFill="1" applyBorder="1" applyAlignment="1">
      <alignment horizontal="center" vertical="center"/>
    </xf>
    <xf numFmtId="0" fontId="7" fillId="0" borderId="26" xfId="0" applyFont="1" applyBorder="1">
      <alignment vertical="center"/>
    </xf>
    <xf numFmtId="0" fontId="7" fillId="12" borderId="26" xfId="0" applyFont="1" applyFill="1" applyBorder="1" applyAlignment="1">
      <alignment horizontal="centerContinuous" vertical="center"/>
    </xf>
    <xf numFmtId="41" fontId="2" fillId="12" borderId="26" xfId="0" applyNumberFormat="1" applyFont="1" applyFill="1" applyBorder="1">
      <alignment vertical="center"/>
    </xf>
    <xf numFmtId="0" fontId="7" fillId="0" borderId="27" xfId="0" applyFont="1" applyBorder="1">
      <alignment vertical="center"/>
    </xf>
    <xf numFmtId="0" fontId="13" fillId="0" borderId="0" xfId="0" applyFont="1">
      <alignment vertical="center"/>
    </xf>
    <xf numFmtId="0" fontId="0" fillId="0" borderId="0" xfId="0" applyBorder="1">
      <alignment vertical="center"/>
    </xf>
    <xf numFmtId="0" fontId="0" fillId="0" borderId="0" xfId="0" applyFill="1" applyBorder="1">
      <alignment vertical="center"/>
    </xf>
    <xf numFmtId="0" fontId="9" fillId="11" borderId="22" xfId="0" applyFont="1" applyFill="1" applyBorder="1" applyAlignment="1">
      <alignment horizontal="center" vertical="center"/>
    </xf>
    <xf numFmtId="0" fontId="7" fillId="0" borderId="28" xfId="0" applyFont="1" applyBorder="1">
      <alignment vertical="center"/>
    </xf>
    <xf numFmtId="0" fontId="7" fillId="0" borderId="29" xfId="0" applyFont="1" applyBorder="1">
      <alignment vertical="center"/>
    </xf>
    <xf numFmtId="0" fontId="7" fillId="12" borderId="29" xfId="0" applyFont="1" applyFill="1" applyBorder="1" applyAlignment="1">
      <alignment horizontal="centerContinuous" vertical="center"/>
    </xf>
    <xf numFmtId="0" fontId="7" fillId="12" borderId="24" xfId="0" applyFont="1" applyFill="1" applyBorder="1" applyAlignment="1">
      <alignment horizontal="centerContinuous" vertical="center"/>
    </xf>
    <xf numFmtId="3" fontId="2" fillId="0" borderId="27" xfId="0" applyNumberFormat="1" applyFont="1" applyBorder="1">
      <alignment vertical="center"/>
    </xf>
    <xf numFmtId="0" fontId="2" fillId="0" borderId="27" xfId="0" applyFont="1" applyBorder="1">
      <alignment vertical="center"/>
    </xf>
    <xf numFmtId="3" fontId="2" fillId="0" borderId="26" xfId="0" applyNumberFormat="1" applyFont="1" applyBorder="1">
      <alignment vertical="center"/>
    </xf>
    <xf numFmtId="0" fontId="2" fillId="0" borderId="26" xfId="0" applyFont="1" applyBorder="1">
      <alignment vertical="center"/>
    </xf>
    <xf numFmtId="0" fontId="7" fillId="0" borderId="30" xfId="0" applyFont="1" applyFill="1" applyBorder="1" applyAlignment="1">
      <alignment horizontal="centerContinuous" vertical="center"/>
    </xf>
    <xf numFmtId="41" fontId="2" fillId="0" borderId="30" xfId="0" applyNumberFormat="1" applyFont="1" applyFill="1" applyBorder="1">
      <alignment vertical="center"/>
    </xf>
    <xf numFmtId="0" fontId="0" fillId="16" borderId="0" xfId="0" applyFill="1">
      <alignment vertical="center"/>
    </xf>
    <xf numFmtId="0" fontId="14" fillId="0" borderId="31" xfId="0" applyFont="1" applyBorder="1">
      <alignment vertical="center"/>
    </xf>
    <xf numFmtId="0" fontId="0" fillId="0" borderId="31" xfId="0" applyBorder="1">
      <alignment vertical="center"/>
    </xf>
    <xf numFmtId="0" fontId="15" fillId="0" borderId="29" xfId="0" applyFont="1" applyBorder="1">
      <alignment vertical="center"/>
    </xf>
    <xf numFmtId="0" fontId="15" fillId="0" borderId="26" xfId="0" applyFont="1" applyBorder="1">
      <alignment vertical="center"/>
    </xf>
    <xf numFmtId="0" fontId="17" fillId="0" borderId="0" xfId="0" applyFont="1" applyAlignment="1">
      <alignment horizontal="center" vertical="center"/>
    </xf>
    <xf numFmtId="0" fontId="18" fillId="0" borderId="0" xfId="0" applyFont="1">
      <alignment vertical="center"/>
    </xf>
    <xf numFmtId="0" fontId="20" fillId="16" borderId="0" xfId="3" applyFont="1" applyFill="1" applyAlignment="1">
      <alignment horizontal="center" vertical="center"/>
    </xf>
    <xf numFmtId="0" fontId="21" fillId="0" borderId="0" xfId="0" applyFont="1">
      <alignment vertical="center"/>
    </xf>
    <xf numFmtId="0" fontId="16" fillId="0" borderId="31" xfId="0" applyFont="1" applyBorder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9" fillId="11" borderId="4" xfId="0" applyFont="1" applyFill="1" applyBorder="1" applyAlignment="1">
      <alignment horizontal="left" vertical="center"/>
    </xf>
    <xf numFmtId="0" fontId="7" fillId="0" borderId="4" xfId="0" applyFont="1" applyBorder="1" applyAlignment="1">
      <alignment horizontal="left" vertical="center"/>
    </xf>
    <xf numFmtId="0" fontId="7" fillId="5" borderId="4" xfId="0" applyFont="1" applyFill="1" applyBorder="1" applyAlignment="1">
      <alignment horizontal="left" vertical="center"/>
    </xf>
    <xf numFmtId="0" fontId="7" fillId="0" borderId="0" xfId="0" applyFont="1" applyBorder="1" applyAlignment="1">
      <alignment horizontal="left" vertical="center"/>
    </xf>
    <xf numFmtId="0" fontId="22" fillId="0" borderId="0" xfId="0" applyFont="1">
      <alignment vertical="center"/>
    </xf>
    <xf numFmtId="0" fontId="23" fillId="0" borderId="0" xfId="0" applyFont="1">
      <alignment vertical="center"/>
    </xf>
    <xf numFmtId="0" fontId="9" fillId="17" borderId="4" xfId="0" applyFont="1" applyFill="1" applyBorder="1" applyAlignment="1">
      <alignment horizontal="center" vertical="center"/>
    </xf>
    <xf numFmtId="0" fontId="7" fillId="18" borderId="4" xfId="0" applyFont="1" applyFill="1" applyBorder="1" applyAlignment="1">
      <alignment horizontal="centerContinuous" vertical="center"/>
    </xf>
    <xf numFmtId="41" fontId="7" fillId="18" borderId="4" xfId="0" applyNumberFormat="1" applyFont="1" applyFill="1" applyBorder="1">
      <alignment vertical="center"/>
    </xf>
    <xf numFmtId="14" fontId="11" fillId="12" borderId="4" xfId="0" applyNumberFormat="1" applyFont="1" applyFill="1" applyBorder="1" applyAlignment="1">
      <alignment horizontal="center" vertical="center"/>
    </xf>
    <xf numFmtId="0" fontId="11" fillId="12" borderId="4" xfId="0" applyFont="1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41" fontId="0" fillId="0" borderId="4" xfId="1" applyFont="1" applyBorder="1">
      <alignment vertical="center"/>
    </xf>
    <xf numFmtId="41" fontId="13" fillId="0" borderId="4" xfId="1" applyFont="1" applyBorder="1">
      <alignment vertical="center"/>
    </xf>
    <xf numFmtId="41" fontId="0" fillId="0" borderId="0" xfId="1" applyFont="1" applyBorder="1">
      <alignment vertical="center"/>
    </xf>
    <xf numFmtId="0" fontId="14" fillId="0" borderId="0" xfId="0" applyFont="1" applyBorder="1">
      <alignment vertical="center"/>
    </xf>
    <xf numFmtId="0" fontId="0" fillId="0" borderId="0" xfId="0" applyFill="1" applyBorder="1" applyAlignment="1">
      <alignment horizontal="centerContinuous" vertical="center"/>
    </xf>
    <xf numFmtId="41" fontId="0" fillId="0" borderId="0" xfId="1" applyFont="1" applyFill="1" applyBorder="1">
      <alignment vertical="center"/>
    </xf>
    <xf numFmtId="0" fontId="11" fillId="12" borderId="4" xfId="0" applyFont="1" applyFill="1" applyBorder="1" applyAlignment="1">
      <alignment horizontal="centerContinuous" vertical="center"/>
    </xf>
    <xf numFmtId="41" fontId="11" fillId="12" borderId="4" xfId="1" applyFont="1" applyFill="1" applyBorder="1">
      <alignment vertical="center"/>
    </xf>
    <xf numFmtId="0" fontId="24" fillId="13" borderId="0" xfId="0" applyFont="1" applyFill="1" applyAlignment="1">
      <alignment horizontal="left" vertical="center"/>
    </xf>
    <xf numFmtId="0" fontId="25" fillId="13" borderId="0" xfId="0" applyFont="1" applyFill="1">
      <alignment vertical="center"/>
    </xf>
    <xf numFmtId="0" fontId="24" fillId="13" borderId="0" xfId="0" applyFont="1" applyFill="1" applyBorder="1" applyAlignment="1">
      <alignment horizontal="left" vertical="center"/>
    </xf>
    <xf numFmtId="0" fontId="25" fillId="13" borderId="0" xfId="0" applyFont="1" applyFill="1" applyBorder="1">
      <alignment vertical="center"/>
    </xf>
    <xf numFmtId="0" fontId="26" fillId="0" borderId="31" xfId="0" applyFont="1" applyFill="1" applyBorder="1">
      <alignment vertical="center"/>
    </xf>
    <xf numFmtId="0" fontId="5" fillId="0" borderId="31" xfId="0" applyFont="1" applyFill="1" applyBorder="1">
      <alignment vertical="center"/>
    </xf>
    <xf numFmtId="0" fontId="27" fillId="0" borderId="31" xfId="0" applyFont="1" applyFill="1" applyBorder="1">
      <alignment vertical="center"/>
    </xf>
    <xf numFmtId="0" fontId="21" fillId="0" borderId="31" xfId="0" applyFont="1" applyBorder="1">
      <alignment vertical="center"/>
    </xf>
    <xf numFmtId="0" fontId="28" fillId="0" borderId="0" xfId="0" applyFont="1">
      <alignment vertical="center"/>
    </xf>
    <xf numFmtId="0" fontId="28" fillId="0" borderId="0" xfId="0" applyFont="1" applyAlignment="1">
      <alignment horizontal="center" vertical="center"/>
    </xf>
  </cellXfs>
  <cellStyles count="4">
    <cellStyle name="백분율" xfId="2" builtinId="5"/>
    <cellStyle name="쉼표 [0]" xfId="1" builtinId="6"/>
    <cellStyle name="표준" xfId="0" builtinId="0"/>
    <cellStyle name="하이퍼링크" xfId="3" builtinId="8"/>
  </cellStyles>
  <dxfs count="9"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'1.인건비_요약'!$G$9:$P$9</c:f>
              <c:strCache>
                <c:ptCount val="10"/>
                <c:pt idx="0">
                  <c:v>Y1</c:v>
                </c:pt>
                <c:pt idx="1">
                  <c:v>Y2</c:v>
                </c:pt>
                <c:pt idx="2">
                  <c:v>Y3</c:v>
                </c:pt>
                <c:pt idx="3">
                  <c:v>Y4</c:v>
                </c:pt>
                <c:pt idx="4">
                  <c:v>Y5</c:v>
                </c:pt>
                <c:pt idx="5">
                  <c:v>Y6</c:v>
                </c:pt>
                <c:pt idx="6">
                  <c:v>Y7</c:v>
                </c:pt>
                <c:pt idx="7">
                  <c:v>Y8</c:v>
                </c:pt>
                <c:pt idx="8">
                  <c:v>Y9</c:v>
                </c:pt>
                <c:pt idx="9">
                  <c:v>Y10</c:v>
                </c:pt>
              </c:strCache>
            </c:strRef>
          </c:cat>
          <c:val>
            <c:numRef>
              <c:f>'1.인건비_요약'!$G$13:$P$13</c:f>
              <c:numCache>
                <c:formatCode>_(* #,##0_);_(* \(#,##0\);_(* "-"_);_(@_)</c:formatCode>
                <c:ptCount val="10"/>
                <c:pt idx="0">
                  <c:v>1845785621.2747879</c:v>
                </c:pt>
                <c:pt idx="1">
                  <c:v>1892503858.1463246</c:v>
                </c:pt>
                <c:pt idx="2">
                  <c:v>1940404569.0989404</c:v>
                </c:pt>
                <c:pt idx="3">
                  <c:v>1989517683.4503069</c:v>
                </c:pt>
                <c:pt idx="4">
                  <c:v>2039873888.0518739</c:v>
                </c:pt>
                <c:pt idx="5">
                  <c:v>2091504646.4626219</c:v>
                </c:pt>
                <c:pt idx="6">
                  <c:v>2144442218.6081219</c:v>
                </c:pt>
                <c:pt idx="7">
                  <c:v>2198719680.9371796</c:v>
                </c:pt>
                <c:pt idx="8">
                  <c:v>2254370947.0886569</c:v>
                </c:pt>
                <c:pt idx="9">
                  <c:v>2311430789.0813904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42-4F1F-AAF4-13FE3C174DDD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'1.인건비_요약'!$G$9:$P$9</c:f>
              <c:strCache>
                <c:ptCount val="10"/>
                <c:pt idx="0">
                  <c:v>Y1</c:v>
                </c:pt>
                <c:pt idx="1">
                  <c:v>Y2</c:v>
                </c:pt>
                <c:pt idx="2">
                  <c:v>Y3</c:v>
                </c:pt>
                <c:pt idx="3">
                  <c:v>Y4</c:v>
                </c:pt>
                <c:pt idx="4">
                  <c:v>Y5</c:v>
                </c:pt>
                <c:pt idx="5">
                  <c:v>Y6</c:v>
                </c:pt>
                <c:pt idx="6">
                  <c:v>Y7</c:v>
                </c:pt>
                <c:pt idx="7">
                  <c:v>Y8</c:v>
                </c:pt>
                <c:pt idx="8">
                  <c:v>Y9</c:v>
                </c:pt>
                <c:pt idx="9">
                  <c:v>Y10</c:v>
                </c:pt>
              </c:strCache>
            </c:strRef>
          </c:cat>
          <c:val>
            <c:numRef>
              <c:f>'1.인건비_요약'!$G$41:$P$41</c:f>
              <c:numCache>
                <c:formatCode>_(* #,##0_);_(* \(#,##0\);_(* "-"_);_(@_)</c:formatCode>
                <c:ptCount val="10"/>
                <c:pt idx="0">
                  <c:v>1751849532</c:v>
                </c:pt>
                <c:pt idx="1">
                  <c:v>1698110555.3059735</c:v>
                </c:pt>
                <c:pt idx="2">
                  <c:v>1741091024.0247896</c:v>
                </c:pt>
                <c:pt idx="3">
                  <c:v>1656841229.9953542</c:v>
                </c:pt>
                <c:pt idx="4">
                  <c:v>1698777140.7258718</c:v>
                </c:pt>
                <c:pt idx="5">
                  <c:v>1741774481.2282701</c:v>
                </c:pt>
                <c:pt idx="6">
                  <c:v>1785860117.0967634</c:v>
                </c:pt>
                <c:pt idx="7">
                  <c:v>1831061593.9141717</c:v>
                </c:pt>
                <c:pt idx="8">
                  <c:v>1877407154.4629507</c:v>
                </c:pt>
                <c:pt idx="9">
                  <c:v>1924925756.3718448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242-4F1F-AAF4-13FE3C174D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1879232"/>
        <c:axId val="1043168352"/>
      </c:lineChart>
      <c:catAx>
        <c:axId val="701879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43168352"/>
        <c:crosses val="autoZero"/>
        <c:auto val="1"/>
        <c:lblAlgn val="ctr"/>
        <c:lblOffset val="100"/>
        <c:noMultiLvlLbl val="0"/>
      </c:catAx>
      <c:valAx>
        <c:axId val="1043168352"/>
        <c:scaling>
          <c:orientation val="minMax"/>
          <c:min val="100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701879232"/>
        <c:crosses val="autoZero"/>
        <c:crossBetween val="between"/>
        <c:dispUnits>
          <c:builtInUnit val="hundred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'2.&#44396;&#52629;&#48708;_&#50836;&#50557;'!A1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6.emf"/><Relationship Id="rId1" Type="http://schemas.openxmlformats.org/officeDocument/2006/relationships/image" Target="../media/image7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image" Target="../media/image12.emf"/><Relationship Id="rId1" Type="http://schemas.openxmlformats.org/officeDocument/2006/relationships/image" Target="../media/image1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68580</xdr:colOff>
      <xdr:row>2</xdr:row>
      <xdr:rowOff>377190</xdr:rowOff>
    </xdr:from>
    <xdr:to>
      <xdr:col>5</xdr:col>
      <xdr:colOff>373380</xdr:colOff>
      <xdr:row>4</xdr:row>
      <xdr:rowOff>125730</xdr:rowOff>
    </xdr:to>
    <xdr:sp macro="[0]!Part1_요약" textlink="">
      <xdr:nvSpPr>
        <xdr:cNvPr id="2" name="직사각형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39140" y="1062990"/>
          <a:ext cx="2987040" cy="3581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200" b="1">
              <a:solidFill>
                <a:schemeClr val="accent1"/>
              </a:solidFill>
            </a:rPr>
            <a:t>Part 1. </a:t>
          </a:r>
          <a:r>
            <a:rPr lang="ko-KR" altLang="en-US" sz="1200" b="1">
              <a:solidFill>
                <a:schemeClr val="accent1"/>
              </a:solidFill>
            </a:rPr>
            <a:t>인건비 </a:t>
          </a:r>
          <a:r>
            <a:rPr lang="en-US" altLang="ko-KR" sz="1200" b="1">
              <a:solidFill>
                <a:sysClr val="windowText" lastClr="000000"/>
              </a:solidFill>
            </a:rPr>
            <a:t>_ 1.1 </a:t>
          </a:r>
          <a:r>
            <a:rPr lang="ko-KR" altLang="en-US" sz="1200" b="1">
              <a:solidFill>
                <a:sysClr val="windowText" lastClr="000000"/>
              </a:solidFill>
            </a:rPr>
            <a:t>요약</a:t>
          </a:r>
        </a:p>
      </xdr:txBody>
    </xdr:sp>
    <xdr:clientData/>
  </xdr:twoCellAnchor>
  <xdr:twoCellAnchor>
    <xdr:from>
      <xdr:col>1</xdr:col>
      <xdr:colOff>68580</xdr:colOff>
      <xdr:row>4</xdr:row>
      <xdr:rowOff>205105</xdr:rowOff>
    </xdr:from>
    <xdr:to>
      <xdr:col>5</xdr:col>
      <xdr:colOff>373380</xdr:colOff>
      <xdr:row>6</xdr:row>
      <xdr:rowOff>29845</xdr:rowOff>
    </xdr:to>
    <xdr:sp macro="[0]!Part1_Baseline정리" textlink="">
      <xdr:nvSpPr>
        <xdr:cNvPr id="3" name="직사각형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39140" y="1500505"/>
          <a:ext cx="2987040" cy="3581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200" b="1">
              <a:solidFill>
                <a:schemeClr val="accent1"/>
              </a:solidFill>
            </a:rPr>
            <a:t>Part 1. </a:t>
          </a:r>
          <a:r>
            <a:rPr lang="ko-KR" altLang="en-US" sz="1200" b="1">
              <a:solidFill>
                <a:schemeClr val="accent1"/>
              </a:solidFill>
            </a:rPr>
            <a:t>인건비</a:t>
          </a:r>
          <a:r>
            <a:rPr lang="ko-KR" altLang="en-US" sz="1200" b="1">
              <a:solidFill>
                <a:sysClr val="windowText" lastClr="000000"/>
              </a:solidFill>
            </a:rPr>
            <a:t> </a:t>
          </a:r>
          <a:r>
            <a:rPr lang="en-US" altLang="ko-KR" sz="1200" b="1">
              <a:solidFill>
                <a:sysClr val="windowText" lastClr="000000"/>
              </a:solidFill>
            </a:rPr>
            <a:t>_ 1.2 Baseline </a:t>
          </a:r>
          <a:r>
            <a:rPr lang="ko-KR" altLang="en-US" sz="1200" b="1">
              <a:solidFill>
                <a:sysClr val="windowText" lastClr="000000"/>
              </a:solidFill>
            </a:rPr>
            <a:t>정리</a:t>
          </a:r>
        </a:p>
      </xdr:txBody>
    </xdr:sp>
    <xdr:clientData/>
  </xdr:twoCellAnchor>
  <xdr:twoCellAnchor>
    <xdr:from>
      <xdr:col>1</xdr:col>
      <xdr:colOff>68580</xdr:colOff>
      <xdr:row>6</xdr:row>
      <xdr:rowOff>96520</xdr:rowOff>
    </xdr:from>
    <xdr:to>
      <xdr:col>5</xdr:col>
      <xdr:colOff>373380</xdr:colOff>
      <xdr:row>7</xdr:row>
      <xdr:rowOff>187960</xdr:rowOff>
    </xdr:to>
    <xdr:sp macro="[0]!Part1_견적정리" textlink="">
      <xdr:nvSpPr>
        <xdr:cNvPr id="4" name="직사각형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739140" y="1925320"/>
          <a:ext cx="2987040" cy="3581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200" b="1">
              <a:solidFill>
                <a:schemeClr val="accent1"/>
              </a:solidFill>
            </a:rPr>
            <a:t>Part 1. </a:t>
          </a:r>
          <a:r>
            <a:rPr lang="ko-KR" altLang="en-US" sz="1200" b="1">
              <a:solidFill>
                <a:schemeClr val="accent1"/>
              </a:solidFill>
            </a:rPr>
            <a:t>인건비 </a:t>
          </a:r>
          <a:r>
            <a:rPr lang="en-US" altLang="ko-KR" sz="1200" b="1">
              <a:solidFill>
                <a:sysClr val="windowText" lastClr="000000"/>
              </a:solidFill>
            </a:rPr>
            <a:t>_ 1.3 </a:t>
          </a:r>
          <a:r>
            <a:rPr lang="ko-KR" altLang="en-US" sz="1200" b="1">
              <a:solidFill>
                <a:sysClr val="windowText" lastClr="000000"/>
              </a:solidFill>
            </a:rPr>
            <a:t>견적 정리</a:t>
          </a:r>
        </a:p>
      </xdr:txBody>
    </xdr:sp>
    <xdr:clientData/>
  </xdr:twoCellAnchor>
  <xdr:twoCellAnchor>
    <xdr:from>
      <xdr:col>1</xdr:col>
      <xdr:colOff>68580</xdr:colOff>
      <xdr:row>8</xdr:row>
      <xdr:rowOff>110490</xdr:rowOff>
    </xdr:from>
    <xdr:to>
      <xdr:col>5</xdr:col>
      <xdr:colOff>373380</xdr:colOff>
      <xdr:row>9</xdr:row>
      <xdr:rowOff>201930</xdr:rowOff>
    </xdr:to>
    <xdr:sp macro="[0]!Part2_요약" textlink="">
      <xdr:nvSpPr>
        <xdr:cNvPr id="5" name="직사각형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739140" y="2472690"/>
          <a:ext cx="2987040" cy="3581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200" b="1">
              <a:solidFill>
                <a:schemeClr val="accent1"/>
              </a:solidFill>
            </a:rPr>
            <a:t>Part 2. </a:t>
          </a:r>
          <a:r>
            <a:rPr lang="ko-KR" altLang="en-US" sz="1200" b="1">
              <a:solidFill>
                <a:schemeClr val="accent1"/>
              </a:solidFill>
            </a:rPr>
            <a:t>구축비용 </a:t>
          </a:r>
          <a:r>
            <a:rPr lang="en-US" altLang="ko-KR" sz="1200" b="1">
              <a:solidFill>
                <a:sysClr val="windowText" lastClr="000000"/>
              </a:solidFill>
            </a:rPr>
            <a:t>_ 2.1 </a:t>
          </a:r>
          <a:r>
            <a:rPr lang="ko-KR" altLang="en-US" sz="1200" b="1">
              <a:solidFill>
                <a:sysClr val="windowText" lastClr="000000"/>
              </a:solidFill>
            </a:rPr>
            <a:t>요약</a:t>
          </a:r>
        </a:p>
      </xdr:txBody>
    </xdr:sp>
    <xdr:clientData/>
  </xdr:twoCellAnchor>
  <xdr:twoCellAnchor>
    <xdr:from>
      <xdr:col>1</xdr:col>
      <xdr:colOff>68580</xdr:colOff>
      <xdr:row>10</xdr:row>
      <xdr:rowOff>10160</xdr:rowOff>
    </xdr:from>
    <xdr:to>
      <xdr:col>5</xdr:col>
      <xdr:colOff>373380</xdr:colOff>
      <xdr:row>11</xdr:row>
      <xdr:rowOff>101600</xdr:rowOff>
    </xdr:to>
    <xdr:sp macro="[0]!Part2_견적정리" textlink="">
      <xdr:nvSpPr>
        <xdr:cNvPr id="6" name="직사각형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739140" y="2905760"/>
          <a:ext cx="2987040" cy="3581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200" b="1">
              <a:solidFill>
                <a:schemeClr val="accent1"/>
              </a:solidFill>
            </a:rPr>
            <a:t>Part 2. </a:t>
          </a:r>
          <a:r>
            <a:rPr lang="ko-KR" altLang="en-US" sz="1200" b="1">
              <a:solidFill>
                <a:schemeClr val="accent1"/>
              </a:solidFill>
            </a:rPr>
            <a:t>구축비용 </a:t>
          </a:r>
          <a:r>
            <a:rPr lang="en-US" altLang="ko-KR" sz="1200" b="1">
              <a:solidFill>
                <a:sysClr val="windowText" lastClr="000000"/>
              </a:solidFill>
            </a:rPr>
            <a:t>_ 2.2 </a:t>
          </a:r>
          <a:r>
            <a:rPr lang="ko-KR" altLang="en-US" sz="1200" b="1">
              <a:solidFill>
                <a:sysClr val="windowText" lastClr="000000"/>
              </a:solidFill>
            </a:rPr>
            <a:t>견적 정리</a:t>
          </a:r>
        </a:p>
      </xdr:txBody>
    </xdr:sp>
    <xdr:clientData/>
  </xdr:twoCellAnchor>
  <xdr:twoCellAnchor>
    <xdr:from>
      <xdr:col>1</xdr:col>
      <xdr:colOff>68580</xdr:colOff>
      <xdr:row>12</xdr:row>
      <xdr:rowOff>8890</xdr:rowOff>
    </xdr:from>
    <xdr:to>
      <xdr:col>5</xdr:col>
      <xdr:colOff>373380</xdr:colOff>
      <xdr:row>13</xdr:row>
      <xdr:rowOff>100330</xdr:rowOff>
    </xdr:to>
    <xdr:sp macro="[0]!Part3_요약" textlink="">
      <xdr:nvSpPr>
        <xdr:cNvPr id="7" name="직사각형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39140" y="3437890"/>
          <a:ext cx="2987040" cy="3581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200" b="1">
              <a:solidFill>
                <a:schemeClr val="accent1"/>
              </a:solidFill>
            </a:rPr>
            <a:t>Part 3. </a:t>
          </a:r>
          <a:r>
            <a:rPr lang="ko-KR" altLang="en-US" sz="1200" b="1">
              <a:solidFill>
                <a:schemeClr val="accent1"/>
              </a:solidFill>
            </a:rPr>
            <a:t>수행비용 </a:t>
          </a:r>
          <a:r>
            <a:rPr lang="en-US" altLang="ko-KR" sz="1200" b="1">
              <a:solidFill>
                <a:sysClr val="windowText" lastClr="000000"/>
              </a:solidFill>
            </a:rPr>
            <a:t>_ 3.1 </a:t>
          </a:r>
          <a:r>
            <a:rPr lang="ko-KR" altLang="en-US" sz="1200" b="1">
              <a:solidFill>
                <a:sysClr val="windowText" lastClr="000000"/>
              </a:solidFill>
            </a:rPr>
            <a:t>요약</a:t>
          </a:r>
        </a:p>
      </xdr:txBody>
    </xdr:sp>
    <xdr:clientData/>
  </xdr:twoCellAnchor>
  <xdr:twoCellAnchor>
    <xdr:from>
      <xdr:col>1</xdr:col>
      <xdr:colOff>68580</xdr:colOff>
      <xdr:row>13</xdr:row>
      <xdr:rowOff>175260</xdr:rowOff>
    </xdr:from>
    <xdr:to>
      <xdr:col>5</xdr:col>
      <xdr:colOff>373380</xdr:colOff>
      <xdr:row>15</xdr:row>
      <xdr:rowOff>91440</xdr:rowOff>
    </xdr:to>
    <xdr:sp macro="[0]!Part3_견적정리" textlink="">
      <xdr:nvSpPr>
        <xdr:cNvPr id="8" name="직사각형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739140" y="3870960"/>
          <a:ext cx="2987040" cy="3581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200" b="1">
              <a:solidFill>
                <a:schemeClr val="accent1"/>
              </a:solidFill>
            </a:rPr>
            <a:t>Part 3. </a:t>
          </a:r>
          <a:r>
            <a:rPr lang="ko-KR" altLang="en-US" sz="1200" b="1">
              <a:solidFill>
                <a:schemeClr val="accent1"/>
              </a:solidFill>
            </a:rPr>
            <a:t>수행비용 </a:t>
          </a:r>
          <a:r>
            <a:rPr lang="en-US" altLang="ko-KR" sz="1200" b="1">
              <a:solidFill>
                <a:sysClr val="windowText" lastClr="000000"/>
              </a:solidFill>
            </a:rPr>
            <a:t>_ 3.2 </a:t>
          </a:r>
          <a:r>
            <a:rPr lang="ko-KR" altLang="en-US" sz="1200" b="1">
              <a:solidFill>
                <a:sysClr val="windowText" lastClr="000000"/>
              </a:solidFill>
            </a:rPr>
            <a:t>견적정리</a:t>
          </a:r>
        </a:p>
      </xdr:txBody>
    </xdr:sp>
    <xdr:clientData/>
  </xdr:twoCellAnchor>
  <xdr:twoCellAnchor>
    <xdr:from>
      <xdr:col>1</xdr:col>
      <xdr:colOff>68580</xdr:colOff>
      <xdr:row>16</xdr:row>
      <xdr:rowOff>118110</xdr:rowOff>
    </xdr:from>
    <xdr:to>
      <xdr:col>5</xdr:col>
      <xdr:colOff>373380</xdr:colOff>
      <xdr:row>18</xdr:row>
      <xdr:rowOff>34290</xdr:rowOff>
    </xdr:to>
    <xdr:sp macro="[0]!Part4_Baseline" textlink="">
      <xdr:nvSpPr>
        <xdr:cNvPr id="12" name="직사각형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739140" y="4476750"/>
          <a:ext cx="2987040" cy="3581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200" b="1">
              <a:solidFill>
                <a:schemeClr val="accent1"/>
              </a:solidFill>
            </a:rPr>
            <a:t>Part 4. </a:t>
          </a:r>
          <a:r>
            <a:rPr lang="ko-KR" altLang="en-US" sz="1200" b="1">
              <a:solidFill>
                <a:schemeClr val="accent1"/>
              </a:solidFill>
            </a:rPr>
            <a:t>참조관리 </a:t>
          </a:r>
          <a:r>
            <a:rPr lang="en-US" altLang="ko-KR" sz="1200" b="1">
              <a:solidFill>
                <a:sysClr val="windowText" lastClr="000000"/>
              </a:solidFill>
            </a:rPr>
            <a:t>_ 4.1 Baseline </a:t>
          </a:r>
          <a:r>
            <a:rPr lang="ko-KR" altLang="en-US" sz="1200" b="1">
              <a:solidFill>
                <a:sysClr val="windowText" lastClr="000000"/>
              </a:solidFill>
            </a:rPr>
            <a:t>인력</a:t>
          </a:r>
          <a:r>
            <a:rPr lang="en-US" altLang="ko-KR" sz="1200" b="1">
              <a:solidFill>
                <a:sysClr val="windowText" lastClr="000000"/>
              </a:solidFill>
            </a:rPr>
            <a:t>/</a:t>
          </a:r>
          <a:r>
            <a:rPr lang="ko-KR" altLang="en-US" sz="1200" b="1">
              <a:solidFill>
                <a:sysClr val="windowText" lastClr="000000"/>
              </a:solidFill>
            </a:rPr>
            <a:t>단가</a:t>
          </a:r>
        </a:p>
      </xdr:txBody>
    </xdr:sp>
    <xdr:clientData/>
  </xdr:twoCellAnchor>
  <xdr:twoCellAnchor>
    <xdr:from>
      <xdr:col>1</xdr:col>
      <xdr:colOff>68580</xdr:colOff>
      <xdr:row>18</xdr:row>
      <xdr:rowOff>113665</xdr:rowOff>
    </xdr:from>
    <xdr:to>
      <xdr:col>6</xdr:col>
      <xdr:colOff>68580</xdr:colOff>
      <xdr:row>20</xdr:row>
      <xdr:rowOff>29845</xdr:rowOff>
    </xdr:to>
    <xdr:sp macro="[0]!Part4_견적정리" textlink="">
      <xdr:nvSpPr>
        <xdr:cNvPr id="13" name="직사각형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739140" y="4914265"/>
          <a:ext cx="3352800" cy="3581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200" b="1">
              <a:solidFill>
                <a:schemeClr val="accent1"/>
              </a:solidFill>
            </a:rPr>
            <a:t>Part 4. </a:t>
          </a:r>
          <a:r>
            <a:rPr lang="ko-KR" altLang="en-US" sz="1200" b="1">
              <a:solidFill>
                <a:schemeClr val="accent1"/>
              </a:solidFill>
            </a:rPr>
            <a:t>참조관리 </a:t>
          </a:r>
          <a:r>
            <a:rPr lang="en-US" altLang="ko-KR" sz="1200" b="1">
              <a:solidFill>
                <a:sysClr val="windowText" lastClr="000000"/>
              </a:solidFill>
            </a:rPr>
            <a:t>_ 4.2 </a:t>
          </a:r>
          <a:r>
            <a:rPr lang="ko-KR" altLang="en-US" sz="1200" b="1">
              <a:solidFill>
                <a:sysClr val="windowText" lastClr="000000"/>
              </a:solidFill>
            </a:rPr>
            <a:t>인건비견적 인력</a:t>
          </a:r>
          <a:r>
            <a:rPr lang="en-US" altLang="ko-KR" sz="1200" b="1">
              <a:solidFill>
                <a:sysClr val="windowText" lastClr="000000"/>
              </a:solidFill>
            </a:rPr>
            <a:t>/</a:t>
          </a:r>
          <a:r>
            <a:rPr lang="ko-KR" altLang="en-US" sz="1200" b="1">
              <a:solidFill>
                <a:sysClr val="windowText" lastClr="000000"/>
              </a:solidFill>
            </a:rPr>
            <a:t>단가</a:t>
          </a:r>
        </a:p>
      </xdr:txBody>
    </xdr:sp>
    <xdr:clientData/>
  </xdr:twoCellAnchor>
  <xdr:twoCellAnchor>
    <xdr:from>
      <xdr:col>9</xdr:col>
      <xdr:colOff>613410</xdr:colOff>
      <xdr:row>0</xdr:row>
      <xdr:rowOff>0</xdr:rowOff>
    </xdr:from>
    <xdr:to>
      <xdr:col>11</xdr:col>
      <xdr:colOff>160020</xdr:colOff>
      <xdr:row>1</xdr:row>
      <xdr:rowOff>137160</xdr:rowOff>
    </xdr:to>
    <xdr:sp macro="[0]!contents" textlink="">
      <xdr:nvSpPr>
        <xdr:cNvPr id="15" name="직사각형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6648450" y="0"/>
          <a:ext cx="887730" cy="3581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200" b="1">
              <a:solidFill>
                <a:schemeClr val="accent1"/>
              </a:solidFill>
            </a:rPr>
            <a:t>모든시트</a:t>
          </a:r>
          <a:endParaRPr lang="ko-KR" altLang="en-US" sz="12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76200</xdr:colOff>
      <xdr:row>2</xdr:row>
      <xdr:rowOff>87630</xdr:rowOff>
    </xdr:from>
    <xdr:to>
      <xdr:col>11</xdr:col>
      <xdr:colOff>381000</xdr:colOff>
      <xdr:row>4</xdr:row>
      <xdr:rowOff>49530</xdr:rowOff>
    </xdr:to>
    <xdr:sp macro="" textlink="">
      <xdr:nvSpPr>
        <xdr:cNvPr id="16" name="직사각형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4770120" y="773430"/>
          <a:ext cx="2987040" cy="35052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200" b="1">
              <a:solidFill>
                <a:schemeClr val="accent1"/>
              </a:solidFill>
            </a:rPr>
            <a:t>고객사 제공 견적서</a:t>
          </a:r>
          <a:endParaRPr lang="ko-KR" altLang="en-US" sz="12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91440</xdr:colOff>
      <xdr:row>4</xdr:row>
      <xdr:rowOff>11430</xdr:rowOff>
    </xdr:from>
    <xdr:to>
      <xdr:col>11</xdr:col>
      <xdr:colOff>396240</xdr:colOff>
      <xdr:row>5</xdr:row>
      <xdr:rowOff>95250</xdr:rowOff>
    </xdr:to>
    <xdr:sp macro="" textlink="">
      <xdr:nvSpPr>
        <xdr:cNvPr id="17" name="직사각형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4785360" y="1085850"/>
          <a:ext cx="2987040" cy="35052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200" b="1">
              <a:solidFill>
                <a:schemeClr val="accent1"/>
              </a:solidFill>
            </a:rPr>
            <a:t>수익율 분석</a:t>
          </a:r>
          <a:endParaRPr lang="ko-KR" altLang="en-US" sz="12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91440</xdr:colOff>
      <xdr:row>5</xdr:row>
      <xdr:rowOff>72390</xdr:rowOff>
    </xdr:from>
    <xdr:to>
      <xdr:col>11</xdr:col>
      <xdr:colOff>396240</xdr:colOff>
      <xdr:row>6</xdr:row>
      <xdr:rowOff>156210</xdr:rowOff>
    </xdr:to>
    <xdr:sp macro="" textlink="">
      <xdr:nvSpPr>
        <xdr:cNvPr id="18" name="직사각형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4785360" y="1413510"/>
          <a:ext cx="2987040" cy="35052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200" b="1">
              <a:solidFill>
                <a:schemeClr val="accent1"/>
              </a:solidFill>
            </a:rPr>
            <a:t>솔루션효과 산정</a:t>
          </a:r>
          <a:endParaRPr lang="ko-KR" altLang="en-US" sz="12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104775</xdr:colOff>
      <xdr:row>6</xdr:row>
      <xdr:rowOff>158115</xdr:rowOff>
    </xdr:from>
    <xdr:to>
      <xdr:col>11</xdr:col>
      <xdr:colOff>409575</xdr:colOff>
      <xdr:row>7</xdr:row>
      <xdr:rowOff>240030</xdr:rowOff>
    </xdr:to>
    <xdr:sp macro="" textlink="">
      <xdr:nvSpPr>
        <xdr:cNvPr id="19" name="직사각형 18">
          <a:extLst>
            <a:ext uri="{FF2B5EF4-FFF2-40B4-BE49-F238E27FC236}">
              <a16:creationId xmlns:a16="http://schemas.microsoft.com/office/drawing/2014/main" id="{98691A89-AC7B-42C0-9B3E-DB8FB42E9D56}"/>
            </a:ext>
          </a:extLst>
        </xdr:cNvPr>
        <xdr:cNvSpPr/>
      </xdr:nvSpPr>
      <xdr:spPr>
        <a:xfrm>
          <a:off x="4772025" y="1767840"/>
          <a:ext cx="2971800" cy="34861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200" b="1">
              <a:solidFill>
                <a:schemeClr val="accent1"/>
              </a:solidFill>
            </a:rPr>
            <a:t>업데이트 이력</a:t>
          </a:r>
          <a:endParaRPr lang="ko-KR" altLang="en-US" sz="12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143434</xdr:colOff>
      <xdr:row>2</xdr:row>
      <xdr:rowOff>26893</xdr:rowOff>
    </xdr:from>
    <xdr:to>
      <xdr:col>24</xdr:col>
      <xdr:colOff>152399</xdr:colOff>
      <xdr:row>16</xdr:row>
      <xdr:rowOff>197222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291353</xdr:colOff>
      <xdr:row>2</xdr:row>
      <xdr:rowOff>10769</xdr:rowOff>
    </xdr:from>
    <xdr:to>
      <xdr:col>1</xdr:col>
      <xdr:colOff>600</xdr:colOff>
      <xdr:row>8</xdr:row>
      <xdr:rowOff>76201</xdr:rowOff>
    </xdr:to>
    <xdr:sp macro="[0]!Part1_요약" textlink="">
      <xdr:nvSpPr>
        <xdr:cNvPr id="3" name="사각형: 둥근 위쪽 모서리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 rot="16200000">
          <a:off x="-161284" y="1169377"/>
          <a:ext cx="1286873" cy="381600"/>
        </a:xfrm>
        <a:prstGeom prst="round2SameRect">
          <a:avLst/>
        </a:prstGeom>
        <a:solidFill>
          <a:schemeClr val="accent1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ko-KR" altLang="en-US" sz="1100" b="1">
              <a:solidFill>
                <a:schemeClr val="bg1"/>
              </a:solidFill>
            </a:rPr>
            <a:t>인건비</a:t>
          </a:r>
        </a:p>
      </xdr:txBody>
    </xdr:sp>
    <xdr:clientData/>
  </xdr:twoCellAnchor>
  <xdr:twoCellAnchor>
    <xdr:from>
      <xdr:col>0</xdr:col>
      <xdr:colOff>283845</xdr:colOff>
      <xdr:row>10</xdr:row>
      <xdr:rowOff>102869</xdr:rowOff>
    </xdr:from>
    <xdr:to>
      <xdr:col>1</xdr:col>
      <xdr:colOff>2505</xdr:colOff>
      <xdr:row>15</xdr:row>
      <xdr:rowOff>213359</xdr:rowOff>
    </xdr:to>
    <xdr:sp macro="[0]!Part2_요약" textlink="">
      <xdr:nvSpPr>
        <xdr:cNvPr id="4" name="사각형: 둥근 위쪽 모서리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 rot="16200000">
          <a:off x="-164483" y="2884822"/>
          <a:ext cx="1205865" cy="309210"/>
        </a:xfrm>
        <a:prstGeom prst="round2SameRect">
          <a:avLst/>
        </a:prstGeom>
        <a:solidFill>
          <a:schemeClr val="bg2">
            <a:lumMod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ko-KR" altLang="en-US" sz="1100" b="1">
              <a:solidFill>
                <a:schemeClr val="bg1"/>
              </a:solidFill>
            </a:rPr>
            <a:t>구 축 비</a:t>
          </a:r>
        </a:p>
      </xdr:txBody>
    </xdr:sp>
    <xdr:clientData/>
  </xdr:twoCellAnchor>
  <xdr:twoCellAnchor>
    <xdr:from>
      <xdr:col>0</xdr:col>
      <xdr:colOff>281940</xdr:colOff>
      <xdr:row>18</xdr:row>
      <xdr:rowOff>47624</xdr:rowOff>
    </xdr:from>
    <xdr:to>
      <xdr:col>1</xdr:col>
      <xdr:colOff>600</xdr:colOff>
      <xdr:row>24</xdr:row>
      <xdr:rowOff>102870</xdr:rowOff>
    </xdr:to>
    <xdr:sp macro="[0]!Part3_요약" textlink="">
      <xdr:nvSpPr>
        <xdr:cNvPr id="5" name="사각형: 둥근 위쪽 모서리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 rot="16200000">
          <a:off x="-191153" y="4606942"/>
          <a:ext cx="1255396" cy="309210"/>
        </a:xfrm>
        <a:prstGeom prst="round2SameRect">
          <a:avLst/>
        </a:prstGeom>
        <a:solidFill>
          <a:schemeClr val="bg2">
            <a:lumMod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ko-KR" altLang="en-US" sz="1100" b="1">
              <a:solidFill>
                <a:schemeClr val="bg1"/>
              </a:solidFill>
            </a:rPr>
            <a:t>수행비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290232</xdr:colOff>
          <xdr:row>0</xdr:row>
          <xdr:rowOff>49306</xdr:rowOff>
        </xdr:from>
        <xdr:to>
          <xdr:col>6</xdr:col>
          <xdr:colOff>358812</xdr:colOff>
          <xdr:row>0</xdr:row>
          <xdr:rowOff>380776</xdr:rowOff>
        </xdr:to>
        <xdr:sp macro="" textlink="">
          <xdr:nvSpPr>
            <xdr:cNvPr id="46081" name="cmd_구축요약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2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289560</xdr:colOff>
      <xdr:row>2</xdr:row>
      <xdr:rowOff>6960</xdr:rowOff>
    </xdr:from>
    <xdr:to>
      <xdr:col>1</xdr:col>
      <xdr:colOff>600</xdr:colOff>
      <xdr:row>8</xdr:row>
      <xdr:rowOff>106680</xdr:rowOff>
    </xdr:to>
    <xdr:sp macro="[0]!Part1_요약" textlink="">
      <xdr:nvSpPr>
        <xdr:cNvPr id="3" name="사각형: 둥근 위쪽 모서리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 rot="16200000">
          <a:off x="-213390" y="951870"/>
          <a:ext cx="1311300" cy="305400"/>
        </a:xfrm>
        <a:prstGeom prst="round2SameRect">
          <a:avLst/>
        </a:prstGeom>
        <a:solidFill>
          <a:schemeClr val="bg2">
            <a:lumMod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ko-KR" altLang="en-US" sz="1100" b="1">
              <a:solidFill>
                <a:schemeClr val="bg1"/>
              </a:solidFill>
            </a:rPr>
            <a:t>인건비</a:t>
          </a:r>
        </a:p>
      </xdr:txBody>
    </xdr:sp>
    <xdr:clientData/>
  </xdr:twoCellAnchor>
  <xdr:twoCellAnchor>
    <xdr:from>
      <xdr:col>0</xdr:col>
      <xdr:colOff>289560</xdr:colOff>
      <xdr:row>8</xdr:row>
      <xdr:rowOff>178410</xdr:rowOff>
    </xdr:from>
    <xdr:to>
      <xdr:col>1</xdr:col>
      <xdr:colOff>600</xdr:colOff>
      <xdr:row>15</xdr:row>
      <xdr:rowOff>57150</xdr:rowOff>
    </xdr:to>
    <xdr:sp macro="[0]!Part2_요약" textlink="">
      <xdr:nvSpPr>
        <xdr:cNvPr id="4" name="사각형: 둥근 위쪽 모서리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 rot="16200000">
          <a:off x="-270540" y="2392050"/>
          <a:ext cx="1425600" cy="305400"/>
        </a:xfrm>
        <a:prstGeom prst="round2SameRect">
          <a:avLst/>
        </a:prstGeom>
        <a:solidFill>
          <a:schemeClr val="accent2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ko-KR" altLang="en-US" sz="1100" b="1">
              <a:solidFill>
                <a:schemeClr val="bg1"/>
              </a:solidFill>
            </a:rPr>
            <a:t>구 축 비</a:t>
          </a:r>
        </a:p>
      </xdr:txBody>
    </xdr:sp>
    <xdr:clientData/>
  </xdr:twoCellAnchor>
  <xdr:twoCellAnchor>
    <xdr:from>
      <xdr:col>0</xdr:col>
      <xdr:colOff>289560</xdr:colOff>
      <xdr:row>15</xdr:row>
      <xdr:rowOff>128880</xdr:rowOff>
    </xdr:from>
    <xdr:to>
      <xdr:col>1</xdr:col>
      <xdr:colOff>600</xdr:colOff>
      <xdr:row>22</xdr:row>
      <xdr:rowOff>7620</xdr:rowOff>
    </xdr:to>
    <xdr:sp macro="[0]!Part3_요약" textlink="">
      <xdr:nvSpPr>
        <xdr:cNvPr id="5" name="사각형: 둥근 위쪽 모서리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 rot="16200000">
          <a:off x="-213390" y="3832230"/>
          <a:ext cx="1311300" cy="305400"/>
        </a:xfrm>
        <a:prstGeom prst="round2SameRect">
          <a:avLst/>
        </a:prstGeom>
        <a:solidFill>
          <a:schemeClr val="bg2">
            <a:lumMod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ko-KR" altLang="en-US" sz="1100" b="1">
              <a:solidFill>
                <a:schemeClr val="bg1"/>
              </a:solidFill>
            </a:rPr>
            <a:t>수행비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289560</xdr:colOff>
      <xdr:row>2</xdr:row>
      <xdr:rowOff>6960</xdr:rowOff>
    </xdr:from>
    <xdr:to>
      <xdr:col>1</xdr:col>
      <xdr:colOff>600</xdr:colOff>
      <xdr:row>8</xdr:row>
      <xdr:rowOff>106680</xdr:rowOff>
    </xdr:to>
    <xdr:sp macro="[0]!Part1_요약" textlink="">
      <xdr:nvSpPr>
        <xdr:cNvPr id="2" name="사각형: 둥근 위쪽 모서리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 rot="16200000">
          <a:off x="-213390" y="951870"/>
          <a:ext cx="1311300" cy="305400"/>
        </a:xfrm>
        <a:prstGeom prst="round2SameRect">
          <a:avLst/>
        </a:prstGeom>
        <a:solidFill>
          <a:schemeClr val="bg2">
            <a:lumMod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ko-KR" altLang="en-US" sz="1100" b="1">
              <a:solidFill>
                <a:schemeClr val="bg1"/>
              </a:solidFill>
            </a:rPr>
            <a:t>인건비</a:t>
          </a:r>
        </a:p>
      </xdr:txBody>
    </xdr:sp>
    <xdr:clientData/>
  </xdr:twoCellAnchor>
  <xdr:twoCellAnchor>
    <xdr:from>
      <xdr:col>0</xdr:col>
      <xdr:colOff>289560</xdr:colOff>
      <xdr:row>8</xdr:row>
      <xdr:rowOff>178410</xdr:rowOff>
    </xdr:from>
    <xdr:to>
      <xdr:col>1</xdr:col>
      <xdr:colOff>600</xdr:colOff>
      <xdr:row>15</xdr:row>
      <xdr:rowOff>57150</xdr:rowOff>
    </xdr:to>
    <xdr:sp macro="[0]!Part2_요약" textlink="">
      <xdr:nvSpPr>
        <xdr:cNvPr id="3" name="사각형: 둥근 위쪽 모서리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 rot="16200000">
          <a:off x="-270540" y="2392050"/>
          <a:ext cx="1425600" cy="305400"/>
        </a:xfrm>
        <a:prstGeom prst="round2SameRect">
          <a:avLst/>
        </a:prstGeom>
        <a:solidFill>
          <a:schemeClr val="bg2">
            <a:lumMod val="2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ko-KR" altLang="en-US" sz="1100" b="1">
              <a:solidFill>
                <a:schemeClr val="bg1"/>
              </a:solidFill>
            </a:rPr>
            <a:t>구 축 비</a:t>
          </a:r>
        </a:p>
      </xdr:txBody>
    </xdr:sp>
    <xdr:clientData/>
  </xdr:twoCellAnchor>
  <xdr:twoCellAnchor>
    <xdr:from>
      <xdr:col>0</xdr:col>
      <xdr:colOff>289560</xdr:colOff>
      <xdr:row>15</xdr:row>
      <xdr:rowOff>128880</xdr:rowOff>
    </xdr:from>
    <xdr:to>
      <xdr:col>1</xdr:col>
      <xdr:colOff>600</xdr:colOff>
      <xdr:row>22</xdr:row>
      <xdr:rowOff>7620</xdr:rowOff>
    </xdr:to>
    <xdr:sp macro="[0]!Part3_요약" textlink="">
      <xdr:nvSpPr>
        <xdr:cNvPr id="4" name="사각형: 둥근 위쪽 모서리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 rot="16200000">
          <a:off x="-213390" y="3832230"/>
          <a:ext cx="1311300" cy="305400"/>
        </a:xfrm>
        <a:prstGeom prst="round2SameRect">
          <a:avLst/>
        </a:prstGeom>
        <a:solidFill>
          <a:schemeClr val="accent6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ko-KR" altLang="en-US" sz="1100" b="1">
              <a:solidFill>
                <a:schemeClr val="bg1"/>
              </a:solidFill>
            </a:rPr>
            <a:t>수행비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175260</xdr:colOff>
          <xdr:row>0</xdr:row>
          <xdr:rowOff>0</xdr:rowOff>
        </xdr:from>
        <xdr:to>
          <xdr:col>4</xdr:col>
          <xdr:colOff>485775</xdr:colOff>
          <xdr:row>1</xdr:row>
          <xdr:rowOff>85725</xdr:rowOff>
        </xdr:to>
        <xdr:sp macro="" textlink="">
          <xdr:nvSpPr>
            <xdr:cNvPr id="29697" name="cmd_BL인건비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4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236220</xdr:colOff>
          <xdr:row>0</xdr:row>
          <xdr:rowOff>22860</xdr:rowOff>
        </xdr:from>
        <xdr:to>
          <xdr:col>6</xdr:col>
          <xdr:colOff>47625</xdr:colOff>
          <xdr:row>1</xdr:row>
          <xdr:rowOff>95250</xdr:rowOff>
        </xdr:to>
        <xdr:sp macro="" textlink="">
          <xdr:nvSpPr>
            <xdr:cNvPr id="29698" name="OptionButton1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4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1059180</xdr:colOff>
          <xdr:row>0</xdr:row>
          <xdr:rowOff>0</xdr:rowOff>
        </xdr:from>
        <xdr:to>
          <xdr:col>7</xdr:col>
          <xdr:colOff>828675</xdr:colOff>
          <xdr:row>1</xdr:row>
          <xdr:rowOff>123825</xdr:rowOff>
        </xdr:to>
        <xdr:sp macro="" textlink="">
          <xdr:nvSpPr>
            <xdr:cNvPr id="29699" name="OptionButton2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4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0</xdr:row>
          <xdr:rowOff>7620</xdr:rowOff>
        </xdr:from>
        <xdr:to>
          <xdr:col>4</xdr:col>
          <xdr:colOff>358140</xdr:colOff>
          <xdr:row>0</xdr:row>
          <xdr:rowOff>322761</xdr:rowOff>
        </xdr:to>
        <xdr:sp macro="" textlink="">
          <xdr:nvSpPr>
            <xdr:cNvPr id="41985" name="cmd_CS인건비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5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236220</xdr:colOff>
          <xdr:row>0</xdr:row>
          <xdr:rowOff>22860</xdr:rowOff>
        </xdr:from>
        <xdr:to>
          <xdr:col>6</xdr:col>
          <xdr:colOff>849630</xdr:colOff>
          <xdr:row>0</xdr:row>
          <xdr:rowOff>318951</xdr:rowOff>
        </xdr:to>
        <xdr:sp macro="" textlink="">
          <xdr:nvSpPr>
            <xdr:cNvPr id="41986" name="OptionButton1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5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1059180</xdr:colOff>
          <xdr:row>0</xdr:row>
          <xdr:rowOff>0</xdr:rowOff>
        </xdr:from>
        <xdr:to>
          <xdr:col>7</xdr:col>
          <xdr:colOff>815340</xdr:colOff>
          <xdr:row>0</xdr:row>
          <xdr:rowOff>334191</xdr:rowOff>
        </xdr:to>
        <xdr:sp macro="" textlink="">
          <xdr:nvSpPr>
            <xdr:cNvPr id="41987" name="OptionButton2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5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258536</xdr:colOff>
          <xdr:row>0</xdr:row>
          <xdr:rowOff>13607</xdr:rowOff>
        </xdr:from>
        <xdr:to>
          <xdr:col>3</xdr:col>
          <xdr:colOff>582386</xdr:colOff>
          <xdr:row>0</xdr:row>
          <xdr:rowOff>290648</xdr:rowOff>
        </xdr:to>
        <xdr:sp macro="" textlink="">
          <xdr:nvSpPr>
            <xdr:cNvPr id="28673" name="cmd_CS구축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6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404132</xdr:colOff>
          <xdr:row>0</xdr:row>
          <xdr:rowOff>40822</xdr:rowOff>
        </xdr:from>
        <xdr:to>
          <xdr:col>5</xdr:col>
          <xdr:colOff>891812</xdr:colOff>
          <xdr:row>0</xdr:row>
          <xdr:rowOff>310243</xdr:rowOff>
        </xdr:to>
        <xdr:sp macro="" textlink="">
          <xdr:nvSpPr>
            <xdr:cNvPr id="28680" name="OptionButton1" hidden="1">
              <a:extLst>
                <a:ext uri="{63B3BB69-23CF-44E3-9099-C40C66FF867C}">
                  <a14:compatExt spid="_x0000_s28680"/>
                </a:ext>
                <a:ext uri="{FF2B5EF4-FFF2-40B4-BE49-F238E27FC236}">
                  <a16:creationId xmlns:a16="http://schemas.microsoft.com/office/drawing/2014/main" id="{00000000-0008-0000-0600-000008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1299482</xdr:colOff>
          <xdr:row>0</xdr:row>
          <xdr:rowOff>0</xdr:rowOff>
        </xdr:from>
        <xdr:to>
          <xdr:col>6</xdr:col>
          <xdr:colOff>520337</xdr:colOff>
          <xdr:row>0</xdr:row>
          <xdr:rowOff>250371</xdr:rowOff>
        </xdr:to>
        <xdr:sp macro="" textlink="">
          <xdr:nvSpPr>
            <xdr:cNvPr id="28681" name="OptionButton2" hidden="1">
              <a:extLst>
                <a:ext uri="{63B3BB69-23CF-44E3-9099-C40C66FF867C}">
                  <a14:compatExt spid="_x0000_s28681"/>
                </a:ext>
                <a:ext uri="{FF2B5EF4-FFF2-40B4-BE49-F238E27FC236}">
                  <a16:creationId xmlns:a16="http://schemas.microsoft.com/office/drawing/2014/main" id="{00000000-0008-0000-0600-000009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33618</xdr:colOff>
          <xdr:row>0</xdr:row>
          <xdr:rowOff>33617</xdr:rowOff>
        </xdr:from>
        <xdr:to>
          <xdr:col>3</xdr:col>
          <xdr:colOff>359373</xdr:colOff>
          <xdr:row>0</xdr:row>
          <xdr:rowOff>291608</xdr:rowOff>
        </xdr:to>
        <xdr:sp macro="" textlink="">
          <xdr:nvSpPr>
            <xdr:cNvPr id="45057" name="cmd_CS수행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7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106680</xdr:colOff>
          <xdr:row>0</xdr:row>
          <xdr:rowOff>0</xdr:rowOff>
        </xdr:from>
        <xdr:to>
          <xdr:col>4</xdr:col>
          <xdr:colOff>1162050</xdr:colOff>
          <xdr:row>0</xdr:row>
          <xdr:rowOff>269421</xdr:rowOff>
        </xdr:to>
        <xdr:sp macro="" textlink="">
          <xdr:nvSpPr>
            <xdr:cNvPr id="45058" name="OptionButton1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7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906780</xdr:colOff>
          <xdr:row>0</xdr:row>
          <xdr:rowOff>0</xdr:rowOff>
        </xdr:from>
        <xdr:to>
          <xdr:col>6</xdr:col>
          <xdr:colOff>133350</xdr:colOff>
          <xdr:row>0</xdr:row>
          <xdr:rowOff>246561</xdr:rowOff>
        </xdr:to>
        <xdr:sp macro="" textlink="">
          <xdr:nvSpPr>
            <xdr:cNvPr id="45059" name="OptionButton2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7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Relationship Id="rId9" Type="http://schemas.openxmlformats.org/officeDocument/2006/relationships/image" Target="../media/image7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9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9.xml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Relationship Id="rId9" Type="http://schemas.openxmlformats.org/officeDocument/2006/relationships/image" Target="../media/image10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2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2.xml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Relationship Id="rId9" Type="http://schemas.openxmlformats.org/officeDocument/2006/relationships/image" Target="../media/image13.emf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8B548B-C037-4405-AB6D-5D9885FE353B}">
  <sheetPr codeName="A1_Sheet">
    <tabColor theme="4" tint="0.59999389629810485"/>
  </sheetPr>
  <dimension ref="A1:K13"/>
  <sheetViews>
    <sheetView showGridLines="0" tabSelected="1" zoomScale="85" zoomScaleNormal="85" workbookViewId="0">
      <selection activeCell="L8" sqref="L8"/>
    </sheetView>
  </sheetViews>
  <sheetFormatPr defaultRowHeight="17.399999999999999" x14ac:dyDescent="0.4"/>
  <sheetData>
    <row r="1" spans="1:11" x14ac:dyDescent="0.4">
      <c r="A1" s="183" t="s">
        <v>540</v>
      </c>
    </row>
    <row r="2" spans="1:11" ht="36.6" thickBot="1" x14ac:dyDescent="0.45">
      <c r="B2" s="185" t="s">
        <v>541</v>
      </c>
      <c r="C2" s="185"/>
      <c r="D2" s="185"/>
      <c r="E2" s="185"/>
      <c r="F2" s="185"/>
      <c r="G2" s="185"/>
      <c r="H2" s="185"/>
      <c r="I2" s="185"/>
      <c r="J2" s="185"/>
      <c r="K2" s="185"/>
    </row>
    <row r="3" spans="1:11" ht="13.2" customHeight="1" thickTop="1" x14ac:dyDescent="0.4">
      <c r="B3" s="181"/>
      <c r="C3" s="181"/>
      <c r="D3" s="181"/>
      <c r="E3" s="181"/>
      <c r="F3" s="181"/>
      <c r="G3" s="181"/>
      <c r="H3" s="181"/>
      <c r="I3" s="181"/>
      <c r="J3" s="181"/>
      <c r="K3" s="181"/>
    </row>
    <row r="5" spans="1:11" ht="21" x14ac:dyDescent="0.4">
      <c r="B5" s="182"/>
      <c r="H5" s="182"/>
    </row>
    <row r="6" spans="1:11" ht="21" x14ac:dyDescent="0.4">
      <c r="B6" s="182"/>
      <c r="H6" s="182"/>
    </row>
    <row r="7" spans="1:11" ht="21" x14ac:dyDescent="0.4">
      <c r="B7" s="182"/>
    </row>
    <row r="8" spans="1:11" ht="21" x14ac:dyDescent="0.4">
      <c r="B8" s="182"/>
    </row>
    <row r="9" spans="1:11" ht="21" x14ac:dyDescent="0.4">
      <c r="B9" s="182"/>
    </row>
    <row r="10" spans="1:11" ht="21" x14ac:dyDescent="0.4">
      <c r="B10" s="182"/>
    </row>
    <row r="11" spans="1:11" ht="21" x14ac:dyDescent="0.4">
      <c r="B11" s="182"/>
    </row>
    <row r="12" spans="1:11" ht="21" x14ac:dyDescent="0.4">
      <c r="B12" s="182"/>
    </row>
    <row r="13" spans="1:11" ht="21" x14ac:dyDescent="0.4">
      <c r="B13" s="182"/>
    </row>
  </sheetData>
  <mergeCells count="1">
    <mergeCell ref="B2:K2"/>
  </mergeCells>
  <phoneticPr fontId="1" type="noConversion"/>
  <hyperlinks>
    <hyperlink ref="A1" location="HOME!A1" display="HOME" xr:uid="{44B70E22-A96E-4034-B4AF-AD6C10A9716E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38D7A4-48DF-48DA-B7DB-F1C6AE6F663E}">
  <sheetPr codeName="Sheet1"/>
  <dimension ref="A1:R18"/>
  <sheetViews>
    <sheetView showGridLines="0" zoomScale="70" zoomScaleNormal="70" workbookViewId="0">
      <selection activeCell="I25" sqref="I25"/>
    </sheetView>
  </sheetViews>
  <sheetFormatPr defaultColWidth="11.5" defaultRowHeight="17.399999999999999" x14ac:dyDescent="0.4"/>
  <cols>
    <col min="1" max="1" width="8.69921875" style="176" customWidth="1"/>
    <col min="2" max="2" width="5.19921875" customWidth="1"/>
    <col min="4" max="4" width="13.59765625" bestFit="1" customWidth="1"/>
    <col min="7" max="7" width="17.19921875" bestFit="1" customWidth="1"/>
    <col min="8" max="8" width="15.59765625" bestFit="1" customWidth="1"/>
    <col min="9" max="17" width="15.3984375" bestFit="1" customWidth="1"/>
    <col min="18" max="18" width="11.69921875" bestFit="1" customWidth="1"/>
  </cols>
  <sheetData>
    <row r="1" spans="1:18" ht="30" customHeight="1" thickBot="1" x14ac:dyDescent="0.45">
      <c r="A1" s="183" t="s">
        <v>540</v>
      </c>
      <c r="C1" s="213" t="s">
        <v>556</v>
      </c>
      <c r="D1" s="212"/>
      <c r="E1" s="212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1"/>
    </row>
    <row r="2" spans="1:18" ht="10.8" customHeight="1" thickTop="1" x14ac:dyDescent="0.4">
      <c r="C2" s="202"/>
      <c r="D2" s="163"/>
      <c r="E2" s="163"/>
      <c r="F2" s="202"/>
      <c r="G2" s="202"/>
      <c r="H2" s="202"/>
      <c r="I2" s="202"/>
      <c r="J2" s="202"/>
      <c r="K2" s="202"/>
      <c r="L2" s="202"/>
      <c r="M2" s="202"/>
      <c r="N2" s="202"/>
      <c r="O2" s="202"/>
      <c r="P2" s="202"/>
      <c r="Q2" s="202"/>
    </row>
    <row r="3" spans="1:18" ht="19.2" customHeight="1" x14ac:dyDescent="0.4">
      <c r="C3" s="207" t="s">
        <v>547</v>
      </c>
      <c r="D3" s="208"/>
      <c r="E3" s="208"/>
      <c r="H3" s="3" t="s">
        <v>550</v>
      </c>
      <c r="I3" s="3" t="s">
        <v>550</v>
      </c>
      <c r="J3" s="3" t="s">
        <v>549</v>
      </c>
      <c r="K3" s="3" t="s">
        <v>549</v>
      </c>
      <c r="L3" s="3" t="s">
        <v>549</v>
      </c>
      <c r="M3" s="3" t="s">
        <v>549</v>
      </c>
      <c r="N3" s="3" t="s">
        <v>549</v>
      </c>
      <c r="O3" s="3" t="s">
        <v>549</v>
      </c>
      <c r="P3" s="3" t="s">
        <v>549</v>
      </c>
      <c r="Q3" s="3" t="s">
        <v>549</v>
      </c>
      <c r="R3" s="3" t="s">
        <v>551</v>
      </c>
    </row>
    <row r="4" spans="1:18" ht="10.050000000000001" customHeight="1" x14ac:dyDescent="0.4"/>
    <row r="5" spans="1:18" s="106" customFormat="1" ht="20.399999999999999" customHeight="1" x14ac:dyDescent="0.4">
      <c r="A5" s="176"/>
      <c r="C5" s="196" t="s">
        <v>1</v>
      </c>
      <c r="D5" s="197" t="s">
        <v>555</v>
      </c>
      <c r="E5" s="197" t="s">
        <v>3</v>
      </c>
      <c r="F5" s="197" t="s">
        <v>4</v>
      </c>
      <c r="G5" s="197" t="s">
        <v>545</v>
      </c>
      <c r="H5" s="197" t="s">
        <v>41</v>
      </c>
      <c r="I5" s="197" t="s">
        <v>371</v>
      </c>
      <c r="J5" s="197" t="s">
        <v>372</v>
      </c>
      <c r="K5" s="197" t="s">
        <v>373</v>
      </c>
      <c r="L5" s="197" t="s">
        <v>374</v>
      </c>
      <c r="M5" s="197" t="s">
        <v>375</v>
      </c>
      <c r="N5" s="197" t="s">
        <v>376</v>
      </c>
      <c r="O5" s="197" t="s">
        <v>377</v>
      </c>
      <c r="P5" s="197" t="s">
        <v>378</v>
      </c>
      <c r="Q5" s="197" t="s">
        <v>379</v>
      </c>
      <c r="R5" s="197" t="s">
        <v>188</v>
      </c>
    </row>
    <row r="6" spans="1:18" ht="20.399999999999999" customHeight="1" x14ac:dyDescent="0.4">
      <c r="C6" s="198" t="s">
        <v>160</v>
      </c>
      <c r="D6" s="198" t="s">
        <v>552</v>
      </c>
      <c r="E6" s="198" t="s">
        <v>546</v>
      </c>
      <c r="F6" s="198" t="s">
        <v>367</v>
      </c>
      <c r="G6" s="199">
        <f>AVERAGE(H6:Q6)</f>
        <v>41.314409999999988</v>
      </c>
      <c r="H6" s="199">
        <f>'1.인건비_요약'!G32</f>
        <v>47</v>
      </c>
      <c r="I6" s="199">
        <f>'1.인건비_요약'!H32</f>
        <v>43.789899999999996</v>
      </c>
      <c r="J6" s="199">
        <f>'1.인건비_요약'!I32</f>
        <v>43.789899999999996</v>
      </c>
      <c r="K6" s="199">
        <f>'1.인건비_요약'!J32</f>
        <v>39.794899999999998</v>
      </c>
      <c r="L6" s="199">
        <f>'1.인건비_요약'!K32</f>
        <v>39.794899999999998</v>
      </c>
      <c r="M6" s="199">
        <f>'1.인건비_요약'!L32</f>
        <v>39.794899999999998</v>
      </c>
      <c r="N6" s="199">
        <f>'1.인건비_요약'!M32</f>
        <v>39.794899999999998</v>
      </c>
      <c r="O6" s="199">
        <f>'1.인건비_요약'!N32</f>
        <v>39.794899999999998</v>
      </c>
      <c r="P6" s="199">
        <f>'1.인건비_요약'!O32</f>
        <v>39.794899999999998</v>
      </c>
      <c r="Q6" s="199">
        <f>'1.인건비_요약'!P32</f>
        <v>39.794899999999998</v>
      </c>
      <c r="R6" s="199">
        <f>'1.인건비_요약'!Q32</f>
        <v>0</v>
      </c>
    </row>
    <row r="7" spans="1:18" ht="20.399999999999999" customHeight="1" x14ac:dyDescent="0.4">
      <c r="C7" s="198" t="s">
        <v>160</v>
      </c>
      <c r="D7" s="198" t="s">
        <v>552</v>
      </c>
      <c r="E7" s="198" t="s">
        <v>546</v>
      </c>
      <c r="F7" s="198" t="s">
        <v>368</v>
      </c>
      <c r="G7" s="199">
        <f>AVERAGE(H7:Q7)</f>
        <v>10</v>
      </c>
      <c r="H7" s="199">
        <f>'1.인건비_요약'!G33</f>
        <v>10</v>
      </c>
      <c r="I7" s="199">
        <f>'1.인건비_요약'!H33</f>
        <v>10</v>
      </c>
      <c r="J7" s="199">
        <f>'1.인건비_요약'!I33</f>
        <v>10</v>
      </c>
      <c r="K7" s="199">
        <f>'1.인건비_요약'!J33</f>
        <v>10</v>
      </c>
      <c r="L7" s="199">
        <f>'1.인건비_요약'!K33</f>
        <v>10</v>
      </c>
      <c r="M7" s="199">
        <f>'1.인건비_요약'!L33</f>
        <v>10</v>
      </c>
      <c r="N7" s="199">
        <f>'1.인건비_요약'!M33</f>
        <v>10</v>
      </c>
      <c r="O7" s="199">
        <f>'1.인건비_요약'!N33</f>
        <v>10</v>
      </c>
      <c r="P7" s="199">
        <f>'1.인건비_요약'!O33</f>
        <v>10</v>
      </c>
      <c r="Q7" s="199">
        <f>'1.인건비_요약'!P33</f>
        <v>10</v>
      </c>
      <c r="R7" s="199">
        <f>'1.인건비_요약'!Q33</f>
        <v>0</v>
      </c>
    </row>
    <row r="8" spans="1:18" ht="20.399999999999999" customHeight="1" x14ac:dyDescent="0.4">
      <c r="C8" s="205" t="s">
        <v>370</v>
      </c>
      <c r="D8" s="205"/>
      <c r="E8" s="205"/>
      <c r="F8" s="205"/>
      <c r="G8" s="206">
        <f>SUM(G6:G7)</f>
        <v>51.314409999999988</v>
      </c>
      <c r="H8" s="206">
        <f t="shared" ref="H8:R8" si="0">SUM(H6:H7)</f>
        <v>57</v>
      </c>
      <c r="I8" s="206">
        <f t="shared" si="0"/>
        <v>53.789899999999996</v>
      </c>
      <c r="J8" s="206">
        <f t="shared" si="0"/>
        <v>53.789899999999996</v>
      </c>
      <c r="K8" s="206">
        <f t="shared" si="0"/>
        <v>49.794899999999998</v>
      </c>
      <c r="L8" s="206">
        <f t="shared" si="0"/>
        <v>49.794899999999998</v>
      </c>
      <c r="M8" s="206">
        <f t="shared" si="0"/>
        <v>49.794899999999998</v>
      </c>
      <c r="N8" s="206">
        <f t="shared" si="0"/>
        <v>49.794899999999998</v>
      </c>
      <c r="O8" s="206">
        <f t="shared" si="0"/>
        <v>49.794899999999998</v>
      </c>
      <c r="P8" s="206">
        <f t="shared" si="0"/>
        <v>49.794899999999998</v>
      </c>
      <c r="Q8" s="206">
        <f t="shared" si="0"/>
        <v>49.794899999999998</v>
      </c>
      <c r="R8" s="206">
        <f t="shared" si="0"/>
        <v>0</v>
      </c>
    </row>
    <row r="9" spans="1:18" s="151" customFormat="1" ht="20.399999999999999" customHeight="1" x14ac:dyDescent="0.4">
      <c r="A9" s="176"/>
      <c r="C9" s="203"/>
      <c r="D9" s="203"/>
      <c r="E9" s="203"/>
      <c r="F9" s="203"/>
      <c r="G9" s="204"/>
      <c r="H9" s="204"/>
      <c r="I9" s="204"/>
      <c r="J9" s="204"/>
      <c r="K9" s="204"/>
      <c r="L9" s="204"/>
      <c r="M9" s="204"/>
      <c r="N9" s="204"/>
      <c r="O9" s="204"/>
      <c r="P9" s="204"/>
      <c r="Q9" s="204"/>
      <c r="R9" s="204"/>
    </row>
    <row r="10" spans="1:18" ht="19.2" x14ac:dyDescent="0.4">
      <c r="C10" s="209" t="s">
        <v>548</v>
      </c>
      <c r="D10" s="210"/>
      <c r="E10" s="210"/>
      <c r="F10" s="163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</row>
    <row r="11" spans="1:18" s="163" customFormat="1" ht="10.050000000000001" customHeight="1" x14ac:dyDescent="0.4">
      <c r="A11" s="176"/>
      <c r="G11" s="201"/>
      <c r="H11" s="201"/>
      <c r="I11" s="201"/>
      <c r="J11" s="201"/>
      <c r="K11" s="201"/>
      <c r="L11" s="201"/>
      <c r="M11" s="201"/>
      <c r="N11" s="201"/>
      <c r="O11" s="201"/>
      <c r="P11" s="201"/>
      <c r="Q11" s="201"/>
      <c r="R11" s="201"/>
    </row>
    <row r="12" spans="1:18" s="106" customFormat="1" ht="20.399999999999999" customHeight="1" x14ac:dyDescent="0.4">
      <c r="A12" s="176"/>
      <c r="C12" s="196" t="s">
        <v>1</v>
      </c>
      <c r="D12" s="197" t="s">
        <v>555</v>
      </c>
      <c r="E12" s="197" t="s">
        <v>3</v>
      </c>
      <c r="F12" s="197" t="s">
        <v>4</v>
      </c>
      <c r="G12" s="197" t="s">
        <v>545</v>
      </c>
      <c r="H12" s="197" t="s">
        <v>41</v>
      </c>
      <c r="I12" s="197" t="s">
        <v>371</v>
      </c>
      <c r="J12" s="197" t="s">
        <v>372</v>
      </c>
      <c r="K12" s="197" t="s">
        <v>373</v>
      </c>
      <c r="L12" s="197" t="s">
        <v>374</v>
      </c>
      <c r="M12" s="197" t="s">
        <v>375</v>
      </c>
      <c r="N12" s="197" t="s">
        <v>376</v>
      </c>
      <c r="O12" s="197" t="s">
        <v>377</v>
      </c>
      <c r="P12" s="197" t="s">
        <v>378</v>
      </c>
      <c r="Q12" s="197" t="s">
        <v>379</v>
      </c>
      <c r="R12" s="197" t="s">
        <v>188</v>
      </c>
    </row>
    <row r="13" spans="1:18" ht="20.399999999999999" customHeight="1" x14ac:dyDescent="0.4">
      <c r="C13" s="198" t="s">
        <v>160</v>
      </c>
      <c r="D13" s="198" t="s">
        <v>552</v>
      </c>
      <c r="E13" s="198" t="s">
        <v>209</v>
      </c>
      <c r="F13" s="198" t="s">
        <v>367</v>
      </c>
      <c r="G13" s="199">
        <f>SUM(H13:Q13)</f>
        <v>13766481200.728365</v>
      </c>
      <c r="H13" s="200">
        <f>'1.인건비_요약'!G38</f>
        <v>1400562696</v>
      </c>
      <c r="I13" s="200">
        <f>'1.인건비_요약'!H38</f>
        <v>1337932382.5088181</v>
      </c>
      <c r="J13" s="200">
        <f>'1.인건비_요약'!I38</f>
        <v>1371796467.9387269</v>
      </c>
      <c r="K13" s="200">
        <f>'1.인건비_요약'!J38</f>
        <v>1278199548.0308907</v>
      </c>
      <c r="L13" s="200">
        <f>'1.인건비_요약'!K38</f>
        <v>1310551750.0232093</v>
      </c>
      <c r="M13" s="200">
        <f>'1.인건비_요약'!L38</f>
        <v>1343722810.8356264</v>
      </c>
      <c r="N13" s="200">
        <f>'1.인건비_요약'!M38</f>
        <v>1377733456.4072123</v>
      </c>
      <c r="O13" s="200">
        <f>'1.인건비_요약'!N38</f>
        <v>1412604937.2663059</v>
      </c>
      <c r="P13" s="200">
        <f>'1.인건비_요약'!O38</f>
        <v>1448359041.8082683</v>
      </c>
      <c r="Q13" s="200">
        <f>'1.인건비_요약'!P38</f>
        <v>1485018109.909307</v>
      </c>
      <c r="R13" s="200">
        <f>'1.인건비_요약'!Q38</f>
        <v>0</v>
      </c>
    </row>
    <row r="14" spans="1:18" ht="20.399999999999999" customHeight="1" x14ac:dyDescent="0.4">
      <c r="C14" s="198" t="s">
        <v>160</v>
      </c>
      <c r="D14" s="198" t="s">
        <v>552</v>
      </c>
      <c r="E14" s="198" t="s">
        <v>209</v>
      </c>
      <c r="F14" s="198" t="s">
        <v>368</v>
      </c>
      <c r="G14" s="199">
        <f t="shared" ref="G14:G17" si="1">SUM(H14:Q14)</f>
        <v>3941217384.3976245</v>
      </c>
      <c r="H14" s="200">
        <f>'1.인건비_요약'!G39</f>
        <v>351286836</v>
      </c>
      <c r="I14" s="200">
        <f>'1.인건비_요약'!H39</f>
        <v>360178172.79715532</v>
      </c>
      <c r="J14" s="200">
        <f>'1.인건비_요약'!I39</f>
        <v>369294556.08606273</v>
      </c>
      <c r="K14" s="200">
        <f>'1.인건비_요약'!J39</f>
        <v>378641681.96446353</v>
      </c>
      <c r="L14" s="200">
        <f>'1.인건비_요약'!K39</f>
        <v>388225390.70266241</v>
      </c>
      <c r="M14" s="200">
        <f>'1.인건비_요약'!L39</f>
        <v>398051670.39264381</v>
      </c>
      <c r="N14" s="200">
        <f>'1.인건비_요약'!M39</f>
        <v>408126660.68955106</v>
      </c>
      <c r="O14" s="200">
        <f>'1.인건비_요약'!N39</f>
        <v>418456656.64786565</v>
      </c>
      <c r="P14" s="200">
        <f>'1.인건비_요약'!O39</f>
        <v>429048112.65468234</v>
      </c>
      <c r="Q14" s="200">
        <f>'1.인건비_요약'!P39</f>
        <v>439907646.46253783</v>
      </c>
      <c r="R14" s="200">
        <f>'1.인건비_요약'!Q39</f>
        <v>0</v>
      </c>
    </row>
    <row r="15" spans="1:18" ht="20.399999999999999" customHeight="1" x14ac:dyDescent="0.4">
      <c r="C15" s="198" t="s">
        <v>160</v>
      </c>
      <c r="D15" s="198" t="s">
        <v>552</v>
      </c>
      <c r="E15" s="198" t="s">
        <v>395</v>
      </c>
      <c r="F15" s="198"/>
      <c r="G15" s="199">
        <f t="shared" si="1"/>
        <v>0</v>
      </c>
      <c r="H15" s="199">
        <f t="shared" ref="H15" si="2">SUM(I15:R15)</f>
        <v>0</v>
      </c>
      <c r="I15" s="199">
        <f t="shared" ref="I15" si="3">SUM(J15:S15)</f>
        <v>0</v>
      </c>
      <c r="J15" s="199">
        <f t="shared" ref="J15" si="4">SUM(K15:T15)</f>
        <v>0</v>
      </c>
      <c r="K15" s="199">
        <f t="shared" ref="K15" si="5">SUM(L15:U15)</f>
        <v>0</v>
      </c>
      <c r="L15" s="199">
        <f t="shared" ref="L15" si="6">SUM(M15:V15)</f>
        <v>0</v>
      </c>
      <c r="M15" s="199">
        <f t="shared" ref="M15" si="7">SUM(N15:W15)</f>
        <v>0</v>
      </c>
      <c r="N15" s="199">
        <f t="shared" ref="N15" si="8">SUM(O15:X15)</f>
        <v>0</v>
      </c>
      <c r="O15" s="199">
        <f t="shared" ref="O15" si="9">SUM(P15:Y15)</f>
        <v>0</v>
      </c>
      <c r="P15" s="199">
        <f t="shared" ref="P15" si="10">SUM(Q15:Z15)</f>
        <v>0</v>
      </c>
      <c r="Q15" s="199">
        <f t="shared" ref="Q15" si="11">SUM(R15:AA15)</f>
        <v>0</v>
      </c>
      <c r="R15" s="199">
        <f t="shared" ref="R15" si="12">SUM(S15:AB15)</f>
        <v>0</v>
      </c>
    </row>
    <row r="16" spans="1:18" ht="20.399999999999999" customHeight="1" x14ac:dyDescent="0.4">
      <c r="C16" s="198" t="s">
        <v>160</v>
      </c>
      <c r="D16" s="198" t="s">
        <v>553</v>
      </c>
      <c r="E16" s="198" t="s">
        <v>333</v>
      </c>
      <c r="F16" s="198"/>
      <c r="G16" s="199">
        <f t="shared" si="1"/>
        <v>1246214060.8000002</v>
      </c>
      <c r="H16" s="199">
        <f>'2.구축비_요약'!H2+'2.구축비_요약'!J2</f>
        <v>639657860</v>
      </c>
      <c r="I16" s="199">
        <f>'2.구축비_요약'!K2</f>
        <v>88192000</v>
      </c>
      <c r="J16" s="199">
        <f>'2.구축비_요약'!L2</f>
        <v>108072000</v>
      </c>
      <c r="K16" s="199">
        <f>'2.구축비_요약'!M2</f>
        <v>62470314.400000006</v>
      </c>
      <c r="L16" s="199">
        <f>'2.구축비_요약'!N2</f>
        <v>57970314.400000006</v>
      </c>
      <c r="M16" s="199">
        <f>'2.구축비_요약'!O2</f>
        <v>57970314.400000006</v>
      </c>
      <c r="N16" s="199">
        <f>'2.구축비_요약'!P2</f>
        <v>57970314.400000006</v>
      </c>
      <c r="O16" s="199">
        <f>'2.구축비_요약'!Q2</f>
        <v>57970314.400000006</v>
      </c>
      <c r="P16" s="199">
        <f>'2.구축비_요약'!R2</f>
        <v>57970314.400000006</v>
      </c>
      <c r="Q16" s="199">
        <f>'2.구축비_요약'!S2</f>
        <v>57970314.400000006</v>
      </c>
      <c r="R16" s="199">
        <f>'2.구축비_요약'!T2</f>
        <v>0</v>
      </c>
    </row>
    <row r="17" spans="3:18" ht="20.399999999999999" customHeight="1" x14ac:dyDescent="0.4">
      <c r="C17" s="198" t="s">
        <v>160</v>
      </c>
      <c r="D17" s="198" t="s">
        <v>554</v>
      </c>
      <c r="E17" s="198" t="s">
        <v>427</v>
      </c>
      <c r="F17" s="198"/>
      <c r="G17" s="199">
        <f t="shared" si="1"/>
        <v>1391225486.9998937</v>
      </c>
      <c r="H17" s="199">
        <f>CS_수행!X2</f>
        <v>207499450</v>
      </c>
      <c r="I17" s="199">
        <f>CS_수행!Y2</f>
        <v>127160330</v>
      </c>
      <c r="J17" s="199">
        <f>CS_수행!Z2</f>
        <v>121865438.25</v>
      </c>
      <c r="K17" s="199">
        <f>CS_수행!AA2</f>
        <v>124638174.20624994</v>
      </c>
      <c r="L17" s="199">
        <f>CS_수행!AB2</f>
        <v>127480228.56140618</v>
      </c>
      <c r="M17" s="199">
        <f>CS_수행!AC2</f>
        <v>130393334.27544133</v>
      </c>
      <c r="N17" s="199">
        <f>CS_수행!AD2</f>
        <v>133379267.63232739</v>
      </c>
      <c r="O17" s="199">
        <f>CS_수행!AE2</f>
        <v>136439849.32313561</v>
      </c>
      <c r="P17" s="199">
        <f>CS_수행!AF2</f>
        <v>139576945.55621392</v>
      </c>
      <c r="Q17" s="199">
        <f>CS_수행!AG2</f>
        <v>142792469.19511932</v>
      </c>
      <c r="R17" s="199">
        <f>CS_수행!AH2</f>
        <v>0</v>
      </c>
    </row>
    <row r="18" spans="3:18" ht="20.399999999999999" customHeight="1" x14ac:dyDescent="0.4">
      <c r="C18" s="205" t="s">
        <v>370</v>
      </c>
      <c r="D18" s="205"/>
      <c r="E18" s="205"/>
      <c r="F18" s="205"/>
      <c r="G18" s="206">
        <f>SUM(G13:G17)</f>
        <v>20345138132.92588</v>
      </c>
      <c r="H18" s="206">
        <f t="shared" ref="H18:R18" si="13">SUM(H13:H17)</f>
        <v>2599006842</v>
      </c>
      <c r="I18" s="206">
        <f t="shared" si="13"/>
        <v>1913462885.3059735</v>
      </c>
      <c r="J18" s="206">
        <f t="shared" si="13"/>
        <v>1971028462.2747896</v>
      </c>
      <c r="K18" s="206">
        <f t="shared" si="13"/>
        <v>1843949718.6016042</v>
      </c>
      <c r="L18" s="206">
        <f t="shared" si="13"/>
        <v>1884227683.687278</v>
      </c>
      <c r="M18" s="206">
        <f t="shared" si="13"/>
        <v>1930138129.9037116</v>
      </c>
      <c r="N18" s="206">
        <f t="shared" si="13"/>
        <v>1977209699.1290908</v>
      </c>
      <c r="O18" s="206">
        <f t="shared" si="13"/>
        <v>2025471757.6373074</v>
      </c>
      <c r="P18" s="206">
        <f t="shared" si="13"/>
        <v>2074954414.4191647</v>
      </c>
      <c r="Q18" s="206">
        <f t="shared" si="13"/>
        <v>2125688539.9669642</v>
      </c>
      <c r="R18" s="206">
        <f t="shared" si="13"/>
        <v>0</v>
      </c>
    </row>
  </sheetData>
  <phoneticPr fontId="1" type="noConversion"/>
  <hyperlinks>
    <hyperlink ref="A1" location="HOME!A1" display="HOME" xr:uid="{BEB56CB8-6C6F-4072-B882-FDC4B5772C7A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24018A-0CEA-41FA-AA15-25CBA89D426D}">
  <sheetPr codeName="A2_Sheet">
    <tabColor theme="4" tint="-0.249977111117893"/>
  </sheetPr>
  <dimension ref="A1:Q44"/>
  <sheetViews>
    <sheetView showGridLines="0" zoomScale="70" zoomScaleNormal="70" workbookViewId="0">
      <selection sqref="A1:XFD1"/>
    </sheetView>
  </sheetViews>
  <sheetFormatPr defaultRowHeight="17.399999999999999" customHeight="1" x14ac:dyDescent="0.4"/>
  <cols>
    <col min="1" max="1" width="8.69921875" style="176" customWidth="1"/>
    <col min="2" max="2" width="3.3984375" style="2" customWidth="1"/>
    <col min="3" max="5" width="7.09765625" style="2" customWidth="1"/>
    <col min="6" max="6" width="14" style="2" bestFit="1" customWidth="1"/>
    <col min="7" max="16" width="12.8984375" style="2" bestFit="1" customWidth="1"/>
    <col min="17" max="17" width="4.3984375" style="2" bestFit="1" customWidth="1"/>
    <col min="18" max="18" width="6.8984375" style="2" bestFit="1" customWidth="1"/>
    <col min="19" max="16384" width="8.796875" style="2"/>
  </cols>
  <sheetData>
    <row r="1" spans="1:17" ht="30" customHeight="1" thickBot="1" x14ac:dyDescent="0.45">
      <c r="A1" s="183" t="s">
        <v>540</v>
      </c>
      <c r="C1" s="214" t="s">
        <v>557</v>
      </c>
      <c r="D1" s="178"/>
      <c r="E1" s="178"/>
      <c r="F1" s="177"/>
      <c r="G1" s="177"/>
      <c r="H1" s="177"/>
      <c r="I1" s="177"/>
      <c r="J1" s="177"/>
      <c r="K1" s="177"/>
      <c r="L1" s="177"/>
      <c r="M1" s="177"/>
      <c r="N1" s="177"/>
      <c r="O1" s="177"/>
      <c r="P1" s="177"/>
      <c r="Q1" s="177"/>
    </row>
    <row r="2" spans="1:17" ht="17.399999999999999" customHeight="1" thickTop="1" x14ac:dyDescent="0.4">
      <c r="C2" s="103" t="s">
        <v>385</v>
      </c>
    </row>
    <row r="3" spans="1:17" s="3" customFormat="1" ht="17.399999999999999" customHeight="1" x14ac:dyDescent="0.4">
      <c r="A3" s="176"/>
      <c r="C3" s="60" t="s">
        <v>1</v>
      </c>
      <c r="D3" s="60" t="s">
        <v>205</v>
      </c>
      <c r="E3" s="60" t="s">
        <v>380</v>
      </c>
      <c r="F3" s="60" t="s">
        <v>370</v>
      </c>
      <c r="G3" s="60" t="s">
        <v>41</v>
      </c>
      <c r="H3" s="60" t="s">
        <v>371</v>
      </c>
      <c r="I3" s="60" t="s">
        <v>372</v>
      </c>
      <c r="J3" s="60" t="s">
        <v>373</v>
      </c>
      <c r="K3" s="60" t="s">
        <v>374</v>
      </c>
      <c r="L3" s="60" t="s">
        <v>375</v>
      </c>
      <c r="M3" s="60" t="s">
        <v>376</v>
      </c>
      <c r="N3" s="60" t="s">
        <v>377</v>
      </c>
      <c r="O3" s="60" t="s">
        <v>378</v>
      </c>
      <c r="P3" s="60" t="s">
        <v>379</v>
      </c>
      <c r="Q3" s="60" t="s">
        <v>188</v>
      </c>
    </row>
    <row r="4" spans="1:17" ht="17.399999999999999" customHeight="1" x14ac:dyDescent="0.4">
      <c r="C4" s="20" t="s">
        <v>160</v>
      </c>
      <c r="D4" s="20" t="s">
        <v>397</v>
      </c>
      <c r="E4" s="20" t="s">
        <v>367</v>
      </c>
      <c r="F4" s="17">
        <f>SUM(G4:Q4)</f>
        <v>470</v>
      </c>
      <c r="G4" s="17">
        <f>SUMIFS(BL_인건비!$M$5:$M$42,BL_인건비!$B$5:$B$42,'1.인건비_요약'!$C4,BL_인건비!$C$5:$C$42,'1.인건비_요약'!$D4,BL_인건비!$E$5:$E$42,'1.인건비_요약'!$E4)</f>
        <v>47</v>
      </c>
      <c r="H4" s="17">
        <f>SUMIFS(BL_인건비!$N$5:$N$42,BL_인건비!$B$5:$B$42,'1.인건비_요약'!$C4,BL_인건비!$C$5:$C$42,'1.인건비_요약'!$D4,BL_인건비!$E$5:$E$42,'1.인건비_요약'!$E4)</f>
        <v>47</v>
      </c>
      <c r="I4" s="17">
        <f>SUMIFS(BL_인건비!$O$5:$O$42,BL_인건비!$B$5:$B$42,'1.인건비_요약'!$C4,BL_인건비!$C$5:$C$42,'1.인건비_요약'!$D4,BL_인건비!$E$5:$E$42,'1.인건비_요약'!$E4)</f>
        <v>47</v>
      </c>
      <c r="J4" s="17">
        <f>SUMIFS(BL_인건비!$P$5:$P$42,BL_인건비!$B$5:$B$42,'1.인건비_요약'!$C4,BL_인건비!$C$5:$C$42,'1.인건비_요약'!$D4,BL_인건비!$E$5:$E$42,'1.인건비_요약'!$E4)</f>
        <v>47</v>
      </c>
      <c r="K4" s="17">
        <f>SUMIFS(BL_인건비!$Q$5:$Q$42,BL_인건비!$B$5:$B$42,'1.인건비_요약'!$C4,BL_인건비!$C$5:$C$42,'1.인건비_요약'!$D4,BL_인건비!$E$5:$E$42,'1.인건비_요약'!$E4)</f>
        <v>47</v>
      </c>
      <c r="L4" s="17">
        <f>SUMIFS(BL_인건비!$R$5:$R$42,BL_인건비!$B$5:$B$42,'1.인건비_요약'!$C4,BL_인건비!$C$5:$C$42,'1.인건비_요약'!$D4,BL_인건비!$E$5:$E$42,'1.인건비_요약'!$E4)</f>
        <v>47</v>
      </c>
      <c r="M4" s="17">
        <f>SUMIFS(BL_인건비!$S$5:$S$42,BL_인건비!$B$5:$B$42,'1.인건비_요약'!$C4,BL_인건비!$C$5:$C$42,'1.인건비_요약'!$D4,BL_인건비!$E$5:$E$42,'1.인건비_요약'!$E4)</f>
        <v>47</v>
      </c>
      <c r="N4" s="17">
        <f>SUMIFS(BL_인건비!$T$5:$T$42,BL_인건비!$B$5:$B$42,'1.인건비_요약'!$C4,BL_인건비!$C$5:$C$42,'1.인건비_요약'!$D4,BL_인건비!$E$5:$E$42,'1.인건비_요약'!$E4)</f>
        <v>47</v>
      </c>
      <c r="O4" s="17">
        <f>SUMIFS(BL_인건비!$U$5:$U$42,BL_인건비!$B$5:$B$42,'1.인건비_요약'!$C4,BL_인건비!$C$5:$C$42,'1.인건비_요약'!$D4,BL_인건비!$E$5:$E$42,'1.인건비_요약'!$E4)</f>
        <v>47</v>
      </c>
      <c r="P4" s="17">
        <f>SUMIFS(BL_인건비!$V$5:$V$42,BL_인건비!$B$5:$B$42,'1.인건비_요약'!$C4,BL_인건비!$C$5:$C$42,'1.인건비_요약'!$D4,BL_인건비!$E$5:$E$42,'1.인건비_요약'!$E4)</f>
        <v>47</v>
      </c>
      <c r="Q4" s="17">
        <f>SUMIFS(BL_인건비!$W$5:$W$42,BL_인건비!$B$5:$B$42,'1.인건비_요약'!$C4,BL_인건비!$C$5:$C$42,'1.인건비_요약'!$D4,BL_인건비!$E$5:$E$42,'1.인건비_요약'!$E4)</f>
        <v>0</v>
      </c>
    </row>
    <row r="5" spans="1:17" ht="17.399999999999999" customHeight="1" x14ac:dyDescent="0.4">
      <c r="C5" s="20" t="s">
        <v>160</v>
      </c>
      <c r="D5" s="20" t="s">
        <v>397</v>
      </c>
      <c r="E5" s="20" t="s">
        <v>368</v>
      </c>
      <c r="F5" s="17">
        <f>SUM(G5:Q5)</f>
        <v>130</v>
      </c>
      <c r="G5" s="17">
        <f>SUMIFS(BL_인건비!$M$5:$M$42,BL_인건비!$B$5:$B$42,'1.인건비_요약'!$C5,BL_인건비!$C$5:$C$42,'1.인건비_요약'!$D5,BL_인건비!$E$5:$E$42,'1.인건비_요약'!$E5)</f>
        <v>13</v>
      </c>
      <c r="H5" s="17">
        <f>SUMIFS(BL_인건비!$N$5:$N$42,BL_인건비!$B$5:$B$42,'1.인건비_요약'!$C5,BL_인건비!$C$5:$C$42,'1.인건비_요약'!$D5,BL_인건비!$E$5:$E$42,'1.인건비_요약'!$E5)</f>
        <v>13</v>
      </c>
      <c r="I5" s="17">
        <f>SUMIFS(BL_인건비!$O$5:$O$42,BL_인건비!$B$5:$B$42,'1.인건비_요약'!$C5,BL_인건비!$C$5:$C$42,'1.인건비_요약'!$D5,BL_인건비!$E$5:$E$42,'1.인건비_요약'!$E5)</f>
        <v>13</v>
      </c>
      <c r="J5" s="17">
        <f>SUMIFS(BL_인건비!$P$5:$P$42,BL_인건비!$B$5:$B$42,'1.인건비_요약'!$C5,BL_인건비!$C$5:$C$42,'1.인건비_요약'!$D5,BL_인건비!$E$5:$E$42,'1.인건비_요약'!$E5)</f>
        <v>13</v>
      </c>
      <c r="K5" s="17">
        <f>SUMIFS(BL_인건비!$Q$5:$Q$42,BL_인건비!$B$5:$B$42,'1.인건비_요약'!$C5,BL_인건비!$C$5:$C$42,'1.인건비_요약'!$D5,BL_인건비!$E$5:$E$42,'1.인건비_요약'!$E5)</f>
        <v>13</v>
      </c>
      <c r="L5" s="17">
        <f>SUMIFS(BL_인건비!$R$5:$R$42,BL_인건비!$B$5:$B$42,'1.인건비_요약'!$C5,BL_인건비!$C$5:$C$42,'1.인건비_요약'!$D5,BL_인건비!$E$5:$E$42,'1.인건비_요약'!$E5)</f>
        <v>13</v>
      </c>
      <c r="M5" s="17">
        <f>SUMIFS(BL_인건비!$S$5:$S$42,BL_인건비!$B$5:$B$42,'1.인건비_요약'!$C5,BL_인건비!$C$5:$C$42,'1.인건비_요약'!$D5,BL_인건비!$E$5:$E$42,'1.인건비_요약'!$E5)</f>
        <v>13</v>
      </c>
      <c r="N5" s="17">
        <f>SUMIFS(BL_인건비!$T$5:$T$42,BL_인건비!$B$5:$B$42,'1.인건비_요약'!$C5,BL_인건비!$C$5:$C$42,'1.인건비_요약'!$D5,BL_인건비!$E$5:$E$42,'1.인건비_요약'!$E5)</f>
        <v>13</v>
      </c>
      <c r="O5" s="17">
        <f>SUMIFS(BL_인건비!$U$5:$U$42,BL_인건비!$B$5:$B$42,'1.인건비_요약'!$C5,BL_인건비!$C$5:$C$42,'1.인건비_요약'!$D5,BL_인건비!$E$5:$E$42,'1.인건비_요약'!$E5)</f>
        <v>13</v>
      </c>
      <c r="P5" s="17">
        <f>SUMIFS(BL_인건비!$V$5:$V$42,BL_인건비!$B$5:$B$42,'1.인건비_요약'!$C5,BL_인건비!$C$5:$C$42,'1.인건비_요약'!$D5,BL_인건비!$E$5:$E$42,'1.인건비_요약'!$E5)</f>
        <v>13</v>
      </c>
      <c r="Q5" s="17">
        <f>SUMIFS(BL_인건비!$W$5:$W$42,BL_인건비!$B$5:$B$42,'1.인건비_요약'!$C5,BL_인건비!$C$5:$C$42,'1.인건비_요약'!$D5,BL_인건비!$E$5:$E$42,'1.인건비_요약'!$E5)</f>
        <v>0</v>
      </c>
    </row>
    <row r="6" spans="1:17" ht="17.399999999999999" customHeight="1" x14ac:dyDescent="0.4">
      <c r="C6" s="20" t="s">
        <v>160</v>
      </c>
      <c r="D6" s="20" t="s">
        <v>397</v>
      </c>
      <c r="E6" s="20" t="s">
        <v>395</v>
      </c>
      <c r="F6" s="17">
        <f>SUM(G6:Q6)</f>
        <v>0</v>
      </c>
      <c r="G6" s="17">
        <v>0</v>
      </c>
      <c r="H6" s="17">
        <v>0</v>
      </c>
      <c r="I6" s="17">
        <v>0</v>
      </c>
      <c r="J6" s="17">
        <v>0</v>
      </c>
      <c r="K6" s="17">
        <v>0</v>
      </c>
      <c r="L6" s="17">
        <v>0</v>
      </c>
      <c r="M6" s="17">
        <v>0</v>
      </c>
      <c r="N6" s="17">
        <v>0</v>
      </c>
      <c r="O6" s="17">
        <v>0</v>
      </c>
      <c r="P6" s="17">
        <v>0</v>
      </c>
      <c r="Q6" s="17">
        <v>0</v>
      </c>
    </row>
    <row r="7" spans="1:17" ht="17.399999999999999" customHeight="1" x14ac:dyDescent="0.4">
      <c r="C7" s="99" t="s">
        <v>386</v>
      </c>
      <c r="D7" s="99"/>
      <c r="E7" s="99"/>
      <c r="F7" s="100">
        <f>SUM(F4:F5)</f>
        <v>600</v>
      </c>
      <c r="G7" s="100">
        <f t="shared" ref="G7:Q7" si="0">SUM(G4:G5)</f>
        <v>60</v>
      </c>
      <c r="H7" s="100">
        <f t="shared" si="0"/>
        <v>60</v>
      </c>
      <c r="I7" s="100">
        <f t="shared" si="0"/>
        <v>60</v>
      </c>
      <c r="J7" s="100">
        <f t="shared" si="0"/>
        <v>60</v>
      </c>
      <c r="K7" s="100">
        <f t="shared" si="0"/>
        <v>60</v>
      </c>
      <c r="L7" s="100">
        <f t="shared" si="0"/>
        <v>60</v>
      </c>
      <c r="M7" s="100">
        <f t="shared" si="0"/>
        <v>60</v>
      </c>
      <c r="N7" s="100">
        <f t="shared" si="0"/>
        <v>60</v>
      </c>
      <c r="O7" s="100">
        <f t="shared" si="0"/>
        <v>60</v>
      </c>
      <c r="P7" s="100">
        <f t="shared" si="0"/>
        <v>60</v>
      </c>
      <c r="Q7" s="100">
        <f t="shared" si="0"/>
        <v>0</v>
      </c>
    </row>
    <row r="8" spans="1:17" s="29" customFormat="1" ht="8.4" customHeight="1" x14ac:dyDescent="0.4">
      <c r="A8" s="176"/>
      <c r="C8" s="86"/>
      <c r="D8" s="86"/>
      <c r="E8" s="86"/>
      <c r="F8" s="87"/>
      <c r="G8" s="87"/>
      <c r="H8" s="87"/>
      <c r="I8" s="87"/>
      <c r="J8" s="87"/>
      <c r="K8" s="87"/>
      <c r="L8" s="87"/>
      <c r="M8" s="87"/>
      <c r="N8" s="87"/>
      <c r="O8" s="87"/>
      <c r="P8" s="87"/>
      <c r="Q8" s="87"/>
    </row>
    <row r="9" spans="1:17" ht="17.399999999999999" customHeight="1" x14ac:dyDescent="0.4">
      <c r="C9" s="60" t="s">
        <v>1</v>
      </c>
      <c r="D9" s="60" t="s">
        <v>205</v>
      </c>
      <c r="E9" s="60" t="s">
        <v>380</v>
      </c>
      <c r="F9" s="60" t="s">
        <v>370</v>
      </c>
      <c r="G9" s="60" t="s">
        <v>41</v>
      </c>
      <c r="H9" s="60" t="s">
        <v>371</v>
      </c>
      <c r="I9" s="60" t="s">
        <v>372</v>
      </c>
      <c r="J9" s="60" t="s">
        <v>373</v>
      </c>
      <c r="K9" s="60" t="s">
        <v>374</v>
      </c>
      <c r="L9" s="60" t="s">
        <v>375</v>
      </c>
      <c r="M9" s="60" t="s">
        <v>376</v>
      </c>
      <c r="N9" s="60" t="s">
        <v>377</v>
      </c>
      <c r="O9" s="60" t="s">
        <v>378</v>
      </c>
      <c r="P9" s="60" t="s">
        <v>379</v>
      </c>
      <c r="Q9" s="60" t="s">
        <v>188</v>
      </c>
    </row>
    <row r="10" spans="1:17" ht="17.399999999999999" customHeight="1" x14ac:dyDescent="0.4">
      <c r="C10" s="20" t="s">
        <v>160</v>
      </c>
      <c r="D10" s="20" t="s">
        <v>397</v>
      </c>
      <c r="E10" s="20" t="s">
        <v>367</v>
      </c>
      <c r="F10" s="17">
        <f>SUM(G10:Q10)</f>
        <v>15609746041.651184</v>
      </c>
      <c r="G10" s="17">
        <f>SUMIFS(BL_인건비!AY$5:AY$42,BL_인건비!$B$5:$B$42,'1.인건비_요약'!$C10,BL_인건비!$C$5:$C$42,'1.인건비_요약'!$D10,BL_인건비!$E$5:$E$42,'1.인건비_요약'!$E10)</f>
        <v>1391320945.5137091</v>
      </c>
      <c r="H10" s="17">
        <f>SUMIFS(BL_인건비!AZ$5:AZ$42,BL_인건비!$B$5:$B$42,'1.인건비_요약'!$C10,BL_인건비!$C$5:$C$42,'1.인건비_요약'!$D10,BL_인건비!$E$5:$E$42,'1.인건비_요약'!$E10)</f>
        <v>1426536336.0485792</v>
      </c>
      <c r="I10" s="17">
        <f>SUMIFS(BL_인건비!BA$5:BA$42,BL_인건비!$B$5:$B$42,'1.인건비_요약'!$C10,BL_인건비!$C$5:$C$42,'1.인건비_요약'!$D10,BL_인건비!$E$5:$E$42,'1.인건비_요약'!$E10)</f>
        <v>1462643054.8815842</v>
      </c>
      <c r="J10" s="17">
        <f>SUMIFS(BL_인건비!BB$5:BB$42,BL_인건비!$B$5:$B$42,'1.인건비_요약'!$C10,BL_인건비!$C$5:$C$42,'1.인건비_요약'!$D10,BL_인건비!$E$5:$E$42,'1.인건비_요약'!$E10)</f>
        <v>1499663662.2093587</v>
      </c>
      <c r="K10" s="17">
        <f>SUMIFS(BL_인건비!BC$5:BC$42,BL_인건비!$B$5:$B$42,'1.인건비_요약'!$C10,BL_인건비!$C$5:$C$42,'1.인건비_요약'!$D10,BL_인건비!$E$5:$E$42,'1.인건비_요약'!$E10)</f>
        <v>1537621289.2442613</v>
      </c>
      <c r="L10" s="17">
        <f>SUMIFS(BL_인건비!BD$5:BD$42,BL_인건비!$B$5:$B$42,'1.인건비_요약'!$C10,BL_인건비!$C$5:$C$42,'1.인건비_요약'!$D10,BL_인건비!$E$5:$E$42,'1.인건비_요약'!$E10)</f>
        <v>1576539652.6672134</v>
      </c>
      <c r="M10" s="17">
        <f>SUMIFS(BL_인건비!BE$5:BE$42,BL_인건비!$B$5:$B$42,'1.인건비_요약'!$C10,BL_인건비!$C$5:$C$42,'1.인건비_요약'!$D10,BL_인건비!$E$5:$E$42,'1.인건비_요약'!$E10)</f>
        <v>1616443069.4463563</v>
      </c>
      <c r="N10" s="17">
        <f>SUMIFS(BL_인건비!BF$5:BF$42,BL_인건비!$B$5:$B$42,'1.인건비_요약'!$C10,BL_인건비!$C$5:$C$42,'1.인건비_요약'!$D10,BL_인건비!$E$5:$E$42,'1.인건비_요약'!$E10)</f>
        <v>1657356472.0307763</v>
      </c>
      <c r="O10" s="17">
        <f>SUMIFS(BL_인건비!BG$5:BG$42,BL_인건비!$B$5:$B$42,'1.인건비_요약'!$C10,BL_인건비!$C$5:$C$42,'1.인건비_요약'!$D10,BL_인건비!$E$5:$E$42,'1.인건비_요약'!$E10)</f>
        <v>1699305423.9287939</v>
      </c>
      <c r="P10" s="17">
        <f>SUMIFS(BL_인건비!BH$5:BH$42,BL_인건비!$B$5:$B$42,'1.인건비_요약'!$C10,BL_인건비!$C$5:$C$42,'1.인건비_요약'!$D10,BL_인건비!$E$5:$E$42,'1.인건비_요약'!$E10)</f>
        <v>1742316135.6805539</v>
      </c>
      <c r="Q10" s="17">
        <f>SUMIFS(BL_인건비!$BI$5:$BI$42,BL_인건비!$B$5:$B$42,'1.인건비_요약'!$C10,BL_인건비!$C$5:$C$42,'1.인건비_요약'!$D10,BL_인건비!$E$5:$E$42,'1.인건비_요약'!$E10)</f>
        <v>0</v>
      </c>
    </row>
    <row r="11" spans="1:17" ht="17.399999999999999" customHeight="1" x14ac:dyDescent="0.4">
      <c r="C11" s="20" t="s">
        <v>160</v>
      </c>
      <c r="D11" s="20" t="s">
        <v>397</v>
      </c>
      <c r="E11" s="20" t="s">
        <v>368</v>
      </c>
      <c r="F11" s="17">
        <f>SUM(G11:Q11)</f>
        <v>5098807860.5490179</v>
      </c>
      <c r="G11" s="17">
        <f>SUMIFS(BL_인건비!AY$5:AY$42,BL_인건비!$B$5:$B$42,'1.인건비_요약'!$C11,BL_인건비!$C$5:$C$42,'1.인건비_요약'!$D11,BL_인건비!$E$5:$E$42,'1.인건비_요약'!$E11)</f>
        <v>454464675.76107889</v>
      </c>
      <c r="H11" s="17">
        <f>SUMIFS(BL_인건비!AZ$5:AZ$42,BL_인건비!$B$5:$B$42,'1.인건비_요약'!$C11,BL_인건비!$C$5:$C$42,'1.인건비_요약'!$D11,BL_인건비!$E$5:$E$42,'1.인건비_요약'!$E11)</f>
        <v>465967522.09774536</v>
      </c>
      <c r="I11" s="17">
        <f>SUMIFS(BL_인건비!BA$5:BA$42,BL_인건비!$B$5:$B$42,'1.인건비_요약'!$C11,BL_인건비!$C$5:$C$42,'1.인건비_요약'!$D11,BL_인건비!$E$5:$E$42,'1.인건비_요약'!$E11)</f>
        <v>477761514.21735609</v>
      </c>
      <c r="J11" s="17">
        <f>SUMIFS(BL_인건비!BB$5:BB$42,BL_인건비!$B$5:$B$42,'1.인건비_요약'!$C11,BL_인건비!$C$5:$C$42,'1.인건비_요약'!$D11,BL_인건비!$E$5:$E$42,'1.인건비_요약'!$E11)</f>
        <v>489854021.2409482</v>
      </c>
      <c r="K11" s="17">
        <f>SUMIFS(BL_인건비!BC$5:BC$42,BL_인건비!$B$5:$B$42,'1.인건비_요약'!$C11,BL_인건비!$C$5:$C$42,'1.인건비_요약'!$D11,BL_인건비!$E$5:$E$42,'1.인건비_요약'!$E11)</f>
        <v>502252598.8076126</v>
      </c>
      <c r="L11" s="17">
        <f>SUMIFS(BL_인건비!BD$5:BD$42,BL_인건비!$B$5:$B$42,'1.인건비_요약'!$C11,BL_인건비!$C$5:$C$42,'1.인건비_요약'!$D11,BL_인건비!$E$5:$E$42,'1.인건비_요약'!$E11)</f>
        <v>514964993.79540843</v>
      </c>
      <c r="M11" s="17">
        <f>SUMIFS(BL_인건비!BE$5:BE$42,BL_인건비!$B$5:$B$42,'1.인건비_요약'!$C11,BL_인건비!$C$5:$C$42,'1.인건비_요약'!$D11,BL_인건비!$E$5:$E$42,'1.인건비_요약'!$E11)</f>
        <v>527999149.16176552</v>
      </c>
      <c r="N11" s="17">
        <f>SUMIFS(BL_인건비!BF$5:BF$42,BL_인건비!$B$5:$B$42,'1.인건비_요약'!$C11,BL_인건비!$C$5:$C$42,'1.인건비_요약'!$D11,BL_인건비!$E$5:$E$42,'1.인건비_요약'!$E11)</f>
        <v>541363208.90640318</v>
      </c>
      <c r="O11" s="17">
        <f>SUMIFS(BL_인건비!BG$5:BG$42,BL_인건비!$B$5:$B$42,'1.인건비_요약'!$C11,BL_인건비!$C$5:$C$42,'1.인건비_요약'!$D11,BL_인건비!$E$5:$E$42,'1.인건비_요약'!$E11)</f>
        <v>555065523.15986288</v>
      </c>
      <c r="P11" s="17">
        <f>SUMIFS(BL_인건비!BH$5:BH$42,BL_인건비!$B$5:$B$42,'1.인건비_요약'!$C11,BL_인건비!$C$5:$C$42,'1.인건비_요약'!$D11,BL_인건비!$E$5:$E$42,'1.인건비_요약'!$E11)</f>
        <v>569114653.40083659</v>
      </c>
      <c r="Q11" s="17">
        <f>SUMIFS(BL_인건비!$BI$5:$BI$42,BL_인건비!$B$5:$B$42,'1.인건비_요약'!$C11,BL_인건비!$C$5:$C$42,'1.인건비_요약'!$D11,BL_인건비!$E$5:$E$42,'1.인건비_요약'!$E11)</f>
        <v>0</v>
      </c>
    </row>
    <row r="12" spans="1:17" ht="17.399999999999999" customHeight="1" x14ac:dyDescent="0.4">
      <c r="C12" s="20" t="s">
        <v>160</v>
      </c>
      <c r="D12" s="20" t="s">
        <v>397</v>
      </c>
      <c r="E12" s="20" t="s">
        <v>395</v>
      </c>
      <c r="F12" s="17">
        <f>SUM(G12:Q12)</f>
        <v>0</v>
      </c>
      <c r="G12" s="17">
        <v>0</v>
      </c>
      <c r="H12" s="17">
        <v>0</v>
      </c>
      <c r="I12" s="17">
        <v>0</v>
      </c>
      <c r="J12" s="17">
        <v>0</v>
      </c>
      <c r="K12" s="17">
        <v>0</v>
      </c>
      <c r="L12" s="17">
        <v>0</v>
      </c>
      <c r="M12" s="17">
        <v>0</v>
      </c>
      <c r="N12" s="17">
        <v>0</v>
      </c>
      <c r="O12" s="17">
        <v>0</v>
      </c>
      <c r="P12" s="17">
        <v>0</v>
      </c>
      <c r="Q12" s="17">
        <v>0</v>
      </c>
    </row>
    <row r="13" spans="1:17" ht="17.399999999999999" customHeight="1" x14ac:dyDescent="0.4">
      <c r="C13" s="99" t="s">
        <v>386</v>
      </c>
      <c r="D13" s="99"/>
      <c r="E13" s="99"/>
      <c r="F13" s="100">
        <f>SUM(F10:F11)</f>
        <v>20708553902.200203</v>
      </c>
      <c r="G13" s="100">
        <f t="shared" ref="G13:Q13" si="1">SUM(G10:G11)</f>
        <v>1845785621.2747879</v>
      </c>
      <c r="H13" s="100">
        <f t="shared" si="1"/>
        <v>1892503858.1463246</v>
      </c>
      <c r="I13" s="100">
        <f t="shared" si="1"/>
        <v>1940404569.0989404</v>
      </c>
      <c r="J13" s="100">
        <f t="shared" si="1"/>
        <v>1989517683.4503069</v>
      </c>
      <c r="K13" s="100">
        <f t="shared" si="1"/>
        <v>2039873888.0518739</v>
      </c>
      <c r="L13" s="100">
        <f t="shared" si="1"/>
        <v>2091504646.4626219</v>
      </c>
      <c r="M13" s="100">
        <f t="shared" si="1"/>
        <v>2144442218.6081219</v>
      </c>
      <c r="N13" s="100">
        <f t="shared" si="1"/>
        <v>2198719680.9371796</v>
      </c>
      <c r="O13" s="100">
        <f t="shared" si="1"/>
        <v>2254370947.0886569</v>
      </c>
      <c r="P13" s="100">
        <f t="shared" si="1"/>
        <v>2311430789.0813904</v>
      </c>
      <c r="Q13" s="100">
        <f t="shared" si="1"/>
        <v>0</v>
      </c>
    </row>
    <row r="16" spans="1:17" ht="17.399999999999999" customHeight="1" x14ac:dyDescent="0.4">
      <c r="C16" s="103" t="s">
        <v>388</v>
      </c>
    </row>
    <row r="17" spans="3:17" ht="17.399999999999999" customHeight="1" x14ac:dyDescent="0.4">
      <c r="C17" s="60" t="s">
        <v>1</v>
      </c>
      <c r="D17" s="60" t="s">
        <v>205</v>
      </c>
      <c r="E17" s="60" t="s">
        <v>380</v>
      </c>
      <c r="F17" s="60" t="s">
        <v>370</v>
      </c>
      <c r="G17" s="60" t="s">
        <v>41</v>
      </c>
      <c r="H17" s="60" t="s">
        <v>371</v>
      </c>
      <c r="I17" s="60" t="s">
        <v>372</v>
      </c>
      <c r="J17" s="60" t="s">
        <v>373</v>
      </c>
      <c r="K17" s="60" t="s">
        <v>374</v>
      </c>
      <c r="L17" s="60" t="s">
        <v>375</v>
      </c>
      <c r="M17" s="60" t="s">
        <v>376</v>
      </c>
      <c r="N17" s="60" t="s">
        <v>377</v>
      </c>
      <c r="O17" s="60" t="s">
        <v>378</v>
      </c>
      <c r="P17" s="60" t="s">
        <v>379</v>
      </c>
      <c r="Q17" s="60" t="s">
        <v>188</v>
      </c>
    </row>
    <row r="18" spans="3:17" ht="17.399999999999999" customHeight="1" x14ac:dyDescent="0.4">
      <c r="C18" s="20" t="s">
        <v>160</v>
      </c>
      <c r="D18" s="20" t="s">
        <v>398</v>
      </c>
      <c r="E18" s="20" t="s">
        <v>367</v>
      </c>
      <c r="F18" s="17">
        <f>SUM(G18:Q18)</f>
        <v>470</v>
      </c>
      <c r="G18" s="17">
        <f>SUMIFS(CS_인건비!$M$5:$M$42,CS_인건비!$B$5:$B$42,'1.인건비_요약'!$C18,CS_인건비!$C$5:$C$42,'1.인건비_요약'!$D18,CS_인건비!$E$5:$E$42,'1.인건비_요약'!$E18)</f>
        <v>47</v>
      </c>
      <c r="H18" s="17">
        <f>SUMIFS(CS_인건비!$M$5:$M$42,CS_인건비!$B$5:$B$42,'1.인건비_요약'!$C18,CS_인건비!$C$5:$C$42,'1.인건비_요약'!$D18,CS_인건비!$E$5:$E$42,'1.인건비_요약'!$E18)</f>
        <v>47</v>
      </c>
      <c r="I18" s="17">
        <f>SUMIFS(CS_인건비!$M$5:$M$42,CS_인건비!$B$5:$B$42,'1.인건비_요약'!$C18,CS_인건비!$C$5:$C$42,'1.인건비_요약'!$D18,CS_인건비!$E$5:$E$42,'1.인건비_요약'!$E18)</f>
        <v>47</v>
      </c>
      <c r="J18" s="17">
        <f>SUMIFS(CS_인건비!$M$5:$M$42,CS_인건비!$B$5:$B$42,'1.인건비_요약'!$C18,CS_인건비!$C$5:$C$42,'1.인건비_요약'!$D18,CS_인건비!$E$5:$E$42,'1.인건비_요약'!$E18)</f>
        <v>47</v>
      </c>
      <c r="K18" s="17">
        <f>SUMIFS(CS_인건비!$M$5:$M$42,CS_인건비!$B$5:$B$42,'1.인건비_요약'!$C18,CS_인건비!$C$5:$C$42,'1.인건비_요약'!$D18,CS_인건비!$E$5:$E$42,'1.인건비_요약'!$E18)</f>
        <v>47</v>
      </c>
      <c r="L18" s="17">
        <f>SUMIFS(CS_인건비!$M$5:$M$42,CS_인건비!$B$5:$B$42,'1.인건비_요약'!$C18,CS_인건비!$C$5:$C$42,'1.인건비_요약'!$D18,CS_인건비!$E$5:$E$42,'1.인건비_요약'!$E18)</f>
        <v>47</v>
      </c>
      <c r="M18" s="17">
        <f>SUMIFS(CS_인건비!$M$5:$M$42,CS_인건비!$B$5:$B$42,'1.인건비_요약'!$C18,CS_인건비!$C$5:$C$42,'1.인건비_요약'!$D18,CS_인건비!$E$5:$E$42,'1.인건비_요약'!$E18)</f>
        <v>47</v>
      </c>
      <c r="N18" s="17">
        <f>SUMIFS(CS_인건비!$M$5:$M$42,CS_인건비!$B$5:$B$42,'1.인건비_요약'!$C18,CS_인건비!$C$5:$C$42,'1.인건비_요약'!$D18,CS_인건비!$E$5:$E$42,'1.인건비_요약'!$E18)</f>
        <v>47</v>
      </c>
      <c r="O18" s="17">
        <f>SUMIFS(CS_인건비!$M$5:$M$42,CS_인건비!$B$5:$B$42,'1.인건비_요약'!$C18,CS_인건비!$C$5:$C$42,'1.인건비_요약'!$D18,CS_인건비!$E$5:$E$42,'1.인건비_요약'!$E18)</f>
        <v>47</v>
      </c>
      <c r="P18" s="17">
        <f>SUMIFS(CS_인건비!$M$5:$M$42,CS_인건비!$B$5:$B$42,'1.인건비_요약'!$C18,CS_인건비!$C$5:$C$42,'1.인건비_요약'!$D18,CS_인건비!$E$5:$E$42,'1.인건비_요약'!$E18)</f>
        <v>47</v>
      </c>
      <c r="Q18" s="17">
        <v>0</v>
      </c>
    </row>
    <row r="19" spans="3:17" ht="17.399999999999999" customHeight="1" x14ac:dyDescent="0.4">
      <c r="C19" s="20" t="s">
        <v>160</v>
      </c>
      <c r="D19" s="20" t="s">
        <v>398</v>
      </c>
      <c r="E19" s="20" t="s">
        <v>368</v>
      </c>
      <c r="F19" s="17">
        <f>SUM(G19:Q19)</f>
        <v>100</v>
      </c>
      <c r="G19" s="17">
        <f>SUMIFS(CS_인건비!$M$5:$M$42,CS_인건비!$B$5:$B$42,'1.인건비_요약'!$C19,CS_인건비!$C$5:$C$42,'1.인건비_요약'!$D19,CS_인건비!$E$5:$E$42,'1.인건비_요약'!$E19)</f>
        <v>10</v>
      </c>
      <c r="H19" s="17">
        <f>SUMIFS(CS_인건비!$M$5:$M$42,CS_인건비!$B$5:$B$42,'1.인건비_요약'!$C19,CS_인건비!$C$5:$C$42,'1.인건비_요약'!$D19,CS_인건비!$E$5:$E$42,'1.인건비_요약'!$E19)</f>
        <v>10</v>
      </c>
      <c r="I19" s="17">
        <f>SUMIFS(CS_인건비!$M$5:$M$42,CS_인건비!$B$5:$B$42,'1.인건비_요약'!$C19,CS_인건비!$C$5:$C$42,'1.인건비_요약'!$D19,CS_인건비!$E$5:$E$42,'1.인건비_요약'!$E19)</f>
        <v>10</v>
      </c>
      <c r="J19" s="17">
        <f>SUMIFS(CS_인건비!$M$5:$M$42,CS_인건비!$B$5:$B$42,'1.인건비_요약'!$C19,CS_인건비!$C$5:$C$42,'1.인건비_요약'!$D19,CS_인건비!$E$5:$E$42,'1.인건비_요약'!$E19)</f>
        <v>10</v>
      </c>
      <c r="K19" s="17">
        <f>SUMIFS(CS_인건비!$M$5:$M$42,CS_인건비!$B$5:$B$42,'1.인건비_요약'!$C19,CS_인건비!$C$5:$C$42,'1.인건비_요약'!$D19,CS_인건비!$E$5:$E$42,'1.인건비_요약'!$E19)</f>
        <v>10</v>
      </c>
      <c r="L19" s="17">
        <f>SUMIFS(CS_인건비!$M$5:$M$42,CS_인건비!$B$5:$B$42,'1.인건비_요약'!$C19,CS_인건비!$C$5:$C$42,'1.인건비_요약'!$D19,CS_인건비!$E$5:$E$42,'1.인건비_요약'!$E19)</f>
        <v>10</v>
      </c>
      <c r="M19" s="17">
        <f>SUMIFS(CS_인건비!$M$5:$M$42,CS_인건비!$B$5:$B$42,'1.인건비_요약'!$C19,CS_인건비!$C$5:$C$42,'1.인건비_요약'!$D19,CS_인건비!$E$5:$E$42,'1.인건비_요약'!$E19)</f>
        <v>10</v>
      </c>
      <c r="N19" s="17">
        <f>SUMIFS(CS_인건비!$M$5:$M$42,CS_인건비!$B$5:$B$42,'1.인건비_요약'!$C19,CS_인건비!$C$5:$C$42,'1.인건비_요약'!$D19,CS_인건비!$E$5:$E$42,'1.인건비_요약'!$E19)</f>
        <v>10</v>
      </c>
      <c r="O19" s="17">
        <f>SUMIFS(CS_인건비!$M$5:$M$42,CS_인건비!$B$5:$B$42,'1.인건비_요약'!$C19,CS_인건비!$C$5:$C$42,'1.인건비_요약'!$D19,CS_인건비!$E$5:$E$42,'1.인건비_요약'!$E19)</f>
        <v>10</v>
      </c>
      <c r="P19" s="17">
        <f>SUMIFS(CS_인건비!$M$5:$M$42,CS_인건비!$B$5:$B$42,'1.인건비_요약'!$C19,CS_인건비!$C$5:$C$42,'1.인건비_요약'!$D19,CS_인건비!$E$5:$E$42,'1.인건비_요약'!$E19)</f>
        <v>10</v>
      </c>
      <c r="Q19" s="17">
        <v>0</v>
      </c>
    </row>
    <row r="20" spans="3:17" ht="17.399999999999999" customHeight="1" x14ac:dyDescent="0.4">
      <c r="C20" s="20" t="s">
        <v>160</v>
      </c>
      <c r="D20" s="20" t="s">
        <v>397</v>
      </c>
      <c r="E20" s="20" t="s">
        <v>395</v>
      </c>
      <c r="F20" s="17">
        <f>SUM(G20:Q20)</f>
        <v>0</v>
      </c>
      <c r="G20" s="17">
        <v>0</v>
      </c>
      <c r="H20" s="17">
        <v>0</v>
      </c>
      <c r="I20" s="17">
        <v>0</v>
      </c>
      <c r="J20" s="17">
        <v>0</v>
      </c>
      <c r="K20" s="17">
        <v>0</v>
      </c>
      <c r="L20" s="17">
        <v>0</v>
      </c>
      <c r="M20" s="17">
        <v>0</v>
      </c>
      <c r="N20" s="17">
        <v>0</v>
      </c>
      <c r="O20" s="17">
        <v>0</v>
      </c>
      <c r="P20" s="17">
        <v>0</v>
      </c>
      <c r="Q20" s="17">
        <v>0</v>
      </c>
    </row>
    <row r="21" spans="3:17" ht="17.399999999999999" customHeight="1" x14ac:dyDescent="0.4">
      <c r="C21" s="99" t="s">
        <v>386</v>
      </c>
      <c r="D21" s="99"/>
      <c r="E21" s="99"/>
      <c r="F21" s="100">
        <f>SUM(F18:F19)</f>
        <v>570</v>
      </c>
      <c r="G21" s="100">
        <f t="shared" ref="G21:Q21" si="2">SUM(G18:G19)</f>
        <v>57</v>
      </c>
      <c r="H21" s="100">
        <f t="shared" si="2"/>
        <v>57</v>
      </c>
      <c r="I21" s="100">
        <f t="shared" si="2"/>
        <v>57</v>
      </c>
      <c r="J21" s="100">
        <f t="shared" si="2"/>
        <v>57</v>
      </c>
      <c r="K21" s="100">
        <f t="shared" si="2"/>
        <v>57</v>
      </c>
      <c r="L21" s="100">
        <f t="shared" si="2"/>
        <v>57</v>
      </c>
      <c r="M21" s="100">
        <f t="shared" si="2"/>
        <v>57</v>
      </c>
      <c r="N21" s="100">
        <f t="shared" si="2"/>
        <v>57</v>
      </c>
      <c r="O21" s="100">
        <f t="shared" si="2"/>
        <v>57</v>
      </c>
      <c r="P21" s="100">
        <f t="shared" si="2"/>
        <v>57</v>
      </c>
      <c r="Q21" s="100">
        <f t="shared" si="2"/>
        <v>0</v>
      </c>
    </row>
    <row r="22" spans="3:17" ht="8.4" customHeight="1" x14ac:dyDescent="0.4">
      <c r="C22" s="86"/>
      <c r="D22" s="86"/>
      <c r="E22" s="86"/>
      <c r="F22" s="87"/>
      <c r="G22" s="87"/>
      <c r="H22" s="87"/>
      <c r="I22" s="87"/>
      <c r="J22" s="87"/>
      <c r="K22" s="87"/>
      <c r="L22" s="87"/>
      <c r="M22" s="87"/>
      <c r="N22" s="87"/>
      <c r="O22" s="87"/>
      <c r="P22" s="87"/>
      <c r="Q22" s="87"/>
    </row>
    <row r="23" spans="3:17" ht="17.399999999999999" customHeight="1" x14ac:dyDescent="0.4">
      <c r="C23" s="60" t="s">
        <v>1</v>
      </c>
      <c r="D23" s="60" t="s">
        <v>205</v>
      </c>
      <c r="E23" s="60" t="s">
        <v>380</v>
      </c>
      <c r="F23" s="60" t="s">
        <v>370</v>
      </c>
      <c r="G23" s="60" t="s">
        <v>41</v>
      </c>
      <c r="H23" s="60" t="s">
        <v>371</v>
      </c>
      <c r="I23" s="60" t="s">
        <v>372</v>
      </c>
      <c r="J23" s="60" t="s">
        <v>373</v>
      </c>
      <c r="K23" s="60" t="s">
        <v>374</v>
      </c>
      <c r="L23" s="60" t="s">
        <v>375</v>
      </c>
      <c r="M23" s="60" t="s">
        <v>376</v>
      </c>
      <c r="N23" s="60" t="s">
        <v>377</v>
      </c>
      <c r="O23" s="60" t="s">
        <v>378</v>
      </c>
      <c r="P23" s="60" t="s">
        <v>379</v>
      </c>
      <c r="Q23" s="60" t="s">
        <v>188</v>
      </c>
    </row>
    <row r="24" spans="3:17" ht="17.399999999999999" customHeight="1" x14ac:dyDescent="0.4">
      <c r="C24" s="20" t="s">
        <v>160</v>
      </c>
      <c r="D24" s="20" t="s">
        <v>398</v>
      </c>
      <c r="E24" s="20" t="s">
        <v>367</v>
      </c>
      <c r="F24" s="17">
        <f>SUM(G24:Q24)</f>
        <v>15713432670.20118</v>
      </c>
      <c r="G24" s="17">
        <f>SUMIFS(CS_인건비!AY$5:AY$42,CS_인건비!$B$5:$B$42,'1.인건비_요약'!$C24,CS_인건비!$C$5:$C$42,'1.인건비_요약'!$D24,CS_인건비!$E$5:$E$42,'1.인건비_요약'!$E24)</f>
        <v>1400562696</v>
      </c>
      <c r="H24" s="17">
        <f>SUMIFS(CS_인건비!AZ$5:AZ$42,CS_인건비!$B$5:$B$42,'1.인건비_요약'!$C24,CS_인건비!$C$5:$C$42,'1.인건비_요약'!$D24,CS_인건비!$E$5:$E$42,'1.인건비_요약'!$E24)</f>
        <v>1436012002.2634089</v>
      </c>
      <c r="I24" s="17">
        <f>SUMIFS(CS_인건비!BA$5:BA$42,CS_인건비!$B$5:$B$42,'1.인건비_요약'!$C24,CS_인건비!$C$5:$C$42,'1.인건비_요약'!$D24,CS_인건비!$E$5:$E$42,'1.인건비_요약'!$E24)</f>
        <v>1472358557.4098175</v>
      </c>
      <c r="J24" s="17">
        <f>SUMIFS(CS_인건비!BB$5:BB$42,CS_인건비!$B$5:$B$42,'1.인건비_요약'!$C24,CS_인건비!$C$5:$C$42,'1.인건비_요약'!$D24,CS_인건비!$E$5:$E$42,'1.인건비_요약'!$E24)</f>
        <v>1509625071.4903634</v>
      </c>
      <c r="K24" s="17">
        <f>SUMIFS(CS_인건비!BC$5:BC$42,CS_인건비!$B$5:$B$42,'1.인건비_요약'!$C24,CS_인건비!$C$5:$C$42,'1.인건비_요약'!$D24,CS_인건비!$E$5:$E$42,'1.인건비_요약'!$E24)</f>
        <v>1547834829.3648391</v>
      </c>
      <c r="L24" s="17">
        <f>SUMIFS(CS_인건비!BD$5:BD$42,CS_인건비!$B$5:$B$42,'1.인건비_요약'!$C24,CS_인건비!$C$5:$C$42,'1.인건비_요약'!$D24,CS_인건비!$E$5:$E$42,'1.인건비_요약'!$E24)</f>
        <v>1587011705.2505331</v>
      </c>
      <c r="M24" s="17">
        <f>SUMIFS(CS_인건비!BE$5:BE$42,CS_인건비!$B$5:$B$42,'1.인건비_요약'!$C24,CS_인건비!$C$5:$C$42,'1.인건비_요약'!$D24,CS_인건비!$E$5:$E$42,'1.인건비_요약'!$E24)</f>
        <v>1627180177.6393199</v>
      </c>
      <c r="N24" s="17">
        <f>SUMIFS(CS_인건비!BF$5:BF$42,CS_인건비!$B$5:$B$42,'1.인건비_요약'!$C24,CS_인건비!$C$5:$C$42,'1.인건비_요약'!$D24,CS_인건비!$E$5:$E$42,'1.인건비_요약'!$E24)</f>
        <v>1668365344.5923066</v>
      </c>
      <c r="O24" s="17">
        <f>SUMIFS(CS_인건비!BG$5:BG$42,CS_인건비!$B$5:$B$42,'1.인건비_요약'!$C24,CS_인건비!$C$5:$C$42,'1.인건비_요약'!$D24,CS_인건비!$E$5:$E$42,'1.인건비_요약'!$E24)</f>
        <v>1710592939.4215994</v>
      </c>
      <c r="P24" s="17">
        <f>SUMIFS(CS_인건비!BH$5:BH$42,CS_인건비!$B$5:$B$42,'1.인건비_요약'!$C24,CS_인건비!$C$5:$C$42,'1.인건비_요약'!$D24,CS_인건비!$E$5:$E$42,'1.인건비_요약'!$E24)</f>
        <v>1753889346.7689939</v>
      </c>
      <c r="Q24" s="17">
        <v>0</v>
      </c>
    </row>
    <row r="25" spans="3:17" ht="17.399999999999999" customHeight="1" x14ac:dyDescent="0.4">
      <c r="C25" s="20" t="s">
        <v>160</v>
      </c>
      <c r="D25" s="20" t="s">
        <v>398</v>
      </c>
      <c r="E25" s="20" t="s">
        <v>368</v>
      </c>
      <c r="F25" s="17">
        <f>SUM(G25:Q25)</f>
        <v>3941217384.3976245</v>
      </c>
      <c r="G25" s="17">
        <f>SUMIFS(CS_인건비!AY$5:AY$42,CS_인건비!$B$5:$B$42,'1.인건비_요약'!$C25,CS_인건비!$C$5:$C$42,'1.인건비_요약'!$D25,CS_인건비!$E$5:$E$42,'1.인건비_요약'!$E25)</f>
        <v>351286836</v>
      </c>
      <c r="H25" s="17">
        <f>SUMIFS(CS_인건비!AZ$5:AZ$42,CS_인건비!$B$5:$B$42,'1.인건비_요약'!$C25,CS_인건비!$C$5:$C$42,'1.인건비_요약'!$D25,CS_인건비!$E$5:$E$42,'1.인건비_요약'!$E25)</f>
        <v>360178172.79715532</v>
      </c>
      <c r="I25" s="17">
        <f>SUMIFS(CS_인건비!BA$5:BA$42,CS_인건비!$B$5:$B$42,'1.인건비_요약'!$C25,CS_인건비!$C$5:$C$42,'1.인건비_요약'!$D25,CS_인건비!$E$5:$E$42,'1.인건비_요약'!$E25)</f>
        <v>369294556.08606273</v>
      </c>
      <c r="J25" s="17">
        <f>SUMIFS(CS_인건비!BB$5:BB$42,CS_인건비!$B$5:$B$42,'1.인건비_요약'!$C25,CS_인건비!$C$5:$C$42,'1.인건비_요약'!$D25,CS_인건비!$E$5:$E$42,'1.인건비_요약'!$E25)</f>
        <v>378641681.96446353</v>
      </c>
      <c r="K25" s="17">
        <f>SUMIFS(CS_인건비!BC$5:BC$42,CS_인건비!$B$5:$B$42,'1.인건비_요약'!$C25,CS_인건비!$C$5:$C$42,'1.인건비_요약'!$D25,CS_인건비!$E$5:$E$42,'1.인건비_요약'!$E25)</f>
        <v>388225390.70266241</v>
      </c>
      <c r="L25" s="17">
        <f>SUMIFS(CS_인건비!BD$5:BD$42,CS_인건비!$B$5:$B$42,'1.인건비_요약'!$C25,CS_인건비!$C$5:$C$42,'1.인건비_요약'!$D25,CS_인건비!$E$5:$E$42,'1.인건비_요약'!$E25)</f>
        <v>398051670.39264381</v>
      </c>
      <c r="M25" s="17">
        <f>SUMIFS(CS_인건비!BE$5:BE$42,CS_인건비!$B$5:$B$42,'1.인건비_요약'!$C25,CS_인건비!$C$5:$C$42,'1.인건비_요약'!$D25,CS_인건비!$E$5:$E$42,'1.인건비_요약'!$E25)</f>
        <v>408126660.68955106</v>
      </c>
      <c r="N25" s="17">
        <f>SUMIFS(CS_인건비!BF$5:BF$42,CS_인건비!$B$5:$B$42,'1.인건비_요약'!$C25,CS_인건비!$C$5:$C$42,'1.인건비_요약'!$D25,CS_인건비!$E$5:$E$42,'1.인건비_요약'!$E25)</f>
        <v>418456656.64786565</v>
      </c>
      <c r="O25" s="17">
        <f>SUMIFS(CS_인건비!BG$5:BG$42,CS_인건비!$B$5:$B$42,'1.인건비_요약'!$C25,CS_인건비!$C$5:$C$42,'1.인건비_요약'!$D25,CS_인건비!$E$5:$E$42,'1.인건비_요약'!$E25)</f>
        <v>429048112.65468234</v>
      </c>
      <c r="P25" s="17">
        <f>SUMIFS(CS_인건비!BH$5:BH$42,CS_인건비!$B$5:$B$42,'1.인건비_요약'!$C25,CS_인건비!$C$5:$C$42,'1.인건비_요약'!$D25,CS_인건비!$E$5:$E$42,'1.인건비_요약'!$E25)</f>
        <v>439907646.46253783</v>
      </c>
      <c r="Q25" s="17">
        <v>0</v>
      </c>
    </row>
    <row r="26" spans="3:17" ht="17.399999999999999" customHeight="1" x14ac:dyDescent="0.4">
      <c r="C26" s="20" t="s">
        <v>160</v>
      </c>
      <c r="D26" s="20" t="s">
        <v>397</v>
      </c>
      <c r="E26" s="20" t="s">
        <v>395</v>
      </c>
      <c r="F26" s="17">
        <f>SUM(G26:Q26)</f>
        <v>0</v>
      </c>
      <c r="G26" s="17">
        <v>0</v>
      </c>
      <c r="H26" s="17">
        <v>0</v>
      </c>
      <c r="I26" s="17">
        <v>0</v>
      </c>
      <c r="J26" s="17">
        <v>0</v>
      </c>
      <c r="K26" s="17">
        <v>0</v>
      </c>
      <c r="L26" s="17">
        <v>0</v>
      </c>
      <c r="M26" s="17">
        <v>0</v>
      </c>
      <c r="N26" s="17">
        <v>0</v>
      </c>
      <c r="O26" s="17">
        <v>0</v>
      </c>
      <c r="P26" s="17">
        <v>0</v>
      </c>
      <c r="Q26" s="17">
        <v>0</v>
      </c>
    </row>
    <row r="27" spans="3:17" ht="17.399999999999999" customHeight="1" x14ac:dyDescent="0.4">
      <c r="C27" s="99" t="s">
        <v>386</v>
      </c>
      <c r="D27" s="99"/>
      <c r="E27" s="99"/>
      <c r="F27" s="100">
        <f>SUM(F24:F25)</f>
        <v>19654650054.598804</v>
      </c>
      <c r="G27" s="100">
        <f t="shared" ref="G27:Q27" si="3">SUM(G24:G25)</f>
        <v>1751849532</v>
      </c>
      <c r="H27" s="100">
        <f t="shared" si="3"/>
        <v>1796190175.0605643</v>
      </c>
      <c r="I27" s="100">
        <f t="shared" si="3"/>
        <v>1841653113.4958801</v>
      </c>
      <c r="J27" s="100">
        <f t="shared" si="3"/>
        <v>1888266753.4548268</v>
      </c>
      <c r="K27" s="100">
        <f t="shared" si="3"/>
        <v>1936060220.0675015</v>
      </c>
      <c r="L27" s="100">
        <f t="shared" si="3"/>
        <v>1985063375.643177</v>
      </c>
      <c r="M27" s="100">
        <f t="shared" si="3"/>
        <v>2035306838.328871</v>
      </c>
      <c r="N27" s="100">
        <f t="shared" si="3"/>
        <v>2086822001.2401724</v>
      </c>
      <c r="O27" s="100">
        <f t="shared" si="3"/>
        <v>2139641052.0762818</v>
      </c>
      <c r="P27" s="100">
        <f t="shared" si="3"/>
        <v>2193796993.2315316</v>
      </c>
      <c r="Q27" s="100">
        <f t="shared" si="3"/>
        <v>0</v>
      </c>
    </row>
    <row r="30" spans="3:17" ht="17.399999999999999" customHeight="1" x14ac:dyDescent="0.4">
      <c r="C30" s="191" t="s">
        <v>391</v>
      </c>
      <c r="D30" s="192"/>
      <c r="E30" s="192"/>
      <c r="F30" s="192"/>
    </row>
    <row r="31" spans="3:17" ht="17.399999999999999" customHeight="1" x14ac:dyDescent="0.4">
      <c r="C31" s="193" t="s">
        <v>1</v>
      </c>
      <c r="D31" s="193" t="s">
        <v>205</v>
      </c>
      <c r="E31" s="193" t="s">
        <v>380</v>
      </c>
      <c r="F31" s="193" t="s">
        <v>370</v>
      </c>
      <c r="G31" s="193" t="s">
        <v>41</v>
      </c>
      <c r="H31" s="193" t="s">
        <v>371</v>
      </c>
      <c r="I31" s="193" t="s">
        <v>372</v>
      </c>
      <c r="J31" s="193" t="s">
        <v>373</v>
      </c>
      <c r="K31" s="193" t="s">
        <v>374</v>
      </c>
      <c r="L31" s="193" t="s">
        <v>375</v>
      </c>
      <c r="M31" s="193" t="s">
        <v>376</v>
      </c>
      <c r="N31" s="193" t="s">
        <v>377</v>
      </c>
      <c r="O31" s="193" t="s">
        <v>378</v>
      </c>
      <c r="P31" s="193" t="s">
        <v>379</v>
      </c>
      <c r="Q31" s="193" t="s">
        <v>188</v>
      </c>
    </row>
    <row r="32" spans="3:17" ht="17.399999999999999" customHeight="1" x14ac:dyDescent="0.4">
      <c r="C32" s="20" t="s">
        <v>160</v>
      </c>
      <c r="D32" s="20" t="s">
        <v>398</v>
      </c>
      <c r="E32" s="20" t="s">
        <v>367</v>
      </c>
      <c r="F32" s="17">
        <f>SUM(G32:Q32)</f>
        <v>413.14409999999987</v>
      </c>
      <c r="G32" s="17">
        <f>G18*(1-'(참조)솔루션효과'!C6)</f>
        <v>47</v>
      </c>
      <c r="H32" s="17">
        <f>H18*(1-'(참조)솔루션효과'!D6)</f>
        <v>43.789899999999996</v>
      </c>
      <c r="I32" s="17">
        <f>I18*(1-'(참조)솔루션효과'!E6)</f>
        <v>43.789899999999996</v>
      </c>
      <c r="J32" s="17">
        <f>J18*(1-'(참조)솔루션효과'!F6)</f>
        <v>39.794899999999998</v>
      </c>
      <c r="K32" s="17">
        <f>K18*(1-'(참조)솔루션효과'!G6)</f>
        <v>39.794899999999998</v>
      </c>
      <c r="L32" s="17">
        <f>L18*(1-'(참조)솔루션효과'!H6)</f>
        <v>39.794899999999998</v>
      </c>
      <c r="M32" s="17">
        <f>M18*(1-'(참조)솔루션효과'!I6)</f>
        <v>39.794899999999998</v>
      </c>
      <c r="N32" s="17">
        <f>N18*(1-'(참조)솔루션효과'!J6)</f>
        <v>39.794899999999998</v>
      </c>
      <c r="O32" s="17">
        <f>O18*(1-'(참조)솔루션효과'!K6)</f>
        <v>39.794899999999998</v>
      </c>
      <c r="P32" s="17">
        <f>P18*(1-'(참조)솔루션효과'!L6)</f>
        <v>39.794899999999998</v>
      </c>
      <c r="Q32" s="17">
        <f>Q18*(1-'(참조)솔루션효과'!M6)</f>
        <v>0</v>
      </c>
    </row>
    <row r="33" spans="3:17" ht="17.399999999999999" customHeight="1" x14ac:dyDescent="0.4">
      <c r="C33" s="20" t="s">
        <v>160</v>
      </c>
      <c r="D33" s="20" t="s">
        <v>398</v>
      </c>
      <c r="E33" s="20" t="s">
        <v>368</v>
      </c>
      <c r="F33" s="17">
        <f>SUM(G33:Q33)</f>
        <v>100</v>
      </c>
      <c r="G33" s="17">
        <f>SUMIFS(CS_인건비!$M$5:$M$42,CS_인건비!$B$5:$B$42,'1.인건비_요약'!$C33,CS_인건비!$C$5:$C$42,'1.인건비_요약'!$D33,CS_인건비!$E$5:$E$42,'1.인건비_요약'!$E33)</f>
        <v>10</v>
      </c>
      <c r="H33" s="17">
        <f>SUMIFS(CS_인건비!$M$5:$M$42,CS_인건비!$B$5:$B$42,'1.인건비_요약'!$C33,CS_인건비!$C$5:$C$42,'1.인건비_요약'!$D33,CS_인건비!$E$5:$E$42,'1.인건비_요약'!$E33)</f>
        <v>10</v>
      </c>
      <c r="I33" s="17">
        <f>SUMIFS(CS_인건비!$M$5:$M$42,CS_인건비!$B$5:$B$42,'1.인건비_요약'!$C33,CS_인건비!$C$5:$C$42,'1.인건비_요약'!$D33,CS_인건비!$E$5:$E$42,'1.인건비_요약'!$E33)</f>
        <v>10</v>
      </c>
      <c r="J33" s="17">
        <f>SUMIFS(CS_인건비!$M$5:$M$42,CS_인건비!$B$5:$B$42,'1.인건비_요약'!$C33,CS_인건비!$C$5:$C$42,'1.인건비_요약'!$D33,CS_인건비!$E$5:$E$42,'1.인건비_요약'!$E33)</f>
        <v>10</v>
      </c>
      <c r="K33" s="17">
        <f>SUMIFS(CS_인건비!$M$5:$M$42,CS_인건비!$B$5:$B$42,'1.인건비_요약'!$C33,CS_인건비!$C$5:$C$42,'1.인건비_요약'!$D33,CS_인건비!$E$5:$E$42,'1.인건비_요약'!$E33)</f>
        <v>10</v>
      </c>
      <c r="L33" s="17">
        <f>SUMIFS(CS_인건비!$M$5:$M$42,CS_인건비!$B$5:$B$42,'1.인건비_요약'!$C33,CS_인건비!$C$5:$C$42,'1.인건비_요약'!$D33,CS_인건비!$E$5:$E$42,'1.인건비_요약'!$E33)</f>
        <v>10</v>
      </c>
      <c r="M33" s="17">
        <f>SUMIFS(CS_인건비!$M$5:$M$42,CS_인건비!$B$5:$B$42,'1.인건비_요약'!$C33,CS_인건비!$C$5:$C$42,'1.인건비_요약'!$D33,CS_인건비!$E$5:$E$42,'1.인건비_요약'!$E33)</f>
        <v>10</v>
      </c>
      <c r="N33" s="17">
        <f>SUMIFS(CS_인건비!$M$5:$M$42,CS_인건비!$B$5:$B$42,'1.인건비_요약'!$C33,CS_인건비!$C$5:$C$42,'1.인건비_요약'!$D33,CS_인건비!$E$5:$E$42,'1.인건비_요약'!$E33)</f>
        <v>10</v>
      </c>
      <c r="O33" s="17">
        <f>SUMIFS(CS_인건비!$M$5:$M$42,CS_인건비!$B$5:$B$42,'1.인건비_요약'!$C33,CS_인건비!$C$5:$C$42,'1.인건비_요약'!$D33,CS_인건비!$E$5:$E$42,'1.인건비_요약'!$E33)</f>
        <v>10</v>
      </c>
      <c r="P33" s="17">
        <f>SUMIFS(CS_인건비!$M$5:$M$42,CS_인건비!$B$5:$B$42,'1.인건비_요약'!$C33,CS_인건비!$C$5:$C$42,'1.인건비_요약'!$D33,CS_인건비!$E$5:$E$42,'1.인건비_요약'!$E33)</f>
        <v>10</v>
      </c>
      <c r="Q33" s="17">
        <v>0</v>
      </c>
    </row>
    <row r="34" spans="3:17" ht="17.399999999999999" customHeight="1" x14ac:dyDescent="0.4">
      <c r="C34" s="20" t="s">
        <v>160</v>
      </c>
      <c r="D34" s="20" t="s">
        <v>397</v>
      </c>
      <c r="E34" s="20" t="s">
        <v>395</v>
      </c>
      <c r="F34" s="17">
        <f>SUM(G34:Q34)</f>
        <v>0</v>
      </c>
      <c r="G34" s="17">
        <v>0</v>
      </c>
      <c r="H34" s="17">
        <v>0</v>
      </c>
      <c r="I34" s="17">
        <v>0</v>
      </c>
      <c r="J34" s="17">
        <v>0</v>
      </c>
      <c r="K34" s="17">
        <v>0</v>
      </c>
      <c r="L34" s="17">
        <v>0</v>
      </c>
      <c r="M34" s="17">
        <v>0</v>
      </c>
      <c r="N34" s="17">
        <v>0</v>
      </c>
      <c r="O34" s="17">
        <v>0</v>
      </c>
      <c r="P34" s="17">
        <v>0</v>
      </c>
      <c r="Q34" s="17">
        <v>0</v>
      </c>
    </row>
    <row r="35" spans="3:17" ht="17.399999999999999" customHeight="1" x14ac:dyDescent="0.4">
      <c r="C35" s="194" t="s">
        <v>386</v>
      </c>
      <c r="D35" s="194"/>
      <c r="E35" s="194"/>
      <c r="F35" s="195">
        <f>SUM(F32:F33)</f>
        <v>513.14409999999987</v>
      </c>
      <c r="G35" s="195">
        <f t="shared" ref="G35:Q35" si="4">SUM(G32:G33)</f>
        <v>57</v>
      </c>
      <c r="H35" s="195">
        <f t="shared" si="4"/>
        <v>53.789899999999996</v>
      </c>
      <c r="I35" s="195">
        <f t="shared" si="4"/>
        <v>53.789899999999996</v>
      </c>
      <c r="J35" s="195">
        <f t="shared" si="4"/>
        <v>49.794899999999998</v>
      </c>
      <c r="K35" s="195">
        <f t="shared" si="4"/>
        <v>49.794899999999998</v>
      </c>
      <c r="L35" s="195">
        <f t="shared" si="4"/>
        <v>49.794899999999998</v>
      </c>
      <c r="M35" s="195">
        <f t="shared" si="4"/>
        <v>49.794899999999998</v>
      </c>
      <c r="N35" s="195">
        <f t="shared" si="4"/>
        <v>49.794899999999998</v>
      </c>
      <c r="O35" s="195">
        <f t="shared" si="4"/>
        <v>49.794899999999998</v>
      </c>
      <c r="P35" s="195">
        <f t="shared" si="4"/>
        <v>49.794899999999998</v>
      </c>
      <c r="Q35" s="195">
        <f t="shared" si="4"/>
        <v>0</v>
      </c>
    </row>
    <row r="36" spans="3:17" ht="8.4" customHeight="1" x14ac:dyDescent="0.4">
      <c r="C36" s="86"/>
      <c r="D36" s="86"/>
      <c r="E36" s="86"/>
      <c r="F36" s="87"/>
      <c r="G36" s="87"/>
      <c r="H36" s="87"/>
      <c r="I36" s="87"/>
      <c r="J36" s="87"/>
      <c r="K36" s="87"/>
      <c r="L36" s="87"/>
      <c r="M36" s="87"/>
      <c r="N36" s="87"/>
      <c r="O36" s="87"/>
      <c r="P36" s="87"/>
      <c r="Q36" s="87"/>
    </row>
    <row r="37" spans="3:17" ht="17.399999999999999" customHeight="1" x14ac:dyDescent="0.4">
      <c r="C37" s="193" t="s">
        <v>1</v>
      </c>
      <c r="D37" s="193" t="s">
        <v>205</v>
      </c>
      <c r="E37" s="193" t="s">
        <v>380</v>
      </c>
      <c r="F37" s="193" t="s">
        <v>370</v>
      </c>
      <c r="G37" s="193" t="s">
        <v>41</v>
      </c>
      <c r="H37" s="193" t="s">
        <v>371</v>
      </c>
      <c r="I37" s="193" t="s">
        <v>372</v>
      </c>
      <c r="J37" s="193" t="s">
        <v>373</v>
      </c>
      <c r="K37" s="193" t="s">
        <v>374</v>
      </c>
      <c r="L37" s="193" t="s">
        <v>375</v>
      </c>
      <c r="M37" s="193" t="s">
        <v>376</v>
      </c>
      <c r="N37" s="193" t="s">
        <v>377</v>
      </c>
      <c r="O37" s="193" t="s">
        <v>378</v>
      </c>
      <c r="P37" s="193" t="s">
        <v>379</v>
      </c>
      <c r="Q37" s="193" t="s">
        <v>188</v>
      </c>
    </row>
    <row r="38" spans="3:17" ht="17.399999999999999" customHeight="1" x14ac:dyDescent="0.4">
      <c r="C38" s="20" t="s">
        <v>160</v>
      </c>
      <c r="D38" s="20" t="s">
        <v>398</v>
      </c>
      <c r="E38" s="20" t="s">
        <v>367</v>
      </c>
      <c r="F38" s="17">
        <f>SUM(G38:Q38)</f>
        <v>13766481200.728365</v>
      </c>
      <c r="G38" s="17">
        <f>G24*(1-'(참조)솔루션효과'!C6)</f>
        <v>1400562696</v>
      </c>
      <c r="H38" s="17">
        <f>H24*(1-'(참조)솔루션효과'!D6)</f>
        <v>1337932382.5088181</v>
      </c>
      <c r="I38" s="17">
        <f>I24*(1-'(참조)솔루션효과'!E6)</f>
        <v>1371796467.9387269</v>
      </c>
      <c r="J38" s="17">
        <f>J24*(1-'(참조)솔루션효과'!F6)</f>
        <v>1278199548.0308907</v>
      </c>
      <c r="K38" s="17">
        <f>K24*(1-'(참조)솔루션효과'!G6)</f>
        <v>1310551750.0232093</v>
      </c>
      <c r="L38" s="17">
        <f>L24*(1-'(참조)솔루션효과'!H6)</f>
        <v>1343722810.8356264</v>
      </c>
      <c r="M38" s="17">
        <f>M24*(1-'(참조)솔루션효과'!I6)</f>
        <v>1377733456.4072123</v>
      </c>
      <c r="N38" s="17">
        <f>N24*(1-'(참조)솔루션효과'!J6)</f>
        <v>1412604937.2663059</v>
      </c>
      <c r="O38" s="17">
        <f>O24*(1-'(참조)솔루션효과'!K6)</f>
        <v>1448359041.8082683</v>
      </c>
      <c r="P38" s="17">
        <f>P24*(1-'(참조)솔루션효과'!L6)</f>
        <v>1485018109.909307</v>
      </c>
      <c r="Q38" s="17">
        <f>Q24*(1-'(참조)솔루션효과'!M6)</f>
        <v>0</v>
      </c>
    </row>
    <row r="39" spans="3:17" ht="17.399999999999999" customHeight="1" x14ac:dyDescent="0.4">
      <c r="C39" s="20" t="s">
        <v>160</v>
      </c>
      <c r="D39" s="20" t="s">
        <v>398</v>
      </c>
      <c r="E39" s="20" t="s">
        <v>368</v>
      </c>
      <c r="F39" s="17">
        <f>SUM(G39:Q39)</f>
        <v>3941217384.3976245</v>
      </c>
      <c r="G39" s="17">
        <f>G25</f>
        <v>351286836</v>
      </c>
      <c r="H39" s="17">
        <f t="shared" ref="H39:Q39" si="5">H25</f>
        <v>360178172.79715532</v>
      </c>
      <c r="I39" s="17">
        <f t="shared" si="5"/>
        <v>369294556.08606273</v>
      </c>
      <c r="J39" s="17">
        <f t="shared" si="5"/>
        <v>378641681.96446353</v>
      </c>
      <c r="K39" s="17">
        <f t="shared" si="5"/>
        <v>388225390.70266241</v>
      </c>
      <c r="L39" s="17">
        <f t="shared" si="5"/>
        <v>398051670.39264381</v>
      </c>
      <c r="M39" s="17">
        <f t="shared" si="5"/>
        <v>408126660.68955106</v>
      </c>
      <c r="N39" s="17">
        <f t="shared" si="5"/>
        <v>418456656.64786565</v>
      </c>
      <c r="O39" s="17">
        <f t="shared" si="5"/>
        <v>429048112.65468234</v>
      </c>
      <c r="P39" s="17">
        <f t="shared" si="5"/>
        <v>439907646.46253783</v>
      </c>
      <c r="Q39" s="17">
        <f t="shared" si="5"/>
        <v>0</v>
      </c>
    </row>
    <row r="40" spans="3:17" ht="17.399999999999999" customHeight="1" x14ac:dyDescent="0.4">
      <c r="C40" s="20" t="s">
        <v>160</v>
      </c>
      <c r="D40" s="20" t="s">
        <v>397</v>
      </c>
      <c r="E40" s="20" t="s">
        <v>395</v>
      </c>
      <c r="F40" s="17">
        <f>SUM(G40:Q40)</f>
        <v>0</v>
      </c>
      <c r="G40" s="17">
        <v>0</v>
      </c>
      <c r="H40" s="17">
        <v>0</v>
      </c>
      <c r="I40" s="17">
        <v>0</v>
      </c>
      <c r="J40" s="17">
        <v>0</v>
      </c>
      <c r="K40" s="17">
        <v>0</v>
      </c>
      <c r="L40" s="17">
        <v>0</v>
      </c>
      <c r="M40" s="17">
        <v>0</v>
      </c>
      <c r="N40" s="17">
        <v>0</v>
      </c>
      <c r="O40" s="17">
        <v>0</v>
      </c>
      <c r="P40" s="17">
        <v>0</v>
      </c>
      <c r="Q40" s="17">
        <v>0</v>
      </c>
    </row>
    <row r="41" spans="3:17" ht="17.399999999999999" customHeight="1" x14ac:dyDescent="0.4">
      <c r="C41" s="194" t="s">
        <v>386</v>
      </c>
      <c r="D41" s="194"/>
      <c r="E41" s="194"/>
      <c r="F41" s="195">
        <f>SUM(F38:F39)</f>
        <v>17707698585.125988</v>
      </c>
      <c r="G41" s="195">
        <f t="shared" ref="G41:Q41" si="6">SUM(G38:G39)</f>
        <v>1751849532</v>
      </c>
      <c r="H41" s="195">
        <f t="shared" si="6"/>
        <v>1698110555.3059735</v>
      </c>
      <c r="I41" s="195">
        <f t="shared" si="6"/>
        <v>1741091024.0247896</v>
      </c>
      <c r="J41" s="195">
        <f t="shared" si="6"/>
        <v>1656841229.9953542</v>
      </c>
      <c r="K41" s="195">
        <f t="shared" si="6"/>
        <v>1698777140.7258718</v>
      </c>
      <c r="L41" s="195">
        <f t="shared" si="6"/>
        <v>1741774481.2282701</v>
      </c>
      <c r="M41" s="195">
        <f t="shared" si="6"/>
        <v>1785860117.0967634</v>
      </c>
      <c r="N41" s="195">
        <f t="shared" si="6"/>
        <v>1831061593.9141717</v>
      </c>
      <c r="O41" s="195">
        <f t="shared" si="6"/>
        <v>1877407154.4629507</v>
      </c>
      <c r="P41" s="195">
        <f t="shared" si="6"/>
        <v>1924925756.3718448</v>
      </c>
      <c r="Q41" s="195">
        <f t="shared" si="6"/>
        <v>0</v>
      </c>
    </row>
    <row r="43" spans="3:17" ht="17.399999999999999" customHeight="1" x14ac:dyDescent="0.4">
      <c r="C43" s="104" t="s">
        <v>389</v>
      </c>
      <c r="D43" s="104"/>
      <c r="E43" s="104"/>
      <c r="F43" s="42">
        <f>F7-F35</f>
        <v>86.855900000000133</v>
      </c>
      <c r="G43" s="42">
        <f t="shared" ref="G43:P43" si="7">G7-G35</f>
        <v>3</v>
      </c>
      <c r="H43" s="42">
        <f t="shared" si="7"/>
        <v>6.2101000000000042</v>
      </c>
      <c r="I43" s="42">
        <f t="shared" si="7"/>
        <v>6.2101000000000042</v>
      </c>
      <c r="J43" s="42">
        <f t="shared" si="7"/>
        <v>10.205100000000002</v>
      </c>
      <c r="K43" s="42">
        <f t="shared" si="7"/>
        <v>10.205100000000002</v>
      </c>
      <c r="L43" s="42">
        <f t="shared" si="7"/>
        <v>10.205100000000002</v>
      </c>
      <c r="M43" s="42">
        <f t="shared" si="7"/>
        <v>10.205100000000002</v>
      </c>
      <c r="N43" s="42">
        <f t="shared" si="7"/>
        <v>10.205100000000002</v>
      </c>
      <c r="O43" s="42">
        <f t="shared" si="7"/>
        <v>10.205100000000002</v>
      </c>
      <c r="P43" s="42">
        <f t="shared" si="7"/>
        <v>10.205100000000002</v>
      </c>
      <c r="Q43" s="42">
        <f>Q7-Q35</f>
        <v>0</v>
      </c>
    </row>
    <row r="44" spans="3:17" ht="17.399999999999999" customHeight="1" x14ac:dyDescent="0.4">
      <c r="C44" s="104" t="s">
        <v>390</v>
      </c>
      <c r="D44" s="104"/>
      <c r="E44" s="104"/>
      <c r="F44" s="42">
        <f>F13-F41</f>
        <v>3000855317.0742149</v>
      </c>
      <c r="G44" s="42">
        <f t="shared" ref="G44:Q44" si="8">G13-G41</f>
        <v>93936089.274787903</v>
      </c>
      <c r="H44" s="42">
        <f t="shared" si="8"/>
        <v>194393302.8403511</v>
      </c>
      <c r="I44" s="42">
        <f t="shared" si="8"/>
        <v>199313545.0741508</v>
      </c>
      <c r="J44" s="42">
        <f t="shared" si="8"/>
        <v>332676453.45495272</v>
      </c>
      <c r="K44" s="42">
        <f t="shared" si="8"/>
        <v>341096747.32600212</v>
      </c>
      <c r="L44" s="42">
        <f t="shared" si="8"/>
        <v>349730165.23435187</v>
      </c>
      <c r="M44" s="42">
        <f t="shared" si="8"/>
        <v>358582101.5113585</v>
      </c>
      <c r="N44" s="42">
        <f t="shared" si="8"/>
        <v>367658087.02300787</v>
      </c>
      <c r="O44" s="42">
        <f t="shared" si="8"/>
        <v>376963792.6257062</v>
      </c>
      <c r="P44" s="42">
        <f t="shared" si="8"/>
        <v>386505032.70954561</v>
      </c>
      <c r="Q44" s="42">
        <f t="shared" si="8"/>
        <v>0</v>
      </c>
    </row>
  </sheetData>
  <phoneticPr fontId="1" type="noConversion"/>
  <hyperlinks>
    <hyperlink ref="A1" location="HOME!A1" display="HOME" xr:uid="{ACCF9BEA-7CF6-4AB2-9F72-B40B148324A3}"/>
  </hyperlinks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ED2FF0-33ED-4378-A609-028AA44B09BF}">
  <sheetPr codeName="A3_Sheet">
    <tabColor theme="5" tint="-0.249977111117893"/>
  </sheetPr>
  <dimension ref="A1:T262"/>
  <sheetViews>
    <sheetView showGridLines="0" zoomScale="70" zoomScaleNormal="70" workbookViewId="0">
      <selection sqref="A1:XFD1"/>
    </sheetView>
  </sheetViews>
  <sheetFormatPr defaultRowHeight="17.399999999999999" x14ac:dyDescent="0.4"/>
  <cols>
    <col min="1" max="1" width="8.69921875" style="176" customWidth="1"/>
    <col min="2" max="2" width="3.3984375" style="163" customWidth="1"/>
    <col min="7" max="7" width="11.8984375" bestFit="1" customWidth="1"/>
    <col min="8" max="9" width="12.09765625" bestFit="1" customWidth="1"/>
    <col min="10" max="19" width="11" bestFit="1" customWidth="1"/>
    <col min="20" max="20" width="9" bestFit="1" customWidth="1"/>
  </cols>
  <sheetData>
    <row r="1" spans="1:20" ht="30" customHeight="1" thickBot="1" x14ac:dyDescent="0.45">
      <c r="A1" s="183" t="s">
        <v>540</v>
      </c>
      <c r="C1" s="214" t="s">
        <v>558</v>
      </c>
      <c r="D1" s="178"/>
      <c r="E1" s="178"/>
      <c r="F1" s="177"/>
      <c r="G1" s="177"/>
      <c r="H1" s="177"/>
      <c r="I1" s="177"/>
      <c r="J1" s="177"/>
      <c r="K1" s="177"/>
      <c r="L1" s="177"/>
      <c r="M1" s="177"/>
      <c r="N1" s="177"/>
      <c r="O1" s="177"/>
      <c r="P1" s="177"/>
      <c r="Q1" s="177"/>
      <c r="R1" s="177"/>
      <c r="S1" s="177"/>
      <c r="T1" s="177"/>
    </row>
    <row r="2" spans="1:20" ht="18" thickTop="1" x14ac:dyDescent="0.4">
      <c r="C2" s="103" t="s">
        <v>359</v>
      </c>
      <c r="D2" s="2"/>
      <c r="E2" s="2"/>
      <c r="F2" s="2"/>
      <c r="G2" s="148">
        <f>SUM(G10,G16,G22)</f>
        <v>1246214060.8</v>
      </c>
      <c r="H2" s="146">
        <f t="shared" ref="H2:T2" si="0">SUM(H10,H16,H22)</f>
        <v>608157860</v>
      </c>
      <c r="I2" s="146">
        <f t="shared" si="0"/>
        <v>638056200.79999995</v>
      </c>
      <c r="J2" s="146">
        <f t="shared" si="0"/>
        <v>31500000</v>
      </c>
      <c r="K2" s="146">
        <f t="shared" si="0"/>
        <v>88192000</v>
      </c>
      <c r="L2" s="146">
        <f t="shared" si="0"/>
        <v>108072000</v>
      </c>
      <c r="M2" s="146">
        <f t="shared" si="0"/>
        <v>62470314.400000006</v>
      </c>
      <c r="N2" s="146">
        <f t="shared" si="0"/>
        <v>57970314.400000006</v>
      </c>
      <c r="O2" s="146">
        <f t="shared" si="0"/>
        <v>57970314.400000006</v>
      </c>
      <c r="P2" s="146">
        <f t="shared" si="0"/>
        <v>57970314.400000006</v>
      </c>
      <c r="Q2" s="146">
        <f t="shared" si="0"/>
        <v>57970314.400000006</v>
      </c>
      <c r="R2" s="146">
        <f t="shared" si="0"/>
        <v>57970314.400000006</v>
      </c>
      <c r="S2" s="146">
        <f t="shared" si="0"/>
        <v>57970314.400000006</v>
      </c>
      <c r="T2" s="147">
        <f t="shared" si="0"/>
        <v>0</v>
      </c>
    </row>
    <row r="3" spans="1:20" ht="4.8" customHeight="1" thickBot="1" x14ac:dyDescent="0.45"/>
    <row r="4" spans="1:20" x14ac:dyDescent="0.4">
      <c r="C4" s="165" t="s">
        <v>1</v>
      </c>
      <c r="D4" s="154" t="s">
        <v>2</v>
      </c>
      <c r="E4" s="154" t="s">
        <v>3</v>
      </c>
      <c r="F4" s="154" t="s">
        <v>4</v>
      </c>
      <c r="G4" s="154" t="s">
        <v>526</v>
      </c>
      <c r="H4" s="154" t="s">
        <v>524</v>
      </c>
      <c r="I4" s="154" t="s">
        <v>525</v>
      </c>
      <c r="J4" s="154" t="s">
        <v>41</v>
      </c>
      <c r="K4" s="154" t="s">
        <v>371</v>
      </c>
      <c r="L4" s="154" t="s">
        <v>372</v>
      </c>
      <c r="M4" s="154" t="s">
        <v>373</v>
      </c>
      <c r="N4" s="154" t="s">
        <v>374</v>
      </c>
      <c r="O4" s="154" t="s">
        <v>375</v>
      </c>
      <c r="P4" s="154" t="s">
        <v>376</v>
      </c>
      <c r="Q4" s="154" t="s">
        <v>377</v>
      </c>
      <c r="R4" s="154" t="s">
        <v>378</v>
      </c>
      <c r="S4" s="154" t="s">
        <v>379</v>
      </c>
      <c r="T4" s="127" t="s">
        <v>188</v>
      </c>
    </row>
    <row r="5" spans="1:20" x14ac:dyDescent="0.4">
      <c r="C5" s="166" t="s">
        <v>160</v>
      </c>
      <c r="D5" s="161" t="str">
        <f>$C$2</f>
        <v>보이는ARS</v>
      </c>
      <c r="E5" s="161" t="s">
        <v>400</v>
      </c>
      <c r="F5" s="161" t="s">
        <v>527</v>
      </c>
      <c r="G5" s="170">
        <v>182000000</v>
      </c>
      <c r="H5" s="170">
        <v>182000000</v>
      </c>
      <c r="I5" s="171">
        <v>0</v>
      </c>
      <c r="J5" s="171">
        <v>0</v>
      </c>
      <c r="K5" s="171">
        <v>0</v>
      </c>
      <c r="L5" s="171">
        <v>0</v>
      </c>
      <c r="M5" s="171">
        <v>0</v>
      </c>
      <c r="N5" s="171">
        <v>0</v>
      </c>
      <c r="O5" s="171">
        <v>0</v>
      </c>
      <c r="P5" s="171">
        <v>0</v>
      </c>
      <c r="Q5" s="171">
        <v>0</v>
      </c>
      <c r="R5" s="171">
        <v>0</v>
      </c>
      <c r="S5" s="171">
        <v>0</v>
      </c>
      <c r="T5" s="142">
        <v>0</v>
      </c>
    </row>
    <row r="6" spans="1:20" x14ac:dyDescent="0.4">
      <c r="C6" s="167" t="s">
        <v>160</v>
      </c>
      <c r="D6" s="158" t="str">
        <f t="shared" ref="D6:D8" si="1">$C$2</f>
        <v>보이는ARS</v>
      </c>
      <c r="E6" s="158" t="s">
        <v>400</v>
      </c>
      <c r="F6" s="158" t="s">
        <v>528</v>
      </c>
      <c r="G6" s="172">
        <v>236000000</v>
      </c>
      <c r="H6" s="172">
        <v>236000000</v>
      </c>
      <c r="I6" s="173">
        <v>0</v>
      </c>
      <c r="J6" s="173">
        <v>0</v>
      </c>
      <c r="K6" s="173">
        <v>0</v>
      </c>
      <c r="L6" s="173">
        <v>0</v>
      </c>
      <c r="M6" s="173">
        <v>0</v>
      </c>
      <c r="N6" s="173">
        <v>0</v>
      </c>
      <c r="O6" s="173">
        <v>0</v>
      </c>
      <c r="P6" s="173">
        <v>0</v>
      </c>
      <c r="Q6" s="173">
        <v>0</v>
      </c>
      <c r="R6" s="173">
        <v>0</v>
      </c>
      <c r="S6" s="173">
        <v>0</v>
      </c>
      <c r="T6" s="143">
        <v>0</v>
      </c>
    </row>
    <row r="7" spans="1:20" x14ac:dyDescent="0.4">
      <c r="C7" s="167" t="s">
        <v>160</v>
      </c>
      <c r="D7" s="158" t="str">
        <f t="shared" si="1"/>
        <v>보이는ARS</v>
      </c>
      <c r="E7" s="158" t="s">
        <v>400</v>
      </c>
      <c r="F7" s="158" t="s">
        <v>529</v>
      </c>
      <c r="G7" s="172">
        <v>86957860</v>
      </c>
      <c r="H7" s="172">
        <v>86957860</v>
      </c>
      <c r="I7" s="173">
        <v>0</v>
      </c>
      <c r="J7" s="173">
        <v>0</v>
      </c>
      <c r="K7" s="173">
        <v>0</v>
      </c>
      <c r="L7" s="173">
        <v>0</v>
      </c>
      <c r="M7" s="173">
        <v>0</v>
      </c>
      <c r="N7" s="173">
        <v>0</v>
      </c>
      <c r="O7" s="173">
        <v>0</v>
      </c>
      <c r="P7" s="173">
        <v>0</v>
      </c>
      <c r="Q7" s="173">
        <v>0</v>
      </c>
      <c r="R7" s="173">
        <v>0</v>
      </c>
      <c r="S7" s="173">
        <v>0</v>
      </c>
      <c r="T7" s="143">
        <v>0</v>
      </c>
    </row>
    <row r="8" spans="1:20" x14ac:dyDescent="0.4">
      <c r="C8" s="167" t="s">
        <v>160</v>
      </c>
      <c r="D8" s="158" t="str">
        <f t="shared" si="1"/>
        <v>보이는ARS</v>
      </c>
      <c r="E8" s="158" t="s">
        <v>400</v>
      </c>
      <c r="F8" s="158" t="s">
        <v>530</v>
      </c>
      <c r="G8" s="172">
        <v>103200000</v>
      </c>
      <c r="H8" s="172">
        <v>103200000</v>
      </c>
      <c r="I8" s="173">
        <v>0</v>
      </c>
      <c r="J8" s="173">
        <v>0</v>
      </c>
      <c r="K8" s="173">
        <v>0</v>
      </c>
      <c r="L8" s="173">
        <v>0</v>
      </c>
      <c r="M8" s="173">
        <v>0</v>
      </c>
      <c r="N8" s="173">
        <v>0</v>
      </c>
      <c r="O8" s="173">
        <v>0</v>
      </c>
      <c r="P8" s="173">
        <v>0</v>
      </c>
      <c r="Q8" s="173">
        <v>0</v>
      </c>
      <c r="R8" s="173">
        <v>0</v>
      </c>
      <c r="S8" s="173">
        <v>0</v>
      </c>
      <c r="T8" s="143">
        <v>0</v>
      </c>
    </row>
    <row r="9" spans="1:20" x14ac:dyDescent="0.4">
      <c r="C9" s="179" t="s">
        <v>160</v>
      </c>
      <c r="D9" s="180" t="s">
        <v>359</v>
      </c>
      <c r="E9" s="180" t="s">
        <v>400</v>
      </c>
      <c r="F9" s="180" t="s">
        <v>151</v>
      </c>
      <c r="G9" s="172">
        <v>0</v>
      </c>
      <c r="H9" s="172">
        <v>0</v>
      </c>
      <c r="I9" s="173">
        <v>0</v>
      </c>
      <c r="J9" s="173">
        <v>0</v>
      </c>
      <c r="K9" s="173">
        <v>0</v>
      </c>
      <c r="L9" s="173">
        <v>0</v>
      </c>
      <c r="M9" s="173">
        <v>0</v>
      </c>
      <c r="N9" s="173">
        <v>0</v>
      </c>
      <c r="O9" s="173">
        <v>0</v>
      </c>
      <c r="P9" s="173">
        <v>0</v>
      </c>
      <c r="Q9" s="173">
        <v>0</v>
      </c>
      <c r="R9" s="173">
        <v>0</v>
      </c>
      <c r="S9" s="173">
        <v>0</v>
      </c>
      <c r="T9" s="143">
        <v>0</v>
      </c>
    </row>
    <row r="10" spans="1:20" x14ac:dyDescent="0.4">
      <c r="C10" s="168" t="s">
        <v>535</v>
      </c>
      <c r="D10" s="159"/>
      <c r="E10" s="159"/>
      <c r="F10" s="159"/>
      <c r="G10" s="160">
        <f>SUM(G5:G9)</f>
        <v>608157860</v>
      </c>
      <c r="H10" s="160">
        <f>SUM(H5:H9)</f>
        <v>608157860</v>
      </c>
      <c r="I10" s="160">
        <f>SUM(I5:I9)</f>
        <v>0</v>
      </c>
      <c r="J10" s="160">
        <f t="shared" ref="J10:T10" si="2">SUM(J5:J9)</f>
        <v>0</v>
      </c>
      <c r="K10" s="160">
        <f t="shared" si="2"/>
        <v>0</v>
      </c>
      <c r="L10" s="160">
        <f t="shared" si="2"/>
        <v>0</v>
      </c>
      <c r="M10" s="160">
        <f t="shared" si="2"/>
        <v>0</v>
      </c>
      <c r="N10" s="160">
        <f t="shared" si="2"/>
        <v>0</v>
      </c>
      <c r="O10" s="160">
        <f t="shared" si="2"/>
        <v>0</v>
      </c>
      <c r="P10" s="160">
        <f t="shared" si="2"/>
        <v>0</v>
      </c>
      <c r="Q10" s="160">
        <f t="shared" si="2"/>
        <v>0</v>
      </c>
      <c r="R10" s="160">
        <f t="shared" si="2"/>
        <v>0</v>
      </c>
      <c r="S10" s="160">
        <f t="shared" si="2"/>
        <v>0</v>
      </c>
      <c r="T10" s="129">
        <f t="shared" si="2"/>
        <v>0</v>
      </c>
    </row>
    <row r="11" spans="1:20" x14ac:dyDescent="0.4">
      <c r="C11" s="167" t="s">
        <v>160</v>
      </c>
      <c r="D11" s="158" t="str">
        <f t="shared" ref="D11:D12" si="3">$C$2</f>
        <v>보이는ARS</v>
      </c>
      <c r="E11" s="158" t="s">
        <v>153</v>
      </c>
      <c r="F11" s="158" t="s">
        <v>156</v>
      </c>
      <c r="G11" s="172">
        <v>144000000</v>
      </c>
      <c r="H11" s="172">
        <v>0</v>
      </c>
      <c r="I11" s="172">
        <v>144000000</v>
      </c>
      <c r="J11" s="172">
        <v>31500000</v>
      </c>
      <c r="K11" s="172">
        <v>54000000</v>
      </c>
      <c r="L11" s="172">
        <v>54000000</v>
      </c>
      <c r="M11" s="172">
        <v>4500000</v>
      </c>
      <c r="N11" s="172">
        <v>0</v>
      </c>
      <c r="O11" s="172">
        <v>0</v>
      </c>
      <c r="P11" s="172">
        <v>0</v>
      </c>
      <c r="Q11" s="172">
        <v>0</v>
      </c>
      <c r="R11" s="172">
        <v>0</v>
      </c>
      <c r="S11" s="172">
        <v>0</v>
      </c>
      <c r="T11" s="113">
        <v>0</v>
      </c>
    </row>
    <row r="12" spans="1:20" x14ac:dyDescent="0.4">
      <c r="C12" s="167" t="s">
        <v>160</v>
      </c>
      <c r="D12" s="158" t="str">
        <f t="shared" si="3"/>
        <v>보이는ARS</v>
      </c>
      <c r="E12" s="158" t="s">
        <v>531</v>
      </c>
      <c r="F12" s="158" t="s">
        <v>533</v>
      </c>
      <c r="G12" s="172">
        <v>0</v>
      </c>
      <c r="H12" s="172">
        <v>0</v>
      </c>
      <c r="I12" s="172">
        <v>0</v>
      </c>
      <c r="J12" s="172">
        <v>0</v>
      </c>
      <c r="K12" s="172">
        <v>0</v>
      </c>
      <c r="L12" s="172">
        <v>0</v>
      </c>
      <c r="M12" s="172">
        <v>0</v>
      </c>
      <c r="N12" s="172">
        <v>0</v>
      </c>
      <c r="O12" s="172">
        <v>0</v>
      </c>
      <c r="P12" s="172">
        <v>0</v>
      </c>
      <c r="Q12" s="172">
        <v>0</v>
      </c>
      <c r="R12" s="172">
        <v>0</v>
      </c>
      <c r="S12" s="172">
        <v>0</v>
      </c>
      <c r="T12" s="113">
        <v>0</v>
      </c>
    </row>
    <row r="13" spans="1:20" x14ac:dyDescent="0.4">
      <c r="C13" s="179" t="s">
        <v>160</v>
      </c>
      <c r="D13" s="180" t="s">
        <v>359</v>
      </c>
      <c r="E13" s="180" t="s">
        <v>531</v>
      </c>
      <c r="F13" s="180" t="s">
        <v>151</v>
      </c>
      <c r="G13" s="172">
        <v>0</v>
      </c>
      <c r="H13" s="172">
        <v>0</v>
      </c>
      <c r="I13" s="172">
        <v>0</v>
      </c>
      <c r="J13" s="172">
        <v>0</v>
      </c>
      <c r="K13" s="172">
        <v>0</v>
      </c>
      <c r="L13" s="172">
        <v>0</v>
      </c>
      <c r="M13" s="172">
        <v>0</v>
      </c>
      <c r="N13" s="172">
        <v>0</v>
      </c>
      <c r="O13" s="172">
        <v>0</v>
      </c>
      <c r="P13" s="172">
        <v>0</v>
      </c>
      <c r="Q13" s="172">
        <v>0</v>
      </c>
      <c r="R13" s="172">
        <v>0</v>
      </c>
      <c r="S13" s="172">
        <v>0</v>
      </c>
      <c r="T13" s="113">
        <v>0</v>
      </c>
    </row>
    <row r="14" spans="1:20" x14ac:dyDescent="0.4">
      <c r="C14" s="179" t="s">
        <v>160</v>
      </c>
      <c r="D14" s="180" t="s">
        <v>359</v>
      </c>
      <c r="E14" s="180" t="s">
        <v>531</v>
      </c>
      <c r="F14" s="180" t="s">
        <v>151</v>
      </c>
      <c r="G14" s="172">
        <v>0</v>
      </c>
      <c r="H14" s="172">
        <v>0</v>
      </c>
      <c r="I14" s="172">
        <v>0</v>
      </c>
      <c r="J14" s="172">
        <v>0</v>
      </c>
      <c r="K14" s="172">
        <v>0</v>
      </c>
      <c r="L14" s="172">
        <v>0</v>
      </c>
      <c r="M14" s="172">
        <v>0</v>
      </c>
      <c r="N14" s="172">
        <v>0</v>
      </c>
      <c r="O14" s="172">
        <v>0</v>
      </c>
      <c r="P14" s="172">
        <v>0</v>
      </c>
      <c r="Q14" s="172">
        <v>0</v>
      </c>
      <c r="R14" s="172">
        <v>0</v>
      </c>
      <c r="S14" s="172">
        <v>0</v>
      </c>
      <c r="T14" s="113">
        <v>0</v>
      </c>
    </row>
    <row r="15" spans="1:20" x14ac:dyDescent="0.4">
      <c r="C15" s="179" t="s">
        <v>160</v>
      </c>
      <c r="D15" s="180" t="s">
        <v>359</v>
      </c>
      <c r="E15" s="180" t="s">
        <v>531</v>
      </c>
      <c r="F15" s="180" t="s">
        <v>151</v>
      </c>
      <c r="G15" s="172">
        <v>0</v>
      </c>
      <c r="H15" s="172">
        <v>0</v>
      </c>
      <c r="I15" s="172">
        <v>0</v>
      </c>
      <c r="J15" s="172">
        <v>0</v>
      </c>
      <c r="K15" s="172">
        <v>0</v>
      </c>
      <c r="L15" s="172">
        <v>0</v>
      </c>
      <c r="M15" s="172">
        <v>0</v>
      </c>
      <c r="N15" s="172">
        <v>0</v>
      </c>
      <c r="O15" s="172">
        <v>0</v>
      </c>
      <c r="P15" s="172">
        <v>0</v>
      </c>
      <c r="Q15" s="172">
        <v>0</v>
      </c>
      <c r="R15" s="172">
        <v>0</v>
      </c>
      <c r="S15" s="172">
        <v>0</v>
      </c>
      <c r="T15" s="113">
        <v>0</v>
      </c>
    </row>
    <row r="16" spans="1:20" x14ac:dyDescent="0.4">
      <c r="C16" s="168" t="s">
        <v>536</v>
      </c>
      <c r="D16" s="159"/>
      <c r="E16" s="159"/>
      <c r="F16" s="159"/>
      <c r="G16" s="160">
        <f>SUM(G11:G15)</f>
        <v>144000000</v>
      </c>
      <c r="H16" s="160">
        <f>SUM(H11:H15)</f>
        <v>0</v>
      </c>
      <c r="I16" s="160">
        <f>SUM(I11:I15)</f>
        <v>144000000</v>
      </c>
      <c r="J16" s="160">
        <f t="shared" ref="J16" si="4">SUM(J11:J15)</f>
        <v>31500000</v>
      </c>
      <c r="K16" s="160">
        <f t="shared" ref="K16" si="5">SUM(K11:K15)</f>
        <v>54000000</v>
      </c>
      <c r="L16" s="160">
        <f t="shared" ref="L16" si="6">SUM(L11:L15)</f>
        <v>54000000</v>
      </c>
      <c r="M16" s="160">
        <f t="shared" ref="M16" si="7">SUM(M11:M15)</f>
        <v>4500000</v>
      </c>
      <c r="N16" s="160">
        <f t="shared" ref="N16" si="8">SUM(N11:N15)</f>
        <v>0</v>
      </c>
      <c r="O16" s="160">
        <f t="shared" ref="O16" si="9">SUM(O11:O15)</f>
        <v>0</v>
      </c>
      <c r="P16" s="160">
        <f t="shared" ref="P16" si="10">SUM(P11:P15)</f>
        <v>0</v>
      </c>
      <c r="Q16" s="160">
        <f t="shared" ref="Q16" si="11">SUM(Q11:Q15)</f>
        <v>0</v>
      </c>
      <c r="R16" s="160">
        <f t="shared" ref="R16" si="12">SUM(R11:R15)</f>
        <v>0</v>
      </c>
      <c r="S16" s="160">
        <f t="shared" ref="S16" si="13">SUM(S11:S15)</f>
        <v>0</v>
      </c>
      <c r="T16" s="129">
        <f t="shared" ref="T16" si="14">SUM(T11:T15)</f>
        <v>0</v>
      </c>
    </row>
    <row r="17" spans="3:20" x14ac:dyDescent="0.4">
      <c r="C17" s="167" t="s">
        <v>160</v>
      </c>
      <c r="D17" s="158" t="str">
        <f t="shared" ref="D17:D19" si="15">$C$2</f>
        <v>보이는ARS</v>
      </c>
      <c r="E17" s="158" t="s">
        <v>532</v>
      </c>
      <c r="F17" s="158" t="s">
        <v>528</v>
      </c>
      <c r="G17" s="172">
        <v>238360000</v>
      </c>
      <c r="H17" s="172">
        <v>0</v>
      </c>
      <c r="I17" s="172">
        <v>238360000</v>
      </c>
      <c r="J17" s="172">
        <v>0</v>
      </c>
      <c r="K17" s="172">
        <v>11800000</v>
      </c>
      <c r="L17" s="172">
        <v>28320000</v>
      </c>
      <c r="M17" s="172">
        <v>28320000</v>
      </c>
      <c r="N17" s="172">
        <v>28320000</v>
      </c>
      <c r="O17" s="172">
        <v>28320000</v>
      </c>
      <c r="P17" s="172">
        <v>28320000</v>
      </c>
      <c r="Q17" s="172">
        <v>28320000</v>
      </c>
      <c r="R17" s="172">
        <v>28320000</v>
      </c>
      <c r="S17" s="172">
        <v>28320000</v>
      </c>
      <c r="T17" s="113">
        <v>0</v>
      </c>
    </row>
    <row r="18" spans="3:20" x14ac:dyDescent="0.4">
      <c r="C18" s="167" t="s">
        <v>160</v>
      </c>
      <c r="D18" s="158" t="str">
        <f t="shared" si="15"/>
        <v>보이는ARS</v>
      </c>
      <c r="E18" s="158" t="s">
        <v>532</v>
      </c>
      <c r="F18" s="158" t="s">
        <v>529</v>
      </c>
      <c r="G18" s="172">
        <v>152136200.79999998</v>
      </c>
      <c r="H18" s="172">
        <v>0</v>
      </c>
      <c r="I18" s="172">
        <v>152136200.79999998</v>
      </c>
      <c r="J18" s="172">
        <v>0</v>
      </c>
      <c r="K18" s="172">
        <v>13872000</v>
      </c>
      <c r="L18" s="172">
        <v>13872000</v>
      </c>
      <c r="M18" s="172">
        <v>17770314.400000002</v>
      </c>
      <c r="N18" s="172">
        <v>17770314.400000002</v>
      </c>
      <c r="O18" s="172">
        <v>17770314.400000002</v>
      </c>
      <c r="P18" s="172">
        <v>17770314.400000002</v>
      </c>
      <c r="Q18" s="172">
        <v>17770314.400000002</v>
      </c>
      <c r="R18" s="172">
        <v>17770314.400000002</v>
      </c>
      <c r="S18" s="172">
        <v>17770314.400000002</v>
      </c>
      <c r="T18" s="113">
        <v>0</v>
      </c>
    </row>
    <row r="19" spans="3:20" x14ac:dyDescent="0.4">
      <c r="C19" s="167" t="s">
        <v>160</v>
      </c>
      <c r="D19" s="158" t="str">
        <f t="shared" si="15"/>
        <v>보이는ARS</v>
      </c>
      <c r="E19" s="158" t="s">
        <v>532</v>
      </c>
      <c r="F19" s="158" t="s">
        <v>530</v>
      </c>
      <c r="G19" s="172">
        <v>103560000</v>
      </c>
      <c r="H19" s="172">
        <v>0</v>
      </c>
      <c r="I19" s="172">
        <v>103560000</v>
      </c>
      <c r="J19" s="172">
        <v>0</v>
      </c>
      <c r="K19" s="172">
        <v>8520000</v>
      </c>
      <c r="L19" s="172">
        <v>11880000</v>
      </c>
      <c r="M19" s="172">
        <v>11880000</v>
      </c>
      <c r="N19" s="172">
        <v>11880000</v>
      </c>
      <c r="O19" s="172">
        <v>11880000</v>
      </c>
      <c r="P19" s="172">
        <v>11880000</v>
      </c>
      <c r="Q19" s="172">
        <v>11880000</v>
      </c>
      <c r="R19" s="172">
        <v>11880000</v>
      </c>
      <c r="S19" s="172">
        <v>11880000</v>
      </c>
      <c r="T19" s="113">
        <v>0</v>
      </c>
    </row>
    <row r="20" spans="3:20" x14ac:dyDescent="0.4">
      <c r="C20" s="179" t="s">
        <v>160</v>
      </c>
      <c r="D20" s="180" t="s">
        <v>359</v>
      </c>
      <c r="E20" s="180" t="s">
        <v>532</v>
      </c>
      <c r="F20" s="180" t="s">
        <v>151</v>
      </c>
      <c r="G20" s="172">
        <v>0</v>
      </c>
      <c r="H20" s="172">
        <v>0</v>
      </c>
      <c r="I20" s="172">
        <v>0</v>
      </c>
      <c r="J20" s="172">
        <v>0</v>
      </c>
      <c r="K20" s="172">
        <v>0</v>
      </c>
      <c r="L20" s="172">
        <v>0</v>
      </c>
      <c r="M20" s="172">
        <v>0</v>
      </c>
      <c r="N20" s="172">
        <v>0</v>
      </c>
      <c r="O20" s="172">
        <v>0</v>
      </c>
      <c r="P20" s="172">
        <v>0</v>
      </c>
      <c r="Q20" s="172">
        <v>0</v>
      </c>
      <c r="R20" s="172">
        <v>0</v>
      </c>
      <c r="S20" s="172">
        <v>0</v>
      </c>
      <c r="T20" s="113">
        <v>0</v>
      </c>
    </row>
    <row r="21" spans="3:20" x14ac:dyDescent="0.4">
      <c r="C21" s="179" t="s">
        <v>160</v>
      </c>
      <c r="D21" s="180" t="s">
        <v>359</v>
      </c>
      <c r="E21" s="180" t="s">
        <v>532</v>
      </c>
      <c r="F21" s="180" t="s">
        <v>151</v>
      </c>
      <c r="G21" s="172">
        <v>0</v>
      </c>
      <c r="H21" s="172">
        <v>0</v>
      </c>
      <c r="I21" s="172">
        <v>0</v>
      </c>
      <c r="J21" s="172">
        <v>0</v>
      </c>
      <c r="K21" s="172">
        <v>0</v>
      </c>
      <c r="L21" s="172">
        <v>0</v>
      </c>
      <c r="M21" s="172">
        <v>0</v>
      </c>
      <c r="N21" s="172">
        <v>0</v>
      </c>
      <c r="O21" s="172">
        <v>0</v>
      </c>
      <c r="P21" s="172">
        <v>0</v>
      </c>
      <c r="Q21" s="172">
        <v>0</v>
      </c>
      <c r="R21" s="172">
        <v>0</v>
      </c>
      <c r="S21" s="172">
        <v>0</v>
      </c>
      <c r="T21" s="113">
        <v>0</v>
      </c>
    </row>
    <row r="22" spans="3:20" ht="18" thickBot="1" x14ac:dyDescent="0.45">
      <c r="C22" s="169" t="s">
        <v>537</v>
      </c>
      <c r="D22" s="155"/>
      <c r="E22" s="155"/>
      <c r="F22" s="155"/>
      <c r="G22" s="156">
        <f>SUM(G17:G21)</f>
        <v>494056200.79999995</v>
      </c>
      <c r="H22" s="156">
        <f>SUM(H17:H21)</f>
        <v>0</v>
      </c>
      <c r="I22" s="156">
        <f>SUM(I17:I21)</f>
        <v>494056200.79999995</v>
      </c>
      <c r="J22" s="156">
        <f t="shared" ref="J22:T22" si="16">SUM(J17:J21)</f>
        <v>0</v>
      </c>
      <c r="K22" s="156">
        <f t="shared" si="16"/>
        <v>34192000</v>
      </c>
      <c r="L22" s="156">
        <f t="shared" si="16"/>
        <v>54072000</v>
      </c>
      <c r="M22" s="156">
        <f t="shared" si="16"/>
        <v>57970314.400000006</v>
      </c>
      <c r="N22" s="156">
        <f t="shared" si="16"/>
        <v>57970314.400000006</v>
      </c>
      <c r="O22" s="156">
        <f t="shared" si="16"/>
        <v>57970314.400000006</v>
      </c>
      <c r="P22" s="156">
        <f t="shared" si="16"/>
        <v>57970314.400000006</v>
      </c>
      <c r="Q22" s="156">
        <f t="shared" si="16"/>
        <v>57970314.400000006</v>
      </c>
      <c r="R22" s="156">
        <f t="shared" si="16"/>
        <v>57970314.400000006</v>
      </c>
      <c r="S22" s="156">
        <f t="shared" si="16"/>
        <v>57970314.400000006</v>
      </c>
      <c r="T22" s="130">
        <f t="shared" si="16"/>
        <v>0</v>
      </c>
    </row>
    <row r="24" spans="3:20" ht="18" hidden="1" thickBot="1" x14ac:dyDescent="0.45"/>
    <row r="25" spans="3:20" hidden="1" x14ac:dyDescent="0.4">
      <c r="C25" s="103" t="s">
        <v>359</v>
      </c>
      <c r="D25" s="2"/>
      <c r="E25" s="2"/>
      <c r="F25" s="2"/>
      <c r="G25" s="148">
        <f>SUM(G33,G39,G45)</f>
        <v>1246214060.8</v>
      </c>
      <c r="H25" s="146">
        <f t="shared" ref="H25:T25" si="17">SUM(H33,H39,H45)</f>
        <v>608157860</v>
      </c>
      <c r="I25" s="146">
        <f t="shared" si="17"/>
        <v>638056200.79999995</v>
      </c>
      <c r="J25" s="146">
        <f t="shared" si="17"/>
        <v>31500000</v>
      </c>
      <c r="K25" s="146">
        <f t="shared" si="17"/>
        <v>88192000</v>
      </c>
      <c r="L25" s="146">
        <f t="shared" si="17"/>
        <v>108072000</v>
      </c>
      <c r="M25" s="146">
        <f t="shared" si="17"/>
        <v>62470314.400000006</v>
      </c>
      <c r="N25" s="146">
        <f t="shared" si="17"/>
        <v>57970314.400000006</v>
      </c>
      <c r="O25" s="146">
        <f t="shared" si="17"/>
        <v>57970314.400000006</v>
      </c>
      <c r="P25" s="146">
        <f t="shared" si="17"/>
        <v>57970314.400000006</v>
      </c>
      <c r="Q25" s="146">
        <f t="shared" si="17"/>
        <v>57970314.400000006</v>
      </c>
      <c r="R25" s="146">
        <f t="shared" si="17"/>
        <v>57970314.400000006</v>
      </c>
      <c r="S25" s="146">
        <f t="shared" si="17"/>
        <v>57970314.400000006</v>
      </c>
      <c r="T25" s="147">
        <f t="shared" si="17"/>
        <v>0</v>
      </c>
    </row>
    <row r="26" spans="3:20" ht="18" hidden="1" thickBot="1" x14ac:dyDescent="0.45"/>
    <row r="27" spans="3:20" hidden="1" x14ac:dyDescent="0.4">
      <c r="C27" s="135" t="s">
        <v>1</v>
      </c>
      <c r="D27" s="136" t="s">
        <v>2</v>
      </c>
      <c r="E27" s="136" t="s">
        <v>3</v>
      </c>
      <c r="F27" s="136" t="s">
        <v>4</v>
      </c>
      <c r="G27" s="136" t="s">
        <v>526</v>
      </c>
      <c r="H27" s="136" t="s">
        <v>524</v>
      </c>
      <c r="I27" s="136" t="s">
        <v>525</v>
      </c>
      <c r="J27" s="136" t="s">
        <v>41</v>
      </c>
      <c r="K27" s="136" t="s">
        <v>371</v>
      </c>
      <c r="L27" s="136" t="s">
        <v>372</v>
      </c>
      <c r="M27" s="136" t="s">
        <v>373</v>
      </c>
      <c r="N27" s="136" t="s">
        <v>374</v>
      </c>
      <c r="O27" s="136" t="s">
        <v>375</v>
      </c>
      <c r="P27" s="136" t="s">
        <v>376</v>
      </c>
      <c r="Q27" s="136" t="s">
        <v>377</v>
      </c>
      <c r="R27" s="136" t="s">
        <v>378</v>
      </c>
      <c r="S27" s="136" t="s">
        <v>379</v>
      </c>
      <c r="T27" s="127" t="s">
        <v>188</v>
      </c>
    </row>
    <row r="28" spans="3:20" hidden="1" x14ac:dyDescent="0.4">
      <c r="C28" s="128" t="s">
        <v>160</v>
      </c>
      <c r="D28" s="134" t="str">
        <f>$C$25</f>
        <v>보이는ARS</v>
      </c>
      <c r="E28" s="134" t="s">
        <v>400</v>
      </c>
      <c r="F28" s="134" t="s">
        <v>527</v>
      </c>
      <c r="G28" s="49">
        <v>182000000</v>
      </c>
      <c r="H28" s="49">
        <v>182000000</v>
      </c>
      <c r="I28" s="48">
        <v>0</v>
      </c>
      <c r="J28" s="48">
        <v>0</v>
      </c>
      <c r="K28" s="48">
        <v>0</v>
      </c>
      <c r="L28" s="48">
        <v>0</v>
      </c>
      <c r="M28" s="48">
        <v>0</v>
      </c>
      <c r="N28" s="48">
        <v>0</v>
      </c>
      <c r="O28" s="48">
        <v>0</v>
      </c>
      <c r="P28" s="48">
        <v>0</v>
      </c>
      <c r="Q28" s="48">
        <v>0</v>
      </c>
      <c r="R28" s="48">
        <v>0</v>
      </c>
      <c r="S28" s="48">
        <v>0</v>
      </c>
      <c r="T28" s="142">
        <v>0</v>
      </c>
    </row>
    <row r="29" spans="3:20" hidden="1" x14ac:dyDescent="0.4">
      <c r="C29" s="137" t="s">
        <v>160</v>
      </c>
      <c r="D29" s="131" t="str">
        <f t="shared" ref="D29:D32" si="18">$C$25</f>
        <v>보이는ARS</v>
      </c>
      <c r="E29" s="131" t="s">
        <v>400</v>
      </c>
      <c r="F29" s="131" t="s">
        <v>528</v>
      </c>
      <c r="G29" s="44">
        <v>236000000</v>
      </c>
      <c r="H29" s="44">
        <v>236000000</v>
      </c>
      <c r="I29" s="43">
        <v>0</v>
      </c>
      <c r="J29" s="43">
        <v>0</v>
      </c>
      <c r="K29" s="43">
        <v>0</v>
      </c>
      <c r="L29" s="43">
        <v>0</v>
      </c>
      <c r="M29" s="43">
        <v>0</v>
      </c>
      <c r="N29" s="43">
        <v>0</v>
      </c>
      <c r="O29" s="43">
        <v>0</v>
      </c>
      <c r="P29" s="43">
        <v>0</v>
      </c>
      <c r="Q29" s="43">
        <v>0</v>
      </c>
      <c r="R29" s="43">
        <v>0</v>
      </c>
      <c r="S29" s="43">
        <v>0</v>
      </c>
      <c r="T29" s="143">
        <v>0</v>
      </c>
    </row>
    <row r="30" spans="3:20" hidden="1" x14ac:dyDescent="0.4">
      <c r="C30" s="137" t="s">
        <v>160</v>
      </c>
      <c r="D30" s="131" t="str">
        <f t="shared" si="18"/>
        <v>보이는ARS</v>
      </c>
      <c r="E30" s="131" t="s">
        <v>400</v>
      </c>
      <c r="F30" s="131" t="s">
        <v>529</v>
      </c>
      <c r="G30" s="44">
        <v>86957860</v>
      </c>
      <c r="H30" s="44">
        <v>86957860</v>
      </c>
      <c r="I30" s="43">
        <v>0</v>
      </c>
      <c r="J30" s="43">
        <v>0</v>
      </c>
      <c r="K30" s="43">
        <v>0</v>
      </c>
      <c r="L30" s="43">
        <v>0</v>
      </c>
      <c r="M30" s="43">
        <v>0</v>
      </c>
      <c r="N30" s="43">
        <v>0</v>
      </c>
      <c r="O30" s="43">
        <v>0</v>
      </c>
      <c r="P30" s="43">
        <v>0</v>
      </c>
      <c r="Q30" s="43">
        <v>0</v>
      </c>
      <c r="R30" s="43">
        <v>0</v>
      </c>
      <c r="S30" s="43">
        <v>0</v>
      </c>
      <c r="T30" s="143">
        <v>0</v>
      </c>
    </row>
    <row r="31" spans="3:20" hidden="1" x14ac:dyDescent="0.4">
      <c r="C31" s="137" t="s">
        <v>160</v>
      </c>
      <c r="D31" s="131" t="str">
        <f t="shared" si="18"/>
        <v>보이는ARS</v>
      </c>
      <c r="E31" s="131" t="s">
        <v>400</v>
      </c>
      <c r="F31" s="131" t="s">
        <v>530</v>
      </c>
      <c r="G31" s="44">
        <v>103200000</v>
      </c>
      <c r="H31" s="44">
        <v>103200000</v>
      </c>
      <c r="I31" s="43">
        <v>0</v>
      </c>
      <c r="J31" s="43">
        <v>0</v>
      </c>
      <c r="K31" s="43">
        <v>0</v>
      </c>
      <c r="L31" s="43">
        <v>0</v>
      </c>
      <c r="M31" s="43">
        <v>0</v>
      </c>
      <c r="N31" s="43">
        <v>0</v>
      </c>
      <c r="O31" s="43">
        <v>0</v>
      </c>
      <c r="P31" s="43">
        <v>0</v>
      </c>
      <c r="Q31" s="43">
        <v>0</v>
      </c>
      <c r="R31" s="43">
        <v>0</v>
      </c>
      <c r="S31" s="43">
        <v>0</v>
      </c>
      <c r="T31" s="143">
        <v>0</v>
      </c>
    </row>
    <row r="32" spans="3:20" hidden="1" x14ac:dyDescent="0.4">
      <c r="C32" s="137" t="s">
        <v>160</v>
      </c>
      <c r="D32" s="131" t="str">
        <f t="shared" si="18"/>
        <v>보이는ARS</v>
      </c>
      <c r="E32" s="131" t="s">
        <v>400</v>
      </c>
      <c r="F32" s="131" t="s">
        <v>151</v>
      </c>
      <c r="G32" s="44">
        <v>0</v>
      </c>
      <c r="H32" s="44">
        <v>0</v>
      </c>
      <c r="I32" s="43">
        <v>0</v>
      </c>
      <c r="J32" s="43">
        <v>0</v>
      </c>
      <c r="K32" s="43">
        <v>0</v>
      </c>
      <c r="L32" s="43">
        <v>0</v>
      </c>
      <c r="M32" s="43">
        <v>0</v>
      </c>
      <c r="N32" s="43">
        <v>0</v>
      </c>
      <c r="O32" s="43">
        <v>0</v>
      </c>
      <c r="P32" s="43">
        <v>0</v>
      </c>
      <c r="Q32" s="43">
        <v>0</v>
      </c>
      <c r="R32" s="43">
        <v>0</v>
      </c>
      <c r="S32" s="43">
        <v>0</v>
      </c>
      <c r="T32" s="143">
        <v>0</v>
      </c>
    </row>
    <row r="33" spans="1:20" hidden="1" x14ac:dyDescent="0.4">
      <c r="C33" s="138" t="s">
        <v>535</v>
      </c>
      <c r="D33" s="132"/>
      <c r="E33" s="132"/>
      <c r="F33" s="132"/>
      <c r="G33" s="133">
        <f>SUM(G28:G32)</f>
        <v>608157860</v>
      </c>
      <c r="H33" s="133">
        <f>SUM(H28:H32)</f>
        <v>608157860</v>
      </c>
      <c r="I33" s="133">
        <f>SUM(I28:I32)</f>
        <v>0</v>
      </c>
      <c r="J33" s="133">
        <f t="shared" ref="J33:T33" si="19">SUM(J28:J32)</f>
        <v>0</v>
      </c>
      <c r="K33" s="133">
        <f t="shared" si="19"/>
        <v>0</v>
      </c>
      <c r="L33" s="133">
        <f t="shared" si="19"/>
        <v>0</v>
      </c>
      <c r="M33" s="133">
        <f t="shared" si="19"/>
        <v>0</v>
      </c>
      <c r="N33" s="133">
        <f t="shared" si="19"/>
        <v>0</v>
      </c>
      <c r="O33" s="133">
        <f t="shared" si="19"/>
        <v>0</v>
      </c>
      <c r="P33" s="133">
        <f t="shared" si="19"/>
        <v>0</v>
      </c>
      <c r="Q33" s="133">
        <f t="shared" si="19"/>
        <v>0</v>
      </c>
      <c r="R33" s="133">
        <f t="shared" si="19"/>
        <v>0</v>
      </c>
      <c r="S33" s="133">
        <f t="shared" si="19"/>
        <v>0</v>
      </c>
      <c r="T33" s="129">
        <f t="shared" si="19"/>
        <v>0</v>
      </c>
    </row>
    <row r="34" spans="1:20" hidden="1" x14ac:dyDescent="0.4">
      <c r="C34" s="137" t="s">
        <v>160</v>
      </c>
      <c r="D34" s="131" t="str">
        <f>$C$25</f>
        <v>보이는ARS</v>
      </c>
      <c r="E34" s="131" t="s">
        <v>153</v>
      </c>
      <c r="F34" s="131" t="s">
        <v>156</v>
      </c>
      <c r="G34" s="44">
        <v>144000000</v>
      </c>
      <c r="H34" s="44">
        <v>0</v>
      </c>
      <c r="I34" s="44">
        <v>144000000</v>
      </c>
      <c r="J34" s="44">
        <v>31500000</v>
      </c>
      <c r="K34" s="44">
        <v>54000000</v>
      </c>
      <c r="L34" s="44">
        <v>54000000</v>
      </c>
      <c r="M34" s="44">
        <v>4500000</v>
      </c>
      <c r="N34" s="44">
        <v>0</v>
      </c>
      <c r="O34" s="44">
        <v>0</v>
      </c>
      <c r="P34" s="44">
        <v>0</v>
      </c>
      <c r="Q34" s="44">
        <v>0</v>
      </c>
      <c r="R34" s="44">
        <v>0</v>
      </c>
      <c r="S34" s="44">
        <v>0</v>
      </c>
      <c r="T34" s="113">
        <v>0</v>
      </c>
    </row>
    <row r="35" spans="1:20" hidden="1" x14ac:dyDescent="0.4">
      <c r="C35" s="137" t="s">
        <v>160</v>
      </c>
      <c r="D35" s="131" t="str">
        <f t="shared" ref="D35:D38" si="20">$C$25</f>
        <v>보이는ARS</v>
      </c>
      <c r="E35" s="131" t="s">
        <v>531</v>
      </c>
      <c r="F35" s="131" t="s">
        <v>533</v>
      </c>
      <c r="G35" s="44">
        <v>0</v>
      </c>
      <c r="H35" s="44">
        <v>0</v>
      </c>
      <c r="I35" s="44">
        <v>0</v>
      </c>
      <c r="J35" s="44">
        <v>0</v>
      </c>
      <c r="K35" s="44">
        <v>0</v>
      </c>
      <c r="L35" s="44">
        <v>0</v>
      </c>
      <c r="M35" s="44">
        <v>0</v>
      </c>
      <c r="N35" s="44">
        <v>0</v>
      </c>
      <c r="O35" s="44">
        <v>0</v>
      </c>
      <c r="P35" s="44">
        <v>0</v>
      </c>
      <c r="Q35" s="44">
        <v>0</v>
      </c>
      <c r="R35" s="44">
        <v>0</v>
      </c>
      <c r="S35" s="44">
        <v>0</v>
      </c>
      <c r="T35" s="113">
        <v>0</v>
      </c>
    </row>
    <row r="36" spans="1:20" hidden="1" x14ac:dyDescent="0.4">
      <c r="C36" s="137" t="s">
        <v>160</v>
      </c>
      <c r="D36" s="131" t="str">
        <f t="shared" si="20"/>
        <v>보이는ARS</v>
      </c>
      <c r="E36" s="131" t="s">
        <v>531</v>
      </c>
      <c r="F36" s="131" t="s">
        <v>151</v>
      </c>
      <c r="G36" s="44">
        <v>0</v>
      </c>
      <c r="H36" s="44">
        <v>0</v>
      </c>
      <c r="I36" s="44">
        <v>0</v>
      </c>
      <c r="J36" s="44">
        <v>0</v>
      </c>
      <c r="K36" s="44">
        <v>0</v>
      </c>
      <c r="L36" s="44">
        <v>0</v>
      </c>
      <c r="M36" s="44">
        <v>0</v>
      </c>
      <c r="N36" s="44">
        <v>0</v>
      </c>
      <c r="O36" s="44">
        <v>0</v>
      </c>
      <c r="P36" s="44">
        <v>0</v>
      </c>
      <c r="Q36" s="44">
        <v>0</v>
      </c>
      <c r="R36" s="44">
        <v>0</v>
      </c>
      <c r="S36" s="44">
        <v>0</v>
      </c>
      <c r="T36" s="113">
        <v>0</v>
      </c>
    </row>
    <row r="37" spans="1:20" hidden="1" x14ac:dyDescent="0.4">
      <c r="C37" s="137" t="s">
        <v>160</v>
      </c>
      <c r="D37" s="131" t="str">
        <f t="shared" si="20"/>
        <v>보이는ARS</v>
      </c>
      <c r="E37" s="131" t="s">
        <v>531</v>
      </c>
      <c r="F37" s="131" t="s">
        <v>151</v>
      </c>
      <c r="G37" s="44">
        <v>0</v>
      </c>
      <c r="H37" s="44">
        <v>0</v>
      </c>
      <c r="I37" s="44">
        <v>0</v>
      </c>
      <c r="J37" s="44">
        <v>0</v>
      </c>
      <c r="K37" s="44">
        <v>0</v>
      </c>
      <c r="L37" s="44">
        <v>0</v>
      </c>
      <c r="M37" s="44">
        <v>0</v>
      </c>
      <c r="N37" s="44">
        <v>0</v>
      </c>
      <c r="O37" s="44">
        <v>0</v>
      </c>
      <c r="P37" s="44">
        <v>0</v>
      </c>
      <c r="Q37" s="44">
        <v>0</v>
      </c>
      <c r="R37" s="44">
        <v>0</v>
      </c>
      <c r="S37" s="44">
        <v>0</v>
      </c>
      <c r="T37" s="113">
        <v>0</v>
      </c>
    </row>
    <row r="38" spans="1:20" hidden="1" x14ac:dyDescent="0.4">
      <c r="C38" s="137" t="s">
        <v>160</v>
      </c>
      <c r="D38" s="131" t="str">
        <f t="shared" si="20"/>
        <v>보이는ARS</v>
      </c>
      <c r="E38" s="131" t="s">
        <v>531</v>
      </c>
      <c r="F38" s="131" t="s">
        <v>151</v>
      </c>
      <c r="G38" s="44">
        <v>0</v>
      </c>
      <c r="H38" s="44">
        <v>0</v>
      </c>
      <c r="I38" s="44">
        <v>0</v>
      </c>
      <c r="J38" s="44">
        <v>0</v>
      </c>
      <c r="K38" s="44">
        <v>0</v>
      </c>
      <c r="L38" s="44">
        <v>0</v>
      </c>
      <c r="M38" s="44">
        <v>0</v>
      </c>
      <c r="N38" s="44">
        <v>0</v>
      </c>
      <c r="O38" s="44">
        <v>0</v>
      </c>
      <c r="P38" s="44">
        <v>0</v>
      </c>
      <c r="Q38" s="44">
        <v>0</v>
      </c>
      <c r="R38" s="44">
        <v>0</v>
      </c>
      <c r="S38" s="44">
        <v>0</v>
      </c>
      <c r="T38" s="113">
        <v>0</v>
      </c>
    </row>
    <row r="39" spans="1:20" hidden="1" x14ac:dyDescent="0.4">
      <c r="C39" s="138" t="s">
        <v>536</v>
      </c>
      <c r="D39" s="132"/>
      <c r="E39" s="132"/>
      <c r="F39" s="132"/>
      <c r="G39" s="133">
        <f>SUM(G34:G38)</f>
        <v>144000000</v>
      </c>
      <c r="H39" s="133">
        <f>SUM(H34:H38)</f>
        <v>0</v>
      </c>
      <c r="I39" s="133">
        <f>SUM(I34:I38)</f>
        <v>144000000</v>
      </c>
      <c r="J39" s="133">
        <f t="shared" ref="J39:T39" si="21">SUM(J34:J38)</f>
        <v>31500000</v>
      </c>
      <c r="K39" s="133">
        <f t="shared" si="21"/>
        <v>54000000</v>
      </c>
      <c r="L39" s="133">
        <f t="shared" si="21"/>
        <v>54000000</v>
      </c>
      <c r="M39" s="133">
        <f t="shared" si="21"/>
        <v>4500000</v>
      </c>
      <c r="N39" s="133">
        <f t="shared" si="21"/>
        <v>0</v>
      </c>
      <c r="O39" s="133">
        <f t="shared" si="21"/>
        <v>0</v>
      </c>
      <c r="P39" s="133">
        <f t="shared" si="21"/>
        <v>0</v>
      </c>
      <c r="Q39" s="133">
        <f t="shared" si="21"/>
        <v>0</v>
      </c>
      <c r="R39" s="133">
        <f t="shared" si="21"/>
        <v>0</v>
      </c>
      <c r="S39" s="133">
        <f t="shared" si="21"/>
        <v>0</v>
      </c>
      <c r="T39" s="129">
        <f t="shared" si="21"/>
        <v>0</v>
      </c>
    </row>
    <row r="40" spans="1:20" hidden="1" x14ac:dyDescent="0.4">
      <c r="C40" s="137" t="s">
        <v>160</v>
      </c>
      <c r="D40" s="131" t="str">
        <f>$C$25</f>
        <v>보이는ARS</v>
      </c>
      <c r="E40" s="131" t="s">
        <v>532</v>
      </c>
      <c r="F40" s="131" t="s">
        <v>528</v>
      </c>
      <c r="G40" s="44">
        <v>238360000</v>
      </c>
      <c r="H40" s="44">
        <v>0</v>
      </c>
      <c r="I40" s="44">
        <v>238360000</v>
      </c>
      <c r="J40" s="44">
        <v>0</v>
      </c>
      <c r="K40" s="44">
        <v>11800000</v>
      </c>
      <c r="L40" s="44">
        <v>28320000</v>
      </c>
      <c r="M40" s="44">
        <v>28320000</v>
      </c>
      <c r="N40" s="44">
        <v>28320000</v>
      </c>
      <c r="O40" s="44">
        <v>28320000</v>
      </c>
      <c r="P40" s="44">
        <v>28320000</v>
      </c>
      <c r="Q40" s="44">
        <v>28320000</v>
      </c>
      <c r="R40" s="44">
        <v>28320000</v>
      </c>
      <c r="S40" s="44">
        <v>28320000</v>
      </c>
      <c r="T40" s="113">
        <v>0</v>
      </c>
    </row>
    <row r="41" spans="1:20" hidden="1" x14ac:dyDescent="0.4">
      <c r="C41" s="137" t="s">
        <v>160</v>
      </c>
      <c r="D41" s="131" t="str">
        <f t="shared" ref="D41:D44" si="22">$C$25</f>
        <v>보이는ARS</v>
      </c>
      <c r="E41" s="131" t="s">
        <v>532</v>
      </c>
      <c r="F41" s="131" t="s">
        <v>529</v>
      </c>
      <c r="G41" s="44">
        <v>152136200.79999998</v>
      </c>
      <c r="H41" s="44">
        <v>0</v>
      </c>
      <c r="I41" s="44">
        <v>152136200.79999998</v>
      </c>
      <c r="J41" s="44">
        <v>0</v>
      </c>
      <c r="K41" s="44">
        <v>13872000</v>
      </c>
      <c r="L41" s="44">
        <v>13872000</v>
      </c>
      <c r="M41" s="44">
        <v>17770314.400000002</v>
      </c>
      <c r="N41" s="44">
        <v>17770314.400000002</v>
      </c>
      <c r="O41" s="44">
        <v>17770314.400000002</v>
      </c>
      <c r="P41" s="44">
        <v>17770314.400000002</v>
      </c>
      <c r="Q41" s="44">
        <v>17770314.400000002</v>
      </c>
      <c r="R41" s="44">
        <v>17770314.400000002</v>
      </c>
      <c r="S41" s="44">
        <v>17770314.400000002</v>
      </c>
      <c r="T41" s="113">
        <v>0</v>
      </c>
    </row>
    <row r="42" spans="1:20" hidden="1" x14ac:dyDescent="0.4">
      <c r="C42" s="137" t="s">
        <v>160</v>
      </c>
      <c r="D42" s="131" t="str">
        <f t="shared" si="22"/>
        <v>보이는ARS</v>
      </c>
      <c r="E42" s="131" t="s">
        <v>532</v>
      </c>
      <c r="F42" s="131" t="s">
        <v>530</v>
      </c>
      <c r="G42" s="44">
        <v>103560000</v>
      </c>
      <c r="H42" s="44">
        <v>0</v>
      </c>
      <c r="I42" s="44">
        <v>103560000</v>
      </c>
      <c r="J42" s="44">
        <v>0</v>
      </c>
      <c r="K42" s="44">
        <v>8520000</v>
      </c>
      <c r="L42" s="44">
        <v>11880000</v>
      </c>
      <c r="M42" s="44">
        <v>11880000</v>
      </c>
      <c r="N42" s="44">
        <v>11880000</v>
      </c>
      <c r="O42" s="44">
        <v>11880000</v>
      </c>
      <c r="P42" s="44">
        <v>11880000</v>
      </c>
      <c r="Q42" s="44">
        <v>11880000</v>
      </c>
      <c r="R42" s="44">
        <v>11880000</v>
      </c>
      <c r="S42" s="44">
        <v>11880000</v>
      </c>
      <c r="T42" s="113">
        <v>0</v>
      </c>
    </row>
    <row r="43" spans="1:20" hidden="1" x14ac:dyDescent="0.4">
      <c r="C43" s="137" t="s">
        <v>160</v>
      </c>
      <c r="D43" s="131" t="str">
        <f t="shared" si="22"/>
        <v>보이는ARS</v>
      </c>
      <c r="E43" s="131" t="s">
        <v>532</v>
      </c>
      <c r="F43" s="131" t="s">
        <v>151</v>
      </c>
      <c r="G43" s="44">
        <v>0</v>
      </c>
      <c r="H43" s="44">
        <v>0</v>
      </c>
      <c r="I43" s="44">
        <v>0</v>
      </c>
      <c r="J43" s="44">
        <v>0</v>
      </c>
      <c r="K43" s="44">
        <v>0</v>
      </c>
      <c r="L43" s="44">
        <v>0</v>
      </c>
      <c r="M43" s="44">
        <v>0</v>
      </c>
      <c r="N43" s="44">
        <v>0</v>
      </c>
      <c r="O43" s="44">
        <v>0</v>
      </c>
      <c r="P43" s="44">
        <v>0</v>
      </c>
      <c r="Q43" s="44">
        <v>0</v>
      </c>
      <c r="R43" s="44">
        <v>0</v>
      </c>
      <c r="S43" s="44">
        <v>0</v>
      </c>
      <c r="T43" s="113">
        <v>0</v>
      </c>
    </row>
    <row r="44" spans="1:20" hidden="1" x14ac:dyDescent="0.4">
      <c r="C44" s="137" t="s">
        <v>160</v>
      </c>
      <c r="D44" s="131" t="str">
        <f t="shared" si="22"/>
        <v>보이는ARS</v>
      </c>
      <c r="E44" s="131" t="s">
        <v>532</v>
      </c>
      <c r="F44" s="131" t="s">
        <v>151</v>
      </c>
      <c r="G44" s="44">
        <v>0</v>
      </c>
      <c r="H44" s="44">
        <v>0</v>
      </c>
      <c r="I44" s="44">
        <v>0</v>
      </c>
      <c r="J44" s="44">
        <v>0</v>
      </c>
      <c r="K44" s="44">
        <v>0</v>
      </c>
      <c r="L44" s="44">
        <v>0</v>
      </c>
      <c r="M44" s="44">
        <v>0</v>
      </c>
      <c r="N44" s="44">
        <v>0</v>
      </c>
      <c r="O44" s="44">
        <v>0</v>
      </c>
      <c r="P44" s="44">
        <v>0</v>
      </c>
      <c r="Q44" s="44">
        <v>0</v>
      </c>
      <c r="R44" s="44">
        <v>0</v>
      </c>
      <c r="S44" s="44">
        <v>0</v>
      </c>
      <c r="T44" s="113">
        <v>0</v>
      </c>
    </row>
    <row r="45" spans="1:20" ht="18" hidden="1" thickBot="1" x14ac:dyDescent="0.45">
      <c r="C45" s="139" t="s">
        <v>537</v>
      </c>
      <c r="D45" s="140"/>
      <c r="E45" s="140"/>
      <c r="F45" s="140"/>
      <c r="G45" s="141">
        <f>SUM(G40:G44)</f>
        <v>494056200.79999995</v>
      </c>
      <c r="H45" s="141">
        <f>SUM(H40:H44)</f>
        <v>0</v>
      </c>
      <c r="I45" s="141">
        <f>SUM(I40:I44)</f>
        <v>494056200.79999995</v>
      </c>
      <c r="J45" s="141">
        <f t="shared" ref="J45:T45" si="23">SUM(J40:J44)</f>
        <v>0</v>
      </c>
      <c r="K45" s="141">
        <f t="shared" si="23"/>
        <v>34192000</v>
      </c>
      <c r="L45" s="141">
        <f t="shared" si="23"/>
        <v>54072000</v>
      </c>
      <c r="M45" s="141">
        <f t="shared" si="23"/>
        <v>57970314.400000006</v>
      </c>
      <c r="N45" s="141">
        <f t="shared" si="23"/>
        <v>57970314.400000006</v>
      </c>
      <c r="O45" s="141">
        <f t="shared" si="23"/>
        <v>57970314.400000006</v>
      </c>
      <c r="P45" s="141">
        <f t="shared" si="23"/>
        <v>57970314.400000006</v>
      </c>
      <c r="Q45" s="141">
        <f t="shared" si="23"/>
        <v>57970314.400000006</v>
      </c>
      <c r="R45" s="141">
        <f t="shared" si="23"/>
        <v>57970314.400000006</v>
      </c>
      <c r="S45" s="141">
        <f t="shared" si="23"/>
        <v>57970314.400000006</v>
      </c>
      <c r="T45" s="130">
        <f t="shared" si="23"/>
        <v>0</v>
      </c>
    </row>
    <row r="46" spans="1:20" s="151" customFormat="1" hidden="1" x14ac:dyDescent="0.4">
      <c r="A46" s="176"/>
      <c r="B46" s="164"/>
      <c r="C46" s="149"/>
      <c r="D46" s="149"/>
      <c r="E46" s="149"/>
      <c r="F46" s="149"/>
      <c r="G46" s="150"/>
      <c r="H46" s="150"/>
      <c r="I46" s="150"/>
      <c r="J46" s="150"/>
      <c r="K46" s="150"/>
      <c r="L46" s="150"/>
      <c r="M46" s="150"/>
      <c r="N46" s="150"/>
      <c r="O46" s="150"/>
      <c r="P46" s="150"/>
      <c r="Q46" s="150"/>
      <c r="R46" s="150"/>
      <c r="S46" s="150"/>
      <c r="T46" s="150"/>
    </row>
    <row r="47" spans="1:20" s="151" customFormat="1" ht="18" hidden="1" thickBot="1" x14ac:dyDescent="0.45">
      <c r="A47" s="176"/>
      <c r="B47" s="164"/>
      <c r="C47" s="149"/>
      <c r="D47" s="149"/>
      <c r="E47" s="149"/>
      <c r="F47" s="149"/>
      <c r="G47" s="150"/>
      <c r="H47" s="150"/>
      <c r="I47" s="150"/>
      <c r="J47" s="150"/>
      <c r="K47" s="150"/>
      <c r="L47" s="150"/>
      <c r="M47" s="150"/>
      <c r="N47" s="150"/>
      <c r="O47" s="150"/>
      <c r="P47" s="150"/>
      <c r="Q47" s="150"/>
      <c r="R47" s="150"/>
      <c r="S47" s="150"/>
      <c r="T47" s="150"/>
    </row>
    <row r="48" spans="1:20" hidden="1" x14ac:dyDescent="0.4">
      <c r="C48" s="103" t="s">
        <v>359</v>
      </c>
      <c r="D48" s="2"/>
      <c r="E48" s="2"/>
      <c r="F48" s="2"/>
      <c r="G48" s="148">
        <f>SUM(G56,G62,G68)</f>
        <v>1246214060.8</v>
      </c>
      <c r="H48" s="146">
        <f t="shared" ref="H48:T48" si="24">SUM(H56,H62,H68)</f>
        <v>608157860</v>
      </c>
      <c r="I48" s="146">
        <f t="shared" si="24"/>
        <v>638056200.79999995</v>
      </c>
      <c r="J48" s="146">
        <f t="shared" si="24"/>
        <v>31500000</v>
      </c>
      <c r="K48" s="146">
        <f t="shared" si="24"/>
        <v>88192000</v>
      </c>
      <c r="L48" s="146">
        <f t="shared" si="24"/>
        <v>108072000</v>
      </c>
      <c r="M48" s="146">
        <f t="shared" si="24"/>
        <v>62470314.400000006</v>
      </c>
      <c r="N48" s="146">
        <f t="shared" si="24"/>
        <v>57970314.400000006</v>
      </c>
      <c r="O48" s="146">
        <f t="shared" si="24"/>
        <v>57970314.400000006</v>
      </c>
      <c r="P48" s="146">
        <f t="shared" si="24"/>
        <v>57970314.400000006</v>
      </c>
      <c r="Q48" s="146">
        <f t="shared" si="24"/>
        <v>57970314.400000006</v>
      </c>
      <c r="R48" s="146">
        <f t="shared" si="24"/>
        <v>57970314.400000006</v>
      </c>
      <c r="S48" s="146">
        <f t="shared" si="24"/>
        <v>57970314.400000006</v>
      </c>
      <c r="T48" s="147">
        <f t="shared" si="24"/>
        <v>0</v>
      </c>
    </row>
    <row r="49" spans="3:20" ht="18" hidden="1" thickBot="1" x14ac:dyDescent="0.45"/>
    <row r="50" spans="3:20" hidden="1" x14ac:dyDescent="0.4">
      <c r="C50" s="135" t="s">
        <v>1</v>
      </c>
      <c r="D50" s="136" t="s">
        <v>2</v>
      </c>
      <c r="E50" s="136" t="s">
        <v>3</v>
      </c>
      <c r="F50" s="136" t="s">
        <v>4</v>
      </c>
      <c r="G50" s="136" t="s">
        <v>526</v>
      </c>
      <c r="H50" s="136" t="s">
        <v>524</v>
      </c>
      <c r="I50" s="136" t="s">
        <v>525</v>
      </c>
      <c r="J50" s="136" t="s">
        <v>41</v>
      </c>
      <c r="K50" s="136" t="s">
        <v>371</v>
      </c>
      <c r="L50" s="136" t="s">
        <v>372</v>
      </c>
      <c r="M50" s="136" t="s">
        <v>373</v>
      </c>
      <c r="N50" s="136" t="s">
        <v>374</v>
      </c>
      <c r="O50" s="136" t="s">
        <v>375</v>
      </c>
      <c r="P50" s="136" t="s">
        <v>376</v>
      </c>
      <c r="Q50" s="136" t="s">
        <v>377</v>
      </c>
      <c r="R50" s="136" t="s">
        <v>378</v>
      </c>
      <c r="S50" s="136" t="s">
        <v>379</v>
      </c>
      <c r="T50" s="127" t="s">
        <v>188</v>
      </c>
    </row>
    <row r="51" spans="3:20" hidden="1" x14ac:dyDescent="0.4">
      <c r="C51" s="128" t="s">
        <v>160</v>
      </c>
      <c r="D51" s="134" t="str">
        <f>$C$48</f>
        <v>보이는ARS</v>
      </c>
      <c r="E51" s="134" t="s">
        <v>400</v>
      </c>
      <c r="F51" s="134" t="s">
        <v>527</v>
      </c>
      <c r="G51" s="49">
        <v>182000000</v>
      </c>
      <c r="H51" s="49">
        <v>182000000</v>
      </c>
      <c r="I51" s="48">
        <v>0</v>
      </c>
      <c r="J51" s="48">
        <v>0</v>
      </c>
      <c r="K51" s="48">
        <v>0</v>
      </c>
      <c r="L51" s="48">
        <v>0</v>
      </c>
      <c r="M51" s="48">
        <v>0</v>
      </c>
      <c r="N51" s="48">
        <v>0</v>
      </c>
      <c r="O51" s="48">
        <v>0</v>
      </c>
      <c r="P51" s="48">
        <v>0</v>
      </c>
      <c r="Q51" s="48">
        <v>0</v>
      </c>
      <c r="R51" s="48">
        <v>0</v>
      </c>
      <c r="S51" s="48">
        <v>0</v>
      </c>
      <c r="T51" s="142">
        <v>0</v>
      </c>
    </row>
    <row r="52" spans="3:20" hidden="1" x14ac:dyDescent="0.4">
      <c r="C52" s="137" t="s">
        <v>160</v>
      </c>
      <c r="D52" s="131" t="str">
        <f t="shared" ref="D52:D55" si="25">$C$48</f>
        <v>보이는ARS</v>
      </c>
      <c r="E52" s="131" t="s">
        <v>400</v>
      </c>
      <c r="F52" s="131" t="s">
        <v>528</v>
      </c>
      <c r="G52" s="44">
        <v>236000000</v>
      </c>
      <c r="H52" s="44">
        <v>236000000</v>
      </c>
      <c r="I52" s="43">
        <v>0</v>
      </c>
      <c r="J52" s="43">
        <v>0</v>
      </c>
      <c r="K52" s="43">
        <v>0</v>
      </c>
      <c r="L52" s="43">
        <v>0</v>
      </c>
      <c r="M52" s="43">
        <v>0</v>
      </c>
      <c r="N52" s="43">
        <v>0</v>
      </c>
      <c r="O52" s="43">
        <v>0</v>
      </c>
      <c r="P52" s="43">
        <v>0</v>
      </c>
      <c r="Q52" s="43">
        <v>0</v>
      </c>
      <c r="R52" s="43">
        <v>0</v>
      </c>
      <c r="S52" s="43">
        <v>0</v>
      </c>
      <c r="T52" s="143">
        <v>0</v>
      </c>
    </row>
    <row r="53" spans="3:20" hidden="1" x14ac:dyDescent="0.4">
      <c r="C53" s="137" t="s">
        <v>160</v>
      </c>
      <c r="D53" s="131" t="str">
        <f t="shared" si="25"/>
        <v>보이는ARS</v>
      </c>
      <c r="E53" s="131" t="s">
        <v>400</v>
      </c>
      <c r="F53" s="131" t="s">
        <v>529</v>
      </c>
      <c r="G53" s="44">
        <v>86957860</v>
      </c>
      <c r="H53" s="44">
        <v>86957860</v>
      </c>
      <c r="I53" s="43">
        <v>0</v>
      </c>
      <c r="J53" s="43">
        <v>0</v>
      </c>
      <c r="K53" s="43">
        <v>0</v>
      </c>
      <c r="L53" s="43">
        <v>0</v>
      </c>
      <c r="M53" s="43">
        <v>0</v>
      </c>
      <c r="N53" s="43">
        <v>0</v>
      </c>
      <c r="O53" s="43">
        <v>0</v>
      </c>
      <c r="P53" s="43">
        <v>0</v>
      </c>
      <c r="Q53" s="43">
        <v>0</v>
      </c>
      <c r="R53" s="43">
        <v>0</v>
      </c>
      <c r="S53" s="43">
        <v>0</v>
      </c>
      <c r="T53" s="143">
        <v>0</v>
      </c>
    </row>
    <row r="54" spans="3:20" hidden="1" x14ac:dyDescent="0.4">
      <c r="C54" s="137" t="s">
        <v>160</v>
      </c>
      <c r="D54" s="131" t="str">
        <f t="shared" si="25"/>
        <v>보이는ARS</v>
      </c>
      <c r="E54" s="131" t="s">
        <v>400</v>
      </c>
      <c r="F54" s="131" t="s">
        <v>530</v>
      </c>
      <c r="G54" s="44">
        <v>103200000</v>
      </c>
      <c r="H54" s="44">
        <v>103200000</v>
      </c>
      <c r="I54" s="43">
        <v>0</v>
      </c>
      <c r="J54" s="43">
        <v>0</v>
      </c>
      <c r="K54" s="43">
        <v>0</v>
      </c>
      <c r="L54" s="43">
        <v>0</v>
      </c>
      <c r="M54" s="43">
        <v>0</v>
      </c>
      <c r="N54" s="43">
        <v>0</v>
      </c>
      <c r="O54" s="43">
        <v>0</v>
      </c>
      <c r="P54" s="43">
        <v>0</v>
      </c>
      <c r="Q54" s="43">
        <v>0</v>
      </c>
      <c r="R54" s="43">
        <v>0</v>
      </c>
      <c r="S54" s="43">
        <v>0</v>
      </c>
      <c r="T54" s="143">
        <v>0</v>
      </c>
    </row>
    <row r="55" spans="3:20" hidden="1" x14ac:dyDescent="0.4">
      <c r="C55" s="137" t="s">
        <v>160</v>
      </c>
      <c r="D55" s="131" t="str">
        <f t="shared" si="25"/>
        <v>보이는ARS</v>
      </c>
      <c r="E55" s="131" t="s">
        <v>400</v>
      </c>
      <c r="F55" s="131" t="s">
        <v>151</v>
      </c>
      <c r="G55" s="44">
        <v>0</v>
      </c>
      <c r="H55" s="44">
        <v>0</v>
      </c>
      <c r="I55" s="43">
        <v>0</v>
      </c>
      <c r="J55" s="43">
        <v>0</v>
      </c>
      <c r="K55" s="43">
        <v>0</v>
      </c>
      <c r="L55" s="43">
        <v>0</v>
      </c>
      <c r="M55" s="43">
        <v>0</v>
      </c>
      <c r="N55" s="43">
        <v>0</v>
      </c>
      <c r="O55" s="43">
        <v>0</v>
      </c>
      <c r="P55" s="43">
        <v>0</v>
      </c>
      <c r="Q55" s="43">
        <v>0</v>
      </c>
      <c r="R55" s="43">
        <v>0</v>
      </c>
      <c r="S55" s="43">
        <v>0</v>
      </c>
      <c r="T55" s="143">
        <v>0</v>
      </c>
    </row>
    <row r="56" spans="3:20" hidden="1" x14ac:dyDescent="0.4">
      <c r="C56" s="138" t="s">
        <v>535</v>
      </c>
      <c r="D56" s="132"/>
      <c r="E56" s="132"/>
      <c r="F56" s="132"/>
      <c r="G56" s="133">
        <f t="shared" ref="G56:H56" si="26">SUM(G51:G55)</f>
        <v>608157860</v>
      </c>
      <c r="H56" s="133">
        <f t="shared" si="26"/>
        <v>608157860</v>
      </c>
      <c r="I56" s="133">
        <f>SUM(I51:I55)</f>
        <v>0</v>
      </c>
      <c r="J56" s="133">
        <f t="shared" ref="J56:T56" si="27">SUM(J51:J55)</f>
        <v>0</v>
      </c>
      <c r="K56" s="133">
        <f t="shared" si="27"/>
        <v>0</v>
      </c>
      <c r="L56" s="133">
        <f t="shared" si="27"/>
        <v>0</v>
      </c>
      <c r="M56" s="133">
        <f t="shared" si="27"/>
        <v>0</v>
      </c>
      <c r="N56" s="133">
        <f t="shared" si="27"/>
        <v>0</v>
      </c>
      <c r="O56" s="133">
        <f t="shared" si="27"/>
        <v>0</v>
      </c>
      <c r="P56" s="133">
        <f t="shared" si="27"/>
        <v>0</v>
      </c>
      <c r="Q56" s="133">
        <f t="shared" si="27"/>
        <v>0</v>
      </c>
      <c r="R56" s="133">
        <f t="shared" si="27"/>
        <v>0</v>
      </c>
      <c r="S56" s="133">
        <f t="shared" si="27"/>
        <v>0</v>
      </c>
      <c r="T56" s="129">
        <f t="shared" si="27"/>
        <v>0</v>
      </c>
    </row>
    <row r="57" spans="3:20" hidden="1" x14ac:dyDescent="0.4">
      <c r="C57" s="137" t="s">
        <v>160</v>
      </c>
      <c r="D57" s="131" t="str">
        <f>$C$48</f>
        <v>보이는ARS</v>
      </c>
      <c r="E57" s="131" t="s">
        <v>153</v>
      </c>
      <c r="F57" s="131" t="s">
        <v>156</v>
      </c>
      <c r="G57" s="44">
        <v>144000000</v>
      </c>
      <c r="H57" s="44">
        <v>0</v>
      </c>
      <c r="I57" s="44">
        <v>144000000</v>
      </c>
      <c r="J57" s="44">
        <v>31500000</v>
      </c>
      <c r="K57" s="44">
        <v>54000000</v>
      </c>
      <c r="L57" s="44">
        <v>54000000</v>
      </c>
      <c r="M57" s="44">
        <v>4500000</v>
      </c>
      <c r="N57" s="44">
        <v>0</v>
      </c>
      <c r="O57" s="44">
        <v>0</v>
      </c>
      <c r="P57" s="44">
        <v>0</v>
      </c>
      <c r="Q57" s="44">
        <v>0</v>
      </c>
      <c r="R57" s="44">
        <v>0</v>
      </c>
      <c r="S57" s="44">
        <v>0</v>
      </c>
      <c r="T57" s="113">
        <v>0</v>
      </c>
    </row>
    <row r="58" spans="3:20" hidden="1" x14ac:dyDescent="0.4">
      <c r="C58" s="137" t="s">
        <v>160</v>
      </c>
      <c r="D58" s="131" t="str">
        <f t="shared" ref="D58:D61" si="28">$C$48</f>
        <v>보이는ARS</v>
      </c>
      <c r="E58" s="131" t="s">
        <v>531</v>
      </c>
      <c r="F58" s="131" t="s">
        <v>533</v>
      </c>
      <c r="G58" s="44">
        <v>0</v>
      </c>
      <c r="H58" s="44">
        <v>0</v>
      </c>
      <c r="I58" s="44">
        <v>0</v>
      </c>
      <c r="J58" s="44">
        <v>0</v>
      </c>
      <c r="K58" s="44">
        <v>0</v>
      </c>
      <c r="L58" s="44">
        <v>0</v>
      </c>
      <c r="M58" s="44">
        <v>0</v>
      </c>
      <c r="N58" s="44">
        <v>0</v>
      </c>
      <c r="O58" s="44">
        <v>0</v>
      </c>
      <c r="P58" s="44">
        <v>0</v>
      </c>
      <c r="Q58" s="44">
        <v>0</v>
      </c>
      <c r="R58" s="44">
        <v>0</v>
      </c>
      <c r="S58" s="44">
        <v>0</v>
      </c>
      <c r="T58" s="113">
        <v>0</v>
      </c>
    </row>
    <row r="59" spans="3:20" hidden="1" x14ac:dyDescent="0.4">
      <c r="C59" s="137" t="s">
        <v>160</v>
      </c>
      <c r="D59" s="131" t="str">
        <f t="shared" si="28"/>
        <v>보이는ARS</v>
      </c>
      <c r="E59" s="131" t="s">
        <v>531</v>
      </c>
      <c r="F59" s="131" t="s">
        <v>151</v>
      </c>
      <c r="G59" s="44">
        <v>0</v>
      </c>
      <c r="H59" s="44">
        <v>0</v>
      </c>
      <c r="I59" s="44">
        <v>0</v>
      </c>
      <c r="J59" s="44">
        <v>0</v>
      </c>
      <c r="K59" s="44">
        <v>0</v>
      </c>
      <c r="L59" s="44">
        <v>0</v>
      </c>
      <c r="M59" s="44">
        <v>0</v>
      </c>
      <c r="N59" s="44">
        <v>0</v>
      </c>
      <c r="O59" s="44">
        <v>0</v>
      </c>
      <c r="P59" s="44">
        <v>0</v>
      </c>
      <c r="Q59" s="44">
        <v>0</v>
      </c>
      <c r="R59" s="44">
        <v>0</v>
      </c>
      <c r="S59" s="44">
        <v>0</v>
      </c>
      <c r="T59" s="113">
        <v>0</v>
      </c>
    </row>
    <row r="60" spans="3:20" hidden="1" x14ac:dyDescent="0.4">
      <c r="C60" s="137" t="s">
        <v>160</v>
      </c>
      <c r="D60" s="131" t="str">
        <f t="shared" si="28"/>
        <v>보이는ARS</v>
      </c>
      <c r="E60" s="131" t="s">
        <v>531</v>
      </c>
      <c r="F60" s="131" t="s">
        <v>151</v>
      </c>
      <c r="G60" s="44">
        <v>0</v>
      </c>
      <c r="H60" s="44">
        <v>0</v>
      </c>
      <c r="I60" s="44">
        <v>0</v>
      </c>
      <c r="J60" s="44">
        <v>0</v>
      </c>
      <c r="K60" s="44">
        <v>0</v>
      </c>
      <c r="L60" s="44">
        <v>0</v>
      </c>
      <c r="M60" s="44">
        <v>0</v>
      </c>
      <c r="N60" s="44">
        <v>0</v>
      </c>
      <c r="O60" s="44">
        <v>0</v>
      </c>
      <c r="P60" s="44">
        <v>0</v>
      </c>
      <c r="Q60" s="44">
        <v>0</v>
      </c>
      <c r="R60" s="44">
        <v>0</v>
      </c>
      <c r="S60" s="44">
        <v>0</v>
      </c>
      <c r="T60" s="113">
        <v>0</v>
      </c>
    </row>
    <row r="61" spans="3:20" hidden="1" x14ac:dyDescent="0.4">
      <c r="C61" s="137" t="s">
        <v>160</v>
      </c>
      <c r="D61" s="131" t="str">
        <f t="shared" si="28"/>
        <v>보이는ARS</v>
      </c>
      <c r="E61" s="131" t="s">
        <v>531</v>
      </c>
      <c r="F61" s="131" t="s">
        <v>151</v>
      </c>
      <c r="G61" s="44">
        <v>0</v>
      </c>
      <c r="H61" s="44">
        <v>0</v>
      </c>
      <c r="I61" s="44">
        <v>0</v>
      </c>
      <c r="J61" s="44">
        <v>0</v>
      </c>
      <c r="K61" s="44">
        <v>0</v>
      </c>
      <c r="L61" s="44">
        <v>0</v>
      </c>
      <c r="M61" s="44">
        <v>0</v>
      </c>
      <c r="N61" s="44">
        <v>0</v>
      </c>
      <c r="O61" s="44">
        <v>0</v>
      </c>
      <c r="P61" s="44">
        <v>0</v>
      </c>
      <c r="Q61" s="44">
        <v>0</v>
      </c>
      <c r="R61" s="44">
        <v>0</v>
      </c>
      <c r="S61" s="44">
        <v>0</v>
      </c>
      <c r="T61" s="113">
        <v>0</v>
      </c>
    </row>
    <row r="62" spans="3:20" hidden="1" x14ac:dyDescent="0.4">
      <c r="C62" s="138" t="s">
        <v>536</v>
      </c>
      <c r="D62" s="132"/>
      <c r="E62" s="132"/>
      <c r="F62" s="132"/>
      <c r="G62" s="133">
        <f t="shared" ref="G62" si="29">SUM(G57:G61)</f>
        <v>144000000</v>
      </c>
      <c r="H62" s="133">
        <f t="shared" ref="H62" si="30">SUM(H57:H61)</f>
        <v>0</v>
      </c>
      <c r="I62" s="133">
        <f>SUM(I57:I61)</f>
        <v>144000000</v>
      </c>
      <c r="J62" s="133">
        <f t="shared" ref="J62:T62" si="31">SUM(J57:J61)</f>
        <v>31500000</v>
      </c>
      <c r="K62" s="133">
        <f t="shared" si="31"/>
        <v>54000000</v>
      </c>
      <c r="L62" s="133">
        <f t="shared" si="31"/>
        <v>54000000</v>
      </c>
      <c r="M62" s="133">
        <f t="shared" si="31"/>
        <v>4500000</v>
      </c>
      <c r="N62" s="133">
        <f t="shared" si="31"/>
        <v>0</v>
      </c>
      <c r="O62" s="133">
        <f t="shared" si="31"/>
        <v>0</v>
      </c>
      <c r="P62" s="133">
        <f t="shared" si="31"/>
        <v>0</v>
      </c>
      <c r="Q62" s="133">
        <f t="shared" si="31"/>
        <v>0</v>
      </c>
      <c r="R62" s="133">
        <f t="shared" si="31"/>
        <v>0</v>
      </c>
      <c r="S62" s="133">
        <f t="shared" si="31"/>
        <v>0</v>
      </c>
      <c r="T62" s="129">
        <f t="shared" si="31"/>
        <v>0</v>
      </c>
    </row>
    <row r="63" spans="3:20" hidden="1" x14ac:dyDescent="0.4">
      <c r="C63" s="137" t="s">
        <v>160</v>
      </c>
      <c r="D63" s="131" t="str">
        <f>$C$48</f>
        <v>보이는ARS</v>
      </c>
      <c r="E63" s="131" t="s">
        <v>532</v>
      </c>
      <c r="F63" s="131" t="s">
        <v>528</v>
      </c>
      <c r="G63" s="44">
        <v>238360000</v>
      </c>
      <c r="H63" s="44">
        <v>0</v>
      </c>
      <c r="I63" s="44">
        <v>238360000</v>
      </c>
      <c r="J63" s="44">
        <v>0</v>
      </c>
      <c r="K63" s="44">
        <v>11800000</v>
      </c>
      <c r="L63" s="44">
        <v>28320000</v>
      </c>
      <c r="M63" s="44">
        <v>28320000</v>
      </c>
      <c r="N63" s="44">
        <v>28320000</v>
      </c>
      <c r="O63" s="44">
        <v>28320000</v>
      </c>
      <c r="P63" s="44">
        <v>28320000</v>
      </c>
      <c r="Q63" s="44">
        <v>28320000</v>
      </c>
      <c r="R63" s="44">
        <v>28320000</v>
      </c>
      <c r="S63" s="44">
        <v>28320000</v>
      </c>
      <c r="T63" s="113">
        <v>0</v>
      </c>
    </row>
    <row r="64" spans="3:20" hidden="1" x14ac:dyDescent="0.4">
      <c r="C64" s="137" t="s">
        <v>160</v>
      </c>
      <c r="D64" s="131" t="str">
        <f t="shared" ref="D64:D67" si="32">$C$48</f>
        <v>보이는ARS</v>
      </c>
      <c r="E64" s="131" t="s">
        <v>532</v>
      </c>
      <c r="F64" s="131" t="s">
        <v>529</v>
      </c>
      <c r="G64" s="44">
        <v>152136200.79999998</v>
      </c>
      <c r="H64" s="44">
        <v>0</v>
      </c>
      <c r="I64" s="44">
        <v>152136200.79999998</v>
      </c>
      <c r="J64" s="44">
        <v>0</v>
      </c>
      <c r="K64" s="44">
        <v>13872000</v>
      </c>
      <c r="L64" s="44">
        <v>13872000</v>
      </c>
      <c r="M64" s="44">
        <v>17770314.400000002</v>
      </c>
      <c r="N64" s="44">
        <v>17770314.400000002</v>
      </c>
      <c r="O64" s="44">
        <v>17770314.400000002</v>
      </c>
      <c r="P64" s="44">
        <v>17770314.400000002</v>
      </c>
      <c r="Q64" s="44">
        <v>17770314.400000002</v>
      </c>
      <c r="R64" s="44">
        <v>17770314.400000002</v>
      </c>
      <c r="S64" s="44">
        <v>17770314.400000002</v>
      </c>
      <c r="T64" s="113">
        <v>0</v>
      </c>
    </row>
    <row r="65" spans="1:20" hidden="1" x14ac:dyDescent="0.4">
      <c r="C65" s="137" t="s">
        <v>160</v>
      </c>
      <c r="D65" s="131" t="str">
        <f t="shared" si="32"/>
        <v>보이는ARS</v>
      </c>
      <c r="E65" s="131" t="s">
        <v>532</v>
      </c>
      <c r="F65" s="131" t="s">
        <v>530</v>
      </c>
      <c r="G65" s="44">
        <v>103560000</v>
      </c>
      <c r="H65" s="44">
        <v>0</v>
      </c>
      <c r="I65" s="44">
        <v>103560000</v>
      </c>
      <c r="J65" s="44">
        <v>0</v>
      </c>
      <c r="K65" s="44">
        <v>8520000</v>
      </c>
      <c r="L65" s="44">
        <v>11880000</v>
      </c>
      <c r="M65" s="44">
        <v>11880000</v>
      </c>
      <c r="N65" s="44">
        <v>11880000</v>
      </c>
      <c r="O65" s="44">
        <v>11880000</v>
      </c>
      <c r="P65" s="44">
        <v>11880000</v>
      </c>
      <c r="Q65" s="44">
        <v>11880000</v>
      </c>
      <c r="R65" s="44">
        <v>11880000</v>
      </c>
      <c r="S65" s="44">
        <v>11880000</v>
      </c>
      <c r="T65" s="113">
        <v>0</v>
      </c>
    </row>
    <row r="66" spans="1:20" hidden="1" x14ac:dyDescent="0.4">
      <c r="C66" s="137" t="s">
        <v>160</v>
      </c>
      <c r="D66" s="131" t="str">
        <f t="shared" si="32"/>
        <v>보이는ARS</v>
      </c>
      <c r="E66" s="131" t="s">
        <v>532</v>
      </c>
      <c r="F66" s="131" t="s">
        <v>151</v>
      </c>
      <c r="G66" s="44">
        <v>0</v>
      </c>
      <c r="H66" s="44">
        <v>0</v>
      </c>
      <c r="I66" s="44">
        <v>0</v>
      </c>
      <c r="J66" s="44">
        <v>0</v>
      </c>
      <c r="K66" s="44">
        <v>0</v>
      </c>
      <c r="L66" s="44">
        <v>0</v>
      </c>
      <c r="M66" s="44">
        <v>0</v>
      </c>
      <c r="N66" s="44">
        <v>0</v>
      </c>
      <c r="O66" s="44">
        <v>0</v>
      </c>
      <c r="P66" s="44">
        <v>0</v>
      </c>
      <c r="Q66" s="44">
        <v>0</v>
      </c>
      <c r="R66" s="44">
        <v>0</v>
      </c>
      <c r="S66" s="44">
        <v>0</v>
      </c>
      <c r="T66" s="113">
        <v>0</v>
      </c>
    </row>
    <row r="67" spans="1:20" hidden="1" x14ac:dyDescent="0.4">
      <c r="C67" s="137" t="s">
        <v>160</v>
      </c>
      <c r="D67" s="131" t="str">
        <f t="shared" si="32"/>
        <v>보이는ARS</v>
      </c>
      <c r="E67" s="131" t="s">
        <v>532</v>
      </c>
      <c r="F67" s="131" t="s">
        <v>151</v>
      </c>
      <c r="G67" s="44">
        <v>0</v>
      </c>
      <c r="H67" s="44">
        <v>0</v>
      </c>
      <c r="I67" s="44">
        <v>0</v>
      </c>
      <c r="J67" s="44">
        <v>0</v>
      </c>
      <c r="K67" s="44">
        <v>0</v>
      </c>
      <c r="L67" s="44">
        <v>0</v>
      </c>
      <c r="M67" s="44">
        <v>0</v>
      </c>
      <c r="N67" s="44">
        <v>0</v>
      </c>
      <c r="O67" s="44">
        <v>0</v>
      </c>
      <c r="P67" s="44">
        <v>0</v>
      </c>
      <c r="Q67" s="44">
        <v>0</v>
      </c>
      <c r="R67" s="44">
        <v>0</v>
      </c>
      <c r="S67" s="44">
        <v>0</v>
      </c>
      <c r="T67" s="113">
        <v>0</v>
      </c>
    </row>
    <row r="68" spans="1:20" ht="18" hidden="1" thickBot="1" x14ac:dyDescent="0.45">
      <c r="C68" s="139" t="s">
        <v>537</v>
      </c>
      <c r="D68" s="140"/>
      <c r="E68" s="140"/>
      <c r="F68" s="140"/>
      <c r="G68" s="141">
        <f t="shared" ref="G68" si="33">SUM(G63:G67)</f>
        <v>494056200.79999995</v>
      </c>
      <c r="H68" s="141">
        <f t="shared" ref="H68" si="34">SUM(H63:H67)</f>
        <v>0</v>
      </c>
      <c r="I68" s="141">
        <f>SUM(I63:I67)</f>
        <v>494056200.79999995</v>
      </c>
      <c r="J68" s="141">
        <f t="shared" ref="J68:T68" si="35">SUM(J63:J67)</f>
        <v>0</v>
      </c>
      <c r="K68" s="141">
        <f t="shared" si="35"/>
        <v>34192000</v>
      </c>
      <c r="L68" s="141">
        <f t="shared" si="35"/>
        <v>54072000</v>
      </c>
      <c r="M68" s="141">
        <f t="shared" si="35"/>
        <v>57970314.400000006</v>
      </c>
      <c r="N68" s="141">
        <f t="shared" si="35"/>
        <v>57970314.400000006</v>
      </c>
      <c r="O68" s="141">
        <f t="shared" si="35"/>
        <v>57970314.400000006</v>
      </c>
      <c r="P68" s="141">
        <f t="shared" si="35"/>
        <v>57970314.400000006</v>
      </c>
      <c r="Q68" s="141">
        <f t="shared" si="35"/>
        <v>57970314.400000006</v>
      </c>
      <c r="R68" s="141">
        <f t="shared" si="35"/>
        <v>57970314.400000006</v>
      </c>
      <c r="S68" s="141">
        <f t="shared" si="35"/>
        <v>57970314.400000006</v>
      </c>
      <c r="T68" s="130">
        <f t="shared" si="35"/>
        <v>0</v>
      </c>
    </row>
    <row r="69" spans="1:20" s="151" customFormat="1" hidden="1" x14ac:dyDescent="0.4">
      <c r="A69" s="176"/>
      <c r="B69" s="164"/>
      <c r="C69" s="174"/>
      <c r="D69" s="174"/>
      <c r="E69" s="174"/>
      <c r="F69" s="174"/>
      <c r="G69" s="175"/>
      <c r="H69" s="175"/>
      <c r="I69" s="175"/>
      <c r="J69" s="175"/>
      <c r="K69" s="175"/>
      <c r="L69" s="175"/>
      <c r="M69" s="175"/>
      <c r="N69" s="175"/>
      <c r="O69" s="175"/>
      <c r="P69" s="175"/>
      <c r="Q69" s="175"/>
      <c r="R69" s="175"/>
      <c r="S69" s="175"/>
      <c r="T69" s="175"/>
    </row>
    <row r="70" spans="1:20" s="151" customFormat="1" ht="18" hidden="1" thickBot="1" x14ac:dyDescent="0.45">
      <c r="A70" s="176"/>
      <c r="B70" s="164"/>
      <c r="C70" s="149"/>
      <c r="D70" s="149"/>
      <c r="E70" s="149"/>
      <c r="F70" s="149"/>
      <c r="G70" s="150"/>
      <c r="H70" s="150"/>
      <c r="I70" s="150"/>
      <c r="J70" s="150"/>
      <c r="K70" s="150"/>
      <c r="L70" s="150"/>
      <c r="M70" s="150"/>
      <c r="N70" s="150"/>
      <c r="O70" s="150"/>
      <c r="P70" s="150"/>
      <c r="Q70" s="150"/>
      <c r="R70" s="150"/>
      <c r="S70" s="150"/>
      <c r="T70" s="150"/>
    </row>
    <row r="71" spans="1:20" s="151" customFormat="1" hidden="1" x14ac:dyDescent="0.4">
      <c r="A71" s="176"/>
      <c r="B71" s="164"/>
      <c r="C71" s="103" t="s">
        <v>359</v>
      </c>
      <c r="D71" s="2"/>
      <c r="E71" s="2"/>
      <c r="F71" s="2"/>
      <c r="G71" s="148">
        <f>SUM(G79,G85,G91)</f>
        <v>1246214060.8</v>
      </c>
      <c r="H71" s="146">
        <f t="shared" ref="H71:T71" si="36">SUM(H79,H85,H91)</f>
        <v>608157860</v>
      </c>
      <c r="I71" s="146">
        <f t="shared" si="36"/>
        <v>638056200.79999995</v>
      </c>
      <c r="J71" s="146">
        <f t="shared" si="36"/>
        <v>31500000</v>
      </c>
      <c r="K71" s="146">
        <f t="shared" si="36"/>
        <v>88192000</v>
      </c>
      <c r="L71" s="146">
        <f t="shared" si="36"/>
        <v>108072000</v>
      </c>
      <c r="M71" s="146">
        <f t="shared" si="36"/>
        <v>62470314.400000006</v>
      </c>
      <c r="N71" s="146">
        <f t="shared" si="36"/>
        <v>57970314.400000006</v>
      </c>
      <c r="O71" s="146">
        <f t="shared" si="36"/>
        <v>57970314.400000006</v>
      </c>
      <c r="P71" s="146">
        <f t="shared" si="36"/>
        <v>57970314.400000006</v>
      </c>
      <c r="Q71" s="146">
        <f t="shared" si="36"/>
        <v>57970314.400000006</v>
      </c>
      <c r="R71" s="146">
        <f t="shared" si="36"/>
        <v>57970314.400000006</v>
      </c>
      <c r="S71" s="146">
        <f t="shared" si="36"/>
        <v>57970314.400000006</v>
      </c>
      <c r="T71" s="147">
        <f t="shared" si="36"/>
        <v>0</v>
      </c>
    </row>
    <row r="72" spans="1:20" s="151" customFormat="1" ht="18" hidden="1" thickBot="1" x14ac:dyDescent="0.45">
      <c r="A72" s="176"/>
      <c r="B72" s="164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s="151" customFormat="1" hidden="1" x14ac:dyDescent="0.4">
      <c r="A73" s="176"/>
      <c r="B73" s="164"/>
      <c r="C73" s="135" t="s">
        <v>1</v>
      </c>
      <c r="D73" s="136" t="s">
        <v>2</v>
      </c>
      <c r="E73" s="136" t="s">
        <v>3</v>
      </c>
      <c r="F73" s="136" t="s">
        <v>4</v>
      </c>
      <c r="G73" s="136" t="s">
        <v>526</v>
      </c>
      <c r="H73" s="136" t="s">
        <v>524</v>
      </c>
      <c r="I73" s="136" t="s">
        <v>525</v>
      </c>
      <c r="J73" s="136" t="s">
        <v>41</v>
      </c>
      <c r="K73" s="136" t="s">
        <v>371</v>
      </c>
      <c r="L73" s="136" t="s">
        <v>372</v>
      </c>
      <c r="M73" s="136" t="s">
        <v>373</v>
      </c>
      <c r="N73" s="136" t="s">
        <v>374</v>
      </c>
      <c r="O73" s="136" t="s">
        <v>375</v>
      </c>
      <c r="P73" s="136" t="s">
        <v>376</v>
      </c>
      <c r="Q73" s="136" t="s">
        <v>377</v>
      </c>
      <c r="R73" s="136" t="s">
        <v>378</v>
      </c>
      <c r="S73" s="136" t="s">
        <v>379</v>
      </c>
      <c r="T73" s="127" t="s">
        <v>188</v>
      </c>
    </row>
    <row r="74" spans="1:20" s="151" customFormat="1" hidden="1" x14ac:dyDescent="0.4">
      <c r="A74" s="176"/>
      <c r="B74" s="164"/>
      <c r="C74" s="128" t="s">
        <v>160</v>
      </c>
      <c r="D74" s="134" t="str">
        <f>$C$71</f>
        <v>보이는ARS</v>
      </c>
      <c r="E74" s="134" t="s">
        <v>400</v>
      </c>
      <c r="F74" s="134" t="s">
        <v>527</v>
      </c>
      <c r="G74" s="49">
        <v>182000000</v>
      </c>
      <c r="H74" s="49">
        <v>182000000</v>
      </c>
      <c r="I74" s="48">
        <v>0</v>
      </c>
      <c r="J74" s="48">
        <v>0</v>
      </c>
      <c r="K74" s="48">
        <v>0</v>
      </c>
      <c r="L74" s="48">
        <v>0</v>
      </c>
      <c r="M74" s="48">
        <v>0</v>
      </c>
      <c r="N74" s="48">
        <v>0</v>
      </c>
      <c r="O74" s="48">
        <v>0</v>
      </c>
      <c r="P74" s="48">
        <v>0</v>
      </c>
      <c r="Q74" s="48">
        <v>0</v>
      </c>
      <c r="R74" s="48">
        <v>0</v>
      </c>
      <c r="S74" s="48">
        <v>0</v>
      </c>
      <c r="T74" s="142">
        <v>0</v>
      </c>
    </row>
    <row r="75" spans="1:20" s="151" customFormat="1" hidden="1" x14ac:dyDescent="0.4">
      <c r="A75" s="176"/>
      <c r="B75" s="164"/>
      <c r="C75" s="137" t="s">
        <v>160</v>
      </c>
      <c r="D75" s="131" t="str">
        <f t="shared" ref="D75:D78" si="37">$C$71</f>
        <v>보이는ARS</v>
      </c>
      <c r="E75" s="131" t="s">
        <v>400</v>
      </c>
      <c r="F75" s="131" t="s">
        <v>528</v>
      </c>
      <c r="G75" s="44">
        <v>236000000</v>
      </c>
      <c r="H75" s="44">
        <v>236000000</v>
      </c>
      <c r="I75" s="43">
        <v>0</v>
      </c>
      <c r="J75" s="43">
        <v>0</v>
      </c>
      <c r="K75" s="43">
        <v>0</v>
      </c>
      <c r="L75" s="43">
        <v>0</v>
      </c>
      <c r="M75" s="43">
        <v>0</v>
      </c>
      <c r="N75" s="43">
        <v>0</v>
      </c>
      <c r="O75" s="43">
        <v>0</v>
      </c>
      <c r="P75" s="43">
        <v>0</v>
      </c>
      <c r="Q75" s="43">
        <v>0</v>
      </c>
      <c r="R75" s="43">
        <v>0</v>
      </c>
      <c r="S75" s="43">
        <v>0</v>
      </c>
      <c r="T75" s="143">
        <v>0</v>
      </c>
    </row>
    <row r="76" spans="1:20" s="151" customFormat="1" hidden="1" x14ac:dyDescent="0.4">
      <c r="A76" s="176"/>
      <c r="B76" s="164"/>
      <c r="C76" s="137" t="s">
        <v>160</v>
      </c>
      <c r="D76" s="131" t="str">
        <f t="shared" si="37"/>
        <v>보이는ARS</v>
      </c>
      <c r="E76" s="131" t="s">
        <v>400</v>
      </c>
      <c r="F76" s="131" t="s">
        <v>529</v>
      </c>
      <c r="G76" s="44">
        <v>86957860</v>
      </c>
      <c r="H76" s="44">
        <v>86957860</v>
      </c>
      <c r="I76" s="43">
        <v>0</v>
      </c>
      <c r="J76" s="43">
        <v>0</v>
      </c>
      <c r="K76" s="43">
        <v>0</v>
      </c>
      <c r="L76" s="43">
        <v>0</v>
      </c>
      <c r="M76" s="43">
        <v>0</v>
      </c>
      <c r="N76" s="43">
        <v>0</v>
      </c>
      <c r="O76" s="43">
        <v>0</v>
      </c>
      <c r="P76" s="43">
        <v>0</v>
      </c>
      <c r="Q76" s="43">
        <v>0</v>
      </c>
      <c r="R76" s="43">
        <v>0</v>
      </c>
      <c r="S76" s="43">
        <v>0</v>
      </c>
      <c r="T76" s="143">
        <v>0</v>
      </c>
    </row>
    <row r="77" spans="1:20" s="151" customFormat="1" hidden="1" x14ac:dyDescent="0.4">
      <c r="A77" s="176"/>
      <c r="B77" s="164"/>
      <c r="C77" s="137" t="s">
        <v>160</v>
      </c>
      <c r="D77" s="131" t="str">
        <f t="shared" si="37"/>
        <v>보이는ARS</v>
      </c>
      <c r="E77" s="131" t="s">
        <v>400</v>
      </c>
      <c r="F77" s="131" t="s">
        <v>530</v>
      </c>
      <c r="G77" s="44">
        <v>103200000</v>
      </c>
      <c r="H77" s="44">
        <v>103200000</v>
      </c>
      <c r="I77" s="43">
        <v>0</v>
      </c>
      <c r="J77" s="43">
        <v>0</v>
      </c>
      <c r="K77" s="43">
        <v>0</v>
      </c>
      <c r="L77" s="43">
        <v>0</v>
      </c>
      <c r="M77" s="43">
        <v>0</v>
      </c>
      <c r="N77" s="43">
        <v>0</v>
      </c>
      <c r="O77" s="43">
        <v>0</v>
      </c>
      <c r="P77" s="43">
        <v>0</v>
      </c>
      <c r="Q77" s="43">
        <v>0</v>
      </c>
      <c r="R77" s="43">
        <v>0</v>
      </c>
      <c r="S77" s="43">
        <v>0</v>
      </c>
      <c r="T77" s="143">
        <v>0</v>
      </c>
    </row>
    <row r="78" spans="1:20" s="151" customFormat="1" hidden="1" x14ac:dyDescent="0.4">
      <c r="A78" s="176"/>
      <c r="B78" s="164"/>
      <c r="C78" s="137" t="s">
        <v>160</v>
      </c>
      <c r="D78" s="131" t="str">
        <f t="shared" si="37"/>
        <v>보이는ARS</v>
      </c>
      <c r="E78" s="131" t="s">
        <v>400</v>
      </c>
      <c r="F78" s="131" t="s">
        <v>151</v>
      </c>
      <c r="G78" s="44">
        <v>0</v>
      </c>
      <c r="H78" s="44">
        <v>0</v>
      </c>
      <c r="I78" s="43">
        <v>0</v>
      </c>
      <c r="J78" s="43">
        <v>0</v>
      </c>
      <c r="K78" s="43">
        <v>0</v>
      </c>
      <c r="L78" s="43">
        <v>0</v>
      </c>
      <c r="M78" s="43">
        <v>0</v>
      </c>
      <c r="N78" s="43">
        <v>0</v>
      </c>
      <c r="O78" s="43">
        <v>0</v>
      </c>
      <c r="P78" s="43">
        <v>0</v>
      </c>
      <c r="Q78" s="43">
        <v>0</v>
      </c>
      <c r="R78" s="43">
        <v>0</v>
      </c>
      <c r="S78" s="43">
        <v>0</v>
      </c>
      <c r="T78" s="143">
        <v>0</v>
      </c>
    </row>
    <row r="79" spans="1:20" s="151" customFormat="1" hidden="1" x14ac:dyDescent="0.4">
      <c r="A79" s="176"/>
      <c r="B79" s="164"/>
      <c r="C79" s="138" t="s">
        <v>535</v>
      </c>
      <c r="D79" s="132"/>
      <c r="E79" s="132"/>
      <c r="F79" s="132"/>
      <c r="G79" s="133">
        <f>SUM(G74:G78)</f>
        <v>608157860</v>
      </c>
      <c r="H79" s="133">
        <f>SUM(H74:H78)</f>
        <v>608157860</v>
      </c>
      <c r="I79" s="133">
        <f>SUM(I74:I78)</f>
        <v>0</v>
      </c>
      <c r="J79" s="133">
        <f t="shared" ref="J79:T79" si="38">SUM(J74:J78)</f>
        <v>0</v>
      </c>
      <c r="K79" s="133">
        <f t="shared" si="38"/>
        <v>0</v>
      </c>
      <c r="L79" s="133">
        <f t="shared" si="38"/>
        <v>0</v>
      </c>
      <c r="M79" s="133">
        <f t="shared" si="38"/>
        <v>0</v>
      </c>
      <c r="N79" s="133">
        <f t="shared" si="38"/>
        <v>0</v>
      </c>
      <c r="O79" s="133">
        <f t="shared" si="38"/>
        <v>0</v>
      </c>
      <c r="P79" s="133">
        <f t="shared" si="38"/>
        <v>0</v>
      </c>
      <c r="Q79" s="133">
        <f t="shared" si="38"/>
        <v>0</v>
      </c>
      <c r="R79" s="133">
        <f t="shared" si="38"/>
        <v>0</v>
      </c>
      <c r="S79" s="133">
        <f t="shared" si="38"/>
        <v>0</v>
      </c>
      <c r="T79" s="129">
        <f t="shared" si="38"/>
        <v>0</v>
      </c>
    </row>
    <row r="80" spans="1:20" s="151" customFormat="1" hidden="1" x14ac:dyDescent="0.4">
      <c r="A80" s="176"/>
      <c r="B80" s="164"/>
      <c r="C80" s="137" t="s">
        <v>160</v>
      </c>
      <c r="D80" s="131" t="str">
        <f>$C$71</f>
        <v>보이는ARS</v>
      </c>
      <c r="E80" s="131" t="s">
        <v>153</v>
      </c>
      <c r="F80" s="131" t="s">
        <v>156</v>
      </c>
      <c r="G80" s="44">
        <v>144000000</v>
      </c>
      <c r="H80" s="44">
        <v>0</v>
      </c>
      <c r="I80" s="44">
        <v>144000000</v>
      </c>
      <c r="J80" s="44">
        <v>31500000</v>
      </c>
      <c r="K80" s="44">
        <v>54000000</v>
      </c>
      <c r="L80" s="44">
        <v>54000000</v>
      </c>
      <c r="M80" s="44">
        <v>4500000</v>
      </c>
      <c r="N80" s="44">
        <v>0</v>
      </c>
      <c r="O80" s="44">
        <v>0</v>
      </c>
      <c r="P80" s="44">
        <v>0</v>
      </c>
      <c r="Q80" s="44">
        <v>0</v>
      </c>
      <c r="R80" s="44">
        <v>0</v>
      </c>
      <c r="S80" s="44">
        <v>0</v>
      </c>
      <c r="T80" s="113">
        <v>0</v>
      </c>
    </row>
    <row r="81" spans="1:20" s="151" customFormat="1" hidden="1" x14ac:dyDescent="0.4">
      <c r="A81" s="176"/>
      <c r="B81" s="164"/>
      <c r="C81" s="137" t="s">
        <v>160</v>
      </c>
      <c r="D81" s="131" t="str">
        <f t="shared" ref="D81:D84" si="39">$C$71</f>
        <v>보이는ARS</v>
      </c>
      <c r="E81" s="131" t="s">
        <v>531</v>
      </c>
      <c r="F81" s="131" t="s">
        <v>533</v>
      </c>
      <c r="G81" s="44">
        <v>0</v>
      </c>
      <c r="H81" s="44">
        <v>0</v>
      </c>
      <c r="I81" s="44">
        <v>0</v>
      </c>
      <c r="J81" s="44">
        <v>0</v>
      </c>
      <c r="K81" s="44">
        <v>0</v>
      </c>
      <c r="L81" s="44">
        <v>0</v>
      </c>
      <c r="M81" s="44">
        <v>0</v>
      </c>
      <c r="N81" s="44">
        <v>0</v>
      </c>
      <c r="O81" s="44">
        <v>0</v>
      </c>
      <c r="P81" s="44">
        <v>0</v>
      </c>
      <c r="Q81" s="44">
        <v>0</v>
      </c>
      <c r="R81" s="44">
        <v>0</v>
      </c>
      <c r="S81" s="44">
        <v>0</v>
      </c>
      <c r="T81" s="113">
        <v>0</v>
      </c>
    </row>
    <row r="82" spans="1:20" s="151" customFormat="1" hidden="1" x14ac:dyDescent="0.4">
      <c r="A82" s="176"/>
      <c r="B82" s="164"/>
      <c r="C82" s="137" t="s">
        <v>160</v>
      </c>
      <c r="D82" s="131" t="str">
        <f t="shared" si="39"/>
        <v>보이는ARS</v>
      </c>
      <c r="E82" s="131" t="s">
        <v>531</v>
      </c>
      <c r="F82" s="131" t="s">
        <v>151</v>
      </c>
      <c r="G82" s="44">
        <v>0</v>
      </c>
      <c r="H82" s="44">
        <v>0</v>
      </c>
      <c r="I82" s="44">
        <v>0</v>
      </c>
      <c r="J82" s="44">
        <v>0</v>
      </c>
      <c r="K82" s="44">
        <v>0</v>
      </c>
      <c r="L82" s="44">
        <v>0</v>
      </c>
      <c r="M82" s="44">
        <v>0</v>
      </c>
      <c r="N82" s="44">
        <v>0</v>
      </c>
      <c r="O82" s="44">
        <v>0</v>
      </c>
      <c r="P82" s="44">
        <v>0</v>
      </c>
      <c r="Q82" s="44">
        <v>0</v>
      </c>
      <c r="R82" s="44">
        <v>0</v>
      </c>
      <c r="S82" s="44">
        <v>0</v>
      </c>
      <c r="T82" s="113">
        <v>0</v>
      </c>
    </row>
    <row r="83" spans="1:20" s="151" customFormat="1" hidden="1" x14ac:dyDescent="0.4">
      <c r="A83" s="176"/>
      <c r="B83" s="164"/>
      <c r="C83" s="137" t="s">
        <v>160</v>
      </c>
      <c r="D83" s="131" t="str">
        <f t="shared" si="39"/>
        <v>보이는ARS</v>
      </c>
      <c r="E83" s="131" t="s">
        <v>531</v>
      </c>
      <c r="F83" s="131" t="s">
        <v>151</v>
      </c>
      <c r="G83" s="44">
        <v>0</v>
      </c>
      <c r="H83" s="44">
        <v>0</v>
      </c>
      <c r="I83" s="44">
        <v>0</v>
      </c>
      <c r="J83" s="44">
        <v>0</v>
      </c>
      <c r="K83" s="44">
        <v>0</v>
      </c>
      <c r="L83" s="44">
        <v>0</v>
      </c>
      <c r="M83" s="44">
        <v>0</v>
      </c>
      <c r="N83" s="44">
        <v>0</v>
      </c>
      <c r="O83" s="44">
        <v>0</v>
      </c>
      <c r="P83" s="44">
        <v>0</v>
      </c>
      <c r="Q83" s="44">
        <v>0</v>
      </c>
      <c r="R83" s="44">
        <v>0</v>
      </c>
      <c r="S83" s="44">
        <v>0</v>
      </c>
      <c r="T83" s="113">
        <v>0</v>
      </c>
    </row>
    <row r="84" spans="1:20" s="151" customFormat="1" hidden="1" x14ac:dyDescent="0.4">
      <c r="A84" s="176"/>
      <c r="B84" s="164"/>
      <c r="C84" s="137" t="s">
        <v>160</v>
      </c>
      <c r="D84" s="131" t="str">
        <f t="shared" si="39"/>
        <v>보이는ARS</v>
      </c>
      <c r="E84" s="131" t="s">
        <v>531</v>
      </c>
      <c r="F84" s="131" t="s">
        <v>151</v>
      </c>
      <c r="G84" s="44">
        <v>0</v>
      </c>
      <c r="H84" s="44">
        <v>0</v>
      </c>
      <c r="I84" s="44">
        <v>0</v>
      </c>
      <c r="J84" s="44">
        <v>0</v>
      </c>
      <c r="K84" s="44">
        <v>0</v>
      </c>
      <c r="L84" s="44">
        <v>0</v>
      </c>
      <c r="M84" s="44">
        <v>0</v>
      </c>
      <c r="N84" s="44">
        <v>0</v>
      </c>
      <c r="O84" s="44">
        <v>0</v>
      </c>
      <c r="P84" s="44">
        <v>0</v>
      </c>
      <c r="Q84" s="44">
        <v>0</v>
      </c>
      <c r="R84" s="44">
        <v>0</v>
      </c>
      <c r="S84" s="44">
        <v>0</v>
      </c>
      <c r="T84" s="113">
        <v>0</v>
      </c>
    </row>
    <row r="85" spans="1:20" s="151" customFormat="1" hidden="1" x14ac:dyDescent="0.4">
      <c r="A85" s="176"/>
      <c r="B85" s="164"/>
      <c r="C85" s="138" t="s">
        <v>536</v>
      </c>
      <c r="D85" s="132"/>
      <c r="E85" s="132"/>
      <c r="F85" s="132"/>
      <c r="G85" s="133">
        <f>SUM(G80:G84)</f>
        <v>144000000</v>
      </c>
      <c r="H85" s="133">
        <f>SUM(H80:H84)</f>
        <v>0</v>
      </c>
      <c r="I85" s="133">
        <f>SUM(I80:I84)</f>
        <v>144000000</v>
      </c>
      <c r="J85" s="133">
        <f t="shared" ref="J85:T85" si="40">SUM(J80:J84)</f>
        <v>31500000</v>
      </c>
      <c r="K85" s="133">
        <f t="shared" si="40"/>
        <v>54000000</v>
      </c>
      <c r="L85" s="133">
        <f t="shared" si="40"/>
        <v>54000000</v>
      </c>
      <c r="M85" s="133">
        <f t="shared" si="40"/>
        <v>4500000</v>
      </c>
      <c r="N85" s="133">
        <f t="shared" si="40"/>
        <v>0</v>
      </c>
      <c r="O85" s="133">
        <f t="shared" si="40"/>
        <v>0</v>
      </c>
      <c r="P85" s="133">
        <f t="shared" si="40"/>
        <v>0</v>
      </c>
      <c r="Q85" s="133">
        <f t="shared" si="40"/>
        <v>0</v>
      </c>
      <c r="R85" s="133">
        <f t="shared" si="40"/>
        <v>0</v>
      </c>
      <c r="S85" s="133">
        <f t="shared" si="40"/>
        <v>0</v>
      </c>
      <c r="T85" s="129">
        <f t="shared" si="40"/>
        <v>0</v>
      </c>
    </row>
    <row r="86" spans="1:20" s="151" customFormat="1" hidden="1" x14ac:dyDescent="0.4">
      <c r="A86" s="176"/>
      <c r="B86" s="164"/>
      <c r="C86" s="137" t="s">
        <v>160</v>
      </c>
      <c r="D86" s="131" t="str">
        <f>$C$71</f>
        <v>보이는ARS</v>
      </c>
      <c r="E86" s="131" t="s">
        <v>532</v>
      </c>
      <c r="F86" s="131" t="s">
        <v>528</v>
      </c>
      <c r="G86" s="44">
        <v>238360000</v>
      </c>
      <c r="H86" s="44">
        <v>0</v>
      </c>
      <c r="I86" s="44">
        <v>238360000</v>
      </c>
      <c r="J86" s="44">
        <v>0</v>
      </c>
      <c r="K86" s="44">
        <v>11800000</v>
      </c>
      <c r="L86" s="44">
        <v>28320000</v>
      </c>
      <c r="M86" s="44">
        <v>28320000</v>
      </c>
      <c r="N86" s="44">
        <v>28320000</v>
      </c>
      <c r="O86" s="44">
        <v>28320000</v>
      </c>
      <c r="P86" s="44">
        <v>28320000</v>
      </c>
      <c r="Q86" s="44">
        <v>28320000</v>
      </c>
      <c r="R86" s="44">
        <v>28320000</v>
      </c>
      <c r="S86" s="44">
        <v>28320000</v>
      </c>
      <c r="T86" s="113">
        <v>0</v>
      </c>
    </row>
    <row r="87" spans="1:20" s="151" customFormat="1" hidden="1" x14ac:dyDescent="0.4">
      <c r="A87" s="176"/>
      <c r="B87" s="164"/>
      <c r="C87" s="137" t="s">
        <v>160</v>
      </c>
      <c r="D87" s="131" t="str">
        <f t="shared" ref="D87:D90" si="41">$C$71</f>
        <v>보이는ARS</v>
      </c>
      <c r="E87" s="131" t="s">
        <v>532</v>
      </c>
      <c r="F87" s="131" t="s">
        <v>529</v>
      </c>
      <c r="G87" s="44">
        <v>152136200.79999998</v>
      </c>
      <c r="H87" s="44">
        <v>0</v>
      </c>
      <c r="I87" s="44">
        <v>152136200.79999998</v>
      </c>
      <c r="J87" s="44">
        <v>0</v>
      </c>
      <c r="K87" s="44">
        <v>13872000</v>
      </c>
      <c r="L87" s="44">
        <v>13872000</v>
      </c>
      <c r="M87" s="44">
        <v>17770314.400000002</v>
      </c>
      <c r="N87" s="44">
        <v>17770314.400000002</v>
      </c>
      <c r="O87" s="44">
        <v>17770314.400000002</v>
      </c>
      <c r="P87" s="44">
        <v>17770314.400000002</v>
      </c>
      <c r="Q87" s="44">
        <v>17770314.400000002</v>
      </c>
      <c r="R87" s="44">
        <v>17770314.400000002</v>
      </c>
      <c r="S87" s="44">
        <v>17770314.400000002</v>
      </c>
      <c r="T87" s="113">
        <v>0</v>
      </c>
    </row>
    <row r="88" spans="1:20" s="151" customFormat="1" hidden="1" x14ac:dyDescent="0.4">
      <c r="A88" s="176"/>
      <c r="B88" s="164"/>
      <c r="C88" s="137" t="s">
        <v>160</v>
      </c>
      <c r="D88" s="131" t="str">
        <f t="shared" si="41"/>
        <v>보이는ARS</v>
      </c>
      <c r="E88" s="131" t="s">
        <v>532</v>
      </c>
      <c r="F88" s="131" t="s">
        <v>530</v>
      </c>
      <c r="G88" s="44">
        <v>103560000</v>
      </c>
      <c r="H88" s="44">
        <v>0</v>
      </c>
      <c r="I88" s="44">
        <v>103560000</v>
      </c>
      <c r="J88" s="44">
        <v>0</v>
      </c>
      <c r="K88" s="44">
        <v>8520000</v>
      </c>
      <c r="L88" s="44">
        <v>11880000</v>
      </c>
      <c r="M88" s="44">
        <v>11880000</v>
      </c>
      <c r="N88" s="44">
        <v>11880000</v>
      </c>
      <c r="O88" s="44">
        <v>11880000</v>
      </c>
      <c r="P88" s="44">
        <v>11880000</v>
      </c>
      <c r="Q88" s="44">
        <v>11880000</v>
      </c>
      <c r="R88" s="44">
        <v>11880000</v>
      </c>
      <c r="S88" s="44">
        <v>11880000</v>
      </c>
      <c r="T88" s="113">
        <v>0</v>
      </c>
    </row>
    <row r="89" spans="1:20" s="151" customFormat="1" hidden="1" x14ac:dyDescent="0.4">
      <c r="A89" s="176"/>
      <c r="B89" s="164"/>
      <c r="C89" s="137" t="s">
        <v>160</v>
      </c>
      <c r="D89" s="131" t="str">
        <f t="shared" si="41"/>
        <v>보이는ARS</v>
      </c>
      <c r="E89" s="131" t="s">
        <v>532</v>
      </c>
      <c r="F89" s="131" t="s">
        <v>151</v>
      </c>
      <c r="G89" s="44">
        <v>0</v>
      </c>
      <c r="H89" s="44">
        <v>0</v>
      </c>
      <c r="I89" s="44">
        <v>0</v>
      </c>
      <c r="J89" s="44">
        <v>0</v>
      </c>
      <c r="K89" s="44">
        <v>0</v>
      </c>
      <c r="L89" s="44">
        <v>0</v>
      </c>
      <c r="M89" s="44">
        <v>0</v>
      </c>
      <c r="N89" s="44">
        <v>0</v>
      </c>
      <c r="O89" s="44">
        <v>0</v>
      </c>
      <c r="P89" s="44">
        <v>0</v>
      </c>
      <c r="Q89" s="44">
        <v>0</v>
      </c>
      <c r="R89" s="44">
        <v>0</v>
      </c>
      <c r="S89" s="44">
        <v>0</v>
      </c>
      <c r="T89" s="113">
        <v>0</v>
      </c>
    </row>
    <row r="90" spans="1:20" s="151" customFormat="1" hidden="1" x14ac:dyDescent="0.4">
      <c r="A90" s="176"/>
      <c r="B90" s="164"/>
      <c r="C90" s="137" t="s">
        <v>160</v>
      </c>
      <c r="D90" s="131" t="str">
        <f t="shared" si="41"/>
        <v>보이는ARS</v>
      </c>
      <c r="E90" s="131" t="s">
        <v>532</v>
      </c>
      <c r="F90" s="131" t="s">
        <v>151</v>
      </c>
      <c r="G90" s="44">
        <v>0</v>
      </c>
      <c r="H90" s="44">
        <v>0</v>
      </c>
      <c r="I90" s="44">
        <v>0</v>
      </c>
      <c r="J90" s="44">
        <v>0</v>
      </c>
      <c r="K90" s="44">
        <v>0</v>
      </c>
      <c r="L90" s="44">
        <v>0</v>
      </c>
      <c r="M90" s="44">
        <v>0</v>
      </c>
      <c r="N90" s="44">
        <v>0</v>
      </c>
      <c r="O90" s="44">
        <v>0</v>
      </c>
      <c r="P90" s="44">
        <v>0</v>
      </c>
      <c r="Q90" s="44">
        <v>0</v>
      </c>
      <c r="R90" s="44">
        <v>0</v>
      </c>
      <c r="S90" s="44">
        <v>0</v>
      </c>
      <c r="T90" s="113">
        <v>0</v>
      </c>
    </row>
    <row r="91" spans="1:20" s="151" customFormat="1" ht="18" hidden="1" thickBot="1" x14ac:dyDescent="0.45">
      <c r="A91" s="176"/>
      <c r="B91" s="164"/>
      <c r="C91" s="139" t="s">
        <v>537</v>
      </c>
      <c r="D91" s="140"/>
      <c r="E91" s="140"/>
      <c r="F91" s="140"/>
      <c r="G91" s="141">
        <f>SUM(G86:G90)</f>
        <v>494056200.79999995</v>
      </c>
      <c r="H91" s="141">
        <f>SUM(H86:H90)</f>
        <v>0</v>
      </c>
      <c r="I91" s="141">
        <f>SUM(I86:I90)</f>
        <v>494056200.79999995</v>
      </c>
      <c r="J91" s="141">
        <f t="shared" ref="J91:T91" si="42">SUM(J86:J90)</f>
        <v>0</v>
      </c>
      <c r="K91" s="141">
        <f t="shared" si="42"/>
        <v>34192000</v>
      </c>
      <c r="L91" s="141">
        <f t="shared" si="42"/>
        <v>54072000</v>
      </c>
      <c r="M91" s="141">
        <f t="shared" si="42"/>
        <v>57970314.400000006</v>
      </c>
      <c r="N91" s="141">
        <f t="shared" si="42"/>
        <v>57970314.400000006</v>
      </c>
      <c r="O91" s="141">
        <f t="shared" si="42"/>
        <v>57970314.400000006</v>
      </c>
      <c r="P91" s="141">
        <f t="shared" si="42"/>
        <v>57970314.400000006</v>
      </c>
      <c r="Q91" s="141">
        <f t="shared" si="42"/>
        <v>57970314.400000006</v>
      </c>
      <c r="R91" s="141">
        <f t="shared" si="42"/>
        <v>57970314.400000006</v>
      </c>
      <c r="S91" s="141">
        <f t="shared" si="42"/>
        <v>57970314.400000006</v>
      </c>
      <c r="T91" s="130">
        <f t="shared" si="42"/>
        <v>0</v>
      </c>
    </row>
    <row r="92" spans="1:20" s="151" customFormat="1" hidden="1" x14ac:dyDescent="0.4">
      <c r="A92" s="176"/>
      <c r="B92" s="164"/>
      <c r="C92" s="149"/>
      <c r="D92" s="149"/>
      <c r="E92" s="149"/>
      <c r="F92" s="149"/>
      <c r="G92" s="150"/>
      <c r="H92" s="150"/>
      <c r="I92" s="150"/>
      <c r="J92" s="150"/>
      <c r="K92" s="150"/>
      <c r="L92" s="150"/>
      <c r="M92" s="150"/>
      <c r="N92" s="150"/>
      <c r="O92" s="150"/>
      <c r="P92" s="150"/>
      <c r="Q92" s="150"/>
      <c r="R92" s="150"/>
      <c r="S92" s="150"/>
      <c r="T92" s="150"/>
    </row>
    <row r="93" spans="1:20" s="151" customFormat="1" ht="18" hidden="1" thickBot="1" x14ac:dyDescent="0.45">
      <c r="A93" s="176"/>
      <c r="B93" s="164"/>
      <c r="C93" s="149"/>
      <c r="D93" s="149"/>
      <c r="E93" s="149"/>
      <c r="F93" s="149"/>
      <c r="G93" s="150"/>
      <c r="H93" s="150"/>
      <c r="I93" s="150"/>
      <c r="J93" s="150"/>
      <c r="K93" s="150"/>
      <c r="L93" s="150"/>
      <c r="M93" s="150"/>
      <c r="N93" s="150"/>
      <c r="O93" s="150"/>
      <c r="P93" s="150"/>
      <c r="Q93" s="150"/>
      <c r="R93" s="150"/>
      <c r="S93" s="150"/>
      <c r="T93" s="150"/>
    </row>
    <row r="94" spans="1:20" s="151" customFormat="1" hidden="1" x14ac:dyDescent="0.4">
      <c r="A94" s="176"/>
      <c r="B94" s="164"/>
      <c r="C94" s="103" t="s">
        <v>359</v>
      </c>
      <c r="D94" s="2"/>
      <c r="E94" s="2"/>
      <c r="F94" s="2"/>
      <c r="G94" s="148">
        <f>SUM(G102,G108,G114)</f>
        <v>1246214060.8</v>
      </c>
      <c r="H94" s="146">
        <f t="shared" ref="H94:T94" si="43">SUM(H102,H108,H114)</f>
        <v>608157860</v>
      </c>
      <c r="I94" s="146">
        <f t="shared" si="43"/>
        <v>638056200.79999995</v>
      </c>
      <c r="J94" s="146">
        <f t="shared" si="43"/>
        <v>31500000</v>
      </c>
      <c r="K94" s="146">
        <f t="shared" si="43"/>
        <v>88192000</v>
      </c>
      <c r="L94" s="146">
        <f t="shared" si="43"/>
        <v>108072000</v>
      </c>
      <c r="M94" s="146">
        <f t="shared" si="43"/>
        <v>62470314.400000006</v>
      </c>
      <c r="N94" s="146">
        <f t="shared" si="43"/>
        <v>57970314.400000006</v>
      </c>
      <c r="O94" s="146">
        <f t="shared" si="43"/>
        <v>57970314.400000006</v>
      </c>
      <c r="P94" s="146">
        <f t="shared" si="43"/>
        <v>57970314.400000006</v>
      </c>
      <c r="Q94" s="146">
        <f t="shared" si="43"/>
        <v>57970314.400000006</v>
      </c>
      <c r="R94" s="146">
        <f t="shared" si="43"/>
        <v>57970314.400000006</v>
      </c>
      <c r="S94" s="146">
        <f t="shared" si="43"/>
        <v>57970314.400000006</v>
      </c>
      <c r="T94" s="147">
        <f t="shared" si="43"/>
        <v>0</v>
      </c>
    </row>
    <row r="95" spans="1:20" s="151" customFormat="1" ht="18" hidden="1" thickBot="1" x14ac:dyDescent="0.45">
      <c r="A95" s="176"/>
      <c r="B95" s="164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s="151" customFormat="1" hidden="1" x14ac:dyDescent="0.4">
      <c r="A96" s="176"/>
      <c r="B96" s="164"/>
      <c r="C96" s="135" t="s">
        <v>1</v>
      </c>
      <c r="D96" s="136" t="s">
        <v>2</v>
      </c>
      <c r="E96" s="136" t="s">
        <v>3</v>
      </c>
      <c r="F96" s="136" t="s">
        <v>4</v>
      </c>
      <c r="G96" s="136" t="s">
        <v>526</v>
      </c>
      <c r="H96" s="136" t="s">
        <v>524</v>
      </c>
      <c r="I96" s="136" t="s">
        <v>525</v>
      </c>
      <c r="J96" s="136" t="s">
        <v>41</v>
      </c>
      <c r="K96" s="136" t="s">
        <v>371</v>
      </c>
      <c r="L96" s="136" t="s">
        <v>372</v>
      </c>
      <c r="M96" s="136" t="s">
        <v>373</v>
      </c>
      <c r="N96" s="136" t="s">
        <v>374</v>
      </c>
      <c r="O96" s="136" t="s">
        <v>375</v>
      </c>
      <c r="P96" s="136" t="s">
        <v>376</v>
      </c>
      <c r="Q96" s="136" t="s">
        <v>377</v>
      </c>
      <c r="R96" s="136" t="s">
        <v>378</v>
      </c>
      <c r="S96" s="136" t="s">
        <v>379</v>
      </c>
      <c r="T96" s="127" t="s">
        <v>188</v>
      </c>
    </row>
    <row r="97" spans="1:20" s="151" customFormat="1" hidden="1" x14ac:dyDescent="0.4">
      <c r="A97" s="176"/>
      <c r="B97" s="164"/>
      <c r="C97" s="128" t="s">
        <v>160</v>
      </c>
      <c r="D97" s="134" t="str">
        <f>$C$94</f>
        <v>보이는ARS</v>
      </c>
      <c r="E97" s="134" t="s">
        <v>400</v>
      </c>
      <c r="F97" s="134" t="s">
        <v>527</v>
      </c>
      <c r="G97" s="49">
        <v>182000000</v>
      </c>
      <c r="H97" s="49">
        <v>182000000</v>
      </c>
      <c r="I97" s="48">
        <v>0</v>
      </c>
      <c r="J97" s="48">
        <v>0</v>
      </c>
      <c r="K97" s="48">
        <v>0</v>
      </c>
      <c r="L97" s="48">
        <v>0</v>
      </c>
      <c r="M97" s="48">
        <v>0</v>
      </c>
      <c r="N97" s="48">
        <v>0</v>
      </c>
      <c r="O97" s="48">
        <v>0</v>
      </c>
      <c r="P97" s="48">
        <v>0</v>
      </c>
      <c r="Q97" s="48">
        <v>0</v>
      </c>
      <c r="R97" s="48">
        <v>0</v>
      </c>
      <c r="S97" s="48">
        <v>0</v>
      </c>
      <c r="T97" s="142">
        <v>0</v>
      </c>
    </row>
    <row r="98" spans="1:20" s="151" customFormat="1" hidden="1" x14ac:dyDescent="0.4">
      <c r="A98" s="176"/>
      <c r="B98" s="164"/>
      <c r="C98" s="137" t="s">
        <v>160</v>
      </c>
      <c r="D98" s="131" t="str">
        <f t="shared" ref="D98:D101" si="44">$C$94</f>
        <v>보이는ARS</v>
      </c>
      <c r="E98" s="131" t="s">
        <v>400</v>
      </c>
      <c r="F98" s="131" t="s">
        <v>528</v>
      </c>
      <c r="G98" s="44">
        <v>236000000</v>
      </c>
      <c r="H98" s="44">
        <v>236000000</v>
      </c>
      <c r="I98" s="43">
        <v>0</v>
      </c>
      <c r="J98" s="43">
        <v>0</v>
      </c>
      <c r="K98" s="43">
        <v>0</v>
      </c>
      <c r="L98" s="43">
        <v>0</v>
      </c>
      <c r="M98" s="43">
        <v>0</v>
      </c>
      <c r="N98" s="43">
        <v>0</v>
      </c>
      <c r="O98" s="43">
        <v>0</v>
      </c>
      <c r="P98" s="43">
        <v>0</v>
      </c>
      <c r="Q98" s="43">
        <v>0</v>
      </c>
      <c r="R98" s="43">
        <v>0</v>
      </c>
      <c r="S98" s="43">
        <v>0</v>
      </c>
      <c r="T98" s="143">
        <v>0</v>
      </c>
    </row>
    <row r="99" spans="1:20" s="151" customFormat="1" hidden="1" x14ac:dyDescent="0.4">
      <c r="A99" s="176"/>
      <c r="B99" s="164"/>
      <c r="C99" s="137" t="s">
        <v>160</v>
      </c>
      <c r="D99" s="131" t="str">
        <f t="shared" si="44"/>
        <v>보이는ARS</v>
      </c>
      <c r="E99" s="131" t="s">
        <v>400</v>
      </c>
      <c r="F99" s="131" t="s">
        <v>529</v>
      </c>
      <c r="G99" s="44">
        <v>86957860</v>
      </c>
      <c r="H99" s="44">
        <v>86957860</v>
      </c>
      <c r="I99" s="43">
        <v>0</v>
      </c>
      <c r="J99" s="43">
        <v>0</v>
      </c>
      <c r="K99" s="43">
        <v>0</v>
      </c>
      <c r="L99" s="43">
        <v>0</v>
      </c>
      <c r="M99" s="43">
        <v>0</v>
      </c>
      <c r="N99" s="43">
        <v>0</v>
      </c>
      <c r="O99" s="43">
        <v>0</v>
      </c>
      <c r="P99" s="43">
        <v>0</v>
      </c>
      <c r="Q99" s="43">
        <v>0</v>
      </c>
      <c r="R99" s="43">
        <v>0</v>
      </c>
      <c r="S99" s="43">
        <v>0</v>
      </c>
      <c r="T99" s="143">
        <v>0</v>
      </c>
    </row>
    <row r="100" spans="1:20" s="151" customFormat="1" hidden="1" x14ac:dyDescent="0.4">
      <c r="A100" s="176"/>
      <c r="B100" s="164"/>
      <c r="C100" s="137" t="s">
        <v>160</v>
      </c>
      <c r="D100" s="131" t="str">
        <f t="shared" si="44"/>
        <v>보이는ARS</v>
      </c>
      <c r="E100" s="131" t="s">
        <v>400</v>
      </c>
      <c r="F100" s="131" t="s">
        <v>530</v>
      </c>
      <c r="G100" s="44">
        <v>103200000</v>
      </c>
      <c r="H100" s="44">
        <v>103200000</v>
      </c>
      <c r="I100" s="43">
        <v>0</v>
      </c>
      <c r="J100" s="43">
        <v>0</v>
      </c>
      <c r="K100" s="43">
        <v>0</v>
      </c>
      <c r="L100" s="43">
        <v>0</v>
      </c>
      <c r="M100" s="43">
        <v>0</v>
      </c>
      <c r="N100" s="43">
        <v>0</v>
      </c>
      <c r="O100" s="43">
        <v>0</v>
      </c>
      <c r="P100" s="43">
        <v>0</v>
      </c>
      <c r="Q100" s="43">
        <v>0</v>
      </c>
      <c r="R100" s="43">
        <v>0</v>
      </c>
      <c r="S100" s="43">
        <v>0</v>
      </c>
      <c r="T100" s="143">
        <v>0</v>
      </c>
    </row>
    <row r="101" spans="1:20" s="151" customFormat="1" hidden="1" x14ac:dyDescent="0.4">
      <c r="A101" s="176"/>
      <c r="B101" s="164"/>
      <c r="C101" s="137" t="s">
        <v>160</v>
      </c>
      <c r="D101" s="131" t="str">
        <f t="shared" si="44"/>
        <v>보이는ARS</v>
      </c>
      <c r="E101" s="131" t="s">
        <v>400</v>
      </c>
      <c r="F101" s="131" t="s">
        <v>151</v>
      </c>
      <c r="G101" s="44">
        <v>0</v>
      </c>
      <c r="H101" s="44">
        <v>0</v>
      </c>
      <c r="I101" s="43">
        <v>0</v>
      </c>
      <c r="J101" s="43">
        <v>0</v>
      </c>
      <c r="K101" s="43">
        <v>0</v>
      </c>
      <c r="L101" s="43">
        <v>0</v>
      </c>
      <c r="M101" s="43">
        <v>0</v>
      </c>
      <c r="N101" s="43">
        <v>0</v>
      </c>
      <c r="O101" s="43">
        <v>0</v>
      </c>
      <c r="P101" s="43">
        <v>0</v>
      </c>
      <c r="Q101" s="43">
        <v>0</v>
      </c>
      <c r="R101" s="43">
        <v>0</v>
      </c>
      <c r="S101" s="43">
        <v>0</v>
      </c>
      <c r="T101" s="143">
        <v>0</v>
      </c>
    </row>
    <row r="102" spans="1:20" s="151" customFormat="1" hidden="1" x14ac:dyDescent="0.4">
      <c r="A102" s="176"/>
      <c r="B102" s="164"/>
      <c r="C102" s="138" t="s">
        <v>535</v>
      </c>
      <c r="D102" s="132"/>
      <c r="E102" s="132"/>
      <c r="F102" s="132"/>
      <c r="G102" s="133">
        <f>SUM(G97:G101)</f>
        <v>608157860</v>
      </c>
      <c r="H102" s="133">
        <f>SUM(H97:H101)</f>
        <v>608157860</v>
      </c>
      <c r="I102" s="133">
        <f>SUM(I97:I101)</f>
        <v>0</v>
      </c>
      <c r="J102" s="133">
        <f t="shared" ref="J102:T102" si="45">SUM(J97:J101)</f>
        <v>0</v>
      </c>
      <c r="K102" s="133">
        <f t="shared" si="45"/>
        <v>0</v>
      </c>
      <c r="L102" s="133">
        <f t="shared" si="45"/>
        <v>0</v>
      </c>
      <c r="M102" s="133">
        <f t="shared" si="45"/>
        <v>0</v>
      </c>
      <c r="N102" s="133">
        <f t="shared" si="45"/>
        <v>0</v>
      </c>
      <c r="O102" s="133">
        <f t="shared" si="45"/>
        <v>0</v>
      </c>
      <c r="P102" s="133">
        <f t="shared" si="45"/>
        <v>0</v>
      </c>
      <c r="Q102" s="133">
        <f t="shared" si="45"/>
        <v>0</v>
      </c>
      <c r="R102" s="133">
        <f t="shared" si="45"/>
        <v>0</v>
      </c>
      <c r="S102" s="133">
        <f t="shared" si="45"/>
        <v>0</v>
      </c>
      <c r="T102" s="129">
        <f t="shared" si="45"/>
        <v>0</v>
      </c>
    </row>
    <row r="103" spans="1:20" s="151" customFormat="1" hidden="1" x14ac:dyDescent="0.4">
      <c r="A103" s="176"/>
      <c r="B103" s="164"/>
      <c r="C103" s="137" t="s">
        <v>160</v>
      </c>
      <c r="D103" s="131" t="str">
        <f>$C$94</f>
        <v>보이는ARS</v>
      </c>
      <c r="E103" s="131" t="s">
        <v>153</v>
      </c>
      <c r="F103" s="131" t="s">
        <v>156</v>
      </c>
      <c r="G103" s="44">
        <v>144000000</v>
      </c>
      <c r="H103" s="44">
        <v>0</v>
      </c>
      <c r="I103" s="44">
        <v>144000000</v>
      </c>
      <c r="J103" s="44">
        <v>31500000</v>
      </c>
      <c r="K103" s="44">
        <v>54000000</v>
      </c>
      <c r="L103" s="44">
        <v>54000000</v>
      </c>
      <c r="M103" s="44">
        <v>4500000</v>
      </c>
      <c r="N103" s="44">
        <v>0</v>
      </c>
      <c r="O103" s="44">
        <v>0</v>
      </c>
      <c r="P103" s="44">
        <v>0</v>
      </c>
      <c r="Q103" s="44">
        <v>0</v>
      </c>
      <c r="R103" s="44">
        <v>0</v>
      </c>
      <c r="S103" s="44">
        <v>0</v>
      </c>
      <c r="T103" s="113">
        <v>0</v>
      </c>
    </row>
    <row r="104" spans="1:20" s="151" customFormat="1" hidden="1" x14ac:dyDescent="0.4">
      <c r="A104" s="176"/>
      <c r="B104" s="164"/>
      <c r="C104" s="137" t="s">
        <v>160</v>
      </c>
      <c r="D104" s="131" t="str">
        <f t="shared" ref="D104:D107" si="46">$C$94</f>
        <v>보이는ARS</v>
      </c>
      <c r="E104" s="131" t="s">
        <v>531</v>
      </c>
      <c r="F104" s="131" t="s">
        <v>533</v>
      </c>
      <c r="G104" s="44">
        <v>0</v>
      </c>
      <c r="H104" s="44">
        <v>0</v>
      </c>
      <c r="I104" s="44">
        <v>0</v>
      </c>
      <c r="J104" s="44">
        <v>0</v>
      </c>
      <c r="K104" s="44">
        <v>0</v>
      </c>
      <c r="L104" s="44">
        <v>0</v>
      </c>
      <c r="M104" s="44">
        <v>0</v>
      </c>
      <c r="N104" s="44">
        <v>0</v>
      </c>
      <c r="O104" s="44">
        <v>0</v>
      </c>
      <c r="P104" s="44">
        <v>0</v>
      </c>
      <c r="Q104" s="44">
        <v>0</v>
      </c>
      <c r="R104" s="44">
        <v>0</v>
      </c>
      <c r="S104" s="44">
        <v>0</v>
      </c>
      <c r="T104" s="113">
        <v>0</v>
      </c>
    </row>
    <row r="105" spans="1:20" s="151" customFormat="1" hidden="1" x14ac:dyDescent="0.4">
      <c r="A105" s="176"/>
      <c r="B105" s="164"/>
      <c r="C105" s="137" t="s">
        <v>160</v>
      </c>
      <c r="D105" s="131" t="str">
        <f t="shared" si="46"/>
        <v>보이는ARS</v>
      </c>
      <c r="E105" s="131" t="s">
        <v>531</v>
      </c>
      <c r="F105" s="131" t="s">
        <v>151</v>
      </c>
      <c r="G105" s="44">
        <v>0</v>
      </c>
      <c r="H105" s="44">
        <v>0</v>
      </c>
      <c r="I105" s="44">
        <v>0</v>
      </c>
      <c r="J105" s="44">
        <v>0</v>
      </c>
      <c r="K105" s="44">
        <v>0</v>
      </c>
      <c r="L105" s="44">
        <v>0</v>
      </c>
      <c r="M105" s="44">
        <v>0</v>
      </c>
      <c r="N105" s="44">
        <v>0</v>
      </c>
      <c r="O105" s="44">
        <v>0</v>
      </c>
      <c r="P105" s="44">
        <v>0</v>
      </c>
      <c r="Q105" s="44">
        <v>0</v>
      </c>
      <c r="R105" s="44">
        <v>0</v>
      </c>
      <c r="S105" s="44">
        <v>0</v>
      </c>
      <c r="T105" s="113">
        <v>0</v>
      </c>
    </row>
    <row r="106" spans="1:20" s="151" customFormat="1" hidden="1" x14ac:dyDescent="0.4">
      <c r="A106" s="176"/>
      <c r="B106" s="164"/>
      <c r="C106" s="137" t="s">
        <v>160</v>
      </c>
      <c r="D106" s="131" t="str">
        <f t="shared" si="46"/>
        <v>보이는ARS</v>
      </c>
      <c r="E106" s="131" t="s">
        <v>531</v>
      </c>
      <c r="F106" s="131" t="s">
        <v>151</v>
      </c>
      <c r="G106" s="44">
        <v>0</v>
      </c>
      <c r="H106" s="44">
        <v>0</v>
      </c>
      <c r="I106" s="44">
        <v>0</v>
      </c>
      <c r="J106" s="44">
        <v>0</v>
      </c>
      <c r="K106" s="44">
        <v>0</v>
      </c>
      <c r="L106" s="44">
        <v>0</v>
      </c>
      <c r="M106" s="44">
        <v>0</v>
      </c>
      <c r="N106" s="44">
        <v>0</v>
      </c>
      <c r="O106" s="44">
        <v>0</v>
      </c>
      <c r="P106" s="44">
        <v>0</v>
      </c>
      <c r="Q106" s="44">
        <v>0</v>
      </c>
      <c r="R106" s="44">
        <v>0</v>
      </c>
      <c r="S106" s="44">
        <v>0</v>
      </c>
      <c r="T106" s="113">
        <v>0</v>
      </c>
    </row>
    <row r="107" spans="1:20" s="151" customFormat="1" hidden="1" x14ac:dyDescent="0.4">
      <c r="A107" s="176"/>
      <c r="B107" s="164"/>
      <c r="C107" s="137" t="s">
        <v>160</v>
      </c>
      <c r="D107" s="131" t="str">
        <f t="shared" si="46"/>
        <v>보이는ARS</v>
      </c>
      <c r="E107" s="131" t="s">
        <v>531</v>
      </c>
      <c r="F107" s="131" t="s">
        <v>151</v>
      </c>
      <c r="G107" s="44">
        <v>0</v>
      </c>
      <c r="H107" s="44">
        <v>0</v>
      </c>
      <c r="I107" s="44">
        <v>0</v>
      </c>
      <c r="J107" s="44">
        <v>0</v>
      </c>
      <c r="K107" s="44">
        <v>0</v>
      </c>
      <c r="L107" s="44">
        <v>0</v>
      </c>
      <c r="M107" s="44">
        <v>0</v>
      </c>
      <c r="N107" s="44">
        <v>0</v>
      </c>
      <c r="O107" s="44">
        <v>0</v>
      </c>
      <c r="P107" s="44">
        <v>0</v>
      </c>
      <c r="Q107" s="44">
        <v>0</v>
      </c>
      <c r="R107" s="44">
        <v>0</v>
      </c>
      <c r="S107" s="44">
        <v>0</v>
      </c>
      <c r="T107" s="113">
        <v>0</v>
      </c>
    </row>
    <row r="108" spans="1:20" s="151" customFormat="1" hidden="1" x14ac:dyDescent="0.4">
      <c r="A108" s="176"/>
      <c r="B108" s="164"/>
      <c r="C108" s="138" t="s">
        <v>536</v>
      </c>
      <c r="D108" s="132"/>
      <c r="E108" s="132"/>
      <c r="F108" s="132"/>
      <c r="G108" s="133">
        <f>SUM(G103:G107)</f>
        <v>144000000</v>
      </c>
      <c r="H108" s="133">
        <f>SUM(H103:H107)</f>
        <v>0</v>
      </c>
      <c r="I108" s="133">
        <f>SUM(I103:I107)</f>
        <v>144000000</v>
      </c>
      <c r="J108" s="133">
        <f t="shared" ref="J108:T108" si="47">SUM(J103:J107)</f>
        <v>31500000</v>
      </c>
      <c r="K108" s="133">
        <f t="shared" si="47"/>
        <v>54000000</v>
      </c>
      <c r="L108" s="133">
        <f t="shared" si="47"/>
        <v>54000000</v>
      </c>
      <c r="M108" s="133">
        <f t="shared" si="47"/>
        <v>4500000</v>
      </c>
      <c r="N108" s="133">
        <f t="shared" si="47"/>
        <v>0</v>
      </c>
      <c r="O108" s="133">
        <f t="shared" si="47"/>
        <v>0</v>
      </c>
      <c r="P108" s="133">
        <f t="shared" si="47"/>
        <v>0</v>
      </c>
      <c r="Q108" s="133">
        <f t="shared" si="47"/>
        <v>0</v>
      </c>
      <c r="R108" s="133">
        <f t="shared" si="47"/>
        <v>0</v>
      </c>
      <c r="S108" s="133">
        <f t="shared" si="47"/>
        <v>0</v>
      </c>
      <c r="T108" s="129">
        <f t="shared" si="47"/>
        <v>0</v>
      </c>
    </row>
    <row r="109" spans="1:20" s="151" customFormat="1" hidden="1" x14ac:dyDescent="0.4">
      <c r="A109" s="176"/>
      <c r="B109" s="164"/>
      <c r="C109" s="137" t="s">
        <v>160</v>
      </c>
      <c r="D109" s="131" t="str">
        <f>$C$94</f>
        <v>보이는ARS</v>
      </c>
      <c r="E109" s="131" t="s">
        <v>532</v>
      </c>
      <c r="F109" s="131" t="s">
        <v>528</v>
      </c>
      <c r="G109" s="44">
        <v>238360000</v>
      </c>
      <c r="H109" s="44">
        <v>0</v>
      </c>
      <c r="I109" s="44">
        <v>238360000</v>
      </c>
      <c r="J109" s="44">
        <v>0</v>
      </c>
      <c r="K109" s="44">
        <v>11800000</v>
      </c>
      <c r="L109" s="44">
        <v>28320000</v>
      </c>
      <c r="M109" s="44">
        <v>28320000</v>
      </c>
      <c r="N109" s="44">
        <v>28320000</v>
      </c>
      <c r="O109" s="44">
        <v>28320000</v>
      </c>
      <c r="P109" s="44">
        <v>28320000</v>
      </c>
      <c r="Q109" s="44">
        <v>28320000</v>
      </c>
      <c r="R109" s="44">
        <v>28320000</v>
      </c>
      <c r="S109" s="44">
        <v>28320000</v>
      </c>
      <c r="T109" s="113">
        <v>0</v>
      </c>
    </row>
    <row r="110" spans="1:20" s="151" customFormat="1" hidden="1" x14ac:dyDescent="0.4">
      <c r="A110" s="176"/>
      <c r="B110" s="164"/>
      <c r="C110" s="137" t="s">
        <v>160</v>
      </c>
      <c r="D110" s="131" t="str">
        <f t="shared" ref="D110:D113" si="48">$C$94</f>
        <v>보이는ARS</v>
      </c>
      <c r="E110" s="131" t="s">
        <v>532</v>
      </c>
      <c r="F110" s="131" t="s">
        <v>529</v>
      </c>
      <c r="G110" s="44">
        <v>152136200.79999998</v>
      </c>
      <c r="H110" s="44">
        <v>0</v>
      </c>
      <c r="I110" s="44">
        <v>152136200.79999998</v>
      </c>
      <c r="J110" s="44">
        <v>0</v>
      </c>
      <c r="K110" s="44">
        <v>13872000</v>
      </c>
      <c r="L110" s="44">
        <v>13872000</v>
      </c>
      <c r="M110" s="44">
        <v>17770314.400000002</v>
      </c>
      <c r="N110" s="44">
        <v>17770314.400000002</v>
      </c>
      <c r="O110" s="44">
        <v>17770314.400000002</v>
      </c>
      <c r="P110" s="44">
        <v>17770314.400000002</v>
      </c>
      <c r="Q110" s="44">
        <v>17770314.400000002</v>
      </c>
      <c r="R110" s="44">
        <v>17770314.400000002</v>
      </c>
      <c r="S110" s="44">
        <v>17770314.400000002</v>
      </c>
      <c r="T110" s="113">
        <v>0</v>
      </c>
    </row>
    <row r="111" spans="1:20" s="151" customFormat="1" hidden="1" x14ac:dyDescent="0.4">
      <c r="A111" s="176"/>
      <c r="B111" s="164"/>
      <c r="C111" s="137" t="s">
        <v>160</v>
      </c>
      <c r="D111" s="131" t="str">
        <f t="shared" si="48"/>
        <v>보이는ARS</v>
      </c>
      <c r="E111" s="131" t="s">
        <v>532</v>
      </c>
      <c r="F111" s="131" t="s">
        <v>530</v>
      </c>
      <c r="G111" s="44">
        <v>103560000</v>
      </c>
      <c r="H111" s="44">
        <v>0</v>
      </c>
      <c r="I111" s="44">
        <v>103560000</v>
      </c>
      <c r="J111" s="44">
        <v>0</v>
      </c>
      <c r="K111" s="44">
        <v>8520000</v>
      </c>
      <c r="L111" s="44">
        <v>11880000</v>
      </c>
      <c r="M111" s="44">
        <v>11880000</v>
      </c>
      <c r="N111" s="44">
        <v>11880000</v>
      </c>
      <c r="O111" s="44">
        <v>11880000</v>
      </c>
      <c r="P111" s="44">
        <v>11880000</v>
      </c>
      <c r="Q111" s="44">
        <v>11880000</v>
      </c>
      <c r="R111" s="44">
        <v>11880000</v>
      </c>
      <c r="S111" s="44">
        <v>11880000</v>
      </c>
      <c r="T111" s="113">
        <v>0</v>
      </c>
    </row>
    <row r="112" spans="1:20" s="151" customFormat="1" hidden="1" x14ac:dyDescent="0.4">
      <c r="A112" s="176"/>
      <c r="B112" s="164"/>
      <c r="C112" s="137" t="s">
        <v>160</v>
      </c>
      <c r="D112" s="131" t="str">
        <f t="shared" si="48"/>
        <v>보이는ARS</v>
      </c>
      <c r="E112" s="131" t="s">
        <v>532</v>
      </c>
      <c r="F112" s="131" t="s">
        <v>151</v>
      </c>
      <c r="G112" s="44">
        <v>0</v>
      </c>
      <c r="H112" s="44">
        <v>0</v>
      </c>
      <c r="I112" s="44">
        <v>0</v>
      </c>
      <c r="J112" s="44">
        <v>0</v>
      </c>
      <c r="K112" s="44">
        <v>0</v>
      </c>
      <c r="L112" s="44">
        <v>0</v>
      </c>
      <c r="M112" s="44">
        <v>0</v>
      </c>
      <c r="N112" s="44">
        <v>0</v>
      </c>
      <c r="O112" s="44">
        <v>0</v>
      </c>
      <c r="P112" s="44">
        <v>0</v>
      </c>
      <c r="Q112" s="44">
        <v>0</v>
      </c>
      <c r="R112" s="44">
        <v>0</v>
      </c>
      <c r="S112" s="44">
        <v>0</v>
      </c>
      <c r="T112" s="113">
        <v>0</v>
      </c>
    </row>
    <row r="113" spans="1:20" s="151" customFormat="1" hidden="1" x14ac:dyDescent="0.4">
      <c r="A113" s="176"/>
      <c r="B113" s="164"/>
      <c r="C113" s="137" t="s">
        <v>160</v>
      </c>
      <c r="D113" s="131" t="str">
        <f t="shared" si="48"/>
        <v>보이는ARS</v>
      </c>
      <c r="E113" s="131" t="s">
        <v>532</v>
      </c>
      <c r="F113" s="131" t="s">
        <v>151</v>
      </c>
      <c r="G113" s="44">
        <v>0</v>
      </c>
      <c r="H113" s="44">
        <v>0</v>
      </c>
      <c r="I113" s="44">
        <v>0</v>
      </c>
      <c r="J113" s="44">
        <v>0</v>
      </c>
      <c r="K113" s="44">
        <v>0</v>
      </c>
      <c r="L113" s="44">
        <v>0</v>
      </c>
      <c r="M113" s="44">
        <v>0</v>
      </c>
      <c r="N113" s="44">
        <v>0</v>
      </c>
      <c r="O113" s="44">
        <v>0</v>
      </c>
      <c r="P113" s="44">
        <v>0</v>
      </c>
      <c r="Q113" s="44">
        <v>0</v>
      </c>
      <c r="R113" s="44">
        <v>0</v>
      </c>
      <c r="S113" s="44">
        <v>0</v>
      </c>
      <c r="T113" s="113">
        <v>0</v>
      </c>
    </row>
    <row r="114" spans="1:20" s="151" customFormat="1" ht="18" hidden="1" thickBot="1" x14ac:dyDescent="0.45">
      <c r="A114" s="176"/>
      <c r="B114" s="164"/>
      <c r="C114" s="139" t="s">
        <v>537</v>
      </c>
      <c r="D114" s="140"/>
      <c r="E114" s="140"/>
      <c r="F114" s="140"/>
      <c r="G114" s="141">
        <f>SUM(G109:G113)</f>
        <v>494056200.79999995</v>
      </c>
      <c r="H114" s="141">
        <f>SUM(H109:H113)</f>
        <v>0</v>
      </c>
      <c r="I114" s="141">
        <f>SUM(I109:I113)</f>
        <v>494056200.79999995</v>
      </c>
      <c r="J114" s="141">
        <f t="shared" ref="J114:T114" si="49">SUM(J109:J113)</f>
        <v>0</v>
      </c>
      <c r="K114" s="141">
        <f t="shared" si="49"/>
        <v>34192000</v>
      </c>
      <c r="L114" s="141">
        <f t="shared" si="49"/>
        <v>54072000</v>
      </c>
      <c r="M114" s="141">
        <f t="shared" si="49"/>
        <v>57970314.400000006</v>
      </c>
      <c r="N114" s="141">
        <f t="shared" si="49"/>
        <v>57970314.400000006</v>
      </c>
      <c r="O114" s="141">
        <f t="shared" si="49"/>
        <v>57970314.400000006</v>
      </c>
      <c r="P114" s="141">
        <f t="shared" si="49"/>
        <v>57970314.400000006</v>
      </c>
      <c r="Q114" s="141">
        <f t="shared" si="49"/>
        <v>57970314.400000006</v>
      </c>
      <c r="R114" s="141">
        <f t="shared" si="49"/>
        <v>57970314.400000006</v>
      </c>
      <c r="S114" s="141">
        <f t="shared" si="49"/>
        <v>57970314.400000006</v>
      </c>
      <c r="T114" s="130">
        <f t="shared" si="49"/>
        <v>0</v>
      </c>
    </row>
    <row r="115" spans="1:20" s="151" customFormat="1" hidden="1" x14ac:dyDescent="0.4">
      <c r="A115" s="176"/>
      <c r="B115" s="164"/>
      <c r="C115" s="149"/>
      <c r="D115" s="149"/>
      <c r="E115" s="149"/>
      <c r="F115" s="149"/>
      <c r="G115" s="150"/>
      <c r="H115" s="150"/>
      <c r="I115" s="150"/>
      <c r="J115" s="150"/>
      <c r="K115" s="150"/>
      <c r="L115" s="150"/>
      <c r="M115" s="150"/>
      <c r="N115" s="150"/>
      <c r="O115" s="150"/>
      <c r="P115" s="150"/>
      <c r="Q115" s="150"/>
      <c r="R115" s="150"/>
      <c r="S115" s="150"/>
      <c r="T115" s="150"/>
    </row>
    <row r="116" spans="1:20" s="151" customFormat="1" hidden="1" x14ac:dyDescent="0.4">
      <c r="A116" s="176"/>
      <c r="B116" s="164"/>
      <c r="C116" s="149"/>
      <c r="D116" s="149"/>
      <c r="E116" s="149"/>
      <c r="F116" s="149"/>
      <c r="G116" s="150"/>
      <c r="H116" s="150"/>
      <c r="I116" s="150"/>
      <c r="J116" s="150"/>
      <c r="K116" s="150"/>
      <c r="L116" s="150"/>
      <c r="M116" s="150"/>
      <c r="N116" s="150"/>
      <c r="O116" s="150"/>
      <c r="P116" s="150"/>
      <c r="Q116" s="150"/>
      <c r="R116" s="150"/>
      <c r="S116" s="150"/>
      <c r="T116" s="150"/>
    </row>
    <row r="117" spans="1:20" s="151" customFormat="1" hidden="1" x14ac:dyDescent="0.4">
      <c r="A117" s="176"/>
      <c r="B117" s="164"/>
      <c r="C117" s="149"/>
      <c r="D117" s="149"/>
      <c r="E117" s="149"/>
      <c r="F117" s="149"/>
      <c r="G117" s="150"/>
      <c r="H117" s="150"/>
      <c r="I117" s="150"/>
      <c r="J117" s="150"/>
      <c r="K117" s="150"/>
      <c r="L117" s="150"/>
      <c r="M117" s="150"/>
      <c r="N117" s="150"/>
      <c r="O117" s="150"/>
      <c r="P117" s="150"/>
      <c r="Q117" s="150"/>
      <c r="R117" s="150"/>
      <c r="S117" s="150"/>
      <c r="T117" s="150"/>
    </row>
    <row r="118" spans="1:20" s="151" customFormat="1" x14ac:dyDescent="0.4">
      <c r="A118" s="176"/>
      <c r="B118" s="164"/>
      <c r="C118" s="152"/>
      <c r="D118" s="152"/>
      <c r="E118" s="152"/>
      <c r="F118" s="152"/>
      <c r="G118" s="153"/>
      <c r="H118" s="153"/>
      <c r="I118" s="153"/>
      <c r="J118" s="153"/>
      <c r="K118" s="153"/>
      <c r="L118" s="153"/>
      <c r="M118" s="153"/>
      <c r="N118" s="153"/>
      <c r="O118" s="153"/>
      <c r="P118" s="153"/>
      <c r="Q118" s="153"/>
      <c r="R118" s="153"/>
      <c r="S118" s="153"/>
      <c r="T118" s="153"/>
    </row>
    <row r="119" spans="1:20" s="151" customFormat="1" x14ac:dyDescent="0.4">
      <c r="A119" s="176"/>
      <c r="B119" s="164"/>
      <c r="C119" s="152"/>
      <c r="D119" s="152"/>
      <c r="E119" s="152"/>
      <c r="F119" s="152"/>
      <c r="G119" s="153"/>
      <c r="H119" s="153"/>
      <c r="I119" s="153"/>
      <c r="J119" s="153"/>
      <c r="K119" s="153"/>
      <c r="L119" s="153"/>
      <c r="M119" s="153"/>
      <c r="N119" s="153"/>
      <c r="O119" s="153"/>
      <c r="P119" s="153"/>
      <c r="Q119" s="153"/>
      <c r="R119" s="153"/>
      <c r="S119" s="153"/>
      <c r="T119" s="153"/>
    </row>
    <row r="120" spans="1:20" s="151" customFormat="1" x14ac:dyDescent="0.4">
      <c r="A120" s="176"/>
      <c r="B120" s="164"/>
      <c r="C120" s="149"/>
      <c r="D120" s="149"/>
      <c r="E120" s="149"/>
      <c r="F120" s="149"/>
      <c r="G120" s="150"/>
      <c r="H120" s="150"/>
      <c r="I120" s="150"/>
      <c r="J120" s="150"/>
      <c r="K120" s="150"/>
      <c r="L120" s="150"/>
      <c r="M120" s="150"/>
      <c r="N120" s="150"/>
      <c r="O120" s="150"/>
      <c r="P120" s="150"/>
      <c r="Q120" s="150"/>
      <c r="R120" s="150"/>
      <c r="S120" s="150"/>
      <c r="T120" s="150"/>
    </row>
    <row r="121" spans="1:20" s="151" customFormat="1" ht="18" thickBot="1" x14ac:dyDescent="0.45">
      <c r="A121" s="176"/>
      <c r="B121" s="164"/>
      <c r="C121" s="149"/>
      <c r="D121" s="149"/>
      <c r="E121" s="149"/>
      <c r="F121" s="149"/>
      <c r="G121" s="150"/>
      <c r="H121" s="150"/>
      <c r="I121" s="150"/>
      <c r="J121" s="150"/>
      <c r="K121" s="150"/>
      <c r="L121" s="150"/>
      <c r="M121" s="150"/>
      <c r="N121" s="150"/>
      <c r="O121" s="150"/>
      <c r="P121" s="150"/>
      <c r="Q121" s="150"/>
      <c r="R121" s="150"/>
      <c r="S121" s="150"/>
      <c r="T121" s="150"/>
    </row>
    <row r="122" spans="1:20" x14ac:dyDescent="0.4">
      <c r="C122" s="107" t="s">
        <v>538</v>
      </c>
      <c r="G122" s="148">
        <f>SUM(G130,G136,G142)</f>
        <v>896840000</v>
      </c>
      <c r="H122" s="146">
        <f t="shared" ref="H122:S122" si="50">SUM(H130,H136,H142)</f>
        <v>466000000</v>
      </c>
      <c r="I122" s="146">
        <f t="shared" si="50"/>
        <v>430840000</v>
      </c>
      <c r="J122" s="146">
        <f t="shared" si="50"/>
        <v>31500000</v>
      </c>
      <c r="K122" s="146">
        <f t="shared" si="50"/>
        <v>68200000</v>
      </c>
      <c r="L122" s="146">
        <f t="shared" si="50"/>
        <v>88080000</v>
      </c>
      <c r="M122" s="146">
        <f t="shared" si="50"/>
        <v>38580000</v>
      </c>
      <c r="N122" s="146">
        <f t="shared" si="50"/>
        <v>34080000</v>
      </c>
      <c r="O122" s="146">
        <f t="shared" si="50"/>
        <v>34080000</v>
      </c>
      <c r="P122" s="146">
        <f t="shared" si="50"/>
        <v>34080000</v>
      </c>
      <c r="Q122" s="146">
        <f t="shared" si="50"/>
        <v>34080000</v>
      </c>
      <c r="R122" s="146">
        <f t="shared" si="50"/>
        <v>34080000</v>
      </c>
      <c r="S122" s="146">
        <f t="shared" si="50"/>
        <v>34080000</v>
      </c>
      <c r="T122" s="147"/>
    </row>
    <row r="123" spans="1:20" ht="5.4" customHeight="1" thickBot="1" x14ac:dyDescent="0.45"/>
    <row r="124" spans="1:20" x14ac:dyDescent="0.4">
      <c r="C124" s="165" t="s">
        <v>534</v>
      </c>
      <c r="D124" s="154" t="s">
        <v>2</v>
      </c>
      <c r="E124" s="154" t="s">
        <v>3</v>
      </c>
      <c r="F124" s="154" t="s">
        <v>4</v>
      </c>
      <c r="G124" s="154" t="s">
        <v>526</v>
      </c>
      <c r="H124" s="154" t="s">
        <v>524</v>
      </c>
      <c r="I124" s="154" t="s">
        <v>525</v>
      </c>
      <c r="J124" s="154" t="s">
        <v>41</v>
      </c>
      <c r="K124" s="154" t="s">
        <v>371</v>
      </c>
      <c r="L124" s="154" t="s">
        <v>372</v>
      </c>
      <c r="M124" s="154" t="s">
        <v>373</v>
      </c>
      <c r="N124" s="154" t="s">
        <v>374</v>
      </c>
      <c r="O124" s="154" t="s">
        <v>375</v>
      </c>
      <c r="P124" s="154" t="s">
        <v>376</v>
      </c>
      <c r="Q124" s="154" t="s">
        <v>377</v>
      </c>
      <c r="R124" s="154" t="s">
        <v>378</v>
      </c>
      <c r="S124" s="154" t="s">
        <v>379</v>
      </c>
      <c r="T124" s="127" t="s">
        <v>188</v>
      </c>
    </row>
    <row r="125" spans="1:20" x14ac:dyDescent="0.4">
      <c r="C125" s="166" t="s">
        <v>160</v>
      </c>
      <c r="D125" s="161" t="s">
        <v>359</v>
      </c>
      <c r="E125" s="161" t="s">
        <v>400</v>
      </c>
      <c r="F125" s="161" t="s">
        <v>527</v>
      </c>
      <c r="G125" s="170">
        <v>182000000</v>
      </c>
      <c r="H125" s="170">
        <v>182000000</v>
      </c>
      <c r="I125" s="171">
        <v>0</v>
      </c>
      <c r="J125" s="171">
        <v>0</v>
      </c>
      <c r="K125" s="171">
        <v>0</v>
      </c>
      <c r="L125" s="171">
        <v>0</v>
      </c>
      <c r="M125" s="171">
        <v>0</v>
      </c>
      <c r="N125" s="171">
        <v>0</v>
      </c>
      <c r="O125" s="171">
        <v>0</v>
      </c>
      <c r="P125" s="171">
        <v>0</v>
      </c>
      <c r="Q125" s="171">
        <v>0</v>
      </c>
      <c r="R125" s="171">
        <v>0</v>
      </c>
      <c r="S125" s="171">
        <v>0</v>
      </c>
      <c r="T125" s="142">
        <v>0</v>
      </c>
    </row>
    <row r="126" spans="1:20" x14ac:dyDescent="0.4">
      <c r="C126" s="167" t="s">
        <v>160</v>
      </c>
      <c r="D126" s="158" t="s">
        <v>359</v>
      </c>
      <c r="E126" s="158" t="s">
        <v>400</v>
      </c>
      <c r="F126" s="158" t="s">
        <v>528</v>
      </c>
      <c r="G126" s="172">
        <v>236000000</v>
      </c>
      <c r="H126" s="172">
        <v>236000000</v>
      </c>
      <c r="I126" s="173">
        <v>0</v>
      </c>
      <c r="J126" s="173">
        <v>0</v>
      </c>
      <c r="K126" s="173">
        <v>0</v>
      </c>
      <c r="L126" s="173">
        <v>0</v>
      </c>
      <c r="M126" s="173">
        <v>0</v>
      </c>
      <c r="N126" s="173">
        <v>0</v>
      </c>
      <c r="O126" s="173">
        <v>0</v>
      </c>
      <c r="P126" s="173">
        <v>0</v>
      </c>
      <c r="Q126" s="173">
        <v>0</v>
      </c>
      <c r="R126" s="173">
        <v>0</v>
      </c>
      <c r="S126" s="173">
        <v>0</v>
      </c>
      <c r="T126" s="143">
        <v>0</v>
      </c>
    </row>
    <row r="127" spans="1:20" x14ac:dyDescent="0.4">
      <c r="C127" s="167" t="s">
        <v>160</v>
      </c>
      <c r="D127" s="158" t="s">
        <v>359</v>
      </c>
      <c r="E127" s="158" t="s">
        <v>400</v>
      </c>
      <c r="F127" s="158" t="s">
        <v>529</v>
      </c>
      <c r="G127" s="172">
        <v>0</v>
      </c>
      <c r="H127" s="172">
        <v>0</v>
      </c>
      <c r="I127" s="173">
        <v>0</v>
      </c>
      <c r="J127" s="173">
        <v>0</v>
      </c>
      <c r="K127" s="173">
        <v>0</v>
      </c>
      <c r="L127" s="173">
        <v>0</v>
      </c>
      <c r="M127" s="173">
        <v>0</v>
      </c>
      <c r="N127" s="173">
        <v>0</v>
      </c>
      <c r="O127" s="173">
        <v>0</v>
      </c>
      <c r="P127" s="173">
        <v>0</v>
      </c>
      <c r="Q127" s="173">
        <v>0</v>
      </c>
      <c r="R127" s="173">
        <v>0</v>
      </c>
      <c r="S127" s="173">
        <v>0</v>
      </c>
      <c r="T127" s="143">
        <v>0</v>
      </c>
    </row>
    <row r="128" spans="1:20" x14ac:dyDescent="0.4">
      <c r="C128" s="167" t="s">
        <v>160</v>
      </c>
      <c r="D128" s="158" t="s">
        <v>359</v>
      </c>
      <c r="E128" s="158" t="s">
        <v>400</v>
      </c>
      <c r="F128" s="158" t="s">
        <v>530</v>
      </c>
      <c r="G128" s="172">
        <v>48000000</v>
      </c>
      <c r="H128" s="172">
        <v>48000000</v>
      </c>
      <c r="I128" s="173">
        <v>0</v>
      </c>
      <c r="J128" s="173">
        <v>0</v>
      </c>
      <c r="K128" s="173">
        <v>0</v>
      </c>
      <c r="L128" s="173">
        <v>0</v>
      </c>
      <c r="M128" s="173">
        <v>0</v>
      </c>
      <c r="N128" s="173">
        <v>0</v>
      </c>
      <c r="O128" s="173">
        <v>0</v>
      </c>
      <c r="P128" s="173">
        <v>0</v>
      </c>
      <c r="Q128" s="173">
        <v>0</v>
      </c>
      <c r="R128" s="173">
        <v>0</v>
      </c>
      <c r="S128" s="173">
        <v>0</v>
      </c>
      <c r="T128" s="143">
        <v>0</v>
      </c>
    </row>
    <row r="129" spans="3:20" x14ac:dyDescent="0.4">
      <c r="C129" s="179" t="s">
        <v>160</v>
      </c>
      <c r="D129" s="180" t="s">
        <v>359</v>
      </c>
      <c r="E129" s="180" t="s">
        <v>400</v>
      </c>
      <c r="F129" s="180" t="s">
        <v>151</v>
      </c>
      <c r="G129" s="172">
        <v>0</v>
      </c>
      <c r="H129" s="172">
        <v>0</v>
      </c>
      <c r="I129" s="173">
        <v>0</v>
      </c>
      <c r="J129" s="173">
        <v>0</v>
      </c>
      <c r="K129" s="173">
        <v>0</v>
      </c>
      <c r="L129" s="173">
        <v>0</v>
      </c>
      <c r="M129" s="173">
        <v>0</v>
      </c>
      <c r="N129" s="173">
        <v>0</v>
      </c>
      <c r="O129" s="173">
        <v>0</v>
      </c>
      <c r="P129" s="173">
        <v>0</v>
      </c>
      <c r="Q129" s="173">
        <v>0</v>
      </c>
      <c r="R129" s="173">
        <v>0</v>
      </c>
      <c r="S129" s="173">
        <v>0</v>
      </c>
      <c r="T129" s="143">
        <v>0</v>
      </c>
    </row>
    <row r="130" spans="3:20" x14ac:dyDescent="0.4">
      <c r="C130" s="168" t="s">
        <v>386</v>
      </c>
      <c r="D130" s="159"/>
      <c r="E130" s="159"/>
      <c r="F130" s="159"/>
      <c r="G130" s="160">
        <f>SUM(G125:G129)</f>
        <v>466000000</v>
      </c>
      <c r="H130" s="160">
        <f>SUM(H125:H129)</f>
        <v>466000000</v>
      </c>
      <c r="I130" s="160">
        <f>SUM(I125:I129)</f>
        <v>0</v>
      </c>
      <c r="J130" s="160">
        <f t="shared" ref="J130" si="51">SUM(J125:J129)</f>
        <v>0</v>
      </c>
      <c r="K130" s="160">
        <f t="shared" ref="K130" si="52">SUM(K125:K129)</f>
        <v>0</v>
      </c>
      <c r="L130" s="160">
        <f t="shared" ref="L130" si="53">SUM(L125:L129)</f>
        <v>0</v>
      </c>
      <c r="M130" s="160">
        <f t="shared" ref="M130" si="54">SUM(M125:M129)</f>
        <v>0</v>
      </c>
      <c r="N130" s="160">
        <f t="shared" ref="N130" si="55">SUM(N125:N129)</f>
        <v>0</v>
      </c>
      <c r="O130" s="160">
        <f t="shared" ref="O130" si="56">SUM(O125:O129)</f>
        <v>0</v>
      </c>
      <c r="P130" s="160">
        <f t="shared" ref="P130" si="57">SUM(P125:P129)</f>
        <v>0</v>
      </c>
      <c r="Q130" s="160">
        <f t="shared" ref="Q130" si="58">SUM(Q125:Q129)</f>
        <v>0</v>
      </c>
      <c r="R130" s="160">
        <f t="shared" ref="R130" si="59">SUM(R125:R129)</f>
        <v>0</v>
      </c>
      <c r="S130" s="160">
        <f t="shared" ref="S130" si="60">SUM(S125:S129)</f>
        <v>0</v>
      </c>
      <c r="T130" s="129">
        <f t="shared" ref="T130" si="61">SUM(T125:T129)</f>
        <v>0</v>
      </c>
    </row>
    <row r="131" spans="3:20" ht="20.399999999999999" customHeight="1" x14ac:dyDescent="0.4">
      <c r="C131" s="167" t="s">
        <v>160</v>
      </c>
      <c r="D131" s="158" t="s">
        <v>381</v>
      </c>
      <c r="E131" s="158" t="s">
        <v>153</v>
      </c>
      <c r="F131" s="158" t="s">
        <v>156</v>
      </c>
      <c r="G131" s="172">
        <v>144000000</v>
      </c>
      <c r="H131" s="172">
        <v>0</v>
      </c>
      <c r="I131" s="172">
        <v>144000000</v>
      </c>
      <c r="J131" s="172">
        <v>31500000</v>
      </c>
      <c r="K131" s="172">
        <v>54000000</v>
      </c>
      <c r="L131" s="172">
        <v>54000000</v>
      </c>
      <c r="M131" s="172">
        <v>4500000</v>
      </c>
      <c r="N131" s="172">
        <v>0</v>
      </c>
      <c r="O131" s="172">
        <v>0</v>
      </c>
      <c r="P131" s="172">
        <v>0</v>
      </c>
      <c r="Q131" s="172">
        <v>0</v>
      </c>
      <c r="R131" s="172">
        <v>0</v>
      </c>
      <c r="S131" s="172">
        <v>0</v>
      </c>
      <c r="T131" s="113">
        <v>0</v>
      </c>
    </row>
    <row r="132" spans="3:20" x14ac:dyDescent="0.4">
      <c r="C132" s="167" t="s">
        <v>160</v>
      </c>
      <c r="D132" s="158" t="s">
        <v>359</v>
      </c>
      <c r="E132" s="158" t="s">
        <v>531</v>
      </c>
      <c r="F132" s="158" t="s">
        <v>533</v>
      </c>
      <c r="G132" s="172">
        <v>0</v>
      </c>
      <c r="H132" s="172">
        <v>0</v>
      </c>
      <c r="I132" s="172">
        <v>0</v>
      </c>
      <c r="J132" s="172">
        <v>0</v>
      </c>
      <c r="K132" s="172">
        <v>0</v>
      </c>
      <c r="L132" s="172">
        <v>0</v>
      </c>
      <c r="M132" s="172">
        <v>0</v>
      </c>
      <c r="N132" s="172">
        <v>0</v>
      </c>
      <c r="O132" s="172">
        <v>0</v>
      </c>
      <c r="P132" s="172">
        <v>0</v>
      </c>
      <c r="Q132" s="172">
        <v>0</v>
      </c>
      <c r="R132" s="172">
        <v>0</v>
      </c>
      <c r="S132" s="172">
        <v>0</v>
      </c>
      <c r="T132" s="113">
        <v>0</v>
      </c>
    </row>
    <row r="133" spans="3:20" x14ac:dyDescent="0.4">
      <c r="C133" s="179" t="s">
        <v>160</v>
      </c>
      <c r="D133" s="180" t="s">
        <v>359</v>
      </c>
      <c r="E133" s="180" t="s">
        <v>531</v>
      </c>
      <c r="F133" s="180" t="s">
        <v>151</v>
      </c>
      <c r="G133" s="172">
        <v>0</v>
      </c>
      <c r="H133" s="172">
        <v>0</v>
      </c>
      <c r="I133" s="172">
        <v>0</v>
      </c>
      <c r="J133" s="172">
        <v>0</v>
      </c>
      <c r="K133" s="172">
        <v>0</v>
      </c>
      <c r="L133" s="172">
        <v>0</v>
      </c>
      <c r="M133" s="172">
        <v>0</v>
      </c>
      <c r="N133" s="172">
        <v>0</v>
      </c>
      <c r="O133" s="172">
        <v>0</v>
      </c>
      <c r="P133" s="172">
        <v>0</v>
      </c>
      <c r="Q133" s="172">
        <v>0</v>
      </c>
      <c r="R133" s="172">
        <v>0</v>
      </c>
      <c r="S133" s="172">
        <v>0</v>
      </c>
      <c r="T133" s="113">
        <v>0</v>
      </c>
    </row>
    <row r="134" spans="3:20" x14ac:dyDescent="0.4">
      <c r="C134" s="179" t="s">
        <v>160</v>
      </c>
      <c r="D134" s="180" t="s">
        <v>359</v>
      </c>
      <c r="E134" s="180" t="s">
        <v>531</v>
      </c>
      <c r="F134" s="180" t="s">
        <v>151</v>
      </c>
      <c r="G134" s="172">
        <v>0</v>
      </c>
      <c r="H134" s="172">
        <v>0</v>
      </c>
      <c r="I134" s="172">
        <v>0</v>
      </c>
      <c r="J134" s="172">
        <v>0</v>
      </c>
      <c r="K134" s="172">
        <v>0</v>
      </c>
      <c r="L134" s="172">
        <v>0</v>
      </c>
      <c r="M134" s="172">
        <v>0</v>
      </c>
      <c r="N134" s="172">
        <v>0</v>
      </c>
      <c r="O134" s="172">
        <v>0</v>
      </c>
      <c r="P134" s="172">
        <v>0</v>
      </c>
      <c r="Q134" s="172">
        <v>0</v>
      </c>
      <c r="R134" s="172">
        <v>0</v>
      </c>
      <c r="S134" s="172">
        <v>0</v>
      </c>
      <c r="T134" s="113">
        <v>0</v>
      </c>
    </row>
    <row r="135" spans="3:20" x14ac:dyDescent="0.4">
      <c r="C135" s="179" t="s">
        <v>160</v>
      </c>
      <c r="D135" s="180" t="s">
        <v>359</v>
      </c>
      <c r="E135" s="180" t="s">
        <v>531</v>
      </c>
      <c r="F135" s="180" t="s">
        <v>151</v>
      </c>
      <c r="G135" s="172">
        <v>0</v>
      </c>
      <c r="H135" s="172">
        <v>0</v>
      </c>
      <c r="I135" s="172">
        <v>0</v>
      </c>
      <c r="J135" s="172">
        <v>0</v>
      </c>
      <c r="K135" s="172">
        <v>0</v>
      </c>
      <c r="L135" s="172">
        <v>0</v>
      </c>
      <c r="M135" s="172">
        <v>0</v>
      </c>
      <c r="N135" s="172">
        <v>0</v>
      </c>
      <c r="O135" s="172">
        <v>0</v>
      </c>
      <c r="P135" s="172">
        <v>0</v>
      </c>
      <c r="Q135" s="172">
        <v>0</v>
      </c>
      <c r="R135" s="172">
        <v>0</v>
      </c>
      <c r="S135" s="172">
        <v>0</v>
      </c>
      <c r="T135" s="113">
        <v>0</v>
      </c>
    </row>
    <row r="136" spans="3:20" x14ac:dyDescent="0.4">
      <c r="C136" s="168" t="s">
        <v>386</v>
      </c>
      <c r="D136" s="159"/>
      <c r="E136" s="159"/>
      <c r="F136" s="159"/>
      <c r="G136" s="160">
        <f>SUM(G131:G135)</f>
        <v>144000000</v>
      </c>
      <c r="H136" s="160">
        <f>SUM(H131:H135)</f>
        <v>0</v>
      </c>
      <c r="I136" s="160">
        <f>SUM(I131:I135)</f>
        <v>144000000</v>
      </c>
      <c r="J136" s="160">
        <f t="shared" ref="J136" si="62">SUM(J131:J135)</f>
        <v>31500000</v>
      </c>
      <c r="K136" s="160">
        <f t="shared" ref="K136" si="63">SUM(K131:K135)</f>
        <v>54000000</v>
      </c>
      <c r="L136" s="160">
        <f t="shared" ref="L136" si="64">SUM(L131:L135)</f>
        <v>54000000</v>
      </c>
      <c r="M136" s="160">
        <f t="shared" ref="M136" si="65">SUM(M131:M135)</f>
        <v>4500000</v>
      </c>
      <c r="N136" s="160">
        <f t="shared" ref="N136" si="66">SUM(N131:N135)</f>
        <v>0</v>
      </c>
      <c r="O136" s="160">
        <f t="shared" ref="O136" si="67">SUM(O131:O135)</f>
        <v>0</v>
      </c>
      <c r="P136" s="160">
        <f t="shared" ref="P136" si="68">SUM(P131:P135)</f>
        <v>0</v>
      </c>
      <c r="Q136" s="160">
        <f t="shared" ref="Q136" si="69">SUM(Q131:Q135)</f>
        <v>0</v>
      </c>
      <c r="R136" s="160">
        <f t="shared" ref="R136" si="70">SUM(R131:R135)</f>
        <v>0</v>
      </c>
      <c r="S136" s="160">
        <f t="shared" ref="S136" si="71">SUM(S131:S135)</f>
        <v>0</v>
      </c>
      <c r="T136" s="129">
        <f t="shared" ref="T136" si="72">SUM(T131:T135)</f>
        <v>0</v>
      </c>
    </row>
    <row r="137" spans="3:20" x14ac:dyDescent="0.4">
      <c r="C137" s="167" t="s">
        <v>160</v>
      </c>
      <c r="D137" s="158" t="s">
        <v>359</v>
      </c>
      <c r="E137" s="158" t="s">
        <v>532</v>
      </c>
      <c r="F137" s="158" t="s">
        <v>528</v>
      </c>
      <c r="G137" s="172">
        <v>238360000</v>
      </c>
      <c r="H137" s="172">
        <v>0</v>
      </c>
      <c r="I137" s="172">
        <v>238360000</v>
      </c>
      <c r="J137" s="172">
        <v>0</v>
      </c>
      <c r="K137" s="172">
        <v>11800000</v>
      </c>
      <c r="L137" s="172">
        <v>28320000</v>
      </c>
      <c r="M137" s="172">
        <v>28320000</v>
      </c>
      <c r="N137" s="172">
        <v>28320000</v>
      </c>
      <c r="O137" s="172">
        <v>28320000</v>
      </c>
      <c r="P137" s="172">
        <v>28320000</v>
      </c>
      <c r="Q137" s="172">
        <v>28320000</v>
      </c>
      <c r="R137" s="172">
        <v>28320000</v>
      </c>
      <c r="S137" s="172">
        <v>28320000</v>
      </c>
      <c r="T137" s="113">
        <v>0</v>
      </c>
    </row>
    <row r="138" spans="3:20" x14ac:dyDescent="0.4">
      <c r="C138" s="167" t="s">
        <v>160</v>
      </c>
      <c r="D138" s="158" t="s">
        <v>359</v>
      </c>
      <c r="E138" s="158" t="s">
        <v>532</v>
      </c>
      <c r="F138" s="158" t="s">
        <v>529</v>
      </c>
      <c r="G138" s="172">
        <v>0</v>
      </c>
      <c r="H138" s="172">
        <v>0</v>
      </c>
      <c r="I138" s="172">
        <v>0</v>
      </c>
      <c r="J138" s="172">
        <v>0</v>
      </c>
      <c r="K138" s="172">
        <v>0</v>
      </c>
      <c r="L138" s="172">
        <v>0</v>
      </c>
      <c r="M138" s="172">
        <v>0</v>
      </c>
      <c r="N138" s="172">
        <v>0</v>
      </c>
      <c r="O138" s="172">
        <v>0</v>
      </c>
      <c r="P138" s="172">
        <v>0</v>
      </c>
      <c r="Q138" s="172">
        <v>0</v>
      </c>
      <c r="R138" s="172">
        <v>0</v>
      </c>
      <c r="S138" s="172">
        <v>0</v>
      </c>
      <c r="T138" s="113">
        <v>0</v>
      </c>
    </row>
    <row r="139" spans="3:20" x14ac:dyDescent="0.4">
      <c r="C139" s="167" t="s">
        <v>160</v>
      </c>
      <c r="D139" s="158" t="s">
        <v>359</v>
      </c>
      <c r="E139" s="158" t="s">
        <v>532</v>
      </c>
      <c r="F139" s="158" t="s">
        <v>530</v>
      </c>
      <c r="G139" s="172">
        <v>48480000</v>
      </c>
      <c r="H139" s="172">
        <v>0</v>
      </c>
      <c r="I139" s="172">
        <v>48480000</v>
      </c>
      <c r="J139" s="172">
        <v>0</v>
      </c>
      <c r="K139" s="172">
        <v>2400000</v>
      </c>
      <c r="L139" s="172">
        <v>5760000</v>
      </c>
      <c r="M139" s="172">
        <v>5760000</v>
      </c>
      <c r="N139" s="172">
        <v>5760000</v>
      </c>
      <c r="O139" s="172">
        <v>5760000</v>
      </c>
      <c r="P139" s="172">
        <v>5760000</v>
      </c>
      <c r="Q139" s="172">
        <v>5760000</v>
      </c>
      <c r="R139" s="172">
        <v>5760000</v>
      </c>
      <c r="S139" s="172">
        <v>5760000</v>
      </c>
      <c r="T139" s="113">
        <v>0</v>
      </c>
    </row>
    <row r="140" spans="3:20" x14ac:dyDescent="0.4">
      <c r="C140" s="179" t="s">
        <v>160</v>
      </c>
      <c r="D140" s="180" t="s">
        <v>359</v>
      </c>
      <c r="E140" s="180" t="s">
        <v>532</v>
      </c>
      <c r="F140" s="180" t="s">
        <v>151</v>
      </c>
      <c r="G140" s="172">
        <v>0</v>
      </c>
      <c r="H140" s="172">
        <v>0</v>
      </c>
      <c r="I140" s="172">
        <v>0</v>
      </c>
      <c r="J140" s="172">
        <v>0</v>
      </c>
      <c r="K140" s="172">
        <v>0</v>
      </c>
      <c r="L140" s="172">
        <v>0</v>
      </c>
      <c r="M140" s="172">
        <v>0</v>
      </c>
      <c r="N140" s="172">
        <v>0</v>
      </c>
      <c r="O140" s="172">
        <v>0</v>
      </c>
      <c r="P140" s="172">
        <v>0</v>
      </c>
      <c r="Q140" s="172">
        <v>0</v>
      </c>
      <c r="R140" s="172">
        <v>0</v>
      </c>
      <c r="S140" s="172">
        <v>0</v>
      </c>
      <c r="T140" s="113">
        <v>0</v>
      </c>
    </row>
    <row r="141" spans="3:20" x14ac:dyDescent="0.4">
      <c r="C141" s="179" t="s">
        <v>160</v>
      </c>
      <c r="D141" s="180" t="s">
        <v>359</v>
      </c>
      <c r="E141" s="180" t="s">
        <v>532</v>
      </c>
      <c r="F141" s="180" t="s">
        <v>151</v>
      </c>
      <c r="G141" s="172">
        <v>0</v>
      </c>
      <c r="H141" s="172">
        <v>0</v>
      </c>
      <c r="I141" s="172">
        <v>0</v>
      </c>
      <c r="J141" s="172">
        <v>0</v>
      </c>
      <c r="K141" s="172">
        <v>0</v>
      </c>
      <c r="L141" s="172">
        <v>0</v>
      </c>
      <c r="M141" s="172">
        <v>0</v>
      </c>
      <c r="N141" s="172">
        <v>0</v>
      </c>
      <c r="O141" s="172">
        <v>0</v>
      </c>
      <c r="P141" s="172">
        <v>0</v>
      </c>
      <c r="Q141" s="172">
        <v>0</v>
      </c>
      <c r="R141" s="172">
        <v>0</v>
      </c>
      <c r="S141" s="172">
        <v>0</v>
      </c>
      <c r="T141" s="113">
        <v>0</v>
      </c>
    </row>
    <row r="142" spans="3:20" ht="18" thickBot="1" x14ac:dyDescent="0.45">
      <c r="C142" s="169" t="s">
        <v>386</v>
      </c>
      <c r="D142" s="155"/>
      <c r="E142" s="155"/>
      <c r="F142" s="155"/>
      <c r="G142" s="156">
        <f>SUM(G137:G141)</f>
        <v>286840000</v>
      </c>
      <c r="H142" s="156">
        <f>SUM(H137:H141)</f>
        <v>0</v>
      </c>
      <c r="I142" s="156">
        <f>SUM(I137:I141)</f>
        <v>286840000</v>
      </c>
      <c r="J142" s="156">
        <f t="shared" ref="J142" si="73">SUM(J137:J141)</f>
        <v>0</v>
      </c>
      <c r="K142" s="156">
        <f t="shared" ref="K142" si="74">SUM(K137:K141)</f>
        <v>14200000</v>
      </c>
      <c r="L142" s="156">
        <f t="shared" ref="L142" si="75">SUM(L137:L141)</f>
        <v>34080000</v>
      </c>
      <c r="M142" s="156">
        <f t="shared" ref="M142" si="76">SUM(M137:M141)</f>
        <v>34080000</v>
      </c>
      <c r="N142" s="156">
        <f t="shared" ref="N142" si="77">SUM(N137:N141)</f>
        <v>34080000</v>
      </c>
      <c r="O142" s="156">
        <f t="shared" ref="O142" si="78">SUM(O137:O141)</f>
        <v>34080000</v>
      </c>
      <c r="P142" s="156">
        <f t="shared" ref="P142" si="79">SUM(P137:P141)</f>
        <v>34080000</v>
      </c>
      <c r="Q142" s="156">
        <f t="shared" ref="Q142" si="80">SUM(Q137:Q141)</f>
        <v>34080000</v>
      </c>
      <c r="R142" s="156">
        <f t="shared" ref="R142" si="81">SUM(R137:R141)</f>
        <v>34080000</v>
      </c>
      <c r="S142" s="156">
        <f t="shared" ref="S142" si="82">SUM(S137:S141)</f>
        <v>34080000</v>
      </c>
      <c r="T142" s="130">
        <f t="shared" ref="T142" si="83">SUM(T137:T141)</f>
        <v>0</v>
      </c>
    </row>
    <row r="143" spans="3:20" x14ac:dyDescent="0.4">
      <c r="G143" s="144"/>
      <c r="H143" s="144"/>
      <c r="I143" s="144"/>
      <c r="J143" s="144"/>
      <c r="K143" s="144"/>
      <c r="L143" s="144"/>
      <c r="M143" s="144"/>
      <c r="N143" s="144"/>
      <c r="O143" s="144"/>
      <c r="P143" s="144"/>
      <c r="Q143" s="144"/>
      <c r="R143" s="144"/>
      <c r="S143" s="144"/>
      <c r="T143" s="144"/>
    </row>
    <row r="144" spans="3:20" x14ac:dyDescent="0.4">
      <c r="G144" s="144"/>
      <c r="H144" s="144"/>
      <c r="I144" s="144"/>
      <c r="J144" s="144"/>
      <c r="K144" s="144"/>
      <c r="L144" s="144"/>
      <c r="M144" s="144"/>
      <c r="N144" s="144"/>
      <c r="O144" s="144"/>
      <c r="P144" s="144"/>
      <c r="Q144" s="144"/>
      <c r="R144" s="144"/>
      <c r="S144" s="144"/>
      <c r="T144" s="144"/>
    </row>
    <row r="145" spans="3:20" ht="18" thickBot="1" x14ac:dyDescent="0.45">
      <c r="G145" s="144"/>
      <c r="H145" s="144"/>
      <c r="I145" s="144"/>
      <c r="J145" s="144"/>
      <c r="K145" s="144"/>
      <c r="L145" s="144"/>
      <c r="M145" s="144"/>
      <c r="N145" s="144"/>
      <c r="O145" s="144"/>
      <c r="P145" s="144"/>
      <c r="Q145" s="144"/>
      <c r="R145" s="144"/>
      <c r="S145" s="144"/>
      <c r="T145" s="144"/>
    </row>
    <row r="146" spans="3:20" x14ac:dyDescent="0.4">
      <c r="C146" s="107" t="s">
        <v>539</v>
      </c>
      <c r="G146" s="148">
        <f>SUM(G154,G160,G166)</f>
        <v>349374060.79999995</v>
      </c>
      <c r="H146" s="146">
        <f t="shared" ref="H146:T146" si="84">SUM(H154,H160,H166)</f>
        <v>142157860</v>
      </c>
      <c r="I146" s="146">
        <f t="shared" si="84"/>
        <v>207216200.79999998</v>
      </c>
      <c r="J146" s="146">
        <f t="shared" si="84"/>
        <v>0</v>
      </c>
      <c r="K146" s="146">
        <f t="shared" si="84"/>
        <v>19992000</v>
      </c>
      <c r="L146" s="146">
        <f t="shared" si="84"/>
        <v>19992000</v>
      </c>
      <c r="M146" s="146">
        <f t="shared" si="84"/>
        <v>23890314.400000002</v>
      </c>
      <c r="N146" s="146">
        <f t="shared" si="84"/>
        <v>23890314.400000002</v>
      </c>
      <c r="O146" s="146">
        <f t="shared" si="84"/>
        <v>23890314.400000002</v>
      </c>
      <c r="P146" s="146">
        <f t="shared" si="84"/>
        <v>23890314.400000002</v>
      </c>
      <c r="Q146" s="146">
        <f t="shared" si="84"/>
        <v>23890314.400000002</v>
      </c>
      <c r="R146" s="146">
        <f t="shared" si="84"/>
        <v>23890314.400000002</v>
      </c>
      <c r="S146" s="146">
        <f t="shared" si="84"/>
        <v>23890314.400000002</v>
      </c>
      <c r="T146" s="147">
        <f t="shared" si="84"/>
        <v>0</v>
      </c>
    </row>
    <row r="147" spans="3:20" ht="6" customHeight="1" thickBot="1" x14ac:dyDescent="0.45">
      <c r="G147" s="144"/>
      <c r="H147" s="144"/>
      <c r="I147" s="144"/>
      <c r="J147" s="144"/>
      <c r="K147" s="144"/>
      <c r="L147" s="144"/>
      <c r="M147" s="144"/>
      <c r="N147" s="144"/>
      <c r="O147" s="144"/>
      <c r="P147" s="144"/>
      <c r="Q147" s="144"/>
      <c r="R147" s="144"/>
      <c r="S147" s="144"/>
      <c r="T147" s="144"/>
    </row>
    <row r="148" spans="3:20" x14ac:dyDescent="0.4">
      <c r="C148" s="165" t="s">
        <v>534</v>
      </c>
      <c r="D148" s="154" t="s">
        <v>2</v>
      </c>
      <c r="E148" s="154" t="s">
        <v>3</v>
      </c>
      <c r="F148" s="154" t="s">
        <v>4</v>
      </c>
      <c r="G148" s="157" t="s">
        <v>526</v>
      </c>
      <c r="H148" s="157" t="s">
        <v>524</v>
      </c>
      <c r="I148" s="157" t="s">
        <v>525</v>
      </c>
      <c r="J148" s="157" t="s">
        <v>41</v>
      </c>
      <c r="K148" s="157" t="s">
        <v>371</v>
      </c>
      <c r="L148" s="157" t="s">
        <v>372</v>
      </c>
      <c r="M148" s="157" t="s">
        <v>373</v>
      </c>
      <c r="N148" s="157" t="s">
        <v>374</v>
      </c>
      <c r="O148" s="157" t="s">
        <v>375</v>
      </c>
      <c r="P148" s="157" t="s">
        <v>376</v>
      </c>
      <c r="Q148" s="157" t="s">
        <v>377</v>
      </c>
      <c r="R148" s="157" t="s">
        <v>378</v>
      </c>
      <c r="S148" s="157" t="s">
        <v>379</v>
      </c>
      <c r="T148" s="145" t="s">
        <v>188</v>
      </c>
    </row>
    <row r="149" spans="3:20" x14ac:dyDescent="0.4">
      <c r="C149" s="166" t="s">
        <v>160</v>
      </c>
      <c r="D149" s="161" t="s">
        <v>359</v>
      </c>
      <c r="E149" s="161" t="s">
        <v>400</v>
      </c>
      <c r="F149" s="161" t="s">
        <v>527</v>
      </c>
      <c r="G149" s="170">
        <v>0</v>
      </c>
      <c r="H149" s="170">
        <v>0</v>
      </c>
      <c r="I149" s="171">
        <v>0</v>
      </c>
      <c r="J149" s="171">
        <v>0</v>
      </c>
      <c r="K149" s="171">
        <v>0</v>
      </c>
      <c r="L149" s="171">
        <v>0</v>
      </c>
      <c r="M149" s="171">
        <v>0</v>
      </c>
      <c r="N149" s="171">
        <v>0</v>
      </c>
      <c r="O149" s="171">
        <v>0</v>
      </c>
      <c r="P149" s="171">
        <v>0</v>
      </c>
      <c r="Q149" s="171">
        <v>0</v>
      </c>
      <c r="R149" s="171">
        <v>0</v>
      </c>
      <c r="S149" s="171">
        <v>0</v>
      </c>
      <c r="T149" s="142">
        <v>0</v>
      </c>
    </row>
    <row r="150" spans="3:20" x14ac:dyDescent="0.4">
      <c r="C150" s="167" t="s">
        <v>160</v>
      </c>
      <c r="D150" s="158" t="s">
        <v>359</v>
      </c>
      <c r="E150" s="158" t="s">
        <v>400</v>
      </c>
      <c r="F150" s="158" t="s">
        <v>528</v>
      </c>
      <c r="G150" s="172">
        <v>0</v>
      </c>
      <c r="H150" s="172">
        <v>0</v>
      </c>
      <c r="I150" s="173">
        <v>0</v>
      </c>
      <c r="J150" s="173">
        <v>0</v>
      </c>
      <c r="K150" s="173">
        <v>0</v>
      </c>
      <c r="L150" s="173">
        <v>0</v>
      </c>
      <c r="M150" s="173">
        <v>0</v>
      </c>
      <c r="N150" s="173">
        <v>0</v>
      </c>
      <c r="O150" s="173">
        <v>0</v>
      </c>
      <c r="P150" s="173">
        <v>0</v>
      </c>
      <c r="Q150" s="173">
        <v>0</v>
      </c>
      <c r="R150" s="173">
        <v>0</v>
      </c>
      <c r="S150" s="173">
        <v>0</v>
      </c>
      <c r="T150" s="143">
        <v>0</v>
      </c>
    </row>
    <row r="151" spans="3:20" x14ac:dyDescent="0.4">
      <c r="C151" s="167" t="s">
        <v>160</v>
      </c>
      <c r="D151" s="158" t="s">
        <v>359</v>
      </c>
      <c r="E151" s="158" t="s">
        <v>400</v>
      </c>
      <c r="F151" s="158" t="s">
        <v>529</v>
      </c>
      <c r="G151" s="172">
        <v>86957860</v>
      </c>
      <c r="H151" s="172">
        <v>86957860</v>
      </c>
      <c r="I151" s="173">
        <v>0</v>
      </c>
      <c r="J151" s="173">
        <v>0</v>
      </c>
      <c r="K151" s="173">
        <v>0</v>
      </c>
      <c r="L151" s="173">
        <v>0</v>
      </c>
      <c r="M151" s="173">
        <v>0</v>
      </c>
      <c r="N151" s="173">
        <v>0</v>
      </c>
      <c r="O151" s="173">
        <v>0</v>
      </c>
      <c r="P151" s="173">
        <v>0</v>
      </c>
      <c r="Q151" s="173">
        <v>0</v>
      </c>
      <c r="R151" s="173">
        <v>0</v>
      </c>
      <c r="S151" s="173">
        <v>0</v>
      </c>
      <c r="T151" s="143">
        <v>0</v>
      </c>
    </row>
    <row r="152" spans="3:20" x14ac:dyDescent="0.4">
      <c r="C152" s="167" t="s">
        <v>160</v>
      </c>
      <c r="D152" s="158" t="s">
        <v>359</v>
      </c>
      <c r="E152" s="158" t="s">
        <v>400</v>
      </c>
      <c r="F152" s="158" t="s">
        <v>530</v>
      </c>
      <c r="G152" s="172">
        <v>55200000</v>
      </c>
      <c r="H152" s="172">
        <v>55200000</v>
      </c>
      <c r="I152" s="173">
        <v>0</v>
      </c>
      <c r="J152" s="173">
        <v>0</v>
      </c>
      <c r="K152" s="173">
        <v>0</v>
      </c>
      <c r="L152" s="173">
        <v>0</v>
      </c>
      <c r="M152" s="173">
        <v>0</v>
      </c>
      <c r="N152" s="173">
        <v>0</v>
      </c>
      <c r="O152" s="173">
        <v>0</v>
      </c>
      <c r="P152" s="173">
        <v>0</v>
      </c>
      <c r="Q152" s="173">
        <v>0</v>
      </c>
      <c r="R152" s="173">
        <v>0</v>
      </c>
      <c r="S152" s="173">
        <v>0</v>
      </c>
      <c r="T152" s="143">
        <v>0</v>
      </c>
    </row>
    <row r="153" spans="3:20" x14ac:dyDescent="0.4">
      <c r="C153" s="179" t="s">
        <v>160</v>
      </c>
      <c r="D153" s="180" t="s">
        <v>359</v>
      </c>
      <c r="E153" s="180" t="s">
        <v>400</v>
      </c>
      <c r="F153" s="180" t="s">
        <v>151</v>
      </c>
      <c r="G153" s="172">
        <v>0</v>
      </c>
      <c r="H153" s="172">
        <v>0</v>
      </c>
      <c r="I153" s="173">
        <v>0</v>
      </c>
      <c r="J153" s="173">
        <v>0</v>
      </c>
      <c r="K153" s="173">
        <v>0</v>
      </c>
      <c r="L153" s="173">
        <v>0</v>
      </c>
      <c r="M153" s="173">
        <v>0</v>
      </c>
      <c r="N153" s="173">
        <v>0</v>
      </c>
      <c r="O153" s="173">
        <v>0</v>
      </c>
      <c r="P153" s="173">
        <v>0</v>
      </c>
      <c r="Q153" s="173">
        <v>0</v>
      </c>
      <c r="R153" s="173">
        <v>0</v>
      </c>
      <c r="S153" s="173">
        <v>0</v>
      </c>
      <c r="T153" s="143">
        <v>0</v>
      </c>
    </row>
    <row r="154" spans="3:20" x14ac:dyDescent="0.4">
      <c r="C154" s="168" t="s">
        <v>386</v>
      </c>
      <c r="D154" s="159"/>
      <c r="E154" s="159"/>
      <c r="F154" s="159"/>
      <c r="G154" s="160">
        <f>SUM(G149:G153)</f>
        <v>142157860</v>
      </c>
      <c r="H154" s="160">
        <f>SUM(H149:H153)</f>
        <v>142157860</v>
      </c>
      <c r="I154" s="160">
        <f>SUM(I149:I153)</f>
        <v>0</v>
      </c>
      <c r="J154" s="160">
        <f t="shared" ref="J154" si="85">SUM(J149:J153)</f>
        <v>0</v>
      </c>
      <c r="K154" s="160">
        <f t="shared" ref="K154" si="86">SUM(K149:K153)</f>
        <v>0</v>
      </c>
      <c r="L154" s="160">
        <f t="shared" ref="L154" si="87">SUM(L149:L153)</f>
        <v>0</v>
      </c>
      <c r="M154" s="160">
        <f t="shared" ref="M154" si="88">SUM(M149:M153)</f>
        <v>0</v>
      </c>
      <c r="N154" s="160">
        <f t="shared" ref="N154" si="89">SUM(N149:N153)</f>
        <v>0</v>
      </c>
      <c r="O154" s="160">
        <f t="shared" ref="O154" si="90">SUM(O149:O153)</f>
        <v>0</v>
      </c>
      <c r="P154" s="160">
        <f t="shared" ref="P154" si="91">SUM(P149:P153)</f>
        <v>0</v>
      </c>
      <c r="Q154" s="160">
        <f t="shared" ref="Q154" si="92">SUM(Q149:Q153)</f>
        <v>0</v>
      </c>
      <c r="R154" s="160">
        <f t="shared" ref="R154" si="93">SUM(R149:R153)</f>
        <v>0</v>
      </c>
      <c r="S154" s="160">
        <f t="shared" ref="S154" si="94">SUM(S149:S153)</f>
        <v>0</v>
      </c>
      <c r="T154" s="129">
        <f t="shared" ref="T154" si="95">SUM(T149:T153)</f>
        <v>0</v>
      </c>
    </row>
    <row r="155" spans="3:20" x14ac:dyDescent="0.4">
      <c r="C155" s="167" t="s">
        <v>160</v>
      </c>
      <c r="D155" s="158" t="s">
        <v>381</v>
      </c>
      <c r="E155" s="158" t="s">
        <v>153</v>
      </c>
      <c r="F155" s="158" t="s">
        <v>156</v>
      </c>
      <c r="G155" s="172">
        <v>0</v>
      </c>
      <c r="H155" s="172">
        <v>0</v>
      </c>
      <c r="I155" s="172">
        <v>0</v>
      </c>
      <c r="J155" s="172">
        <v>0</v>
      </c>
      <c r="K155" s="172">
        <v>0</v>
      </c>
      <c r="L155" s="172">
        <v>0</v>
      </c>
      <c r="M155" s="172">
        <v>0</v>
      </c>
      <c r="N155" s="172">
        <v>0</v>
      </c>
      <c r="O155" s="172">
        <v>0</v>
      </c>
      <c r="P155" s="172">
        <v>0</v>
      </c>
      <c r="Q155" s="172">
        <v>0</v>
      </c>
      <c r="R155" s="172">
        <v>0</v>
      </c>
      <c r="S155" s="172">
        <v>0</v>
      </c>
      <c r="T155" s="113">
        <v>0</v>
      </c>
    </row>
    <row r="156" spans="3:20" x14ac:dyDescent="0.4">
      <c r="C156" s="167" t="s">
        <v>160</v>
      </c>
      <c r="D156" s="158" t="s">
        <v>359</v>
      </c>
      <c r="E156" s="158" t="s">
        <v>531</v>
      </c>
      <c r="F156" s="158" t="s">
        <v>533</v>
      </c>
      <c r="G156" s="172">
        <v>0</v>
      </c>
      <c r="H156" s="172">
        <v>0</v>
      </c>
      <c r="I156" s="172">
        <v>0</v>
      </c>
      <c r="J156" s="172">
        <v>0</v>
      </c>
      <c r="K156" s="172">
        <v>0</v>
      </c>
      <c r="L156" s="172">
        <v>0</v>
      </c>
      <c r="M156" s="172">
        <v>0</v>
      </c>
      <c r="N156" s="172">
        <v>0</v>
      </c>
      <c r="O156" s="172">
        <v>0</v>
      </c>
      <c r="P156" s="172">
        <v>0</v>
      </c>
      <c r="Q156" s="172">
        <v>0</v>
      </c>
      <c r="R156" s="172">
        <v>0</v>
      </c>
      <c r="S156" s="172">
        <v>0</v>
      </c>
      <c r="T156" s="113">
        <v>0</v>
      </c>
    </row>
    <row r="157" spans="3:20" x14ac:dyDescent="0.4">
      <c r="C157" s="179" t="s">
        <v>160</v>
      </c>
      <c r="D157" s="180" t="s">
        <v>359</v>
      </c>
      <c r="E157" s="180" t="s">
        <v>531</v>
      </c>
      <c r="F157" s="180" t="s">
        <v>151</v>
      </c>
      <c r="G157" s="172">
        <v>0</v>
      </c>
      <c r="H157" s="172">
        <v>0</v>
      </c>
      <c r="I157" s="172">
        <v>0</v>
      </c>
      <c r="J157" s="172">
        <v>0</v>
      </c>
      <c r="K157" s="172">
        <v>0</v>
      </c>
      <c r="L157" s="172">
        <v>0</v>
      </c>
      <c r="M157" s="172">
        <v>0</v>
      </c>
      <c r="N157" s="172">
        <v>0</v>
      </c>
      <c r="O157" s="172">
        <v>0</v>
      </c>
      <c r="P157" s="172">
        <v>0</v>
      </c>
      <c r="Q157" s="172">
        <v>0</v>
      </c>
      <c r="R157" s="172">
        <v>0</v>
      </c>
      <c r="S157" s="172">
        <v>0</v>
      </c>
      <c r="T157" s="113">
        <v>0</v>
      </c>
    </row>
    <row r="158" spans="3:20" x14ac:dyDescent="0.4">
      <c r="C158" s="179" t="s">
        <v>160</v>
      </c>
      <c r="D158" s="180" t="s">
        <v>359</v>
      </c>
      <c r="E158" s="180" t="s">
        <v>531</v>
      </c>
      <c r="F158" s="180" t="s">
        <v>151</v>
      </c>
      <c r="G158" s="172">
        <v>0</v>
      </c>
      <c r="H158" s="172">
        <v>0</v>
      </c>
      <c r="I158" s="172">
        <v>0</v>
      </c>
      <c r="J158" s="172">
        <v>0</v>
      </c>
      <c r="K158" s="172">
        <v>0</v>
      </c>
      <c r="L158" s="172">
        <v>0</v>
      </c>
      <c r="M158" s="172">
        <v>0</v>
      </c>
      <c r="N158" s="172">
        <v>0</v>
      </c>
      <c r="O158" s="172">
        <v>0</v>
      </c>
      <c r="P158" s="172">
        <v>0</v>
      </c>
      <c r="Q158" s="172">
        <v>0</v>
      </c>
      <c r="R158" s="172">
        <v>0</v>
      </c>
      <c r="S158" s="172">
        <v>0</v>
      </c>
      <c r="T158" s="113">
        <v>0</v>
      </c>
    </row>
    <row r="159" spans="3:20" x14ac:dyDescent="0.4">
      <c r="C159" s="179" t="s">
        <v>160</v>
      </c>
      <c r="D159" s="180" t="s">
        <v>359</v>
      </c>
      <c r="E159" s="180" t="s">
        <v>531</v>
      </c>
      <c r="F159" s="180" t="s">
        <v>151</v>
      </c>
      <c r="G159" s="172">
        <v>0</v>
      </c>
      <c r="H159" s="172">
        <v>0</v>
      </c>
      <c r="I159" s="172">
        <v>0</v>
      </c>
      <c r="J159" s="172">
        <v>0</v>
      </c>
      <c r="K159" s="172">
        <v>0</v>
      </c>
      <c r="L159" s="172">
        <v>0</v>
      </c>
      <c r="M159" s="172">
        <v>0</v>
      </c>
      <c r="N159" s="172">
        <v>0</v>
      </c>
      <c r="O159" s="172">
        <v>0</v>
      </c>
      <c r="P159" s="172">
        <v>0</v>
      </c>
      <c r="Q159" s="172">
        <v>0</v>
      </c>
      <c r="R159" s="172">
        <v>0</v>
      </c>
      <c r="S159" s="172">
        <v>0</v>
      </c>
      <c r="T159" s="113">
        <v>0</v>
      </c>
    </row>
    <row r="160" spans="3:20" x14ac:dyDescent="0.4">
      <c r="C160" s="168" t="s">
        <v>386</v>
      </c>
      <c r="D160" s="159"/>
      <c r="E160" s="159"/>
      <c r="F160" s="159"/>
      <c r="G160" s="160">
        <f>SUM(G155:G159)</f>
        <v>0</v>
      </c>
      <c r="H160" s="160">
        <f>SUM(H155:H159)</f>
        <v>0</v>
      </c>
      <c r="I160" s="160">
        <f>SUM(I155:I159)</f>
        <v>0</v>
      </c>
      <c r="J160" s="160">
        <f t="shared" ref="J160" si="96">SUM(J155:J159)</f>
        <v>0</v>
      </c>
      <c r="K160" s="160">
        <f t="shared" ref="K160" si="97">SUM(K155:K159)</f>
        <v>0</v>
      </c>
      <c r="L160" s="160">
        <f t="shared" ref="L160" si="98">SUM(L155:L159)</f>
        <v>0</v>
      </c>
      <c r="M160" s="160">
        <f t="shared" ref="M160" si="99">SUM(M155:M159)</f>
        <v>0</v>
      </c>
      <c r="N160" s="160">
        <f t="shared" ref="N160" si="100">SUM(N155:N159)</f>
        <v>0</v>
      </c>
      <c r="O160" s="160">
        <f t="shared" ref="O160" si="101">SUM(O155:O159)</f>
        <v>0</v>
      </c>
      <c r="P160" s="160">
        <f t="shared" ref="P160" si="102">SUM(P155:P159)</f>
        <v>0</v>
      </c>
      <c r="Q160" s="160">
        <f t="shared" ref="Q160" si="103">SUM(Q155:Q159)</f>
        <v>0</v>
      </c>
      <c r="R160" s="160">
        <f t="shared" ref="R160" si="104">SUM(R155:R159)</f>
        <v>0</v>
      </c>
      <c r="S160" s="160">
        <f t="shared" ref="S160" si="105">SUM(S155:S159)</f>
        <v>0</v>
      </c>
      <c r="T160" s="129">
        <f t="shared" ref="T160" si="106">SUM(T155:T159)</f>
        <v>0</v>
      </c>
    </row>
    <row r="161" spans="3:20" x14ac:dyDescent="0.4">
      <c r="C161" s="167" t="s">
        <v>160</v>
      </c>
      <c r="D161" s="158" t="s">
        <v>359</v>
      </c>
      <c r="E161" s="158" t="s">
        <v>532</v>
      </c>
      <c r="F161" s="158" t="s">
        <v>528</v>
      </c>
      <c r="G161" s="172">
        <v>0</v>
      </c>
      <c r="H161" s="172">
        <v>0</v>
      </c>
      <c r="I161" s="172">
        <v>0</v>
      </c>
      <c r="J161" s="172">
        <v>0</v>
      </c>
      <c r="K161" s="172">
        <v>0</v>
      </c>
      <c r="L161" s="172">
        <v>0</v>
      </c>
      <c r="M161" s="172">
        <v>0</v>
      </c>
      <c r="N161" s="172">
        <v>0</v>
      </c>
      <c r="O161" s="172">
        <v>0</v>
      </c>
      <c r="P161" s="172">
        <v>0</v>
      </c>
      <c r="Q161" s="172">
        <v>0</v>
      </c>
      <c r="R161" s="172">
        <v>0</v>
      </c>
      <c r="S161" s="172">
        <v>0</v>
      </c>
      <c r="T161" s="113">
        <v>0</v>
      </c>
    </row>
    <row r="162" spans="3:20" x14ac:dyDescent="0.4">
      <c r="C162" s="167" t="s">
        <v>160</v>
      </c>
      <c r="D162" s="158" t="s">
        <v>359</v>
      </c>
      <c r="E162" s="158" t="s">
        <v>532</v>
      </c>
      <c r="F162" s="158" t="s">
        <v>529</v>
      </c>
      <c r="G162" s="172">
        <v>152136200.79999998</v>
      </c>
      <c r="H162" s="172">
        <v>0</v>
      </c>
      <c r="I162" s="172">
        <v>152136200.79999998</v>
      </c>
      <c r="J162" s="172">
        <v>0</v>
      </c>
      <c r="K162" s="172">
        <v>13872000</v>
      </c>
      <c r="L162" s="172">
        <v>13872000</v>
      </c>
      <c r="M162" s="172">
        <v>17770314.400000002</v>
      </c>
      <c r="N162" s="172">
        <v>17770314.400000002</v>
      </c>
      <c r="O162" s="172">
        <v>17770314.400000002</v>
      </c>
      <c r="P162" s="172">
        <v>17770314.400000002</v>
      </c>
      <c r="Q162" s="172">
        <v>17770314.400000002</v>
      </c>
      <c r="R162" s="172">
        <v>17770314.400000002</v>
      </c>
      <c r="S162" s="172">
        <v>17770314.400000002</v>
      </c>
      <c r="T162" s="113">
        <v>0</v>
      </c>
    </row>
    <row r="163" spans="3:20" x14ac:dyDescent="0.4">
      <c r="C163" s="167" t="s">
        <v>160</v>
      </c>
      <c r="D163" s="158" t="s">
        <v>359</v>
      </c>
      <c r="E163" s="158" t="s">
        <v>532</v>
      </c>
      <c r="F163" s="158" t="s">
        <v>530</v>
      </c>
      <c r="G163" s="172">
        <v>55080000</v>
      </c>
      <c r="H163" s="172">
        <v>0</v>
      </c>
      <c r="I163" s="172">
        <v>55080000</v>
      </c>
      <c r="J163" s="172">
        <v>0</v>
      </c>
      <c r="K163" s="172">
        <v>6120000</v>
      </c>
      <c r="L163" s="172">
        <v>6120000</v>
      </c>
      <c r="M163" s="172">
        <v>6120000</v>
      </c>
      <c r="N163" s="172">
        <v>6120000</v>
      </c>
      <c r="O163" s="172">
        <v>6120000</v>
      </c>
      <c r="P163" s="172">
        <v>6120000</v>
      </c>
      <c r="Q163" s="172">
        <v>6120000</v>
      </c>
      <c r="R163" s="172">
        <v>6120000</v>
      </c>
      <c r="S163" s="172">
        <v>6120000</v>
      </c>
      <c r="T163" s="113">
        <v>0</v>
      </c>
    </row>
    <row r="164" spans="3:20" x14ac:dyDescent="0.4">
      <c r="C164" s="179" t="s">
        <v>160</v>
      </c>
      <c r="D164" s="180" t="s">
        <v>359</v>
      </c>
      <c r="E164" s="180" t="s">
        <v>532</v>
      </c>
      <c r="F164" s="180" t="s">
        <v>151</v>
      </c>
      <c r="G164" s="172">
        <v>0</v>
      </c>
      <c r="H164" s="172">
        <v>0</v>
      </c>
      <c r="I164" s="172">
        <v>0</v>
      </c>
      <c r="J164" s="172">
        <v>0</v>
      </c>
      <c r="K164" s="172">
        <v>0</v>
      </c>
      <c r="L164" s="172">
        <v>0</v>
      </c>
      <c r="M164" s="172">
        <v>0</v>
      </c>
      <c r="N164" s="172">
        <v>0</v>
      </c>
      <c r="O164" s="172">
        <v>0</v>
      </c>
      <c r="P164" s="172">
        <v>0</v>
      </c>
      <c r="Q164" s="172">
        <v>0</v>
      </c>
      <c r="R164" s="172">
        <v>0</v>
      </c>
      <c r="S164" s="172">
        <v>0</v>
      </c>
      <c r="T164" s="113">
        <v>0</v>
      </c>
    </row>
    <row r="165" spans="3:20" x14ac:dyDescent="0.4">
      <c r="C165" s="179" t="s">
        <v>160</v>
      </c>
      <c r="D165" s="180" t="s">
        <v>359</v>
      </c>
      <c r="E165" s="180" t="s">
        <v>532</v>
      </c>
      <c r="F165" s="180" t="s">
        <v>151</v>
      </c>
      <c r="G165" s="172">
        <v>0</v>
      </c>
      <c r="H165" s="172">
        <v>0</v>
      </c>
      <c r="I165" s="172">
        <v>0</v>
      </c>
      <c r="J165" s="172">
        <v>0</v>
      </c>
      <c r="K165" s="172">
        <v>0</v>
      </c>
      <c r="L165" s="172">
        <v>0</v>
      </c>
      <c r="M165" s="172">
        <v>0</v>
      </c>
      <c r="N165" s="172">
        <v>0</v>
      </c>
      <c r="O165" s="172">
        <v>0</v>
      </c>
      <c r="P165" s="172">
        <v>0</v>
      </c>
      <c r="Q165" s="172">
        <v>0</v>
      </c>
      <c r="R165" s="172">
        <v>0</v>
      </c>
      <c r="S165" s="172">
        <v>0</v>
      </c>
      <c r="T165" s="113">
        <v>0</v>
      </c>
    </row>
    <row r="166" spans="3:20" ht="18" thickBot="1" x14ac:dyDescent="0.45">
      <c r="C166" s="169" t="s">
        <v>386</v>
      </c>
      <c r="D166" s="155"/>
      <c r="E166" s="155"/>
      <c r="F166" s="155"/>
      <c r="G166" s="156">
        <f>SUM(G161:G165)</f>
        <v>207216200.79999998</v>
      </c>
      <c r="H166" s="156">
        <f>SUM(H161:H165)</f>
        <v>0</v>
      </c>
      <c r="I166" s="156">
        <f>SUM(I161:I165)</f>
        <v>207216200.79999998</v>
      </c>
      <c r="J166" s="156">
        <f t="shared" ref="J166" si="107">SUM(J161:J165)</f>
        <v>0</v>
      </c>
      <c r="K166" s="156">
        <f t="shared" ref="K166" si="108">SUM(K161:K165)</f>
        <v>19992000</v>
      </c>
      <c r="L166" s="156">
        <f t="shared" ref="L166" si="109">SUM(L161:L165)</f>
        <v>19992000</v>
      </c>
      <c r="M166" s="156">
        <f t="shared" ref="M166" si="110">SUM(M161:M165)</f>
        <v>23890314.400000002</v>
      </c>
      <c r="N166" s="156">
        <f t="shared" ref="N166" si="111">SUM(N161:N165)</f>
        <v>23890314.400000002</v>
      </c>
      <c r="O166" s="156">
        <f t="shared" ref="O166" si="112">SUM(O161:O165)</f>
        <v>23890314.400000002</v>
      </c>
      <c r="P166" s="156">
        <f t="shared" ref="P166" si="113">SUM(P161:P165)</f>
        <v>23890314.400000002</v>
      </c>
      <c r="Q166" s="156">
        <f t="shared" ref="Q166" si="114">SUM(Q161:Q165)</f>
        <v>23890314.400000002</v>
      </c>
      <c r="R166" s="156">
        <f t="shared" ref="R166" si="115">SUM(R161:R165)</f>
        <v>23890314.400000002</v>
      </c>
      <c r="S166" s="156">
        <f t="shared" ref="S166" si="116">SUM(S161:S165)</f>
        <v>23890314.400000002</v>
      </c>
      <c r="T166" s="130">
        <f t="shared" ref="T166" si="117">SUM(T161:T165)</f>
        <v>0</v>
      </c>
    </row>
    <row r="245" spans="6:20" x14ac:dyDescent="0.4">
      <c r="F245" s="162">
        <v>0</v>
      </c>
      <c r="G245" s="162">
        <v>0</v>
      </c>
      <c r="H245" s="162">
        <v>0</v>
      </c>
      <c r="I245" s="162">
        <v>0</v>
      </c>
      <c r="J245" s="162">
        <v>0</v>
      </c>
      <c r="K245" s="162">
        <v>0</v>
      </c>
      <c r="L245" s="162">
        <v>0</v>
      </c>
      <c r="M245" s="162">
        <v>0</v>
      </c>
      <c r="N245" s="162">
        <v>0</v>
      </c>
      <c r="O245" s="162">
        <v>0</v>
      </c>
      <c r="P245" s="162">
        <v>0</v>
      </c>
      <c r="Q245" s="162">
        <v>0</v>
      </c>
      <c r="R245" s="162">
        <v>0</v>
      </c>
      <c r="S245" s="162">
        <v>0</v>
      </c>
      <c r="T245" s="162">
        <v>0</v>
      </c>
    </row>
    <row r="246" spans="6:20" x14ac:dyDescent="0.4">
      <c r="F246" s="162">
        <v>0</v>
      </c>
      <c r="G246" s="162">
        <v>0</v>
      </c>
      <c r="H246" s="162">
        <v>0</v>
      </c>
      <c r="I246" s="162">
        <v>0</v>
      </c>
      <c r="J246" s="162">
        <v>0</v>
      </c>
      <c r="K246" s="162">
        <v>0</v>
      </c>
      <c r="L246" s="162">
        <v>0</v>
      </c>
      <c r="M246" s="162">
        <v>0</v>
      </c>
      <c r="N246" s="162">
        <v>0</v>
      </c>
      <c r="O246" s="162">
        <v>0</v>
      </c>
      <c r="P246" s="162">
        <v>0</v>
      </c>
      <c r="Q246" s="162">
        <v>0</v>
      </c>
      <c r="R246" s="162">
        <v>0</v>
      </c>
      <c r="S246" s="162">
        <v>0</v>
      </c>
      <c r="T246" s="162">
        <v>0</v>
      </c>
    </row>
    <row r="247" spans="6:20" x14ac:dyDescent="0.4">
      <c r="F247" s="162">
        <v>0</v>
      </c>
      <c r="G247" s="162">
        <v>0</v>
      </c>
      <c r="H247" s="162">
        <v>0</v>
      </c>
      <c r="I247" s="162">
        <v>0</v>
      </c>
      <c r="J247" s="162">
        <v>0</v>
      </c>
      <c r="K247" s="162">
        <v>0</v>
      </c>
      <c r="L247" s="162">
        <v>0</v>
      </c>
      <c r="M247" s="162">
        <v>0</v>
      </c>
      <c r="N247" s="162">
        <v>0</v>
      </c>
      <c r="O247" s="162">
        <v>0</v>
      </c>
      <c r="P247" s="162">
        <v>0</v>
      </c>
      <c r="Q247" s="162">
        <v>0</v>
      </c>
      <c r="R247" s="162">
        <v>0</v>
      </c>
      <c r="S247" s="162">
        <v>0</v>
      </c>
      <c r="T247" s="162">
        <v>0</v>
      </c>
    </row>
    <row r="248" spans="6:20" x14ac:dyDescent="0.4">
      <c r="F248" s="162">
        <v>0</v>
      </c>
      <c r="G248" s="162">
        <v>0</v>
      </c>
      <c r="H248" s="162">
        <v>0</v>
      </c>
      <c r="I248" s="162">
        <v>0</v>
      </c>
      <c r="J248" s="162">
        <v>0</v>
      </c>
      <c r="K248" s="162">
        <v>0</v>
      </c>
      <c r="L248" s="162">
        <v>0</v>
      </c>
      <c r="M248" s="162">
        <v>0</v>
      </c>
      <c r="N248" s="162">
        <v>0</v>
      </c>
      <c r="O248" s="162">
        <v>0</v>
      </c>
      <c r="P248" s="162">
        <v>0</v>
      </c>
      <c r="Q248" s="162">
        <v>0</v>
      </c>
      <c r="R248" s="162">
        <v>0</v>
      </c>
      <c r="S248" s="162">
        <v>0</v>
      </c>
      <c r="T248" s="162">
        <v>0</v>
      </c>
    </row>
    <row r="249" spans="6:20" x14ac:dyDescent="0.4">
      <c r="F249" s="162">
        <v>0</v>
      </c>
      <c r="G249" s="162">
        <v>0</v>
      </c>
      <c r="H249" s="162">
        <v>0</v>
      </c>
      <c r="I249" s="162">
        <v>0</v>
      </c>
      <c r="J249" s="162">
        <v>0</v>
      </c>
      <c r="K249" s="162">
        <v>0</v>
      </c>
      <c r="L249" s="162">
        <v>0</v>
      </c>
      <c r="M249" s="162">
        <v>0</v>
      </c>
      <c r="N249" s="162">
        <v>0</v>
      </c>
      <c r="O249" s="162">
        <v>0</v>
      </c>
      <c r="P249" s="162">
        <v>0</v>
      </c>
      <c r="Q249" s="162">
        <v>0</v>
      </c>
      <c r="R249" s="162">
        <v>0</v>
      </c>
      <c r="S249" s="162">
        <v>0</v>
      </c>
      <c r="T249" s="162">
        <v>0</v>
      </c>
    </row>
    <row r="250" spans="6:20" x14ac:dyDescent="0.4">
      <c r="F250" s="162">
        <v>0</v>
      </c>
      <c r="G250" s="162">
        <v>0</v>
      </c>
      <c r="H250" s="162">
        <v>0</v>
      </c>
      <c r="I250" s="162">
        <v>0</v>
      </c>
      <c r="J250" s="162">
        <v>0</v>
      </c>
      <c r="K250" s="162">
        <v>0</v>
      </c>
      <c r="L250" s="162">
        <v>0</v>
      </c>
      <c r="M250" s="162">
        <v>0</v>
      </c>
      <c r="N250" s="162">
        <v>0</v>
      </c>
      <c r="O250" s="162">
        <v>0</v>
      </c>
      <c r="P250" s="162">
        <v>0</v>
      </c>
      <c r="Q250" s="162">
        <v>0</v>
      </c>
      <c r="R250" s="162">
        <v>0</v>
      </c>
      <c r="S250" s="162">
        <v>0</v>
      </c>
      <c r="T250" s="162">
        <v>0</v>
      </c>
    </row>
    <row r="251" spans="6:20" x14ac:dyDescent="0.4">
      <c r="F251" s="162">
        <v>0</v>
      </c>
      <c r="G251" s="162">
        <v>0</v>
      </c>
      <c r="H251" s="162">
        <v>0</v>
      </c>
      <c r="I251" s="162">
        <v>0</v>
      </c>
      <c r="J251" s="162">
        <v>0</v>
      </c>
      <c r="K251" s="162">
        <v>0</v>
      </c>
      <c r="L251" s="162">
        <v>0</v>
      </c>
      <c r="M251" s="162">
        <v>0</v>
      </c>
      <c r="N251" s="162">
        <v>0</v>
      </c>
      <c r="O251" s="162">
        <v>0</v>
      </c>
      <c r="P251" s="162">
        <v>0</v>
      </c>
      <c r="Q251" s="162">
        <v>0</v>
      </c>
      <c r="R251" s="162">
        <v>0</v>
      </c>
      <c r="S251" s="162">
        <v>0</v>
      </c>
      <c r="T251" s="162">
        <v>0</v>
      </c>
    </row>
    <row r="252" spans="6:20" x14ac:dyDescent="0.4">
      <c r="F252" s="162">
        <v>0</v>
      </c>
      <c r="G252" s="162">
        <v>0</v>
      </c>
      <c r="H252" s="162">
        <v>0</v>
      </c>
      <c r="I252" s="162">
        <v>0</v>
      </c>
      <c r="J252" s="162">
        <v>0</v>
      </c>
      <c r="K252" s="162">
        <v>0</v>
      </c>
      <c r="L252" s="162">
        <v>0</v>
      </c>
      <c r="M252" s="162">
        <v>0</v>
      </c>
      <c r="N252" s="162">
        <v>0</v>
      </c>
      <c r="O252" s="162">
        <v>0</v>
      </c>
      <c r="P252" s="162">
        <v>0</v>
      </c>
      <c r="Q252" s="162">
        <v>0</v>
      </c>
      <c r="R252" s="162">
        <v>0</v>
      </c>
      <c r="S252" s="162">
        <v>0</v>
      </c>
      <c r="T252" s="162">
        <v>0</v>
      </c>
    </row>
    <row r="253" spans="6:20" x14ac:dyDescent="0.4">
      <c r="F253" s="162">
        <v>0</v>
      </c>
      <c r="G253" s="162">
        <v>0</v>
      </c>
      <c r="H253" s="162">
        <v>0</v>
      </c>
      <c r="I253" s="162">
        <v>0</v>
      </c>
      <c r="J253" s="162">
        <v>0</v>
      </c>
      <c r="K253" s="162">
        <v>0</v>
      </c>
      <c r="L253" s="162">
        <v>0</v>
      </c>
      <c r="M253" s="162">
        <v>0</v>
      </c>
      <c r="N253" s="162">
        <v>0</v>
      </c>
      <c r="O253" s="162">
        <v>0</v>
      </c>
      <c r="P253" s="162">
        <v>0</v>
      </c>
      <c r="Q253" s="162">
        <v>0</v>
      </c>
      <c r="R253" s="162">
        <v>0</v>
      </c>
      <c r="S253" s="162">
        <v>0</v>
      </c>
      <c r="T253" s="162">
        <v>0</v>
      </c>
    </row>
    <row r="254" spans="6:20" x14ac:dyDescent="0.4">
      <c r="F254" s="162">
        <v>0</v>
      </c>
      <c r="G254" s="162">
        <v>0</v>
      </c>
      <c r="H254" s="162">
        <v>0</v>
      </c>
      <c r="I254" s="162">
        <v>0</v>
      </c>
      <c r="J254" s="162">
        <v>0</v>
      </c>
      <c r="K254" s="162">
        <v>0</v>
      </c>
      <c r="L254" s="162">
        <v>0</v>
      </c>
      <c r="M254" s="162">
        <v>0</v>
      </c>
      <c r="N254" s="162">
        <v>0</v>
      </c>
      <c r="O254" s="162">
        <v>0</v>
      </c>
      <c r="P254" s="162">
        <v>0</v>
      </c>
      <c r="Q254" s="162">
        <v>0</v>
      </c>
      <c r="R254" s="162">
        <v>0</v>
      </c>
      <c r="S254" s="162">
        <v>0</v>
      </c>
      <c r="T254" s="162">
        <v>0</v>
      </c>
    </row>
    <row r="255" spans="6:20" x14ac:dyDescent="0.4">
      <c r="F255" s="162">
        <v>0</v>
      </c>
      <c r="G255" s="162">
        <v>0</v>
      </c>
      <c r="H255" s="162">
        <v>0</v>
      </c>
      <c r="I255" s="162">
        <v>0</v>
      </c>
      <c r="J255" s="162">
        <v>0</v>
      </c>
      <c r="K255" s="162">
        <v>0</v>
      </c>
      <c r="L255" s="162">
        <v>0</v>
      </c>
      <c r="M255" s="162">
        <v>0</v>
      </c>
      <c r="N255" s="162">
        <v>0</v>
      </c>
      <c r="O255" s="162">
        <v>0</v>
      </c>
      <c r="P255" s="162">
        <v>0</v>
      </c>
      <c r="Q255" s="162">
        <v>0</v>
      </c>
      <c r="R255" s="162">
        <v>0</v>
      </c>
      <c r="S255" s="162">
        <v>0</v>
      </c>
      <c r="T255" s="162">
        <v>0</v>
      </c>
    </row>
    <row r="256" spans="6:20" x14ac:dyDescent="0.4">
      <c r="F256" s="162">
        <v>0</v>
      </c>
      <c r="G256" s="162">
        <v>0</v>
      </c>
      <c r="H256" s="162">
        <v>0</v>
      </c>
      <c r="I256" s="162">
        <v>0</v>
      </c>
      <c r="J256" s="162">
        <v>0</v>
      </c>
      <c r="K256" s="162">
        <v>0</v>
      </c>
      <c r="L256" s="162">
        <v>0</v>
      </c>
      <c r="M256" s="162">
        <v>0</v>
      </c>
      <c r="N256" s="162">
        <v>0</v>
      </c>
      <c r="O256" s="162">
        <v>0</v>
      </c>
      <c r="P256" s="162">
        <v>0</v>
      </c>
      <c r="Q256" s="162">
        <v>0</v>
      </c>
      <c r="R256" s="162">
        <v>0</v>
      </c>
      <c r="S256" s="162">
        <v>0</v>
      </c>
      <c r="T256" s="162">
        <v>0</v>
      </c>
    </row>
    <row r="257" spans="6:20" x14ac:dyDescent="0.4">
      <c r="F257" s="162">
        <v>0</v>
      </c>
      <c r="G257" s="162">
        <v>0</v>
      </c>
      <c r="H257" s="162">
        <v>0</v>
      </c>
      <c r="I257" s="162">
        <v>0</v>
      </c>
      <c r="J257" s="162">
        <v>0</v>
      </c>
      <c r="K257" s="162">
        <v>0</v>
      </c>
      <c r="L257" s="162">
        <v>0</v>
      </c>
      <c r="M257" s="162">
        <v>0</v>
      </c>
      <c r="N257" s="162">
        <v>0</v>
      </c>
      <c r="O257" s="162">
        <v>0</v>
      </c>
      <c r="P257" s="162">
        <v>0</v>
      </c>
      <c r="Q257" s="162">
        <v>0</v>
      </c>
      <c r="R257" s="162">
        <v>0</v>
      </c>
      <c r="S257" s="162">
        <v>0</v>
      </c>
      <c r="T257" s="162">
        <v>0</v>
      </c>
    </row>
    <row r="258" spans="6:20" x14ac:dyDescent="0.4">
      <c r="F258" s="162">
        <v>0</v>
      </c>
      <c r="G258" s="162">
        <v>0</v>
      </c>
      <c r="H258" s="162">
        <v>0</v>
      </c>
      <c r="I258" s="162">
        <v>0</v>
      </c>
      <c r="J258" s="162">
        <v>0</v>
      </c>
      <c r="K258" s="162">
        <v>0</v>
      </c>
      <c r="L258" s="162">
        <v>0</v>
      </c>
      <c r="M258" s="162">
        <v>0</v>
      </c>
      <c r="N258" s="162">
        <v>0</v>
      </c>
      <c r="O258" s="162">
        <v>0</v>
      </c>
      <c r="P258" s="162">
        <v>0</v>
      </c>
      <c r="Q258" s="162">
        <v>0</v>
      </c>
      <c r="R258" s="162">
        <v>0</v>
      </c>
      <c r="S258" s="162">
        <v>0</v>
      </c>
      <c r="T258" s="162">
        <v>0</v>
      </c>
    </row>
    <row r="259" spans="6:20" x14ac:dyDescent="0.4">
      <c r="F259" s="162">
        <v>0</v>
      </c>
      <c r="G259" s="162">
        <v>0</v>
      </c>
      <c r="H259" s="162">
        <v>0</v>
      </c>
      <c r="I259" s="162">
        <v>0</v>
      </c>
      <c r="J259" s="162">
        <v>0</v>
      </c>
      <c r="K259" s="162">
        <v>0</v>
      </c>
      <c r="L259" s="162">
        <v>0</v>
      </c>
      <c r="M259" s="162">
        <v>0</v>
      </c>
      <c r="N259" s="162">
        <v>0</v>
      </c>
      <c r="O259" s="162">
        <v>0</v>
      </c>
      <c r="P259" s="162">
        <v>0</v>
      </c>
      <c r="Q259" s="162">
        <v>0</v>
      </c>
      <c r="R259" s="162">
        <v>0</v>
      </c>
      <c r="S259" s="162">
        <v>0</v>
      </c>
      <c r="T259" s="162">
        <v>0</v>
      </c>
    </row>
    <row r="260" spans="6:20" x14ac:dyDescent="0.4">
      <c r="F260" s="162">
        <v>0</v>
      </c>
      <c r="G260" s="162">
        <v>0</v>
      </c>
      <c r="H260" s="162">
        <v>0</v>
      </c>
      <c r="I260" s="162">
        <v>0</v>
      </c>
      <c r="J260" s="162">
        <v>0</v>
      </c>
      <c r="K260" s="162">
        <v>0</v>
      </c>
      <c r="L260" s="162">
        <v>0</v>
      </c>
      <c r="M260" s="162">
        <v>0</v>
      </c>
      <c r="N260" s="162">
        <v>0</v>
      </c>
      <c r="O260" s="162">
        <v>0</v>
      </c>
      <c r="P260" s="162">
        <v>0</v>
      </c>
      <c r="Q260" s="162">
        <v>0</v>
      </c>
      <c r="R260" s="162">
        <v>0</v>
      </c>
      <c r="S260" s="162">
        <v>0</v>
      </c>
      <c r="T260" s="162">
        <v>0</v>
      </c>
    </row>
    <row r="261" spans="6:20" x14ac:dyDescent="0.4">
      <c r="F261" s="162">
        <v>0</v>
      </c>
      <c r="G261" s="162">
        <v>0</v>
      </c>
      <c r="H261" s="162">
        <v>0</v>
      </c>
      <c r="I261" s="162">
        <v>0</v>
      </c>
      <c r="J261" s="162">
        <v>0</v>
      </c>
      <c r="K261" s="162">
        <v>0</v>
      </c>
      <c r="L261" s="162">
        <v>0</v>
      </c>
      <c r="M261" s="162">
        <v>0</v>
      </c>
      <c r="N261" s="162">
        <v>0</v>
      </c>
      <c r="O261" s="162">
        <v>0</v>
      </c>
      <c r="P261" s="162">
        <v>0</v>
      </c>
      <c r="Q261" s="162">
        <v>0</v>
      </c>
      <c r="R261" s="162">
        <v>0</v>
      </c>
      <c r="S261" s="162">
        <v>0</v>
      </c>
      <c r="T261" s="162">
        <v>0</v>
      </c>
    </row>
    <row r="262" spans="6:20" x14ac:dyDescent="0.4">
      <c r="F262" s="162">
        <v>0</v>
      </c>
      <c r="G262" s="162">
        <v>0</v>
      </c>
      <c r="H262" s="162">
        <v>0</v>
      </c>
      <c r="I262" s="162">
        <v>0</v>
      </c>
      <c r="J262" s="162">
        <v>0</v>
      </c>
      <c r="K262" s="162">
        <v>0</v>
      </c>
      <c r="L262" s="162">
        <v>0</v>
      </c>
      <c r="M262" s="162">
        <v>0</v>
      </c>
      <c r="N262" s="162">
        <v>0</v>
      </c>
      <c r="O262" s="162">
        <v>0</v>
      </c>
      <c r="P262" s="162">
        <v>0</v>
      </c>
      <c r="Q262" s="162">
        <v>0</v>
      </c>
      <c r="R262" s="162">
        <v>0</v>
      </c>
      <c r="S262" s="162">
        <v>0</v>
      </c>
      <c r="T262" s="162">
        <v>0</v>
      </c>
    </row>
  </sheetData>
  <phoneticPr fontId="1" type="noConversion"/>
  <hyperlinks>
    <hyperlink ref="A1" location="HOME!A1" display="HOME" xr:uid="{957EBD22-8116-446C-B54E-39A054E6515F}"/>
  </hyperlinks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46081" r:id="rId4" name="cmd_구축요약">
          <controlPr defaultSize="0" autoFill="0" autoLine="0" r:id="rId5">
            <anchor moveWithCells="1">
              <from>
                <xdr:col>5</xdr:col>
                <xdr:colOff>289560</xdr:colOff>
                <xdr:row>0</xdr:row>
                <xdr:rowOff>45720</xdr:rowOff>
              </from>
              <to>
                <xdr:col>6</xdr:col>
                <xdr:colOff>365760</xdr:colOff>
                <xdr:row>1</xdr:row>
                <xdr:rowOff>0</xdr:rowOff>
              </to>
            </anchor>
          </controlPr>
        </control>
      </mc:Choice>
      <mc:Fallback>
        <control shapeId="46081" r:id="rId4" name="cmd_구축요약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402F4A-8EF1-4CF6-B000-59D0D6FAF67A}">
  <sheetPr codeName="A4_Sheet">
    <tabColor theme="9" tint="-0.249977111117893"/>
  </sheetPr>
  <dimension ref="A1:E2"/>
  <sheetViews>
    <sheetView zoomScale="70" zoomScaleNormal="70" workbookViewId="0">
      <selection activeCell="G10" sqref="G10"/>
    </sheetView>
  </sheetViews>
  <sheetFormatPr defaultRowHeight="17.399999999999999" x14ac:dyDescent="0.4"/>
  <cols>
    <col min="1" max="1" width="8.69921875" style="176" customWidth="1"/>
  </cols>
  <sheetData>
    <row r="1" spans="1:5" ht="30" customHeight="1" thickBot="1" x14ac:dyDescent="0.45">
      <c r="A1" s="183" t="s">
        <v>540</v>
      </c>
      <c r="C1" s="214" t="s">
        <v>559</v>
      </c>
      <c r="D1" s="178"/>
      <c r="E1" s="178"/>
    </row>
    <row r="2" spans="1:5" ht="18" thickTop="1" x14ac:dyDescent="0.4"/>
  </sheetData>
  <phoneticPr fontId="1" type="noConversion"/>
  <hyperlinks>
    <hyperlink ref="A1" location="HOME!A1" display="HOME" xr:uid="{3251BFAC-D151-4E88-A1F1-BE2AE227267F}"/>
  </hyperlink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03C29B-66BA-4A55-B742-01B67FF4EA75}">
  <sheetPr codeName="B1_Sheet">
    <tabColor theme="5" tint="-0.249977111117893"/>
  </sheetPr>
  <dimension ref="A1:GL42"/>
  <sheetViews>
    <sheetView showGridLines="0" zoomScale="70" zoomScaleNormal="70" workbookViewId="0">
      <selection activeCell="F12" sqref="F12"/>
    </sheetView>
  </sheetViews>
  <sheetFormatPr defaultRowHeight="17.399999999999999" x14ac:dyDescent="0.4"/>
  <cols>
    <col min="1" max="1" width="12" bestFit="1" customWidth="1"/>
    <col min="2" max="2" width="9.09765625" bestFit="1" customWidth="1"/>
    <col min="3" max="5" width="7.8984375" customWidth="1"/>
    <col min="6" max="7" width="17.69921875" bestFit="1" customWidth="1"/>
    <col min="8" max="8" width="16.09765625" bestFit="1" customWidth="1"/>
    <col min="9" max="9" width="5.8984375" hidden="1" customWidth="1"/>
    <col min="10" max="10" width="7.8984375" customWidth="1"/>
    <col min="11" max="11" width="6.8984375" hidden="1" customWidth="1"/>
    <col min="12" max="12" width="6.09765625" customWidth="1"/>
    <col min="13" max="21" width="9.8984375" customWidth="1"/>
    <col min="22" max="23" width="10.8984375" customWidth="1"/>
    <col min="24" max="24" width="11.59765625" customWidth="1"/>
    <col min="25" max="34" width="13.19921875" bestFit="1" customWidth="1"/>
    <col min="35" max="35" width="10.8984375" customWidth="1"/>
    <col min="36" max="44" width="8.09765625" customWidth="1"/>
    <col min="45" max="46" width="9.09765625" customWidth="1"/>
    <col min="47" max="47" width="6.19921875" bestFit="1" customWidth="1"/>
    <col min="48" max="48" width="7.8984375" customWidth="1"/>
    <col min="49" max="49" width="6.09765625" customWidth="1"/>
    <col min="50" max="50" width="16.09765625" bestFit="1" customWidth="1"/>
    <col min="51" max="60" width="15" bestFit="1" customWidth="1"/>
    <col min="61" max="61" width="5.69921875" customWidth="1"/>
    <col min="62" max="181" width="13.19921875" bestFit="1" customWidth="1"/>
    <col min="182" max="190" width="9.09765625" customWidth="1"/>
    <col min="191" max="193" width="10.09765625" customWidth="1"/>
  </cols>
  <sheetData>
    <row r="1" spans="1:194" ht="18" thickBot="1" x14ac:dyDescent="0.45">
      <c r="A1" s="183" t="s">
        <v>540</v>
      </c>
    </row>
    <row r="2" spans="1:194" ht="30" customHeight="1" x14ac:dyDescent="0.4">
      <c r="A2" s="184" t="s">
        <v>560</v>
      </c>
      <c r="M2" s="88">
        <v>149.75</v>
      </c>
      <c r="N2" s="88">
        <v>181</v>
      </c>
      <c r="O2" s="88">
        <v>181</v>
      </c>
      <c r="P2" s="88">
        <v>181</v>
      </c>
      <c r="Q2" s="88">
        <v>181</v>
      </c>
      <c r="R2" s="88">
        <v>181</v>
      </c>
      <c r="S2" s="88">
        <v>181</v>
      </c>
      <c r="T2" s="88">
        <v>181</v>
      </c>
      <c r="U2" s="88">
        <v>181</v>
      </c>
      <c r="V2" s="88">
        <v>181</v>
      </c>
      <c r="W2" s="88">
        <v>0</v>
      </c>
      <c r="Y2" s="89">
        <v>105263597.87122092</v>
      </c>
      <c r="Z2" s="89">
        <v>107927899.53367591</v>
      </c>
      <c r="AA2" s="89">
        <v>110659636.69607688</v>
      </c>
      <c r="AB2" s="89">
        <v>113460516.20217846</v>
      </c>
      <c r="AC2" s="89">
        <v>116332288.09724794</v>
      </c>
      <c r="AD2" s="89">
        <v>119276746.72152822</v>
      </c>
      <c r="AE2" s="89">
        <v>122295731.83137763</v>
      </c>
      <c r="AF2" s="89">
        <v>125391129.74878596</v>
      </c>
      <c r="AG2" s="89">
        <v>128564874.53998637</v>
      </c>
      <c r="AH2" s="89">
        <v>131818949.22389798</v>
      </c>
      <c r="AI2" s="89">
        <v>0</v>
      </c>
      <c r="AX2" s="90">
        <v>60689073082.955589</v>
      </c>
      <c r="AY2" s="90">
        <v>4570948094.8461981</v>
      </c>
      <c r="AZ2" s="90">
        <v>5630338371.8778458</v>
      </c>
      <c r="BA2" s="90">
        <v>5772846515.1272373</v>
      </c>
      <c r="BB2" s="90">
        <v>5918961647.7884598</v>
      </c>
      <c r="BC2" s="90">
        <v>6068775065.504837</v>
      </c>
      <c r="BD2" s="90">
        <v>6222380374.6818151</v>
      </c>
      <c r="BE2" s="90">
        <v>6379873550.9740982</v>
      </c>
      <c r="BF2" s="90">
        <v>6541352999.2531509</v>
      </c>
      <c r="BG2" s="90">
        <v>6706919615.0925236</v>
      </c>
      <c r="BH2" s="90">
        <v>6876676847.8094225</v>
      </c>
      <c r="BI2" s="90">
        <v>0</v>
      </c>
      <c r="BJ2" s="91">
        <v>380912341.23718309</v>
      </c>
      <c r="BK2" s="91">
        <v>380912341.23718309</v>
      </c>
      <c r="BL2" s="91">
        <v>380912341.23718309</v>
      </c>
      <c r="BM2" s="91">
        <v>380912341.23718309</v>
      </c>
      <c r="BN2" s="91">
        <v>380912341.23718309</v>
      </c>
      <c r="BO2" s="91">
        <v>380912341.23718309</v>
      </c>
      <c r="BP2" s="91">
        <v>380912341.23718309</v>
      </c>
      <c r="BQ2" s="91">
        <v>380912341.23718309</v>
      </c>
      <c r="BR2" s="91">
        <v>380912341.23718309</v>
      </c>
      <c r="BS2" s="91">
        <v>380912341.23718309</v>
      </c>
      <c r="BT2" s="91">
        <v>380912341.23718309</v>
      </c>
      <c r="BU2" s="91">
        <v>380912341.23718309</v>
      </c>
      <c r="BV2" s="90">
        <v>469194864.32315403</v>
      </c>
      <c r="BW2" s="90">
        <v>469194864.32315403</v>
      </c>
      <c r="BX2" s="90">
        <v>469194864.32315403</v>
      </c>
      <c r="BY2" s="90">
        <v>469194864.32315403</v>
      </c>
      <c r="BZ2" s="90">
        <v>469194864.32315403</v>
      </c>
      <c r="CA2" s="90">
        <v>469194864.32315403</v>
      </c>
      <c r="CB2" s="90">
        <v>469194864.32315403</v>
      </c>
      <c r="CC2" s="90">
        <v>469194864.32315403</v>
      </c>
      <c r="CD2" s="90">
        <v>469194864.32315403</v>
      </c>
      <c r="CE2" s="90">
        <v>469194864.32315403</v>
      </c>
      <c r="CF2" s="90">
        <v>469194864.32315403</v>
      </c>
      <c r="CG2" s="90">
        <v>469194864.32315403</v>
      </c>
      <c r="CH2" s="91">
        <v>481070542.92726982</v>
      </c>
      <c r="CI2" s="91">
        <v>481070542.92726982</v>
      </c>
      <c r="CJ2" s="91">
        <v>481070542.92726982</v>
      </c>
      <c r="CK2" s="91">
        <v>481070542.92726982</v>
      </c>
      <c r="CL2" s="91">
        <v>481070542.92726982</v>
      </c>
      <c r="CM2" s="91">
        <v>481070542.92726982</v>
      </c>
      <c r="CN2" s="91">
        <v>481070542.92726982</v>
      </c>
      <c r="CO2" s="91">
        <v>481070542.92726982</v>
      </c>
      <c r="CP2" s="91">
        <v>7216058143.9090109</v>
      </c>
      <c r="CQ2" s="91">
        <v>7216058143.9090109</v>
      </c>
      <c r="CR2" s="91">
        <v>7216058143.9090109</v>
      </c>
      <c r="CS2" s="91">
        <v>7216058143.9090109</v>
      </c>
      <c r="CT2" s="90">
        <v>7398702059.7355537</v>
      </c>
      <c r="CU2" s="90">
        <v>7398702059.7355537</v>
      </c>
      <c r="CV2" s="90">
        <v>7398702059.7355537</v>
      </c>
      <c r="CW2" s="90">
        <v>7398702059.7355537</v>
      </c>
      <c r="CX2" s="90">
        <v>7398702059.7355537</v>
      </c>
      <c r="CY2" s="90">
        <v>7398702059.7355537</v>
      </c>
      <c r="CZ2" s="90">
        <v>7398702059.7355537</v>
      </c>
      <c r="DA2" s="90">
        <v>7398702059.7355537</v>
      </c>
      <c r="DB2" s="90">
        <v>7398702059.7355537</v>
      </c>
      <c r="DC2" s="90">
        <v>7398702059.7355537</v>
      </c>
      <c r="DD2" s="90">
        <v>7398702059.7355537</v>
      </c>
      <c r="DE2" s="90">
        <v>7398702059.7355537</v>
      </c>
      <c r="DF2" s="91">
        <v>7585968831.8810711</v>
      </c>
      <c r="DG2" s="91">
        <v>7585968831.8810711</v>
      </c>
      <c r="DH2" s="91">
        <v>7585968831.8810711</v>
      </c>
      <c r="DI2" s="91">
        <v>7585968831.8810711</v>
      </c>
      <c r="DJ2" s="91">
        <v>7585968831.8810711</v>
      </c>
      <c r="DK2" s="91">
        <v>7585968831.8810711</v>
      </c>
      <c r="DL2" s="91">
        <v>7585968831.8810711</v>
      </c>
      <c r="DM2" s="91">
        <v>7585968831.8810711</v>
      </c>
      <c r="DN2" s="91">
        <v>7585968831.8810711</v>
      </c>
      <c r="DO2" s="91">
        <v>7585968831.8810711</v>
      </c>
      <c r="DP2" s="91">
        <v>7585968831.8810711</v>
      </c>
      <c r="DQ2" s="91">
        <v>7585968831.8810711</v>
      </c>
      <c r="DR2" s="90">
        <v>7777975468.352272</v>
      </c>
      <c r="DS2" s="90">
        <v>7777975468.352272</v>
      </c>
      <c r="DT2" s="90">
        <v>7777975468.352272</v>
      </c>
      <c r="DU2" s="90">
        <v>7777975468.352272</v>
      </c>
      <c r="DV2" s="90">
        <v>7777975468.352272</v>
      </c>
      <c r="DW2" s="90">
        <v>7777975468.352272</v>
      </c>
      <c r="DX2" s="90">
        <v>7777975468.352272</v>
      </c>
      <c r="DY2" s="90">
        <v>7777975468.352272</v>
      </c>
      <c r="DZ2" s="90">
        <v>7777975468.352272</v>
      </c>
      <c r="EA2" s="90">
        <v>7777975468.352272</v>
      </c>
      <c r="EB2" s="90">
        <v>7777975468.352272</v>
      </c>
      <c r="EC2" s="90">
        <v>7777975468.352272</v>
      </c>
      <c r="ED2" s="91">
        <v>7974841938.717638</v>
      </c>
      <c r="EE2" s="91">
        <v>7974841938.717638</v>
      </c>
      <c r="EF2" s="91">
        <v>7974841938.717638</v>
      </c>
      <c r="EG2" s="91">
        <v>7974841938.717638</v>
      </c>
      <c r="EH2" s="91">
        <v>7974841938.717638</v>
      </c>
      <c r="EI2" s="91">
        <v>7974841938.717638</v>
      </c>
      <c r="EJ2" s="91">
        <v>7974841938.717638</v>
      </c>
      <c r="EK2" s="91">
        <v>7974841938.717638</v>
      </c>
      <c r="EL2" s="91">
        <v>7974841938.717638</v>
      </c>
      <c r="EM2" s="91">
        <v>7974841938.717638</v>
      </c>
      <c r="EN2" s="91">
        <v>7974841938.717638</v>
      </c>
      <c r="EO2" s="91">
        <v>7974841938.717638</v>
      </c>
      <c r="EP2" s="90">
        <v>8176691249.0664053</v>
      </c>
      <c r="EQ2" s="90">
        <v>8176691249.0664053</v>
      </c>
      <c r="ER2" s="90">
        <v>8176691249.0664053</v>
      </c>
      <c r="ES2" s="90">
        <v>8176691249.0664053</v>
      </c>
      <c r="ET2" s="90">
        <v>8176691249.0664053</v>
      </c>
      <c r="EU2" s="90">
        <v>8176691249.0664053</v>
      </c>
      <c r="EV2" s="90">
        <v>8176691249.0664053</v>
      </c>
      <c r="EW2" s="90">
        <v>8176691249.0664053</v>
      </c>
      <c r="EX2" s="90">
        <v>8176691249.0664053</v>
      </c>
      <c r="EY2" s="90">
        <v>8176691249.0664053</v>
      </c>
      <c r="EZ2" s="90">
        <v>8176691249.0664053</v>
      </c>
      <c r="FA2" s="90">
        <v>8176691249.0664053</v>
      </c>
      <c r="FB2" s="91">
        <v>8383649518.8656616</v>
      </c>
      <c r="FC2" s="91">
        <v>8383649518.8656616</v>
      </c>
      <c r="FD2" s="91">
        <v>8383649518.8656616</v>
      </c>
      <c r="FE2" s="91">
        <v>8383649518.8656616</v>
      </c>
      <c r="FF2" s="91">
        <v>8383649518.8656616</v>
      </c>
      <c r="FG2" s="91">
        <v>8383649518.8656616</v>
      </c>
      <c r="FH2" s="91">
        <v>8383649518.8656616</v>
      </c>
      <c r="FI2" s="91">
        <v>8383649518.8656616</v>
      </c>
      <c r="FJ2" s="91">
        <v>8383649518.8656616</v>
      </c>
      <c r="FK2" s="91">
        <v>8383649518.8656616</v>
      </c>
      <c r="FL2" s="91">
        <v>8383649518.8656616</v>
      </c>
      <c r="FM2" s="91">
        <v>8383649518.8656616</v>
      </c>
      <c r="FN2" s="90">
        <v>8595846059.7617912</v>
      </c>
      <c r="FO2" s="90">
        <v>8595846059.7617912</v>
      </c>
      <c r="FP2" s="90">
        <v>8595846059.7617912</v>
      </c>
      <c r="FQ2" s="90">
        <v>8595846059.7617912</v>
      </c>
      <c r="FR2" s="90">
        <v>8595846059.7617912</v>
      </c>
      <c r="FS2" s="90">
        <v>8595846059.7617912</v>
      </c>
      <c r="FT2" s="90">
        <v>8595846059.7617912</v>
      </c>
      <c r="FU2" s="90">
        <v>8595846059.7617912</v>
      </c>
      <c r="FV2" s="90">
        <v>8595846059.7617912</v>
      </c>
      <c r="FW2" s="90">
        <v>8595846059.7617912</v>
      </c>
      <c r="FX2" s="90">
        <v>8595846059.7617912</v>
      </c>
      <c r="FY2" s="90">
        <v>8595846059.7617912</v>
      </c>
      <c r="FZ2" s="91">
        <v>0</v>
      </c>
      <c r="GA2" s="91">
        <v>0</v>
      </c>
      <c r="GB2" s="91">
        <v>0</v>
      </c>
      <c r="GC2" s="91">
        <v>0</v>
      </c>
      <c r="GD2" s="91">
        <v>0</v>
      </c>
      <c r="GE2" s="91">
        <v>0</v>
      </c>
      <c r="GF2" s="91">
        <v>0</v>
      </c>
      <c r="GG2" s="91">
        <v>0</v>
      </c>
      <c r="GH2" s="91">
        <v>0</v>
      </c>
      <c r="GI2" s="91">
        <v>0</v>
      </c>
      <c r="GJ2" s="91">
        <v>0</v>
      </c>
      <c r="GK2" s="92">
        <v>0</v>
      </c>
    </row>
    <row r="3" spans="1:194" ht="18" thickBot="1" x14ac:dyDescent="0.45"/>
    <row r="4" spans="1:194" s="1" customFormat="1" ht="23.25" customHeight="1" x14ac:dyDescent="0.4">
      <c r="A4" s="53" t="s">
        <v>0</v>
      </c>
      <c r="B4" s="54" t="s">
        <v>1</v>
      </c>
      <c r="C4" s="54" t="s">
        <v>2</v>
      </c>
      <c r="D4" s="54" t="s">
        <v>3</v>
      </c>
      <c r="E4" s="54" t="s">
        <v>4</v>
      </c>
      <c r="F4" s="55" t="s">
        <v>148</v>
      </c>
      <c r="G4" s="55" t="s">
        <v>149</v>
      </c>
      <c r="H4" s="55" t="s">
        <v>150</v>
      </c>
      <c r="I4" s="61" t="s">
        <v>151</v>
      </c>
      <c r="J4" s="55" t="s">
        <v>5</v>
      </c>
      <c r="K4" s="61" t="s">
        <v>157</v>
      </c>
      <c r="L4" s="55" t="s">
        <v>6</v>
      </c>
      <c r="M4" s="58" t="s">
        <v>223</v>
      </c>
      <c r="N4" s="58" t="s">
        <v>224</v>
      </c>
      <c r="O4" s="58" t="s">
        <v>225</v>
      </c>
      <c r="P4" s="58" t="s">
        <v>226</v>
      </c>
      <c r="Q4" s="58" t="s">
        <v>227</v>
      </c>
      <c r="R4" s="58" t="s">
        <v>228</v>
      </c>
      <c r="S4" s="58" t="s">
        <v>229</v>
      </c>
      <c r="T4" s="58" t="s">
        <v>230</v>
      </c>
      <c r="U4" s="58" t="s">
        <v>231</v>
      </c>
      <c r="V4" s="58" t="s">
        <v>232</v>
      </c>
      <c r="W4" s="58" t="s">
        <v>233</v>
      </c>
      <c r="X4" s="55" t="s">
        <v>190</v>
      </c>
      <c r="Y4" s="54" t="s">
        <v>212</v>
      </c>
      <c r="Z4" s="54" t="s">
        <v>213</v>
      </c>
      <c r="AA4" s="54" t="s">
        <v>214</v>
      </c>
      <c r="AB4" s="54" t="s">
        <v>215</v>
      </c>
      <c r="AC4" s="54" t="s">
        <v>216</v>
      </c>
      <c r="AD4" s="54" t="s">
        <v>217</v>
      </c>
      <c r="AE4" s="54" t="s">
        <v>218</v>
      </c>
      <c r="AF4" s="54" t="s">
        <v>219</v>
      </c>
      <c r="AG4" s="54" t="s">
        <v>220</v>
      </c>
      <c r="AH4" s="54" t="s">
        <v>221</v>
      </c>
      <c r="AI4" s="54" t="s">
        <v>222</v>
      </c>
      <c r="AJ4" s="58" t="s">
        <v>163</v>
      </c>
      <c r="AK4" s="58" t="s">
        <v>164</v>
      </c>
      <c r="AL4" s="58" t="s">
        <v>165</v>
      </c>
      <c r="AM4" s="58" t="s">
        <v>166</v>
      </c>
      <c r="AN4" s="58" t="s">
        <v>167</v>
      </c>
      <c r="AO4" s="58" t="s">
        <v>168</v>
      </c>
      <c r="AP4" s="58" t="s">
        <v>169</v>
      </c>
      <c r="AQ4" s="58" t="s">
        <v>170</v>
      </c>
      <c r="AR4" s="58" t="s">
        <v>171</v>
      </c>
      <c r="AS4" s="58" t="s">
        <v>172</v>
      </c>
      <c r="AT4" s="58" t="s">
        <v>173</v>
      </c>
      <c r="AU4" s="55" t="s">
        <v>158</v>
      </c>
      <c r="AV4" s="55" t="s">
        <v>159</v>
      </c>
      <c r="AW4" s="55" t="s">
        <v>16</v>
      </c>
      <c r="AX4" s="55" t="s">
        <v>15</v>
      </c>
      <c r="AY4" s="55" t="s">
        <v>41</v>
      </c>
      <c r="AZ4" s="55" t="s">
        <v>139</v>
      </c>
      <c r="BA4" s="55" t="s">
        <v>140</v>
      </c>
      <c r="BB4" s="55" t="s">
        <v>141</v>
      </c>
      <c r="BC4" s="55" t="s">
        <v>142</v>
      </c>
      <c r="BD4" s="55" t="s">
        <v>143</v>
      </c>
      <c r="BE4" s="55" t="s">
        <v>144</v>
      </c>
      <c r="BF4" s="55" t="s">
        <v>145</v>
      </c>
      <c r="BG4" s="55" t="s">
        <v>146</v>
      </c>
      <c r="BH4" s="55" t="s">
        <v>147</v>
      </c>
      <c r="BI4" s="55" t="s">
        <v>188</v>
      </c>
      <c r="BJ4" s="58" t="s">
        <v>17</v>
      </c>
      <c r="BK4" s="58" t="s">
        <v>18</v>
      </c>
      <c r="BL4" s="58" t="s">
        <v>19</v>
      </c>
      <c r="BM4" s="58" t="s">
        <v>20</v>
      </c>
      <c r="BN4" s="58" t="s">
        <v>21</v>
      </c>
      <c r="BO4" s="58" t="s">
        <v>22</v>
      </c>
      <c r="BP4" s="58" t="s">
        <v>23</v>
      </c>
      <c r="BQ4" s="58" t="s">
        <v>24</v>
      </c>
      <c r="BR4" s="58" t="s">
        <v>25</v>
      </c>
      <c r="BS4" s="58" t="s">
        <v>26</v>
      </c>
      <c r="BT4" s="58" t="s">
        <v>27</v>
      </c>
      <c r="BU4" s="58" t="s">
        <v>28</v>
      </c>
      <c r="BV4" s="55" t="s">
        <v>29</v>
      </c>
      <c r="BW4" s="55" t="s">
        <v>30</v>
      </c>
      <c r="BX4" s="55" t="s">
        <v>31</v>
      </c>
      <c r="BY4" s="55" t="s">
        <v>32</v>
      </c>
      <c r="BZ4" s="55" t="s">
        <v>33</v>
      </c>
      <c r="CA4" s="55" t="s">
        <v>34</v>
      </c>
      <c r="CB4" s="55" t="s">
        <v>35</v>
      </c>
      <c r="CC4" s="55" t="s">
        <v>36</v>
      </c>
      <c r="CD4" s="55" t="s">
        <v>37</v>
      </c>
      <c r="CE4" s="55" t="s">
        <v>38</v>
      </c>
      <c r="CF4" s="55" t="s">
        <v>39</v>
      </c>
      <c r="CG4" s="55" t="s">
        <v>40</v>
      </c>
      <c r="CH4" s="58" t="s">
        <v>43</v>
      </c>
      <c r="CI4" s="58" t="s">
        <v>44</v>
      </c>
      <c r="CJ4" s="58" t="s">
        <v>45</v>
      </c>
      <c r="CK4" s="58" t="s">
        <v>46</v>
      </c>
      <c r="CL4" s="58" t="s">
        <v>47</v>
      </c>
      <c r="CM4" s="58" t="s">
        <v>48</v>
      </c>
      <c r="CN4" s="58" t="s">
        <v>49</v>
      </c>
      <c r="CO4" s="58" t="s">
        <v>50</v>
      </c>
      <c r="CP4" s="58" t="s">
        <v>51</v>
      </c>
      <c r="CQ4" s="58" t="s">
        <v>52</v>
      </c>
      <c r="CR4" s="58" t="s">
        <v>53</v>
      </c>
      <c r="CS4" s="58" t="s">
        <v>54</v>
      </c>
      <c r="CT4" s="55" t="s">
        <v>55</v>
      </c>
      <c r="CU4" s="55" t="s">
        <v>56</v>
      </c>
      <c r="CV4" s="55" t="s">
        <v>57</v>
      </c>
      <c r="CW4" s="55" t="s">
        <v>58</v>
      </c>
      <c r="CX4" s="55" t="s">
        <v>59</v>
      </c>
      <c r="CY4" s="55" t="s">
        <v>60</v>
      </c>
      <c r="CZ4" s="55" t="s">
        <v>61</v>
      </c>
      <c r="DA4" s="55" t="s">
        <v>62</v>
      </c>
      <c r="DB4" s="55" t="s">
        <v>63</v>
      </c>
      <c r="DC4" s="55" t="s">
        <v>64</v>
      </c>
      <c r="DD4" s="55" t="s">
        <v>65</v>
      </c>
      <c r="DE4" s="55" t="s">
        <v>66</v>
      </c>
      <c r="DF4" s="58" t="s">
        <v>67</v>
      </c>
      <c r="DG4" s="58" t="s">
        <v>68</v>
      </c>
      <c r="DH4" s="58" t="s">
        <v>69</v>
      </c>
      <c r="DI4" s="58" t="s">
        <v>70</v>
      </c>
      <c r="DJ4" s="58" t="s">
        <v>71</v>
      </c>
      <c r="DK4" s="58" t="s">
        <v>72</v>
      </c>
      <c r="DL4" s="58" t="s">
        <v>73</v>
      </c>
      <c r="DM4" s="58" t="s">
        <v>74</v>
      </c>
      <c r="DN4" s="58" t="s">
        <v>75</v>
      </c>
      <c r="DO4" s="58" t="s">
        <v>76</v>
      </c>
      <c r="DP4" s="58" t="s">
        <v>77</v>
      </c>
      <c r="DQ4" s="58" t="s">
        <v>78</v>
      </c>
      <c r="DR4" s="55" t="s">
        <v>79</v>
      </c>
      <c r="DS4" s="55" t="s">
        <v>80</v>
      </c>
      <c r="DT4" s="55" t="s">
        <v>81</v>
      </c>
      <c r="DU4" s="55" t="s">
        <v>82</v>
      </c>
      <c r="DV4" s="55" t="s">
        <v>83</v>
      </c>
      <c r="DW4" s="55" t="s">
        <v>84</v>
      </c>
      <c r="DX4" s="55" t="s">
        <v>85</v>
      </c>
      <c r="DY4" s="55" t="s">
        <v>86</v>
      </c>
      <c r="DZ4" s="55" t="s">
        <v>87</v>
      </c>
      <c r="EA4" s="55" t="s">
        <v>88</v>
      </c>
      <c r="EB4" s="55" t="s">
        <v>89</v>
      </c>
      <c r="EC4" s="55" t="s">
        <v>90</v>
      </c>
      <c r="ED4" s="58" t="s">
        <v>91</v>
      </c>
      <c r="EE4" s="58" t="s">
        <v>92</v>
      </c>
      <c r="EF4" s="58" t="s">
        <v>93</v>
      </c>
      <c r="EG4" s="58" t="s">
        <v>94</v>
      </c>
      <c r="EH4" s="58" t="s">
        <v>95</v>
      </c>
      <c r="EI4" s="58" t="s">
        <v>96</v>
      </c>
      <c r="EJ4" s="58" t="s">
        <v>97</v>
      </c>
      <c r="EK4" s="58" t="s">
        <v>98</v>
      </c>
      <c r="EL4" s="58" t="s">
        <v>99</v>
      </c>
      <c r="EM4" s="58" t="s">
        <v>100</v>
      </c>
      <c r="EN4" s="58" t="s">
        <v>101</v>
      </c>
      <c r="EO4" s="58" t="s">
        <v>102</v>
      </c>
      <c r="EP4" s="55" t="s">
        <v>103</v>
      </c>
      <c r="EQ4" s="55" t="s">
        <v>104</v>
      </c>
      <c r="ER4" s="55" t="s">
        <v>105</v>
      </c>
      <c r="ES4" s="55" t="s">
        <v>106</v>
      </c>
      <c r="ET4" s="55" t="s">
        <v>107</v>
      </c>
      <c r="EU4" s="55" t="s">
        <v>108</v>
      </c>
      <c r="EV4" s="55" t="s">
        <v>109</v>
      </c>
      <c r="EW4" s="55" t="s">
        <v>110</v>
      </c>
      <c r="EX4" s="55" t="s">
        <v>111</v>
      </c>
      <c r="EY4" s="55" t="s">
        <v>112</v>
      </c>
      <c r="EZ4" s="55" t="s">
        <v>113</v>
      </c>
      <c r="FA4" s="55" t="s">
        <v>114</v>
      </c>
      <c r="FB4" s="58" t="s">
        <v>115</v>
      </c>
      <c r="FC4" s="58" t="s">
        <v>116</v>
      </c>
      <c r="FD4" s="58" t="s">
        <v>117</v>
      </c>
      <c r="FE4" s="58" t="s">
        <v>118</v>
      </c>
      <c r="FF4" s="58" t="s">
        <v>119</v>
      </c>
      <c r="FG4" s="58" t="s">
        <v>120</v>
      </c>
      <c r="FH4" s="58" t="s">
        <v>121</v>
      </c>
      <c r="FI4" s="58" t="s">
        <v>122</v>
      </c>
      <c r="FJ4" s="58" t="s">
        <v>123</v>
      </c>
      <c r="FK4" s="58" t="s">
        <v>124</v>
      </c>
      <c r="FL4" s="58" t="s">
        <v>125</v>
      </c>
      <c r="FM4" s="58" t="s">
        <v>126</v>
      </c>
      <c r="FN4" s="55" t="s">
        <v>127</v>
      </c>
      <c r="FO4" s="55" t="s">
        <v>128</v>
      </c>
      <c r="FP4" s="55" t="s">
        <v>129</v>
      </c>
      <c r="FQ4" s="55" t="s">
        <v>130</v>
      </c>
      <c r="FR4" s="55" t="s">
        <v>131</v>
      </c>
      <c r="FS4" s="55" t="s">
        <v>132</v>
      </c>
      <c r="FT4" s="55" t="s">
        <v>133</v>
      </c>
      <c r="FU4" s="55" t="s">
        <v>134</v>
      </c>
      <c r="FV4" s="55" t="s">
        <v>135</v>
      </c>
      <c r="FW4" s="55" t="s">
        <v>136</v>
      </c>
      <c r="FX4" s="55" t="s">
        <v>137</v>
      </c>
      <c r="FY4" s="55" t="s">
        <v>138</v>
      </c>
      <c r="FZ4" s="58" t="s">
        <v>176</v>
      </c>
      <c r="GA4" s="58" t="s">
        <v>177</v>
      </c>
      <c r="GB4" s="58" t="s">
        <v>178</v>
      </c>
      <c r="GC4" s="58" t="s">
        <v>179</v>
      </c>
      <c r="GD4" s="58" t="s">
        <v>180</v>
      </c>
      <c r="GE4" s="58" t="s">
        <v>181</v>
      </c>
      <c r="GF4" s="58" t="s">
        <v>182</v>
      </c>
      <c r="GG4" s="58" t="s">
        <v>183</v>
      </c>
      <c r="GH4" s="58" t="s">
        <v>184</v>
      </c>
      <c r="GI4" s="58" t="s">
        <v>185</v>
      </c>
      <c r="GJ4" s="58" t="s">
        <v>186</v>
      </c>
      <c r="GK4" s="59" t="s">
        <v>187</v>
      </c>
    </row>
    <row r="5" spans="1:194" x14ac:dyDescent="0.4">
      <c r="A5" s="82" t="s">
        <v>234</v>
      </c>
      <c r="B5" s="76" t="s">
        <v>174</v>
      </c>
      <c r="C5" s="70" t="s">
        <v>397</v>
      </c>
      <c r="D5" s="70" t="s">
        <v>209</v>
      </c>
      <c r="E5" s="70" t="s">
        <v>193</v>
      </c>
      <c r="F5" s="76" t="s">
        <v>161</v>
      </c>
      <c r="G5" s="76" t="s">
        <v>162</v>
      </c>
      <c r="H5" s="76">
        <v>0</v>
      </c>
      <c r="I5" s="76">
        <v>0</v>
      </c>
      <c r="J5" s="76" t="s">
        <v>210</v>
      </c>
      <c r="K5" s="76">
        <v>0</v>
      </c>
      <c r="L5" s="76" t="s">
        <v>211</v>
      </c>
      <c r="M5" s="77">
        <f>IFERROR(INDEX('(참조)BL_인건비'!$S$3:$AG$40,MATCH(BL_인건비!$A5,'(참조)BL_인건비'!$S$3:$S$40,0),MATCH('(참조)BL_인건비'!X$2,'(참조)BL_인건비'!$S$2:$AG$2,0)),0)</f>
        <v>1</v>
      </c>
      <c r="N5" s="77">
        <f>IFERROR(INDEX('(참조)BL_인건비'!$S$3:$AG$40,MATCH(BL_인건비!$A5,'(참조)BL_인건비'!$S$3:$S$40,0),MATCH('(참조)BL_인건비'!Y$2,'(참조)BL_인건비'!$S$2:$AG$2,0)),0)</f>
        <v>1</v>
      </c>
      <c r="O5" s="77">
        <f>IFERROR(INDEX('(참조)BL_인건비'!$S$3:$AG$40,MATCH(BL_인건비!$A5,'(참조)BL_인건비'!$S$3:$S$40,0),MATCH('(참조)BL_인건비'!Z$2,'(참조)BL_인건비'!$S$2:$AG$2,0)),0)</f>
        <v>1</v>
      </c>
      <c r="P5" s="77">
        <f>IFERROR(INDEX('(참조)BL_인건비'!$S$3:$AG$40,MATCH(BL_인건비!$A5,'(참조)BL_인건비'!$S$3:$S$40,0),MATCH('(참조)BL_인건비'!AA$2,'(참조)BL_인건비'!$S$2:$AG$2,0)),0)</f>
        <v>1</v>
      </c>
      <c r="Q5" s="77">
        <f>IFERROR(INDEX('(참조)BL_인건비'!$S$3:$AG$40,MATCH(BL_인건비!$A5,'(참조)BL_인건비'!$S$3:$S$40,0),MATCH('(참조)BL_인건비'!AB$2,'(참조)BL_인건비'!$S$2:$AG$2,0)),0)</f>
        <v>1</v>
      </c>
      <c r="R5" s="77">
        <f>IFERROR(INDEX('(참조)BL_인건비'!$S$3:$AG$40,MATCH(BL_인건비!$A5,'(참조)BL_인건비'!$S$3:$S$40,0),MATCH('(참조)BL_인건비'!AC$2,'(참조)BL_인건비'!$S$2:$AG$2,0)),0)</f>
        <v>1</v>
      </c>
      <c r="S5" s="77">
        <f>IFERROR(INDEX('(참조)BL_인건비'!$S$3:$AG$40,MATCH(BL_인건비!$A5,'(참조)BL_인건비'!$S$3:$S$40,0),MATCH('(참조)BL_인건비'!AD$2,'(참조)BL_인건비'!$S$2:$AG$2,0)),0)</f>
        <v>1</v>
      </c>
      <c r="T5" s="77">
        <f>IFERROR(INDEX('(참조)BL_인건비'!$S$3:$AG$40,MATCH(BL_인건비!$A5,'(참조)BL_인건비'!$S$3:$S$40,0),MATCH('(참조)BL_인건비'!AE$2,'(참조)BL_인건비'!$S$2:$AG$2,0)),0)</f>
        <v>1</v>
      </c>
      <c r="U5" s="77">
        <f>IFERROR(INDEX('(참조)BL_인건비'!$S$3:$AG$40,MATCH(BL_인건비!$A5,'(참조)BL_인건비'!$S$3:$S$40,0),MATCH('(참조)BL_인건비'!AF$2,'(참조)BL_인건비'!$S$2:$AG$2,0)),0)</f>
        <v>1</v>
      </c>
      <c r="V5" s="77">
        <f>IFERROR(INDEX('(참조)BL_인건비'!$S$3:$AG$40,MATCH(BL_인건비!$A5,'(참조)BL_인건비'!$S$3:$S$40,0),MATCH('(참조)BL_인건비'!AG$2,'(참조)BL_인건비'!$S$2:$AG$2,0)),0)</f>
        <v>1</v>
      </c>
      <c r="W5" s="77">
        <f>IFERROR(INDEX('(참조)BL_인건비'!$S$3:$AG$40,MATCH(BL_인건비!$A5,'(참조)BL_인건비'!$S$3:$S$40,0),MATCH('(참조)BL_인건비'!AH$2,'(참조)BL_인건비'!$S$2:$AG$2,0)),0)</f>
        <v>0</v>
      </c>
      <c r="X5" s="78">
        <v>0</v>
      </c>
      <c r="Y5" s="78">
        <f>IFERROR(INDEX('(참조)BL_인건비'!$A$3:$O$40,MATCH(BL_인건비!$A5,'(참조)BL_인건비'!$A$3:$A$40,0),MATCH('(참조)BL_인건비'!F$2,'(참조)BL_인건비'!$A$2:$O$2,0)),0)</f>
        <v>3198644.5476890798</v>
      </c>
      <c r="Z5" s="78">
        <f>IFERROR(INDEX('(참조)BL_인건비'!$A$3:$O$40,MATCH(BL_인건비!$A5,'(참조)BL_인건비'!$A$3:$A$40,0),MATCH('(참조)BL_인건비'!G$2,'(참조)BL_인건비'!$A$2:$O$2,0)),0)</f>
        <v>3279604.6721609468</v>
      </c>
      <c r="AA5" s="78">
        <f>IFERROR(INDEX('(참조)BL_인건비'!$A$3:$O$40,MATCH(BL_인건비!$A5,'(참조)BL_인건비'!$A$3:$A$40,0),MATCH('(참조)BL_인건비'!H$2,'(참조)BL_인건비'!$A$2:$O$2,0)),0)</f>
        <v>3362613.9589128913</v>
      </c>
      <c r="AB5" s="78">
        <f>IFERROR(INDEX('(참조)BL_인건비'!$A$3:$O$40,MATCH(BL_인건비!$A5,'(참조)BL_인건비'!$A$3:$A$40,0),MATCH('(참조)BL_인건비'!I$2,'(참조)BL_인건비'!$A$2:$O$2,0)),0)</f>
        <v>3447724.2737995852</v>
      </c>
      <c r="AC5" s="78">
        <f>IFERROR(INDEX('(참조)BL_인건비'!$A$3:$O$40,MATCH(BL_인건비!$A5,'(참조)BL_인건비'!$A$3:$A$40,0),MATCH('(참조)BL_인건비'!J$2,'(참조)BL_인건비'!$A$2:$O$2,0)),0)</f>
        <v>3534988.7954399008</v>
      </c>
      <c r="AD5" s="78">
        <f>IFERROR(INDEX('(참조)BL_인건비'!$A$3:$O$40,MATCH(BL_인건비!$A5,'(참조)BL_인건비'!$A$3:$A$40,0),MATCH('(참조)BL_인건비'!K$2,'(참조)BL_인건비'!$A$2:$O$2,0)),0)</f>
        <v>3624462.0484439693</v>
      </c>
      <c r="AE5" s="78">
        <f>IFERROR(INDEX('(참조)BL_인건비'!$A$3:$O$40,MATCH(BL_인건비!$A5,'(참조)BL_인건비'!$A$3:$A$40,0),MATCH('(참조)BL_인건비'!L$2,'(참조)BL_인건비'!$A$2:$O$2,0)),0)</f>
        <v>3716199.9374812432</v>
      </c>
      <c r="AF5" s="78">
        <f>IFERROR(INDEX('(참조)BL_인건비'!$A$3:$O$40,MATCH(BL_인건비!$A5,'(참조)BL_인건비'!$A$3:$A$40,0),MATCH('(참조)BL_인건비'!M$2,'(참조)BL_인건비'!$A$2:$O$2,0)),0)</f>
        <v>3810259.782210846</v>
      </c>
      <c r="AG5" s="78">
        <f>IFERROR(INDEX('(참조)BL_인건비'!$A$3:$O$40,MATCH(BL_인건비!$A5,'(참조)BL_인건비'!$A$3:$A$40,0),MATCH('(참조)BL_인건비'!N$2,'(참조)BL_인건비'!$A$2:$O$2,0)),0)</f>
        <v>3906700.3530960367</v>
      </c>
      <c r="AH5" s="78">
        <f>IFERROR(INDEX('(참조)BL_인건비'!$A$3:$O$40,MATCH(BL_인건비!$A5,'(참조)BL_인건비'!$A$3:$A$40,0),MATCH('(참조)BL_인건비'!O$2,'(참조)BL_인건비'!$A$2:$O$2,0)),0)</f>
        <v>4005581.9081251658</v>
      </c>
      <c r="AI5" s="78">
        <f>IFERROR(INDEX('(참조)BL_인건비'!$A$3:$O$40,MATCH(BL_인건비!$A5,'(참조)BL_인건비'!$A$3:$A$40,0),MATCH('(참조)BL_인건비'!P$2,'(참조)BL_인건비'!$A$2:$O$2,0)),0)</f>
        <v>0</v>
      </c>
      <c r="AJ5" s="78">
        <v>12</v>
      </c>
      <c r="AK5" s="78">
        <v>12</v>
      </c>
      <c r="AL5" s="78">
        <v>12</v>
      </c>
      <c r="AM5" s="78">
        <v>12</v>
      </c>
      <c r="AN5" s="78">
        <v>12</v>
      </c>
      <c r="AO5" s="78">
        <v>12</v>
      </c>
      <c r="AP5" s="78">
        <v>12</v>
      </c>
      <c r="AQ5" s="78">
        <v>12</v>
      </c>
      <c r="AR5" s="78">
        <v>12</v>
      </c>
      <c r="AS5" s="78">
        <v>12</v>
      </c>
      <c r="AT5" s="78">
        <v>12</v>
      </c>
      <c r="AU5" s="79">
        <v>1</v>
      </c>
      <c r="AV5" s="80">
        <v>1.02531076</v>
      </c>
      <c r="AW5" s="76">
        <v>0</v>
      </c>
      <c r="AX5" s="57">
        <v>430641363.32831597</v>
      </c>
      <c r="AY5" s="57">
        <v>38383734.572268955</v>
      </c>
      <c r="AZ5" s="57">
        <v>39355256.065931357</v>
      </c>
      <c r="BA5" s="57">
        <v>40351367.5069547</v>
      </c>
      <c r="BB5" s="57">
        <v>41372691.285595007</v>
      </c>
      <c r="BC5" s="57">
        <v>42419865.545278795</v>
      </c>
      <c r="BD5" s="57">
        <v>43493544.581327632</v>
      </c>
      <c r="BE5" s="57">
        <v>44594399.249774918</v>
      </c>
      <c r="BF5" s="57">
        <v>45723117.386530161</v>
      </c>
      <c r="BG5" s="57">
        <v>46880404.23715245</v>
      </c>
      <c r="BH5" s="57">
        <v>48066982.897501975</v>
      </c>
      <c r="BI5" s="57">
        <v>0</v>
      </c>
      <c r="BJ5" s="81">
        <v>3198644.5476890798</v>
      </c>
      <c r="BK5" s="57">
        <v>3198644.5476890798</v>
      </c>
      <c r="BL5" s="57">
        <v>3198644.5476890798</v>
      </c>
      <c r="BM5" s="57">
        <v>3198644.5476890798</v>
      </c>
      <c r="BN5" s="57">
        <v>3198644.5476890798</v>
      </c>
      <c r="BO5" s="57">
        <v>3198644.5476890798</v>
      </c>
      <c r="BP5" s="57">
        <v>3198644.5476890798</v>
      </c>
      <c r="BQ5" s="57">
        <v>3198644.5476890798</v>
      </c>
      <c r="BR5" s="57">
        <v>3198644.5476890798</v>
      </c>
      <c r="BS5" s="57">
        <v>3198644.5476890798</v>
      </c>
      <c r="BT5" s="57">
        <v>3198644.5476890798</v>
      </c>
      <c r="BU5" s="57">
        <v>3198644.5476890798</v>
      </c>
      <c r="BV5" s="57">
        <v>3279604.6721609468</v>
      </c>
      <c r="BW5" s="57">
        <v>3279604.6721609468</v>
      </c>
      <c r="BX5" s="57">
        <v>3279604.6721609468</v>
      </c>
      <c r="BY5" s="57">
        <v>3279604.6721609468</v>
      </c>
      <c r="BZ5" s="57">
        <v>3279604.6721609468</v>
      </c>
      <c r="CA5" s="57">
        <v>3279604.6721609468</v>
      </c>
      <c r="CB5" s="57">
        <v>3279604.6721609468</v>
      </c>
      <c r="CC5" s="57">
        <v>3279604.6721609468</v>
      </c>
      <c r="CD5" s="57">
        <v>3279604.6721609468</v>
      </c>
      <c r="CE5" s="57">
        <v>3279604.6721609468</v>
      </c>
      <c r="CF5" s="57">
        <v>3279604.6721609468</v>
      </c>
      <c r="CG5" s="57">
        <v>3279604.6721609468</v>
      </c>
      <c r="CH5" s="57">
        <v>3362613.9589128913</v>
      </c>
      <c r="CI5" s="57">
        <v>3362613.9589128913</v>
      </c>
      <c r="CJ5" s="57">
        <v>3362613.9589128913</v>
      </c>
      <c r="CK5" s="57">
        <v>3362613.9589128913</v>
      </c>
      <c r="CL5" s="57">
        <v>3362613.9589128913</v>
      </c>
      <c r="CM5" s="57">
        <v>3362613.9589128913</v>
      </c>
      <c r="CN5" s="57">
        <v>3362613.9589128913</v>
      </c>
      <c r="CO5" s="57">
        <v>3362613.9589128913</v>
      </c>
      <c r="CP5" s="57">
        <v>3362613.9589128913</v>
      </c>
      <c r="CQ5" s="57">
        <v>3362613.9589128913</v>
      </c>
      <c r="CR5" s="57">
        <v>3362613.9589128913</v>
      </c>
      <c r="CS5" s="57">
        <v>3362613.9589128913</v>
      </c>
      <c r="CT5" s="57">
        <v>3447724.2737995852</v>
      </c>
      <c r="CU5" s="57">
        <v>3447724.2737995852</v>
      </c>
      <c r="CV5" s="57">
        <v>3447724.2737995852</v>
      </c>
      <c r="CW5" s="57">
        <v>3447724.2737995852</v>
      </c>
      <c r="CX5" s="57">
        <v>3447724.2737995852</v>
      </c>
      <c r="CY5" s="57">
        <v>3447724.2737995852</v>
      </c>
      <c r="CZ5" s="57">
        <v>3447724.2737995852</v>
      </c>
      <c r="DA5" s="57">
        <v>3447724.2737995852</v>
      </c>
      <c r="DB5" s="57">
        <v>3447724.2737995852</v>
      </c>
      <c r="DC5" s="57">
        <v>3447724.2737995852</v>
      </c>
      <c r="DD5" s="57">
        <v>3447724.2737995852</v>
      </c>
      <c r="DE5" s="57">
        <v>3447724.2737995852</v>
      </c>
      <c r="DF5" s="57">
        <v>3534988.7954399008</v>
      </c>
      <c r="DG5" s="57">
        <v>3534988.7954399008</v>
      </c>
      <c r="DH5" s="57">
        <v>3534988.7954399008</v>
      </c>
      <c r="DI5" s="57">
        <v>3534988.7954399008</v>
      </c>
      <c r="DJ5" s="57">
        <v>3534988.7954399008</v>
      </c>
      <c r="DK5" s="57">
        <v>3534988.7954399008</v>
      </c>
      <c r="DL5" s="57">
        <v>3534988.7954399008</v>
      </c>
      <c r="DM5" s="57">
        <v>3534988.7954399008</v>
      </c>
      <c r="DN5" s="57">
        <v>3534988.7954399008</v>
      </c>
      <c r="DO5" s="57">
        <v>3534988.7954399008</v>
      </c>
      <c r="DP5" s="57">
        <v>3534988.7954399008</v>
      </c>
      <c r="DQ5" s="57">
        <v>3534988.7954399008</v>
      </c>
      <c r="DR5" s="57">
        <v>3624462.0484439693</v>
      </c>
      <c r="DS5" s="57">
        <v>3624462.0484439693</v>
      </c>
      <c r="DT5" s="57">
        <v>3624462.0484439693</v>
      </c>
      <c r="DU5" s="57">
        <v>3624462.0484439693</v>
      </c>
      <c r="DV5" s="57">
        <v>3624462.0484439693</v>
      </c>
      <c r="DW5" s="57">
        <v>3624462.0484439693</v>
      </c>
      <c r="DX5" s="57">
        <v>3624462.0484439693</v>
      </c>
      <c r="DY5" s="57">
        <v>3624462.0484439693</v>
      </c>
      <c r="DZ5" s="57">
        <v>3624462.0484439693</v>
      </c>
      <c r="EA5" s="57">
        <v>3624462.0484439693</v>
      </c>
      <c r="EB5" s="57">
        <v>3624462.0484439693</v>
      </c>
      <c r="EC5" s="57">
        <v>3624462.0484439693</v>
      </c>
      <c r="ED5" s="57">
        <v>3716199.9374812432</v>
      </c>
      <c r="EE5" s="57">
        <v>3716199.9374812432</v>
      </c>
      <c r="EF5" s="57">
        <v>3716199.9374812432</v>
      </c>
      <c r="EG5" s="57">
        <v>3716199.9374812432</v>
      </c>
      <c r="EH5" s="57">
        <v>3716199.9374812432</v>
      </c>
      <c r="EI5" s="57">
        <v>3716199.9374812432</v>
      </c>
      <c r="EJ5" s="57">
        <v>3716199.9374812432</v>
      </c>
      <c r="EK5" s="57">
        <v>3716199.9374812432</v>
      </c>
      <c r="EL5" s="57">
        <v>3716199.9374812432</v>
      </c>
      <c r="EM5" s="57">
        <v>3716199.9374812432</v>
      </c>
      <c r="EN5" s="57">
        <v>3716199.9374812432</v>
      </c>
      <c r="EO5" s="57">
        <v>3716199.9374812432</v>
      </c>
      <c r="EP5" s="57">
        <v>3810259.782210846</v>
      </c>
      <c r="EQ5" s="57">
        <v>3810259.782210846</v>
      </c>
      <c r="ER5" s="57">
        <v>3810259.782210846</v>
      </c>
      <c r="ES5" s="57">
        <v>3810259.782210846</v>
      </c>
      <c r="ET5" s="57">
        <v>3810259.782210846</v>
      </c>
      <c r="EU5" s="57">
        <v>3810259.782210846</v>
      </c>
      <c r="EV5" s="57">
        <v>3810259.782210846</v>
      </c>
      <c r="EW5" s="57">
        <v>3810259.782210846</v>
      </c>
      <c r="EX5" s="57">
        <v>3810259.782210846</v>
      </c>
      <c r="EY5" s="57">
        <v>3810259.782210846</v>
      </c>
      <c r="EZ5" s="57">
        <v>3810259.782210846</v>
      </c>
      <c r="FA5" s="57">
        <v>3810259.782210846</v>
      </c>
      <c r="FB5" s="57">
        <v>3906700.3530960367</v>
      </c>
      <c r="FC5" s="57">
        <v>3906700.3530960367</v>
      </c>
      <c r="FD5" s="57">
        <v>3906700.3530960367</v>
      </c>
      <c r="FE5" s="57">
        <v>3906700.3530960367</v>
      </c>
      <c r="FF5" s="57">
        <v>3906700.3530960367</v>
      </c>
      <c r="FG5" s="57">
        <v>3906700.3530960367</v>
      </c>
      <c r="FH5" s="57">
        <v>3906700.3530960367</v>
      </c>
      <c r="FI5" s="57">
        <v>3906700.3530960367</v>
      </c>
      <c r="FJ5" s="57">
        <v>3906700.3530960367</v>
      </c>
      <c r="FK5" s="57">
        <v>3906700.3530960367</v>
      </c>
      <c r="FL5" s="57">
        <v>3906700.3530960367</v>
      </c>
      <c r="FM5" s="57">
        <v>3906700.3530960367</v>
      </c>
      <c r="FN5" s="57">
        <v>4005581.9081251658</v>
      </c>
      <c r="FO5" s="57">
        <v>4005581.9081251658</v>
      </c>
      <c r="FP5" s="57">
        <v>4005581.9081251658</v>
      </c>
      <c r="FQ5" s="57">
        <v>4005581.9081251658</v>
      </c>
      <c r="FR5" s="57">
        <v>4005581.9081251658</v>
      </c>
      <c r="FS5" s="57">
        <v>4005581.9081251658</v>
      </c>
      <c r="FT5" s="57">
        <v>4005581.9081251658</v>
      </c>
      <c r="FU5" s="57">
        <v>4005581.9081251658</v>
      </c>
      <c r="FV5" s="57">
        <v>4005581.9081251658</v>
      </c>
      <c r="FW5" s="57">
        <v>4005581.9081251658</v>
      </c>
      <c r="FX5" s="57">
        <v>4005581.9081251658</v>
      </c>
      <c r="FY5" s="57">
        <v>4005581.9081251658</v>
      </c>
      <c r="FZ5" s="57">
        <v>0</v>
      </c>
      <c r="GA5" s="57">
        <v>0</v>
      </c>
      <c r="GB5" s="57">
        <v>0</v>
      </c>
      <c r="GC5" s="57">
        <v>0</v>
      </c>
      <c r="GD5" s="57">
        <v>0</v>
      </c>
      <c r="GE5" s="57">
        <v>0</v>
      </c>
      <c r="GF5" s="57">
        <v>0</v>
      </c>
      <c r="GG5" s="57">
        <v>0</v>
      </c>
      <c r="GH5" s="57">
        <v>0</v>
      </c>
      <c r="GI5" s="57">
        <v>0</v>
      </c>
      <c r="GJ5" s="57">
        <v>0</v>
      </c>
      <c r="GK5" s="83">
        <v>0</v>
      </c>
      <c r="GL5" s="40"/>
    </row>
    <row r="6" spans="1:194" x14ac:dyDescent="0.4">
      <c r="A6" s="84" t="s">
        <v>236</v>
      </c>
      <c r="B6" s="70" t="s">
        <v>174</v>
      </c>
      <c r="C6" s="70" t="s">
        <v>397</v>
      </c>
      <c r="D6" s="70" t="s">
        <v>209</v>
      </c>
      <c r="E6" s="70" t="s">
        <v>175</v>
      </c>
      <c r="F6" s="70" t="s">
        <v>161</v>
      </c>
      <c r="G6" s="70" t="s">
        <v>175</v>
      </c>
      <c r="H6" s="70">
        <v>0</v>
      </c>
      <c r="I6" s="70">
        <v>0</v>
      </c>
      <c r="J6" s="70" t="s">
        <v>210</v>
      </c>
      <c r="K6" s="70">
        <v>0</v>
      </c>
      <c r="L6" s="70" t="s">
        <v>211</v>
      </c>
      <c r="M6" s="71">
        <f>IFERROR(INDEX('(참조)BL_인건비'!$S$3:$AG$40,MATCH(BL_인건비!$A6,'(참조)BL_인건비'!$S$3:$S$40,0),MATCH('(참조)BL_인건비'!X$2,'(참조)BL_인건비'!$S$2:$AG$2,0)),0)</f>
        <v>5</v>
      </c>
      <c r="N6" s="71">
        <f>IFERROR(INDEX('(참조)BL_인건비'!$S$3:$AG$40,MATCH(BL_인건비!$A6,'(참조)BL_인건비'!$S$3:$S$40,0),MATCH('(참조)BL_인건비'!Y$2,'(참조)BL_인건비'!$S$2:$AG$2,0)),0)</f>
        <v>5</v>
      </c>
      <c r="O6" s="71">
        <f>IFERROR(INDEX('(참조)BL_인건비'!$S$3:$AG$40,MATCH(BL_인건비!$A6,'(참조)BL_인건비'!$S$3:$S$40,0),MATCH('(참조)BL_인건비'!Z$2,'(참조)BL_인건비'!$S$2:$AG$2,0)),0)</f>
        <v>5</v>
      </c>
      <c r="P6" s="71">
        <f>IFERROR(INDEX('(참조)BL_인건비'!$S$3:$AG$40,MATCH(BL_인건비!$A6,'(참조)BL_인건비'!$S$3:$S$40,0),MATCH('(참조)BL_인건비'!AA$2,'(참조)BL_인건비'!$S$2:$AG$2,0)),0)</f>
        <v>5</v>
      </c>
      <c r="Q6" s="71">
        <f>IFERROR(INDEX('(참조)BL_인건비'!$S$3:$AG$40,MATCH(BL_인건비!$A6,'(참조)BL_인건비'!$S$3:$S$40,0),MATCH('(참조)BL_인건비'!AB$2,'(참조)BL_인건비'!$S$2:$AG$2,0)),0)</f>
        <v>5</v>
      </c>
      <c r="R6" s="71">
        <f>IFERROR(INDEX('(참조)BL_인건비'!$S$3:$AG$40,MATCH(BL_인건비!$A6,'(참조)BL_인건비'!$S$3:$S$40,0),MATCH('(참조)BL_인건비'!AC$2,'(참조)BL_인건비'!$S$2:$AG$2,0)),0)</f>
        <v>5</v>
      </c>
      <c r="S6" s="71">
        <f>IFERROR(INDEX('(참조)BL_인건비'!$S$3:$AG$40,MATCH(BL_인건비!$A6,'(참조)BL_인건비'!$S$3:$S$40,0),MATCH('(참조)BL_인건비'!AD$2,'(참조)BL_인건비'!$S$2:$AG$2,0)),0)</f>
        <v>5</v>
      </c>
      <c r="T6" s="71">
        <f>IFERROR(INDEX('(참조)BL_인건비'!$S$3:$AG$40,MATCH(BL_인건비!$A6,'(참조)BL_인건비'!$S$3:$S$40,0),MATCH('(참조)BL_인건비'!AE$2,'(참조)BL_인건비'!$S$2:$AG$2,0)),0)</f>
        <v>5</v>
      </c>
      <c r="U6" s="71">
        <f>IFERROR(INDEX('(참조)BL_인건비'!$S$3:$AG$40,MATCH(BL_인건비!$A6,'(참조)BL_인건비'!$S$3:$S$40,0),MATCH('(참조)BL_인건비'!AF$2,'(참조)BL_인건비'!$S$2:$AG$2,0)),0)</f>
        <v>5</v>
      </c>
      <c r="V6" s="71">
        <f>IFERROR(INDEX('(참조)BL_인건비'!$S$3:$AG$40,MATCH(BL_인건비!$A6,'(참조)BL_인건비'!$S$3:$S$40,0),MATCH('(참조)BL_인건비'!AG$2,'(참조)BL_인건비'!$S$2:$AG$2,0)),0)</f>
        <v>5</v>
      </c>
      <c r="W6" s="71">
        <f>IFERROR(INDEX('(참조)BL_인건비'!$S$3:$AG$40,MATCH(BL_인건비!$A6,'(참조)BL_인건비'!$S$3:$S$40,0),MATCH('(참조)BL_인건비'!AH$2,'(참조)BL_인건비'!$S$2:$AG$2,0)),0)</f>
        <v>0</v>
      </c>
      <c r="X6" s="72">
        <v>0</v>
      </c>
      <c r="Y6" s="72">
        <f>IFERROR(INDEX('(참조)BL_인건비'!$A$3:$O$40,MATCH(BL_인건비!$A6,'(참조)BL_인건비'!$A$3:$A$40,0),MATCH('(참조)BL_인건비'!F$2,'(참조)BL_인건비'!$A$2:$O$2,0)),0)</f>
        <v>2416906.6118346802</v>
      </c>
      <c r="Z6" s="72">
        <f>IFERROR(INDEX('(참조)BL_인건비'!$A$3:$O$40,MATCH(BL_인건비!$A6,'(참조)BL_인건비'!$A$3:$A$40,0),MATCH('(참조)BL_인건비'!G$2,'(참조)BL_인건비'!$A$2:$O$2,0)),0)</f>
        <v>2478080.3550292407</v>
      </c>
      <c r="AA6" s="72">
        <f>IFERROR(INDEX('(참조)BL_인건비'!$A$3:$O$40,MATCH(BL_인건비!$A6,'(참조)BL_인건비'!$A$3:$A$40,0),MATCH('(참조)BL_인건비'!H$2,'(참조)BL_인건비'!$A$2:$O$2,0)),0)</f>
        <v>2540802.4521561004</v>
      </c>
      <c r="AB6" s="72">
        <f>IFERROR(INDEX('(참조)BL_인건비'!$A$3:$O$40,MATCH(BL_인건비!$A6,'(참조)BL_인건비'!$A$3:$A$40,0),MATCH('(참조)BL_인건비'!I$2,'(참조)BL_인건비'!$A$2:$O$2,0)),0)</f>
        <v>2605112.0932300352</v>
      </c>
      <c r="AC6" s="72">
        <f>IFERROR(INDEX('(참조)BL_인건비'!$A$3:$O$40,MATCH(BL_인건비!$A6,'(참조)BL_인건비'!$A$3:$A$40,0),MATCH('(참조)BL_인건비'!J$2,'(참조)BL_인건비'!$A$2:$O$2,0)),0)</f>
        <v>2671049.4601948783</v>
      </c>
      <c r="AD6" s="72">
        <f>IFERROR(INDEX('(참조)BL_인건비'!$A$3:$O$40,MATCH(BL_인건비!$A6,'(참조)BL_인건비'!$A$3:$A$40,0),MATCH('(참조)BL_인건비'!K$2,'(참조)BL_인건비'!$A$2:$O$2,0)),0)</f>
        <v>2738655.7520300006</v>
      </c>
      <c r="AE6" s="72">
        <f>IFERROR(INDEX('(참조)BL_인건비'!$A$3:$O$40,MATCH(BL_인건비!$A6,'(참조)BL_인건비'!$A$3:$A$40,0),MATCH('(참조)BL_인건비'!L$2,'(참조)BL_인건비'!$A$2:$O$2,0)),0)</f>
        <v>2807973.2104922514</v>
      </c>
      <c r="AF6" s="72">
        <f>IFERROR(INDEX('(참조)BL_인건비'!$A$3:$O$40,MATCH(BL_인건비!$A6,'(참조)BL_인건비'!$A$3:$A$40,0),MATCH('(참조)BL_인건비'!M$2,'(참조)BL_인건비'!$A$2:$O$2,0)),0)</f>
        <v>2879045.1465094504</v>
      </c>
      <c r="AG6" s="72">
        <f>IFERROR(INDEX('(참조)BL_인건비'!$A$3:$O$40,MATCH(BL_인건비!$A6,'(참조)BL_인건비'!$A$3:$A$40,0),MATCH('(참조)BL_인건비'!N$2,'(참조)BL_인건비'!$A$2:$O$2,0)),0)</f>
        <v>2951915.9672419159</v>
      </c>
      <c r="AH6" s="72">
        <f>IFERROR(INDEX('(참조)BL_인건비'!$A$3:$O$40,MATCH(BL_인건비!$A6,'(참조)BL_인건비'!$A$3:$A$40,0),MATCH('(참조)BL_인건비'!O$2,'(참조)BL_인건비'!$A$2:$O$2,0)),0)</f>
        <v>3026631.2038289439</v>
      </c>
      <c r="AI6" s="72">
        <f>IFERROR(INDEX('(참조)BL_인건비'!$A$3:$O$40,MATCH(BL_인건비!$A6,'(참조)BL_인건비'!$A$3:$A$40,0),MATCH('(참조)BL_인건비'!P$2,'(참조)BL_인건비'!$A$2:$O$2,0)),0)</f>
        <v>0</v>
      </c>
      <c r="AJ6" s="72">
        <v>12</v>
      </c>
      <c r="AK6" s="72">
        <v>12</v>
      </c>
      <c r="AL6" s="72">
        <v>12</v>
      </c>
      <c r="AM6" s="72">
        <v>12</v>
      </c>
      <c r="AN6" s="72">
        <v>12</v>
      </c>
      <c r="AO6" s="72">
        <v>12</v>
      </c>
      <c r="AP6" s="72">
        <v>12</v>
      </c>
      <c r="AQ6" s="72">
        <v>12</v>
      </c>
      <c r="AR6" s="72">
        <v>12</v>
      </c>
      <c r="AS6" s="72">
        <v>12</v>
      </c>
      <c r="AT6" s="72">
        <v>12</v>
      </c>
      <c r="AU6" s="73">
        <v>1</v>
      </c>
      <c r="AV6" s="70">
        <v>0</v>
      </c>
      <c r="AW6" s="70">
        <v>0</v>
      </c>
      <c r="AX6" s="56">
        <v>1626970335.1528497</v>
      </c>
      <c r="AY6" s="56">
        <v>145014396.71008083</v>
      </c>
      <c r="AZ6" s="56">
        <v>148684821.30175444</v>
      </c>
      <c r="BA6" s="56">
        <v>152448147.12936601</v>
      </c>
      <c r="BB6" s="56">
        <v>156306725.59380212</v>
      </c>
      <c r="BC6" s="56">
        <v>160262967.61169273</v>
      </c>
      <c r="BD6" s="56">
        <v>164319345.12180007</v>
      </c>
      <c r="BE6" s="56">
        <v>168478392.62953508</v>
      </c>
      <c r="BF6" s="56">
        <v>172742708.79056701</v>
      </c>
      <c r="BG6" s="56">
        <v>177114958.03451496</v>
      </c>
      <c r="BH6" s="56">
        <v>181597872.2297366</v>
      </c>
      <c r="BI6" s="56">
        <v>0</v>
      </c>
      <c r="BJ6" s="74">
        <v>12084533.059173401</v>
      </c>
      <c r="BK6" s="56">
        <v>12084533.059173401</v>
      </c>
      <c r="BL6" s="56">
        <v>12084533.059173401</v>
      </c>
      <c r="BM6" s="56">
        <v>12084533.059173401</v>
      </c>
      <c r="BN6" s="56">
        <v>12084533.059173401</v>
      </c>
      <c r="BO6" s="56">
        <v>12084533.059173401</v>
      </c>
      <c r="BP6" s="56">
        <v>12084533.059173401</v>
      </c>
      <c r="BQ6" s="56">
        <v>12084533.059173401</v>
      </c>
      <c r="BR6" s="56">
        <v>12084533.059173401</v>
      </c>
      <c r="BS6" s="56">
        <v>12084533.059173401</v>
      </c>
      <c r="BT6" s="56">
        <v>12084533.059173401</v>
      </c>
      <c r="BU6" s="56">
        <v>12084533.059173401</v>
      </c>
      <c r="BV6" s="56">
        <v>12390401.775146203</v>
      </c>
      <c r="BW6" s="56">
        <v>12390401.775146203</v>
      </c>
      <c r="BX6" s="56">
        <v>12390401.775146203</v>
      </c>
      <c r="BY6" s="56">
        <v>12390401.775146203</v>
      </c>
      <c r="BZ6" s="56">
        <v>12390401.775146203</v>
      </c>
      <c r="CA6" s="56">
        <v>12390401.775146203</v>
      </c>
      <c r="CB6" s="56">
        <v>12390401.775146203</v>
      </c>
      <c r="CC6" s="56">
        <v>12390401.775146203</v>
      </c>
      <c r="CD6" s="56">
        <v>12390401.775146203</v>
      </c>
      <c r="CE6" s="56">
        <v>12390401.775146203</v>
      </c>
      <c r="CF6" s="56">
        <v>12390401.775146203</v>
      </c>
      <c r="CG6" s="56">
        <v>12390401.775146203</v>
      </c>
      <c r="CH6" s="56">
        <v>12704012.260780502</v>
      </c>
      <c r="CI6" s="56">
        <v>12704012.260780502</v>
      </c>
      <c r="CJ6" s="56">
        <v>12704012.260780502</v>
      </c>
      <c r="CK6" s="56">
        <v>12704012.260780502</v>
      </c>
      <c r="CL6" s="56">
        <v>12704012.260780502</v>
      </c>
      <c r="CM6" s="56">
        <v>12704012.260780502</v>
      </c>
      <c r="CN6" s="56">
        <v>12704012.260780502</v>
      </c>
      <c r="CO6" s="56">
        <v>12704012.260780502</v>
      </c>
      <c r="CP6" s="56">
        <v>12704012.260780502</v>
      </c>
      <c r="CQ6" s="56">
        <v>12704012.260780502</v>
      </c>
      <c r="CR6" s="56">
        <v>12704012.260780502</v>
      </c>
      <c r="CS6" s="56">
        <v>12704012.260780502</v>
      </c>
      <c r="CT6" s="56">
        <v>13025560.466150176</v>
      </c>
      <c r="CU6" s="56">
        <v>13025560.466150176</v>
      </c>
      <c r="CV6" s="56">
        <v>13025560.466150176</v>
      </c>
      <c r="CW6" s="56">
        <v>13025560.466150176</v>
      </c>
      <c r="CX6" s="56">
        <v>13025560.466150176</v>
      </c>
      <c r="CY6" s="56">
        <v>13025560.466150176</v>
      </c>
      <c r="CZ6" s="56">
        <v>13025560.466150176</v>
      </c>
      <c r="DA6" s="56">
        <v>13025560.466150176</v>
      </c>
      <c r="DB6" s="56">
        <v>13025560.466150176</v>
      </c>
      <c r="DC6" s="56">
        <v>13025560.466150176</v>
      </c>
      <c r="DD6" s="56">
        <v>13025560.466150176</v>
      </c>
      <c r="DE6" s="56">
        <v>13025560.466150176</v>
      </c>
      <c r="DF6" s="56">
        <v>13355247.300974391</v>
      </c>
      <c r="DG6" s="56">
        <v>13355247.300974391</v>
      </c>
      <c r="DH6" s="56">
        <v>13355247.300974391</v>
      </c>
      <c r="DI6" s="56">
        <v>13355247.300974391</v>
      </c>
      <c r="DJ6" s="56">
        <v>13355247.300974391</v>
      </c>
      <c r="DK6" s="56">
        <v>13355247.300974391</v>
      </c>
      <c r="DL6" s="56">
        <v>13355247.300974391</v>
      </c>
      <c r="DM6" s="56">
        <v>13355247.300974391</v>
      </c>
      <c r="DN6" s="56">
        <v>13355247.300974391</v>
      </c>
      <c r="DO6" s="56">
        <v>13355247.300974391</v>
      </c>
      <c r="DP6" s="56">
        <v>13355247.300974391</v>
      </c>
      <c r="DQ6" s="56">
        <v>13355247.300974391</v>
      </c>
      <c r="DR6" s="56">
        <v>13693278.760150002</v>
      </c>
      <c r="DS6" s="56">
        <v>13693278.760150002</v>
      </c>
      <c r="DT6" s="56">
        <v>13693278.760150002</v>
      </c>
      <c r="DU6" s="56">
        <v>13693278.760150002</v>
      </c>
      <c r="DV6" s="56">
        <v>13693278.760150002</v>
      </c>
      <c r="DW6" s="56">
        <v>13693278.760150002</v>
      </c>
      <c r="DX6" s="56">
        <v>13693278.760150002</v>
      </c>
      <c r="DY6" s="56">
        <v>13693278.760150002</v>
      </c>
      <c r="DZ6" s="56">
        <v>13693278.760150002</v>
      </c>
      <c r="EA6" s="56">
        <v>13693278.760150002</v>
      </c>
      <c r="EB6" s="56">
        <v>13693278.760150002</v>
      </c>
      <c r="EC6" s="56">
        <v>13693278.760150002</v>
      </c>
      <c r="ED6" s="56">
        <v>14039866.052461257</v>
      </c>
      <c r="EE6" s="56">
        <v>14039866.052461257</v>
      </c>
      <c r="EF6" s="56">
        <v>14039866.052461257</v>
      </c>
      <c r="EG6" s="56">
        <v>14039866.052461257</v>
      </c>
      <c r="EH6" s="56">
        <v>14039866.052461257</v>
      </c>
      <c r="EI6" s="56">
        <v>14039866.052461257</v>
      </c>
      <c r="EJ6" s="56">
        <v>14039866.052461257</v>
      </c>
      <c r="EK6" s="56">
        <v>14039866.052461257</v>
      </c>
      <c r="EL6" s="56">
        <v>14039866.052461257</v>
      </c>
      <c r="EM6" s="56">
        <v>14039866.052461257</v>
      </c>
      <c r="EN6" s="56">
        <v>14039866.052461257</v>
      </c>
      <c r="EO6" s="56">
        <v>14039866.052461257</v>
      </c>
      <c r="EP6" s="56">
        <v>14395225.732547252</v>
      </c>
      <c r="EQ6" s="56">
        <v>14395225.732547252</v>
      </c>
      <c r="ER6" s="56">
        <v>14395225.732547252</v>
      </c>
      <c r="ES6" s="56">
        <v>14395225.732547252</v>
      </c>
      <c r="ET6" s="56">
        <v>14395225.732547252</v>
      </c>
      <c r="EU6" s="56">
        <v>14395225.732547252</v>
      </c>
      <c r="EV6" s="56">
        <v>14395225.732547252</v>
      </c>
      <c r="EW6" s="56">
        <v>14395225.732547252</v>
      </c>
      <c r="EX6" s="56">
        <v>14395225.732547252</v>
      </c>
      <c r="EY6" s="56">
        <v>14395225.732547252</v>
      </c>
      <c r="EZ6" s="56">
        <v>14395225.732547252</v>
      </c>
      <c r="FA6" s="56">
        <v>14395225.732547252</v>
      </c>
      <c r="FB6" s="56">
        <v>14759579.83620958</v>
      </c>
      <c r="FC6" s="56">
        <v>14759579.83620958</v>
      </c>
      <c r="FD6" s="56">
        <v>14759579.83620958</v>
      </c>
      <c r="FE6" s="56">
        <v>14759579.83620958</v>
      </c>
      <c r="FF6" s="56">
        <v>14759579.83620958</v>
      </c>
      <c r="FG6" s="56">
        <v>14759579.83620958</v>
      </c>
      <c r="FH6" s="56">
        <v>14759579.83620958</v>
      </c>
      <c r="FI6" s="56">
        <v>14759579.83620958</v>
      </c>
      <c r="FJ6" s="56">
        <v>14759579.83620958</v>
      </c>
      <c r="FK6" s="56">
        <v>14759579.83620958</v>
      </c>
      <c r="FL6" s="56">
        <v>14759579.83620958</v>
      </c>
      <c r="FM6" s="56">
        <v>14759579.83620958</v>
      </c>
      <c r="FN6" s="56">
        <v>15133156.019144719</v>
      </c>
      <c r="FO6" s="56">
        <v>15133156.019144719</v>
      </c>
      <c r="FP6" s="56">
        <v>15133156.019144719</v>
      </c>
      <c r="FQ6" s="56">
        <v>15133156.019144719</v>
      </c>
      <c r="FR6" s="56">
        <v>15133156.019144719</v>
      </c>
      <c r="FS6" s="56">
        <v>15133156.019144719</v>
      </c>
      <c r="FT6" s="56">
        <v>15133156.019144719</v>
      </c>
      <c r="FU6" s="56">
        <v>15133156.019144719</v>
      </c>
      <c r="FV6" s="56">
        <v>15133156.019144719</v>
      </c>
      <c r="FW6" s="56">
        <v>15133156.019144719</v>
      </c>
      <c r="FX6" s="56">
        <v>15133156.019144719</v>
      </c>
      <c r="FY6" s="56">
        <v>15133156.019144719</v>
      </c>
      <c r="FZ6" s="56">
        <v>0</v>
      </c>
      <c r="GA6" s="56">
        <v>0</v>
      </c>
      <c r="GB6" s="56">
        <v>0</v>
      </c>
      <c r="GC6" s="56">
        <v>0</v>
      </c>
      <c r="GD6" s="56">
        <v>0</v>
      </c>
      <c r="GE6" s="56">
        <v>0</v>
      </c>
      <c r="GF6" s="56">
        <v>0</v>
      </c>
      <c r="GG6" s="56">
        <v>0</v>
      </c>
      <c r="GH6" s="56">
        <v>0</v>
      </c>
      <c r="GI6" s="56">
        <v>0</v>
      </c>
      <c r="GJ6" s="56">
        <v>0</v>
      </c>
      <c r="GK6" s="85">
        <v>0</v>
      </c>
      <c r="GL6" s="40"/>
    </row>
    <row r="7" spans="1:194" x14ac:dyDescent="0.4">
      <c r="A7" s="84" t="s">
        <v>237</v>
      </c>
      <c r="B7" s="70" t="s">
        <v>174</v>
      </c>
      <c r="C7" s="70" t="s">
        <v>397</v>
      </c>
      <c r="D7" s="70" t="s">
        <v>209</v>
      </c>
      <c r="E7" s="70" t="s">
        <v>175</v>
      </c>
      <c r="F7" s="70" t="s">
        <v>199</v>
      </c>
      <c r="G7" s="70" t="s">
        <v>175</v>
      </c>
      <c r="H7" s="70">
        <v>0</v>
      </c>
      <c r="I7" s="70">
        <v>0</v>
      </c>
      <c r="J7" s="70" t="s">
        <v>210</v>
      </c>
      <c r="K7" s="70">
        <v>0</v>
      </c>
      <c r="L7" s="70" t="s">
        <v>211</v>
      </c>
      <c r="M7" s="71">
        <f>IFERROR(INDEX('(참조)BL_인건비'!$S$3:$AG$40,MATCH(BL_인건비!$A7,'(참조)BL_인건비'!$S$3:$S$40,0),MATCH('(참조)BL_인건비'!X$2,'(참조)BL_인건비'!$S$2:$AG$2,0)),0)</f>
        <v>5</v>
      </c>
      <c r="N7" s="71">
        <f>IFERROR(INDEX('(참조)BL_인건비'!$S$3:$AG$40,MATCH(BL_인건비!$A7,'(참조)BL_인건비'!$S$3:$S$40,0),MATCH('(참조)BL_인건비'!Y$2,'(참조)BL_인건비'!$S$2:$AG$2,0)),0)</f>
        <v>5</v>
      </c>
      <c r="O7" s="71">
        <f>IFERROR(INDEX('(참조)BL_인건비'!$S$3:$AG$40,MATCH(BL_인건비!$A7,'(참조)BL_인건비'!$S$3:$S$40,0),MATCH('(참조)BL_인건비'!Z$2,'(참조)BL_인건비'!$S$2:$AG$2,0)),0)</f>
        <v>5</v>
      </c>
      <c r="P7" s="71">
        <f>IFERROR(INDEX('(참조)BL_인건비'!$S$3:$AG$40,MATCH(BL_인건비!$A7,'(참조)BL_인건비'!$S$3:$S$40,0),MATCH('(참조)BL_인건비'!AA$2,'(참조)BL_인건비'!$S$2:$AG$2,0)),0)</f>
        <v>5</v>
      </c>
      <c r="Q7" s="71">
        <f>IFERROR(INDEX('(참조)BL_인건비'!$S$3:$AG$40,MATCH(BL_인건비!$A7,'(참조)BL_인건비'!$S$3:$S$40,0),MATCH('(참조)BL_인건비'!AB$2,'(참조)BL_인건비'!$S$2:$AG$2,0)),0)</f>
        <v>5</v>
      </c>
      <c r="R7" s="71">
        <f>IFERROR(INDEX('(참조)BL_인건비'!$S$3:$AG$40,MATCH(BL_인건비!$A7,'(참조)BL_인건비'!$S$3:$S$40,0),MATCH('(참조)BL_인건비'!AC$2,'(참조)BL_인건비'!$S$2:$AG$2,0)),0)</f>
        <v>5</v>
      </c>
      <c r="S7" s="71">
        <f>IFERROR(INDEX('(참조)BL_인건비'!$S$3:$AG$40,MATCH(BL_인건비!$A7,'(참조)BL_인건비'!$S$3:$S$40,0),MATCH('(참조)BL_인건비'!AD$2,'(참조)BL_인건비'!$S$2:$AG$2,0)),0)</f>
        <v>5</v>
      </c>
      <c r="T7" s="71">
        <f>IFERROR(INDEX('(참조)BL_인건비'!$S$3:$AG$40,MATCH(BL_인건비!$A7,'(참조)BL_인건비'!$S$3:$S$40,0),MATCH('(참조)BL_인건비'!AE$2,'(참조)BL_인건비'!$S$2:$AG$2,0)),0)</f>
        <v>5</v>
      </c>
      <c r="U7" s="71">
        <f>IFERROR(INDEX('(참조)BL_인건비'!$S$3:$AG$40,MATCH(BL_인건비!$A7,'(참조)BL_인건비'!$S$3:$S$40,0),MATCH('(참조)BL_인건비'!AF$2,'(참조)BL_인건비'!$S$2:$AG$2,0)),0)</f>
        <v>5</v>
      </c>
      <c r="V7" s="71">
        <f>IFERROR(INDEX('(참조)BL_인건비'!$S$3:$AG$40,MATCH(BL_인건비!$A7,'(참조)BL_인건비'!$S$3:$S$40,0),MATCH('(참조)BL_인건비'!AG$2,'(참조)BL_인건비'!$S$2:$AG$2,0)),0)</f>
        <v>5</v>
      </c>
      <c r="W7" s="71">
        <f>IFERROR(INDEX('(참조)BL_인건비'!$S$3:$AG$40,MATCH(BL_인건비!$A7,'(참조)BL_인건비'!$S$3:$S$40,0),MATCH('(참조)BL_인건비'!AH$2,'(참조)BL_인건비'!$S$2:$AG$2,0)),0)</f>
        <v>0</v>
      </c>
      <c r="X7" s="72">
        <v>0</v>
      </c>
      <c r="Y7" s="72">
        <f>IFERROR(INDEX('(참조)BL_인건비'!$A$3:$O$40,MATCH(BL_인건비!$A7,'(참조)BL_인건비'!$A$3:$A$40,0),MATCH('(참조)BL_인건비'!F$2,'(참조)BL_인건비'!$A$2:$O$2,0)),0)</f>
        <v>2416906.6118346802</v>
      </c>
      <c r="Z7" s="72">
        <f>IFERROR(INDEX('(참조)BL_인건비'!$A$3:$O$40,MATCH(BL_인건비!$A7,'(참조)BL_인건비'!$A$3:$A$40,0),MATCH('(참조)BL_인건비'!G$2,'(참조)BL_인건비'!$A$2:$O$2,0)),0)</f>
        <v>2478080.3550292407</v>
      </c>
      <c r="AA7" s="72">
        <f>IFERROR(INDEX('(참조)BL_인건비'!$A$3:$O$40,MATCH(BL_인건비!$A7,'(참조)BL_인건비'!$A$3:$A$40,0),MATCH('(참조)BL_인건비'!H$2,'(참조)BL_인건비'!$A$2:$O$2,0)),0)</f>
        <v>2540802.4521561004</v>
      </c>
      <c r="AB7" s="72">
        <f>IFERROR(INDEX('(참조)BL_인건비'!$A$3:$O$40,MATCH(BL_인건비!$A7,'(참조)BL_인건비'!$A$3:$A$40,0),MATCH('(참조)BL_인건비'!I$2,'(참조)BL_인건비'!$A$2:$O$2,0)),0)</f>
        <v>2605112.0932300352</v>
      </c>
      <c r="AC7" s="72">
        <f>IFERROR(INDEX('(참조)BL_인건비'!$A$3:$O$40,MATCH(BL_인건비!$A7,'(참조)BL_인건비'!$A$3:$A$40,0),MATCH('(참조)BL_인건비'!J$2,'(참조)BL_인건비'!$A$2:$O$2,0)),0)</f>
        <v>2671049.4601948783</v>
      </c>
      <c r="AD7" s="72">
        <f>IFERROR(INDEX('(참조)BL_인건비'!$A$3:$O$40,MATCH(BL_인건비!$A7,'(참조)BL_인건비'!$A$3:$A$40,0),MATCH('(참조)BL_인건비'!K$2,'(참조)BL_인건비'!$A$2:$O$2,0)),0)</f>
        <v>2738655.7520300006</v>
      </c>
      <c r="AE7" s="72">
        <f>IFERROR(INDEX('(참조)BL_인건비'!$A$3:$O$40,MATCH(BL_인건비!$A7,'(참조)BL_인건비'!$A$3:$A$40,0),MATCH('(참조)BL_인건비'!L$2,'(참조)BL_인건비'!$A$2:$O$2,0)),0)</f>
        <v>2807973.2104922514</v>
      </c>
      <c r="AF7" s="72">
        <f>IFERROR(INDEX('(참조)BL_인건비'!$A$3:$O$40,MATCH(BL_인건비!$A7,'(참조)BL_인건비'!$A$3:$A$40,0),MATCH('(참조)BL_인건비'!M$2,'(참조)BL_인건비'!$A$2:$O$2,0)),0)</f>
        <v>2879045.1465094504</v>
      </c>
      <c r="AG7" s="72">
        <f>IFERROR(INDEX('(참조)BL_인건비'!$A$3:$O$40,MATCH(BL_인건비!$A7,'(참조)BL_인건비'!$A$3:$A$40,0),MATCH('(참조)BL_인건비'!N$2,'(참조)BL_인건비'!$A$2:$O$2,0)),0)</f>
        <v>2951915.9672419159</v>
      </c>
      <c r="AH7" s="72">
        <f>IFERROR(INDEX('(참조)BL_인건비'!$A$3:$O$40,MATCH(BL_인건비!$A7,'(참조)BL_인건비'!$A$3:$A$40,0),MATCH('(참조)BL_인건비'!O$2,'(참조)BL_인건비'!$A$2:$O$2,0)),0)</f>
        <v>3026631.2038289439</v>
      </c>
      <c r="AI7" s="72">
        <f>IFERROR(INDEX('(참조)BL_인건비'!$A$3:$O$40,MATCH(BL_인건비!$A7,'(참조)BL_인건비'!$A$3:$A$40,0),MATCH('(참조)BL_인건비'!P$2,'(참조)BL_인건비'!$A$2:$O$2,0)),0)</f>
        <v>0</v>
      </c>
      <c r="AJ7" s="72">
        <v>12</v>
      </c>
      <c r="AK7" s="72">
        <v>12</v>
      </c>
      <c r="AL7" s="72">
        <v>12</v>
      </c>
      <c r="AM7" s="72">
        <v>12</v>
      </c>
      <c r="AN7" s="72">
        <v>12</v>
      </c>
      <c r="AO7" s="72">
        <v>12</v>
      </c>
      <c r="AP7" s="72">
        <v>12</v>
      </c>
      <c r="AQ7" s="72">
        <v>12</v>
      </c>
      <c r="AR7" s="72">
        <v>12</v>
      </c>
      <c r="AS7" s="72">
        <v>12</v>
      </c>
      <c r="AT7" s="72">
        <v>12</v>
      </c>
      <c r="AU7" s="73">
        <v>1</v>
      </c>
      <c r="AV7" s="70">
        <v>0</v>
      </c>
      <c r="AW7" s="70">
        <v>0</v>
      </c>
      <c r="AX7" s="56">
        <v>1626970335.1528497</v>
      </c>
      <c r="AY7" s="56">
        <v>145014396.71008083</v>
      </c>
      <c r="AZ7" s="56">
        <v>148684821.30175444</v>
      </c>
      <c r="BA7" s="56">
        <v>152448147.12936601</v>
      </c>
      <c r="BB7" s="56">
        <v>156306725.59380212</v>
      </c>
      <c r="BC7" s="56">
        <v>160262967.61169273</v>
      </c>
      <c r="BD7" s="56">
        <v>164319345.12180007</v>
      </c>
      <c r="BE7" s="56">
        <v>168478392.62953508</v>
      </c>
      <c r="BF7" s="56">
        <v>172742708.79056701</v>
      </c>
      <c r="BG7" s="56">
        <v>177114958.03451496</v>
      </c>
      <c r="BH7" s="56">
        <v>181597872.2297366</v>
      </c>
      <c r="BI7" s="56">
        <v>0</v>
      </c>
      <c r="BJ7" s="74">
        <v>12084533.059173401</v>
      </c>
      <c r="BK7" s="56">
        <v>12084533.059173401</v>
      </c>
      <c r="BL7" s="56">
        <v>12084533.059173401</v>
      </c>
      <c r="BM7" s="56">
        <v>12084533.059173401</v>
      </c>
      <c r="BN7" s="56">
        <v>12084533.059173401</v>
      </c>
      <c r="BO7" s="56">
        <v>12084533.059173401</v>
      </c>
      <c r="BP7" s="56">
        <v>12084533.059173401</v>
      </c>
      <c r="BQ7" s="56">
        <v>12084533.059173401</v>
      </c>
      <c r="BR7" s="56">
        <v>12084533.059173401</v>
      </c>
      <c r="BS7" s="56">
        <v>12084533.059173401</v>
      </c>
      <c r="BT7" s="56">
        <v>12084533.059173401</v>
      </c>
      <c r="BU7" s="56">
        <v>12084533.059173401</v>
      </c>
      <c r="BV7" s="56">
        <v>12390401.775146203</v>
      </c>
      <c r="BW7" s="56">
        <v>12390401.775146203</v>
      </c>
      <c r="BX7" s="56">
        <v>12390401.775146203</v>
      </c>
      <c r="BY7" s="56">
        <v>12390401.775146203</v>
      </c>
      <c r="BZ7" s="56">
        <v>12390401.775146203</v>
      </c>
      <c r="CA7" s="56">
        <v>12390401.775146203</v>
      </c>
      <c r="CB7" s="56">
        <v>12390401.775146203</v>
      </c>
      <c r="CC7" s="56">
        <v>12390401.775146203</v>
      </c>
      <c r="CD7" s="56">
        <v>12390401.775146203</v>
      </c>
      <c r="CE7" s="56">
        <v>12390401.775146203</v>
      </c>
      <c r="CF7" s="56">
        <v>12390401.775146203</v>
      </c>
      <c r="CG7" s="56">
        <v>12390401.775146203</v>
      </c>
      <c r="CH7" s="56">
        <v>12704012.260780502</v>
      </c>
      <c r="CI7" s="56">
        <v>12704012.260780502</v>
      </c>
      <c r="CJ7" s="56">
        <v>12704012.260780502</v>
      </c>
      <c r="CK7" s="56">
        <v>12704012.260780502</v>
      </c>
      <c r="CL7" s="56">
        <v>12704012.260780502</v>
      </c>
      <c r="CM7" s="56">
        <v>12704012.260780502</v>
      </c>
      <c r="CN7" s="56">
        <v>12704012.260780502</v>
      </c>
      <c r="CO7" s="56">
        <v>12704012.260780502</v>
      </c>
      <c r="CP7" s="56">
        <v>12704012.260780502</v>
      </c>
      <c r="CQ7" s="56">
        <v>12704012.260780502</v>
      </c>
      <c r="CR7" s="56">
        <v>12704012.260780502</v>
      </c>
      <c r="CS7" s="56">
        <v>12704012.260780502</v>
      </c>
      <c r="CT7" s="56">
        <v>13025560.466150176</v>
      </c>
      <c r="CU7" s="56">
        <v>13025560.466150176</v>
      </c>
      <c r="CV7" s="56">
        <v>13025560.466150176</v>
      </c>
      <c r="CW7" s="56">
        <v>13025560.466150176</v>
      </c>
      <c r="CX7" s="56">
        <v>13025560.466150176</v>
      </c>
      <c r="CY7" s="56">
        <v>13025560.466150176</v>
      </c>
      <c r="CZ7" s="56">
        <v>13025560.466150176</v>
      </c>
      <c r="DA7" s="56">
        <v>13025560.466150176</v>
      </c>
      <c r="DB7" s="56">
        <v>13025560.466150176</v>
      </c>
      <c r="DC7" s="56">
        <v>13025560.466150176</v>
      </c>
      <c r="DD7" s="56">
        <v>13025560.466150176</v>
      </c>
      <c r="DE7" s="56">
        <v>13025560.466150176</v>
      </c>
      <c r="DF7" s="56">
        <v>13355247.300974391</v>
      </c>
      <c r="DG7" s="56">
        <v>13355247.300974391</v>
      </c>
      <c r="DH7" s="56">
        <v>13355247.300974391</v>
      </c>
      <c r="DI7" s="56">
        <v>13355247.300974391</v>
      </c>
      <c r="DJ7" s="56">
        <v>13355247.300974391</v>
      </c>
      <c r="DK7" s="56">
        <v>13355247.300974391</v>
      </c>
      <c r="DL7" s="56">
        <v>13355247.300974391</v>
      </c>
      <c r="DM7" s="56">
        <v>13355247.300974391</v>
      </c>
      <c r="DN7" s="56">
        <v>13355247.300974391</v>
      </c>
      <c r="DO7" s="56">
        <v>13355247.300974391</v>
      </c>
      <c r="DP7" s="56">
        <v>13355247.300974391</v>
      </c>
      <c r="DQ7" s="56">
        <v>13355247.300974391</v>
      </c>
      <c r="DR7" s="56">
        <v>13693278.760150002</v>
      </c>
      <c r="DS7" s="56">
        <v>13693278.760150002</v>
      </c>
      <c r="DT7" s="56">
        <v>13693278.760150002</v>
      </c>
      <c r="DU7" s="56">
        <v>13693278.760150002</v>
      </c>
      <c r="DV7" s="56">
        <v>13693278.760150002</v>
      </c>
      <c r="DW7" s="56">
        <v>13693278.760150002</v>
      </c>
      <c r="DX7" s="56">
        <v>13693278.760150002</v>
      </c>
      <c r="DY7" s="56">
        <v>13693278.760150002</v>
      </c>
      <c r="DZ7" s="56">
        <v>13693278.760150002</v>
      </c>
      <c r="EA7" s="56">
        <v>13693278.760150002</v>
      </c>
      <c r="EB7" s="56">
        <v>13693278.760150002</v>
      </c>
      <c r="EC7" s="56">
        <v>13693278.760150002</v>
      </c>
      <c r="ED7" s="56">
        <v>14039866.052461257</v>
      </c>
      <c r="EE7" s="56">
        <v>14039866.052461257</v>
      </c>
      <c r="EF7" s="56">
        <v>14039866.052461257</v>
      </c>
      <c r="EG7" s="56">
        <v>14039866.052461257</v>
      </c>
      <c r="EH7" s="56">
        <v>14039866.052461257</v>
      </c>
      <c r="EI7" s="56">
        <v>14039866.052461257</v>
      </c>
      <c r="EJ7" s="56">
        <v>14039866.052461257</v>
      </c>
      <c r="EK7" s="56">
        <v>14039866.052461257</v>
      </c>
      <c r="EL7" s="56">
        <v>14039866.052461257</v>
      </c>
      <c r="EM7" s="56">
        <v>14039866.052461257</v>
      </c>
      <c r="EN7" s="56">
        <v>14039866.052461257</v>
      </c>
      <c r="EO7" s="56">
        <v>14039866.052461257</v>
      </c>
      <c r="EP7" s="56">
        <v>14395225.732547252</v>
      </c>
      <c r="EQ7" s="56">
        <v>14395225.732547252</v>
      </c>
      <c r="ER7" s="56">
        <v>14395225.732547252</v>
      </c>
      <c r="ES7" s="56">
        <v>14395225.732547252</v>
      </c>
      <c r="ET7" s="56">
        <v>14395225.732547252</v>
      </c>
      <c r="EU7" s="56">
        <v>14395225.732547252</v>
      </c>
      <c r="EV7" s="56">
        <v>14395225.732547252</v>
      </c>
      <c r="EW7" s="56">
        <v>14395225.732547252</v>
      </c>
      <c r="EX7" s="56">
        <v>14395225.732547252</v>
      </c>
      <c r="EY7" s="56">
        <v>14395225.732547252</v>
      </c>
      <c r="EZ7" s="56">
        <v>14395225.732547252</v>
      </c>
      <c r="FA7" s="56">
        <v>14395225.732547252</v>
      </c>
      <c r="FB7" s="56">
        <v>14759579.83620958</v>
      </c>
      <c r="FC7" s="56">
        <v>14759579.83620958</v>
      </c>
      <c r="FD7" s="56">
        <v>14759579.83620958</v>
      </c>
      <c r="FE7" s="56">
        <v>14759579.83620958</v>
      </c>
      <c r="FF7" s="56">
        <v>14759579.83620958</v>
      </c>
      <c r="FG7" s="56">
        <v>14759579.83620958</v>
      </c>
      <c r="FH7" s="56">
        <v>14759579.83620958</v>
      </c>
      <c r="FI7" s="56">
        <v>14759579.83620958</v>
      </c>
      <c r="FJ7" s="56">
        <v>14759579.83620958</v>
      </c>
      <c r="FK7" s="56">
        <v>14759579.83620958</v>
      </c>
      <c r="FL7" s="56">
        <v>14759579.83620958</v>
      </c>
      <c r="FM7" s="56">
        <v>14759579.83620958</v>
      </c>
      <c r="FN7" s="56">
        <v>15133156.019144719</v>
      </c>
      <c r="FO7" s="56">
        <v>15133156.019144719</v>
      </c>
      <c r="FP7" s="56">
        <v>15133156.019144719</v>
      </c>
      <c r="FQ7" s="56">
        <v>15133156.019144719</v>
      </c>
      <c r="FR7" s="56">
        <v>15133156.019144719</v>
      </c>
      <c r="FS7" s="56">
        <v>15133156.019144719</v>
      </c>
      <c r="FT7" s="56">
        <v>15133156.019144719</v>
      </c>
      <c r="FU7" s="56">
        <v>15133156.019144719</v>
      </c>
      <c r="FV7" s="56">
        <v>15133156.019144719</v>
      </c>
      <c r="FW7" s="56">
        <v>15133156.019144719</v>
      </c>
      <c r="FX7" s="56">
        <v>15133156.019144719</v>
      </c>
      <c r="FY7" s="56">
        <v>15133156.019144719</v>
      </c>
      <c r="FZ7" s="56">
        <v>0</v>
      </c>
      <c r="GA7" s="56">
        <v>0</v>
      </c>
      <c r="GB7" s="56">
        <v>0</v>
      </c>
      <c r="GC7" s="56">
        <v>0</v>
      </c>
      <c r="GD7" s="56">
        <v>0</v>
      </c>
      <c r="GE7" s="56">
        <v>0</v>
      </c>
      <c r="GF7" s="56">
        <v>0</v>
      </c>
      <c r="GG7" s="56">
        <v>0</v>
      </c>
      <c r="GH7" s="56">
        <v>0</v>
      </c>
      <c r="GI7" s="56">
        <v>0</v>
      </c>
      <c r="GJ7" s="56">
        <v>0</v>
      </c>
      <c r="GK7" s="85">
        <v>0</v>
      </c>
      <c r="GL7" s="40"/>
    </row>
    <row r="8" spans="1:194" x14ac:dyDescent="0.4">
      <c r="A8" s="84" t="s">
        <v>238</v>
      </c>
      <c r="B8" s="70" t="s">
        <v>174</v>
      </c>
      <c r="C8" s="70" t="s">
        <v>397</v>
      </c>
      <c r="D8" s="70" t="s">
        <v>209</v>
      </c>
      <c r="E8" s="70" t="s">
        <v>175</v>
      </c>
      <c r="F8" s="70" t="s">
        <v>192</v>
      </c>
      <c r="G8" s="70" t="s">
        <v>175</v>
      </c>
      <c r="H8" s="70">
        <v>0</v>
      </c>
      <c r="I8" s="70">
        <v>0</v>
      </c>
      <c r="J8" s="70" t="s">
        <v>210</v>
      </c>
      <c r="K8" s="70">
        <v>0</v>
      </c>
      <c r="L8" s="70" t="s">
        <v>211</v>
      </c>
      <c r="M8" s="71">
        <f>IFERROR(INDEX('(참조)BL_인건비'!$S$3:$AG$40,MATCH(BL_인건비!$A8,'(참조)BL_인건비'!$S$3:$S$40,0),MATCH('(참조)BL_인건비'!X$2,'(참조)BL_인건비'!$S$2:$AG$2,0)),0)</f>
        <v>25</v>
      </c>
      <c r="N8" s="71">
        <f>IFERROR(INDEX('(참조)BL_인건비'!$S$3:$AG$40,MATCH(BL_인건비!$A8,'(참조)BL_인건비'!$S$3:$S$40,0),MATCH('(참조)BL_인건비'!Y$2,'(참조)BL_인건비'!$S$2:$AG$2,0)),0)</f>
        <v>25</v>
      </c>
      <c r="O8" s="71">
        <f>IFERROR(INDEX('(참조)BL_인건비'!$S$3:$AG$40,MATCH(BL_인건비!$A8,'(참조)BL_인건비'!$S$3:$S$40,0),MATCH('(참조)BL_인건비'!Z$2,'(참조)BL_인건비'!$S$2:$AG$2,0)),0)</f>
        <v>25</v>
      </c>
      <c r="P8" s="71">
        <f>IFERROR(INDEX('(참조)BL_인건비'!$S$3:$AG$40,MATCH(BL_인건비!$A8,'(참조)BL_인건비'!$S$3:$S$40,0),MATCH('(참조)BL_인건비'!AA$2,'(참조)BL_인건비'!$S$2:$AG$2,0)),0)</f>
        <v>25</v>
      </c>
      <c r="Q8" s="71">
        <f>IFERROR(INDEX('(참조)BL_인건비'!$S$3:$AG$40,MATCH(BL_인건비!$A8,'(참조)BL_인건비'!$S$3:$S$40,0),MATCH('(참조)BL_인건비'!AB$2,'(참조)BL_인건비'!$S$2:$AG$2,0)),0)</f>
        <v>25</v>
      </c>
      <c r="R8" s="71">
        <f>IFERROR(INDEX('(참조)BL_인건비'!$S$3:$AG$40,MATCH(BL_인건비!$A8,'(참조)BL_인건비'!$S$3:$S$40,0),MATCH('(참조)BL_인건비'!AC$2,'(참조)BL_인건비'!$S$2:$AG$2,0)),0)</f>
        <v>25</v>
      </c>
      <c r="S8" s="71">
        <f>IFERROR(INDEX('(참조)BL_인건비'!$S$3:$AG$40,MATCH(BL_인건비!$A8,'(참조)BL_인건비'!$S$3:$S$40,0),MATCH('(참조)BL_인건비'!AD$2,'(참조)BL_인건비'!$S$2:$AG$2,0)),0)</f>
        <v>25</v>
      </c>
      <c r="T8" s="71">
        <f>IFERROR(INDEX('(참조)BL_인건비'!$S$3:$AG$40,MATCH(BL_인건비!$A8,'(참조)BL_인건비'!$S$3:$S$40,0),MATCH('(참조)BL_인건비'!AE$2,'(참조)BL_인건비'!$S$2:$AG$2,0)),0)</f>
        <v>25</v>
      </c>
      <c r="U8" s="71">
        <f>IFERROR(INDEX('(참조)BL_인건비'!$S$3:$AG$40,MATCH(BL_인건비!$A8,'(참조)BL_인건비'!$S$3:$S$40,0),MATCH('(참조)BL_인건비'!AF$2,'(참조)BL_인건비'!$S$2:$AG$2,0)),0)</f>
        <v>25</v>
      </c>
      <c r="V8" s="71">
        <f>IFERROR(INDEX('(참조)BL_인건비'!$S$3:$AG$40,MATCH(BL_인건비!$A8,'(참조)BL_인건비'!$S$3:$S$40,0),MATCH('(참조)BL_인건비'!AG$2,'(참조)BL_인건비'!$S$2:$AG$2,0)),0)</f>
        <v>25</v>
      </c>
      <c r="W8" s="71">
        <f>IFERROR(INDEX('(참조)BL_인건비'!$S$3:$AG$40,MATCH(BL_인건비!$A8,'(참조)BL_인건비'!$S$3:$S$40,0),MATCH('(참조)BL_인건비'!AH$2,'(참조)BL_인건비'!$S$2:$AG$2,0)),0)</f>
        <v>0</v>
      </c>
      <c r="X8" s="72">
        <v>0</v>
      </c>
      <c r="Y8" s="72">
        <f>IFERROR(INDEX('(참조)BL_인건비'!$A$3:$O$40,MATCH(BL_인건비!$A8,'(참조)BL_인건비'!$A$3:$A$40,0),MATCH('(참조)BL_인건비'!F$2,'(참조)BL_인건비'!$A$2:$O$2,0)),0)</f>
        <v>2475400.5906926799</v>
      </c>
      <c r="Z8" s="72">
        <f>IFERROR(INDEX('(참조)BL_인건비'!$A$3:$O$40,MATCH(BL_인건비!$A8,'(참조)BL_인건비'!$A$3:$A$40,0),MATCH('(참조)BL_인건비'!G$2,'(참조)BL_인건비'!$A$2:$O$2,0)),0)</f>
        <v>2538054.8609475605</v>
      </c>
      <c r="AA8" s="72">
        <f>IFERROR(INDEX('(참조)BL_인건비'!$A$3:$O$40,MATCH(BL_인건비!$A8,'(참조)BL_인건비'!$A$3:$A$40,0),MATCH('(참조)BL_인건비'!H$2,'(참조)BL_인건비'!$A$2:$O$2,0)),0)</f>
        <v>2602294.9583998374</v>
      </c>
      <c r="AB8" s="72">
        <f>IFERROR(INDEX('(참조)BL_인건비'!$A$3:$O$40,MATCH(BL_인건비!$A8,'(참조)BL_인건비'!$A$3:$A$40,0),MATCH('(참조)BL_인건비'!I$2,'(참조)BL_인건비'!$A$2:$O$2,0)),0)</f>
        <v>2668161.0215411056</v>
      </c>
      <c r="AC8" s="72">
        <f>IFERROR(INDEX('(참조)BL_인건비'!$A$3:$O$40,MATCH(BL_인건비!$A8,'(참조)BL_인건비'!$A$3:$A$40,0),MATCH('(참조)BL_인건비'!J$2,'(참조)BL_인건비'!$A$2:$O$2,0)),0)</f>
        <v>2735694.2047986872</v>
      </c>
      <c r="AD8" s="72">
        <f>IFERROR(INDEX('(참조)BL_인건비'!$A$3:$O$40,MATCH(BL_인건비!$A8,'(참조)BL_인건비'!$A$3:$A$40,0),MATCH('(참조)BL_인건비'!K$2,'(참조)BL_인건비'!$A$2:$O$2,0)),0)</f>
        <v>2804936.7042497378</v>
      </c>
      <c r="AE8" s="72">
        <f>IFERROR(INDEX('(참조)BL_인건비'!$A$3:$O$40,MATCH(BL_인건비!$A8,'(참조)BL_인건비'!$A$3:$A$40,0),MATCH('(참조)BL_인건비'!L$2,'(참조)BL_인건비'!$A$2:$O$2,0)),0)</f>
        <v>2875931.7839861941</v>
      </c>
      <c r="AF8" s="72">
        <f>IFERROR(INDEX('(참조)BL_인건비'!$A$3:$O$40,MATCH(BL_인건비!$A8,'(참조)BL_인건비'!$A$3:$A$40,0),MATCH('(참조)BL_인건비'!M$2,'(참조)BL_인건비'!$A$2:$O$2,0)),0)</f>
        <v>2948723.8031470403</v>
      </c>
      <c r="AG8" s="72">
        <f>IFERROR(INDEX('(참조)BL_인건비'!$A$3:$O$40,MATCH(BL_인건비!$A8,'(참조)BL_인건비'!$A$3:$A$40,0),MATCH('(참조)BL_인건비'!N$2,'(참조)BL_인건비'!$A$2:$O$2,0)),0)</f>
        <v>3023358.2436347823</v>
      </c>
      <c r="AH8" s="72">
        <f>IFERROR(INDEX('(참조)BL_인건비'!$A$3:$O$40,MATCH(BL_인건비!$A8,'(참조)BL_인건비'!$A$3:$A$40,0),MATCH('(참조)BL_인건비'!O$2,'(참조)BL_인건비'!$A$2:$O$2,0)),0)</f>
        <v>3099881.7385334438</v>
      </c>
      <c r="AI8" s="72">
        <f>IFERROR(INDEX('(참조)BL_인건비'!$A$3:$O$40,MATCH(BL_인건비!$A8,'(참조)BL_인건비'!$A$3:$A$40,0),MATCH('(참조)BL_인건비'!P$2,'(참조)BL_인건비'!$A$2:$O$2,0)),0)</f>
        <v>0</v>
      </c>
      <c r="AJ8" s="72">
        <v>12</v>
      </c>
      <c r="AK8" s="72">
        <v>12</v>
      </c>
      <c r="AL8" s="72">
        <v>12</v>
      </c>
      <c r="AM8" s="72">
        <v>12</v>
      </c>
      <c r="AN8" s="72">
        <v>12</v>
      </c>
      <c r="AO8" s="72">
        <v>12</v>
      </c>
      <c r="AP8" s="72">
        <v>12</v>
      </c>
      <c r="AQ8" s="72">
        <v>12</v>
      </c>
      <c r="AR8" s="72">
        <v>12</v>
      </c>
      <c r="AS8" s="72">
        <v>12</v>
      </c>
      <c r="AT8" s="72">
        <v>12</v>
      </c>
      <c r="AU8" s="73">
        <v>1</v>
      </c>
      <c r="AV8" s="70">
        <v>0</v>
      </c>
      <c r="AW8" s="70">
        <v>0</v>
      </c>
      <c r="AX8" s="56">
        <v>8331731372.9793205</v>
      </c>
      <c r="AY8" s="56">
        <v>742620177.2078042</v>
      </c>
      <c r="AZ8" s="56">
        <v>761416458.28426826</v>
      </c>
      <c r="BA8" s="56">
        <v>780688487.51995134</v>
      </c>
      <c r="BB8" s="56">
        <v>800448306.46233141</v>
      </c>
      <c r="BC8" s="56">
        <v>820708261.43960631</v>
      </c>
      <c r="BD8" s="56">
        <v>841481011.27492154</v>
      </c>
      <c r="BE8" s="56">
        <v>862779535.19585848</v>
      </c>
      <c r="BF8" s="56">
        <v>884617140.94411194</v>
      </c>
      <c r="BG8" s="56">
        <v>907007473.09043467</v>
      </c>
      <c r="BH8" s="56">
        <v>929964521.5600332</v>
      </c>
      <c r="BI8" s="56">
        <v>0</v>
      </c>
      <c r="BJ8" s="74">
        <v>61885014.767316997</v>
      </c>
      <c r="BK8" s="56">
        <v>61885014.767316997</v>
      </c>
      <c r="BL8" s="56">
        <v>61885014.767316997</v>
      </c>
      <c r="BM8" s="56">
        <v>61885014.767316997</v>
      </c>
      <c r="BN8" s="56">
        <v>61885014.767316997</v>
      </c>
      <c r="BO8" s="56">
        <v>61885014.767316997</v>
      </c>
      <c r="BP8" s="56">
        <v>61885014.767316997</v>
      </c>
      <c r="BQ8" s="56">
        <v>61885014.767316997</v>
      </c>
      <c r="BR8" s="56">
        <v>61885014.767316997</v>
      </c>
      <c r="BS8" s="56">
        <v>61885014.767316997</v>
      </c>
      <c r="BT8" s="56">
        <v>61885014.767316997</v>
      </c>
      <c r="BU8" s="56">
        <v>61885014.767316997</v>
      </c>
      <c r="BV8" s="56">
        <v>63451371.523689017</v>
      </c>
      <c r="BW8" s="56">
        <v>63451371.523689017</v>
      </c>
      <c r="BX8" s="56">
        <v>63451371.523689017</v>
      </c>
      <c r="BY8" s="56">
        <v>63451371.523689017</v>
      </c>
      <c r="BZ8" s="56">
        <v>63451371.523689017</v>
      </c>
      <c r="CA8" s="56">
        <v>63451371.523689017</v>
      </c>
      <c r="CB8" s="56">
        <v>63451371.523689017</v>
      </c>
      <c r="CC8" s="56">
        <v>63451371.523689017</v>
      </c>
      <c r="CD8" s="56">
        <v>63451371.523689017</v>
      </c>
      <c r="CE8" s="56">
        <v>63451371.523689017</v>
      </c>
      <c r="CF8" s="56">
        <v>63451371.523689017</v>
      </c>
      <c r="CG8" s="56">
        <v>63451371.523689017</v>
      </c>
      <c r="CH8" s="56">
        <v>65057373.959995933</v>
      </c>
      <c r="CI8" s="56">
        <v>65057373.959995933</v>
      </c>
      <c r="CJ8" s="56">
        <v>65057373.959995933</v>
      </c>
      <c r="CK8" s="56">
        <v>65057373.959995933</v>
      </c>
      <c r="CL8" s="56">
        <v>65057373.959995933</v>
      </c>
      <c r="CM8" s="56">
        <v>65057373.959995933</v>
      </c>
      <c r="CN8" s="56">
        <v>65057373.959995933</v>
      </c>
      <c r="CO8" s="56">
        <v>65057373.959995933</v>
      </c>
      <c r="CP8" s="56">
        <v>65057373.959995933</v>
      </c>
      <c r="CQ8" s="56">
        <v>65057373.959995933</v>
      </c>
      <c r="CR8" s="56">
        <v>65057373.959995933</v>
      </c>
      <c r="CS8" s="56">
        <v>65057373.959995933</v>
      </c>
      <c r="CT8" s="56">
        <v>66704025.538527638</v>
      </c>
      <c r="CU8" s="56">
        <v>66704025.538527638</v>
      </c>
      <c r="CV8" s="56">
        <v>66704025.538527638</v>
      </c>
      <c r="CW8" s="56">
        <v>66704025.538527638</v>
      </c>
      <c r="CX8" s="56">
        <v>66704025.538527638</v>
      </c>
      <c r="CY8" s="56">
        <v>66704025.538527638</v>
      </c>
      <c r="CZ8" s="56">
        <v>66704025.538527638</v>
      </c>
      <c r="DA8" s="56">
        <v>66704025.538527638</v>
      </c>
      <c r="DB8" s="56">
        <v>66704025.538527638</v>
      </c>
      <c r="DC8" s="56">
        <v>66704025.538527638</v>
      </c>
      <c r="DD8" s="56">
        <v>66704025.538527638</v>
      </c>
      <c r="DE8" s="56">
        <v>66704025.538527638</v>
      </c>
      <c r="DF8" s="56">
        <v>68392355.119967178</v>
      </c>
      <c r="DG8" s="56">
        <v>68392355.119967178</v>
      </c>
      <c r="DH8" s="56">
        <v>68392355.119967178</v>
      </c>
      <c r="DI8" s="56">
        <v>68392355.119967178</v>
      </c>
      <c r="DJ8" s="56">
        <v>68392355.119967178</v>
      </c>
      <c r="DK8" s="56">
        <v>68392355.119967178</v>
      </c>
      <c r="DL8" s="56">
        <v>68392355.119967178</v>
      </c>
      <c r="DM8" s="56">
        <v>68392355.119967178</v>
      </c>
      <c r="DN8" s="56">
        <v>68392355.119967178</v>
      </c>
      <c r="DO8" s="56">
        <v>68392355.119967178</v>
      </c>
      <c r="DP8" s="56">
        <v>68392355.119967178</v>
      </c>
      <c r="DQ8" s="56">
        <v>68392355.119967178</v>
      </c>
      <c r="DR8" s="56">
        <v>70123417.606243446</v>
      </c>
      <c r="DS8" s="56">
        <v>70123417.606243446</v>
      </c>
      <c r="DT8" s="56">
        <v>70123417.606243446</v>
      </c>
      <c r="DU8" s="56">
        <v>70123417.606243446</v>
      </c>
      <c r="DV8" s="56">
        <v>70123417.606243446</v>
      </c>
      <c r="DW8" s="56">
        <v>70123417.606243446</v>
      </c>
      <c r="DX8" s="56">
        <v>70123417.606243446</v>
      </c>
      <c r="DY8" s="56">
        <v>70123417.606243446</v>
      </c>
      <c r="DZ8" s="56">
        <v>70123417.606243446</v>
      </c>
      <c r="EA8" s="56">
        <v>70123417.606243446</v>
      </c>
      <c r="EB8" s="56">
        <v>70123417.606243446</v>
      </c>
      <c r="EC8" s="56">
        <v>70123417.606243446</v>
      </c>
      <c r="ED8" s="56">
        <v>71898294.599654853</v>
      </c>
      <c r="EE8" s="56">
        <v>71898294.599654853</v>
      </c>
      <c r="EF8" s="56">
        <v>71898294.599654853</v>
      </c>
      <c r="EG8" s="56">
        <v>71898294.599654853</v>
      </c>
      <c r="EH8" s="56">
        <v>71898294.599654853</v>
      </c>
      <c r="EI8" s="56">
        <v>71898294.599654853</v>
      </c>
      <c r="EJ8" s="56">
        <v>71898294.599654853</v>
      </c>
      <c r="EK8" s="56">
        <v>71898294.599654853</v>
      </c>
      <c r="EL8" s="56">
        <v>71898294.599654853</v>
      </c>
      <c r="EM8" s="56">
        <v>71898294.599654853</v>
      </c>
      <c r="EN8" s="56">
        <v>71898294.599654853</v>
      </c>
      <c r="EO8" s="56">
        <v>71898294.599654853</v>
      </c>
      <c r="EP8" s="56">
        <v>73718095.078676015</v>
      </c>
      <c r="EQ8" s="56">
        <v>73718095.078676015</v>
      </c>
      <c r="ER8" s="56">
        <v>73718095.078676015</v>
      </c>
      <c r="ES8" s="56">
        <v>73718095.078676015</v>
      </c>
      <c r="ET8" s="56">
        <v>73718095.078676015</v>
      </c>
      <c r="EU8" s="56">
        <v>73718095.078676015</v>
      </c>
      <c r="EV8" s="56">
        <v>73718095.078676015</v>
      </c>
      <c r="EW8" s="56">
        <v>73718095.078676015</v>
      </c>
      <c r="EX8" s="56">
        <v>73718095.078676015</v>
      </c>
      <c r="EY8" s="56">
        <v>73718095.078676015</v>
      </c>
      <c r="EZ8" s="56">
        <v>73718095.078676015</v>
      </c>
      <c r="FA8" s="56">
        <v>73718095.078676015</v>
      </c>
      <c r="FB8" s="56">
        <v>75583956.090869561</v>
      </c>
      <c r="FC8" s="56">
        <v>75583956.090869561</v>
      </c>
      <c r="FD8" s="56">
        <v>75583956.090869561</v>
      </c>
      <c r="FE8" s="56">
        <v>75583956.090869561</v>
      </c>
      <c r="FF8" s="56">
        <v>75583956.090869561</v>
      </c>
      <c r="FG8" s="56">
        <v>75583956.090869561</v>
      </c>
      <c r="FH8" s="56">
        <v>75583956.090869561</v>
      </c>
      <c r="FI8" s="56">
        <v>75583956.090869561</v>
      </c>
      <c r="FJ8" s="56">
        <v>75583956.090869561</v>
      </c>
      <c r="FK8" s="56">
        <v>75583956.090869561</v>
      </c>
      <c r="FL8" s="56">
        <v>75583956.090869561</v>
      </c>
      <c r="FM8" s="56">
        <v>75583956.090869561</v>
      </c>
      <c r="FN8" s="56">
        <v>77497043.463336095</v>
      </c>
      <c r="FO8" s="56">
        <v>77497043.463336095</v>
      </c>
      <c r="FP8" s="56">
        <v>77497043.463336095</v>
      </c>
      <c r="FQ8" s="56">
        <v>77497043.463336095</v>
      </c>
      <c r="FR8" s="56">
        <v>77497043.463336095</v>
      </c>
      <c r="FS8" s="56">
        <v>77497043.463336095</v>
      </c>
      <c r="FT8" s="56">
        <v>77497043.463336095</v>
      </c>
      <c r="FU8" s="56">
        <v>77497043.463336095</v>
      </c>
      <c r="FV8" s="56">
        <v>77497043.463336095</v>
      </c>
      <c r="FW8" s="56">
        <v>77497043.463336095</v>
      </c>
      <c r="FX8" s="56">
        <v>77497043.463336095</v>
      </c>
      <c r="FY8" s="56">
        <v>77497043.463336095</v>
      </c>
      <c r="FZ8" s="56">
        <v>0</v>
      </c>
      <c r="GA8" s="56">
        <v>0</v>
      </c>
      <c r="GB8" s="56">
        <v>0</v>
      </c>
      <c r="GC8" s="56">
        <v>0</v>
      </c>
      <c r="GD8" s="56">
        <v>0</v>
      </c>
      <c r="GE8" s="56">
        <v>0</v>
      </c>
      <c r="GF8" s="56">
        <v>0</v>
      </c>
      <c r="GG8" s="56">
        <v>0</v>
      </c>
      <c r="GH8" s="56">
        <v>0</v>
      </c>
      <c r="GI8" s="56">
        <v>0</v>
      </c>
      <c r="GJ8" s="56">
        <v>0</v>
      </c>
      <c r="GK8" s="85">
        <v>0</v>
      </c>
      <c r="GL8" s="40"/>
    </row>
    <row r="9" spans="1:194" x14ac:dyDescent="0.4">
      <c r="A9" s="84" t="s">
        <v>239</v>
      </c>
      <c r="B9" s="70" t="s">
        <v>174</v>
      </c>
      <c r="C9" s="70" t="s">
        <v>397</v>
      </c>
      <c r="D9" s="70" t="s">
        <v>209</v>
      </c>
      <c r="E9" s="70" t="s">
        <v>175</v>
      </c>
      <c r="F9" s="70" t="s">
        <v>192</v>
      </c>
      <c r="G9" s="70" t="s">
        <v>201</v>
      </c>
      <c r="H9" s="70">
        <v>0</v>
      </c>
      <c r="I9" s="70">
        <v>0</v>
      </c>
      <c r="J9" s="70" t="s">
        <v>210</v>
      </c>
      <c r="K9" s="70">
        <v>0</v>
      </c>
      <c r="L9" s="70" t="s">
        <v>211</v>
      </c>
      <c r="M9" s="71">
        <f>IFERROR(INDEX('(참조)BL_인건비'!$S$3:$AG$40,MATCH(BL_인건비!$A9,'(참조)BL_인건비'!$S$3:$S$40,0),MATCH('(참조)BL_인건비'!X$2,'(참조)BL_인건비'!$S$2:$AG$2,0)),0)</f>
        <v>1</v>
      </c>
      <c r="N9" s="71">
        <f>IFERROR(INDEX('(참조)BL_인건비'!$S$3:$AG$40,MATCH(BL_인건비!$A9,'(참조)BL_인건비'!$S$3:$S$40,0),MATCH('(참조)BL_인건비'!Y$2,'(참조)BL_인건비'!$S$2:$AG$2,0)),0)</f>
        <v>1</v>
      </c>
      <c r="O9" s="71">
        <f>IFERROR(INDEX('(참조)BL_인건비'!$S$3:$AG$40,MATCH(BL_인건비!$A9,'(참조)BL_인건비'!$S$3:$S$40,0),MATCH('(참조)BL_인건비'!Z$2,'(참조)BL_인건비'!$S$2:$AG$2,0)),0)</f>
        <v>1</v>
      </c>
      <c r="P9" s="71">
        <f>IFERROR(INDEX('(참조)BL_인건비'!$S$3:$AG$40,MATCH(BL_인건비!$A9,'(참조)BL_인건비'!$S$3:$S$40,0),MATCH('(참조)BL_인건비'!AA$2,'(참조)BL_인건비'!$S$2:$AG$2,0)),0)</f>
        <v>1</v>
      </c>
      <c r="Q9" s="71">
        <f>IFERROR(INDEX('(참조)BL_인건비'!$S$3:$AG$40,MATCH(BL_인건비!$A9,'(참조)BL_인건비'!$S$3:$S$40,0),MATCH('(참조)BL_인건비'!AB$2,'(참조)BL_인건비'!$S$2:$AG$2,0)),0)</f>
        <v>1</v>
      </c>
      <c r="R9" s="71">
        <f>IFERROR(INDEX('(참조)BL_인건비'!$S$3:$AG$40,MATCH(BL_인건비!$A9,'(참조)BL_인건비'!$S$3:$S$40,0),MATCH('(참조)BL_인건비'!AC$2,'(참조)BL_인건비'!$S$2:$AG$2,0)),0)</f>
        <v>1</v>
      </c>
      <c r="S9" s="71">
        <f>IFERROR(INDEX('(참조)BL_인건비'!$S$3:$AG$40,MATCH(BL_인건비!$A9,'(참조)BL_인건비'!$S$3:$S$40,0),MATCH('(참조)BL_인건비'!AD$2,'(참조)BL_인건비'!$S$2:$AG$2,0)),0)</f>
        <v>1</v>
      </c>
      <c r="T9" s="71">
        <f>IFERROR(INDEX('(참조)BL_인건비'!$S$3:$AG$40,MATCH(BL_인건비!$A9,'(참조)BL_인건비'!$S$3:$S$40,0),MATCH('(참조)BL_인건비'!AE$2,'(참조)BL_인건비'!$S$2:$AG$2,0)),0)</f>
        <v>1</v>
      </c>
      <c r="U9" s="71">
        <f>IFERROR(INDEX('(참조)BL_인건비'!$S$3:$AG$40,MATCH(BL_인건비!$A9,'(참조)BL_인건비'!$S$3:$S$40,0),MATCH('(참조)BL_인건비'!AF$2,'(참조)BL_인건비'!$S$2:$AG$2,0)),0)</f>
        <v>1</v>
      </c>
      <c r="V9" s="71">
        <f>IFERROR(INDEX('(참조)BL_인건비'!$S$3:$AG$40,MATCH(BL_인건비!$A9,'(참조)BL_인건비'!$S$3:$S$40,0),MATCH('(참조)BL_인건비'!AG$2,'(참조)BL_인건비'!$S$2:$AG$2,0)),0)</f>
        <v>1</v>
      </c>
      <c r="W9" s="71">
        <f>IFERROR(INDEX('(참조)BL_인건비'!$S$3:$AG$40,MATCH(BL_인건비!$A9,'(참조)BL_인건비'!$S$3:$S$40,0),MATCH('(참조)BL_인건비'!AH$2,'(참조)BL_인건비'!$S$2:$AG$2,0)),0)</f>
        <v>0</v>
      </c>
      <c r="X9" s="72">
        <v>0</v>
      </c>
      <c r="Y9" s="72">
        <f>IFERROR(INDEX('(참조)BL_인건비'!$A$3:$O$40,MATCH(BL_인건비!$A9,'(참조)BL_인건비'!$A$3:$A$40,0),MATCH('(참조)BL_인건비'!F$2,'(참조)BL_인건비'!$A$2:$O$2,0)),0)</f>
        <v>2890361.2855476001</v>
      </c>
      <c r="Z9" s="72">
        <f>IFERROR(INDEX('(참조)BL_인건비'!$A$3:$O$40,MATCH(BL_인건비!$A9,'(참조)BL_인건비'!$A$3:$A$40,0),MATCH('(참조)BL_인건비'!G$2,'(참조)BL_인건비'!$A$2:$O$2,0)),0)</f>
        <v>2963518.5263593867</v>
      </c>
      <c r="AA9" s="72">
        <f>IFERROR(INDEX('(참조)BL_인건비'!$A$3:$O$40,MATCH(BL_인건비!$A9,'(참조)BL_인건비'!$A$3:$A$40,0),MATCH('(참조)BL_인건비'!H$2,'(참조)BL_인건비'!$A$2:$O$2,0)),0)</f>
        <v>3038527.4325356227</v>
      </c>
      <c r="AB9" s="72">
        <f>IFERROR(INDEX('(참조)BL_인건비'!$A$3:$O$40,MATCH(BL_인건비!$A9,'(참조)BL_인건비'!$A$3:$A$40,0),MATCH('(참조)BL_인건비'!I$2,'(참조)BL_인건비'!$A$2:$O$2,0)),0)</f>
        <v>3115434.8711339482</v>
      </c>
      <c r="AC9" s="72">
        <f>IFERROR(INDEX('(참조)BL_인건비'!$A$3:$O$40,MATCH(BL_인건비!$A9,'(참조)BL_인건비'!$A$3:$A$40,0),MATCH('(참조)BL_인건비'!J$2,'(참조)BL_인건비'!$A$2:$O$2,0)),0)</f>
        <v>3194288.8954528505</v>
      </c>
      <c r="AD9" s="72">
        <f>IFERROR(INDEX('(참조)BL_인건비'!$A$3:$O$40,MATCH(BL_인건비!$A9,'(참조)BL_인건비'!$A$3:$A$40,0),MATCH('(참조)BL_인건비'!K$2,'(참조)BL_인건비'!$A$2:$O$2,0)),0)</f>
        <v>3275138.7750563226</v>
      </c>
      <c r="AE9" s="72">
        <f>IFERROR(INDEX('(참조)BL_인건비'!$A$3:$O$40,MATCH(BL_인건비!$A9,'(참조)BL_인건비'!$A$3:$A$40,0),MATCH('(참조)BL_인건비'!L$2,'(참조)BL_인건비'!$A$2:$O$2,0)),0)</f>
        <v>3358035.0265584672</v>
      </c>
      <c r="AF9" s="72">
        <f>IFERROR(INDEX('(참조)BL_인건비'!$A$3:$O$40,MATCH(BL_인건비!$A9,'(참조)BL_인건비'!$A$3:$A$40,0),MATCH('(참조)BL_인건비'!M$2,'(참조)BL_인건비'!$A$2:$O$2,0)),0)</f>
        <v>3443029.4451872823</v>
      </c>
      <c r="AG9" s="72">
        <f>IFERROR(INDEX('(참조)BL_인건비'!$A$3:$O$40,MATCH(BL_인건비!$A9,'(참조)BL_인건비'!$A$3:$A$40,0),MATCH('(참조)BL_인건비'!N$2,'(참조)BL_인건비'!$A$2:$O$2,0)),0)</f>
        <v>3530175.1371473507</v>
      </c>
      <c r="AH9" s="72">
        <f>IFERROR(INDEX('(참조)BL_인건비'!$A$3:$O$40,MATCH(BL_인건비!$A9,'(참조)BL_인건비'!$A$3:$A$40,0),MATCH('(참조)BL_인건비'!O$2,'(참조)BL_인건비'!$A$2:$O$2,0)),0)</f>
        <v>3619526.5528016542</v>
      </c>
      <c r="AI9" s="72">
        <f>IFERROR(INDEX('(참조)BL_인건비'!$A$3:$O$40,MATCH(BL_인건비!$A9,'(참조)BL_인건비'!$A$3:$A$40,0),MATCH('(참조)BL_인건비'!P$2,'(참조)BL_인건비'!$A$2:$O$2,0)),0)</f>
        <v>0</v>
      </c>
      <c r="AJ9" s="72">
        <v>12</v>
      </c>
      <c r="AK9" s="72">
        <v>12</v>
      </c>
      <c r="AL9" s="72">
        <v>12</v>
      </c>
      <c r="AM9" s="72">
        <v>12</v>
      </c>
      <c r="AN9" s="72">
        <v>12</v>
      </c>
      <c r="AO9" s="72">
        <v>12</v>
      </c>
      <c r="AP9" s="72">
        <v>12</v>
      </c>
      <c r="AQ9" s="72">
        <v>12</v>
      </c>
      <c r="AR9" s="72">
        <v>12</v>
      </c>
      <c r="AS9" s="72">
        <v>12</v>
      </c>
      <c r="AT9" s="72">
        <v>12</v>
      </c>
      <c r="AU9" s="73">
        <v>1</v>
      </c>
      <c r="AV9" s="70">
        <v>0</v>
      </c>
      <c r="AW9" s="70">
        <v>0</v>
      </c>
      <c r="AX9" s="56">
        <v>389136431.37336582</v>
      </c>
      <c r="AY9" s="56">
        <v>34684335.426571198</v>
      </c>
      <c r="AZ9" s="56">
        <v>35562222.316312641</v>
      </c>
      <c r="BA9" s="56">
        <v>36462329.190427475</v>
      </c>
      <c r="BB9" s="56">
        <v>37385218.45360738</v>
      </c>
      <c r="BC9" s="56">
        <v>38331466.745434202</v>
      </c>
      <c r="BD9" s="56">
        <v>39301665.300675869</v>
      </c>
      <c r="BE9" s="56">
        <v>40296420.318701603</v>
      </c>
      <c r="BF9" s="56">
        <v>41316353.342247397</v>
      </c>
      <c r="BG9" s="56">
        <v>42362101.645768218</v>
      </c>
      <c r="BH9" s="56">
        <v>43434318.633619852</v>
      </c>
      <c r="BI9" s="56">
        <v>0</v>
      </c>
      <c r="BJ9" s="74">
        <v>2890361.2855476001</v>
      </c>
      <c r="BK9" s="56">
        <v>2890361.2855476001</v>
      </c>
      <c r="BL9" s="56">
        <v>2890361.2855476001</v>
      </c>
      <c r="BM9" s="56">
        <v>2890361.2855476001</v>
      </c>
      <c r="BN9" s="56">
        <v>2890361.2855476001</v>
      </c>
      <c r="BO9" s="56">
        <v>2890361.2855476001</v>
      </c>
      <c r="BP9" s="56">
        <v>2890361.2855476001</v>
      </c>
      <c r="BQ9" s="56">
        <v>2890361.2855476001</v>
      </c>
      <c r="BR9" s="56">
        <v>2890361.2855476001</v>
      </c>
      <c r="BS9" s="56">
        <v>2890361.2855476001</v>
      </c>
      <c r="BT9" s="56">
        <v>2890361.2855476001</v>
      </c>
      <c r="BU9" s="56">
        <v>2890361.2855476001</v>
      </c>
      <c r="BV9" s="56">
        <v>2963518.5263593867</v>
      </c>
      <c r="BW9" s="56">
        <v>2963518.5263593867</v>
      </c>
      <c r="BX9" s="56">
        <v>2963518.5263593867</v>
      </c>
      <c r="BY9" s="56">
        <v>2963518.5263593867</v>
      </c>
      <c r="BZ9" s="56">
        <v>2963518.5263593867</v>
      </c>
      <c r="CA9" s="56">
        <v>2963518.5263593867</v>
      </c>
      <c r="CB9" s="56">
        <v>2963518.5263593867</v>
      </c>
      <c r="CC9" s="56">
        <v>2963518.5263593867</v>
      </c>
      <c r="CD9" s="56">
        <v>2963518.5263593867</v>
      </c>
      <c r="CE9" s="56">
        <v>2963518.5263593867</v>
      </c>
      <c r="CF9" s="56">
        <v>2963518.5263593867</v>
      </c>
      <c r="CG9" s="56">
        <v>2963518.5263593867</v>
      </c>
      <c r="CH9" s="56">
        <v>3038527.4325356227</v>
      </c>
      <c r="CI9" s="56">
        <v>3038527.4325356227</v>
      </c>
      <c r="CJ9" s="56">
        <v>3038527.4325356227</v>
      </c>
      <c r="CK9" s="56">
        <v>3038527.4325356227</v>
      </c>
      <c r="CL9" s="56">
        <v>3038527.4325356227</v>
      </c>
      <c r="CM9" s="56">
        <v>3038527.4325356227</v>
      </c>
      <c r="CN9" s="56">
        <v>3038527.4325356227</v>
      </c>
      <c r="CO9" s="56">
        <v>3038527.4325356227</v>
      </c>
      <c r="CP9" s="56">
        <v>3038527.4325356227</v>
      </c>
      <c r="CQ9" s="56">
        <v>3038527.4325356227</v>
      </c>
      <c r="CR9" s="56">
        <v>3038527.4325356227</v>
      </c>
      <c r="CS9" s="56">
        <v>3038527.4325356227</v>
      </c>
      <c r="CT9" s="56">
        <v>3115434.8711339482</v>
      </c>
      <c r="CU9" s="56">
        <v>3115434.8711339482</v>
      </c>
      <c r="CV9" s="56">
        <v>3115434.8711339482</v>
      </c>
      <c r="CW9" s="56">
        <v>3115434.8711339482</v>
      </c>
      <c r="CX9" s="56">
        <v>3115434.8711339482</v>
      </c>
      <c r="CY9" s="56">
        <v>3115434.8711339482</v>
      </c>
      <c r="CZ9" s="56">
        <v>3115434.8711339482</v>
      </c>
      <c r="DA9" s="56">
        <v>3115434.8711339482</v>
      </c>
      <c r="DB9" s="56">
        <v>3115434.8711339482</v>
      </c>
      <c r="DC9" s="56">
        <v>3115434.8711339482</v>
      </c>
      <c r="DD9" s="56">
        <v>3115434.8711339482</v>
      </c>
      <c r="DE9" s="56">
        <v>3115434.8711339482</v>
      </c>
      <c r="DF9" s="56">
        <v>3194288.8954528505</v>
      </c>
      <c r="DG9" s="56">
        <v>3194288.8954528505</v>
      </c>
      <c r="DH9" s="56">
        <v>3194288.8954528505</v>
      </c>
      <c r="DI9" s="56">
        <v>3194288.8954528505</v>
      </c>
      <c r="DJ9" s="56">
        <v>3194288.8954528505</v>
      </c>
      <c r="DK9" s="56">
        <v>3194288.8954528505</v>
      </c>
      <c r="DL9" s="56">
        <v>3194288.8954528505</v>
      </c>
      <c r="DM9" s="56">
        <v>3194288.8954528505</v>
      </c>
      <c r="DN9" s="56">
        <v>3194288.8954528505</v>
      </c>
      <c r="DO9" s="56">
        <v>3194288.8954528505</v>
      </c>
      <c r="DP9" s="56">
        <v>3194288.8954528505</v>
      </c>
      <c r="DQ9" s="56">
        <v>3194288.8954528505</v>
      </c>
      <c r="DR9" s="56">
        <v>3275138.7750563226</v>
      </c>
      <c r="DS9" s="56">
        <v>3275138.7750563226</v>
      </c>
      <c r="DT9" s="56">
        <v>3275138.7750563226</v>
      </c>
      <c r="DU9" s="56">
        <v>3275138.7750563226</v>
      </c>
      <c r="DV9" s="56">
        <v>3275138.7750563226</v>
      </c>
      <c r="DW9" s="56">
        <v>3275138.7750563226</v>
      </c>
      <c r="DX9" s="56">
        <v>3275138.7750563226</v>
      </c>
      <c r="DY9" s="56">
        <v>3275138.7750563226</v>
      </c>
      <c r="DZ9" s="56">
        <v>3275138.7750563226</v>
      </c>
      <c r="EA9" s="56">
        <v>3275138.7750563226</v>
      </c>
      <c r="EB9" s="56">
        <v>3275138.7750563226</v>
      </c>
      <c r="EC9" s="56">
        <v>3275138.7750563226</v>
      </c>
      <c r="ED9" s="56">
        <v>3358035.0265584672</v>
      </c>
      <c r="EE9" s="56">
        <v>3358035.0265584672</v>
      </c>
      <c r="EF9" s="56">
        <v>3358035.0265584672</v>
      </c>
      <c r="EG9" s="56">
        <v>3358035.0265584672</v>
      </c>
      <c r="EH9" s="56">
        <v>3358035.0265584672</v>
      </c>
      <c r="EI9" s="56">
        <v>3358035.0265584672</v>
      </c>
      <c r="EJ9" s="56">
        <v>3358035.0265584672</v>
      </c>
      <c r="EK9" s="56">
        <v>3358035.0265584672</v>
      </c>
      <c r="EL9" s="56">
        <v>3358035.0265584672</v>
      </c>
      <c r="EM9" s="56">
        <v>3358035.0265584672</v>
      </c>
      <c r="EN9" s="56">
        <v>3358035.0265584672</v>
      </c>
      <c r="EO9" s="56">
        <v>3358035.0265584672</v>
      </c>
      <c r="EP9" s="56">
        <v>3443029.4451872823</v>
      </c>
      <c r="EQ9" s="56">
        <v>3443029.4451872823</v>
      </c>
      <c r="ER9" s="56">
        <v>3443029.4451872823</v>
      </c>
      <c r="ES9" s="56">
        <v>3443029.4451872823</v>
      </c>
      <c r="ET9" s="56">
        <v>3443029.4451872823</v>
      </c>
      <c r="EU9" s="56">
        <v>3443029.4451872823</v>
      </c>
      <c r="EV9" s="56">
        <v>3443029.4451872823</v>
      </c>
      <c r="EW9" s="56">
        <v>3443029.4451872823</v>
      </c>
      <c r="EX9" s="56">
        <v>3443029.4451872823</v>
      </c>
      <c r="EY9" s="56">
        <v>3443029.4451872823</v>
      </c>
      <c r="EZ9" s="56">
        <v>3443029.4451872823</v>
      </c>
      <c r="FA9" s="56">
        <v>3443029.4451872823</v>
      </c>
      <c r="FB9" s="56">
        <v>3530175.1371473507</v>
      </c>
      <c r="FC9" s="56">
        <v>3530175.1371473507</v>
      </c>
      <c r="FD9" s="56">
        <v>3530175.1371473507</v>
      </c>
      <c r="FE9" s="56">
        <v>3530175.1371473507</v>
      </c>
      <c r="FF9" s="56">
        <v>3530175.1371473507</v>
      </c>
      <c r="FG9" s="56">
        <v>3530175.1371473507</v>
      </c>
      <c r="FH9" s="56">
        <v>3530175.1371473507</v>
      </c>
      <c r="FI9" s="56">
        <v>3530175.1371473507</v>
      </c>
      <c r="FJ9" s="56">
        <v>3530175.1371473507</v>
      </c>
      <c r="FK9" s="56">
        <v>3530175.1371473507</v>
      </c>
      <c r="FL9" s="56">
        <v>3530175.1371473507</v>
      </c>
      <c r="FM9" s="56">
        <v>3530175.1371473507</v>
      </c>
      <c r="FN9" s="56">
        <v>3619526.5528016542</v>
      </c>
      <c r="FO9" s="56">
        <v>3619526.5528016542</v>
      </c>
      <c r="FP9" s="56">
        <v>3619526.5528016542</v>
      </c>
      <c r="FQ9" s="56">
        <v>3619526.5528016542</v>
      </c>
      <c r="FR9" s="56">
        <v>3619526.5528016542</v>
      </c>
      <c r="FS9" s="56">
        <v>3619526.5528016542</v>
      </c>
      <c r="FT9" s="56">
        <v>3619526.5528016542</v>
      </c>
      <c r="FU9" s="56">
        <v>3619526.5528016542</v>
      </c>
      <c r="FV9" s="56">
        <v>3619526.5528016542</v>
      </c>
      <c r="FW9" s="56">
        <v>3619526.5528016542</v>
      </c>
      <c r="FX9" s="56">
        <v>3619526.5528016542</v>
      </c>
      <c r="FY9" s="56">
        <v>3619526.5528016542</v>
      </c>
      <c r="FZ9" s="56">
        <v>0</v>
      </c>
      <c r="GA9" s="56">
        <v>0</v>
      </c>
      <c r="GB9" s="56">
        <v>0</v>
      </c>
      <c r="GC9" s="56">
        <v>0</v>
      </c>
      <c r="GD9" s="56">
        <v>0</v>
      </c>
      <c r="GE9" s="56">
        <v>0</v>
      </c>
      <c r="GF9" s="56">
        <v>0</v>
      </c>
      <c r="GG9" s="56">
        <v>0</v>
      </c>
      <c r="GH9" s="56">
        <v>0</v>
      </c>
      <c r="GI9" s="56">
        <v>0</v>
      </c>
      <c r="GJ9" s="56">
        <v>0</v>
      </c>
      <c r="GK9" s="85">
        <v>0</v>
      </c>
      <c r="GL9" s="40"/>
    </row>
    <row r="10" spans="1:194" x14ac:dyDescent="0.4">
      <c r="A10" s="84" t="s">
        <v>240</v>
      </c>
      <c r="B10" s="70" t="s">
        <v>174</v>
      </c>
      <c r="C10" s="70" t="s">
        <v>397</v>
      </c>
      <c r="D10" s="70" t="s">
        <v>209</v>
      </c>
      <c r="E10" s="70" t="s">
        <v>175</v>
      </c>
      <c r="F10" s="70" t="s">
        <v>192</v>
      </c>
      <c r="G10" s="70" t="s">
        <v>202</v>
      </c>
      <c r="H10" s="70">
        <v>0</v>
      </c>
      <c r="I10" s="70">
        <v>0</v>
      </c>
      <c r="J10" s="70" t="s">
        <v>210</v>
      </c>
      <c r="K10" s="70">
        <v>0</v>
      </c>
      <c r="L10" s="70" t="s">
        <v>211</v>
      </c>
      <c r="M10" s="71">
        <f>IFERROR(INDEX('(참조)BL_인건비'!$S$3:$AG$40,MATCH(BL_인건비!$A10,'(참조)BL_인건비'!$S$3:$S$40,0),MATCH('(참조)BL_인건비'!X$2,'(참조)BL_인건비'!$S$2:$AG$2,0)),0)</f>
        <v>1</v>
      </c>
      <c r="N10" s="71">
        <f>IFERROR(INDEX('(참조)BL_인건비'!$S$3:$AG$40,MATCH(BL_인건비!$A10,'(참조)BL_인건비'!$S$3:$S$40,0),MATCH('(참조)BL_인건비'!Y$2,'(참조)BL_인건비'!$S$2:$AG$2,0)),0)</f>
        <v>1</v>
      </c>
      <c r="O10" s="71">
        <f>IFERROR(INDEX('(참조)BL_인건비'!$S$3:$AG$40,MATCH(BL_인건비!$A10,'(참조)BL_인건비'!$S$3:$S$40,0),MATCH('(참조)BL_인건비'!Z$2,'(참조)BL_인건비'!$S$2:$AG$2,0)),0)</f>
        <v>1</v>
      </c>
      <c r="P10" s="71">
        <f>IFERROR(INDEX('(참조)BL_인건비'!$S$3:$AG$40,MATCH(BL_인건비!$A10,'(참조)BL_인건비'!$S$3:$S$40,0),MATCH('(참조)BL_인건비'!AA$2,'(참조)BL_인건비'!$S$2:$AG$2,0)),0)</f>
        <v>1</v>
      </c>
      <c r="Q10" s="71">
        <f>IFERROR(INDEX('(참조)BL_인건비'!$S$3:$AG$40,MATCH(BL_인건비!$A10,'(참조)BL_인건비'!$S$3:$S$40,0),MATCH('(참조)BL_인건비'!AB$2,'(참조)BL_인건비'!$S$2:$AG$2,0)),0)</f>
        <v>1</v>
      </c>
      <c r="R10" s="71">
        <f>IFERROR(INDEX('(참조)BL_인건비'!$S$3:$AG$40,MATCH(BL_인건비!$A10,'(참조)BL_인건비'!$S$3:$S$40,0),MATCH('(참조)BL_인건비'!AC$2,'(참조)BL_인건비'!$S$2:$AG$2,0)),0)</f>
        <v>1</v>
      </c>
      <c r="S10" s="71">
        <f>IFERROR(INDEX('(참조)BL_인건비'!$S$3:$AG$40,MATCH(BL_인건비!$A10,'(참조)BL_인건비'!$S$3:$S$40,0),MATCH('(참조)BL_인건비'!AD$2,'(참조)BL_인건비'!$S$2:$AG$2,0)),0)</f>
        <v>1</v>
      </c>
      <c r="T10" s="71">
        <f>IFERROR(INDEX('(참조)BL_인건비'!$S$3:$AG$40,MATCH(BL_인건비!$A10,'(참조)BL_인건비'!$S$3:$S$40,0),MATCH('(참조)BL_인건비'!AE$2,'(참조)BL_인건비'!$S$2:$AG$2,0)),0)</f>
        <v>1</v>
      </c>
      <c r="U10" s="71">
        <f>IFERROR(INDEX('(참조)BL_인건비'!$S$3:$AG$40,MATCH(BL_인건비!$A10,'(참조)BL_인건비'!$S$3:$S$40,0),MATCH('(참조)BL_인건비'!AF$2,'(참조)BL_인건비'!$S$2:$AG$2,0)),0)</f>
        <v>1</v>
      </c>
      <c r="V10" s="71">
        <f>IFERROR(INDEX('(참조)BL_인건비'!$S$3:$AG$40,MATCH(BL_인건비!$A10,'(참조)BL_인건비'!$S$3:$S$40,0),MATCH('(참조)BL_인건비'!AG$2,'(참조)BL_인건비'!$S$2:$AG$2,0)),0)</f>
        <v>1</v>
      </c>
      <c r="W10" s="71">
        <f>IFERROR(INDEX('(참조)BL_인건비'!$S$3:$AG$40,MATCH(BL_인건비!$A10,'(참조)BL_인건비'!$S$3:$S$40,0),MATCH('(참조)BL_인건비'!AH$2,'(참조)BL_인건비'!$S$2:$AG$2,0)),0)</f>
        <v>0</v>
      </c>
      <c r="X10" s="72">
        <v>0</v>
      </c>
      <c r="Y10" s="72">
        <f>IFERROR(INDEX('(참조)BL_인건비'!$A$3:$O$40,MATCH(BL_인건비!$A10,'(참조)BL_인건비'!$A$3:$A$40,0),MATCH('(참조)BL_인건비'!F$2,'(참조)BL_인건비'!$A$2:$O$2,0)),0)</f>
        <v>2713848.9116598</v>
      </c>
      <c r="Z10" s="72">
        <f>IFERROR(INDEX('(참조)BL_인건비'!$A$3:$O$40,MATCH(BL_인건비!$A10,'(참조)BL_인건비'!$A$3:$A$40,0),MATCH('(참조)BL_인건비'!G$2,'(참조)BL_인건비'!$A$2:$O$2,0)),0)</f>
        <v>2782538.4901390825</v>
      </c>
      <c r="AA10" s="72">
        <f>IFERROR(INDEX('(참조)BL_인건비'!$A$3:$O$40,MATCH(BL_인건비!$A10,'(참조)BL_인건비'!$A$3:$A$40,0),MATCH('(참조)BL_인건비'!H$2,'(참조)BL_인건비'!$A$2:$O$2,0)),0)</f>
        <v>2852966.6540537551</v>
      </c>
      <c r="AB10" s="72">
        <f>IFERROR(INDEX('(참조)BL_인건비'!$A$3:$O$40,MATCH(BL_인건비!$A10,'(참조)BL_인건비'!$A$3:$A$40,0),MATCH('(참조)BL_인건비'!I$2,'(참조)BL_인건비'!$A$2:$O$2,0)),0)</f>
        <v>2925177.4083225126</v>
      </c>
      <c r="AC10" s="72">
        <f>IFERROR(INDEX('(참조)BL_인건비'!$A$3:$O$40,MATCH(BL_인건비!$A10,'(참조)BL_인건비'!$A$3:$A$40,0),MATCH('(참조)BL_인건비'!J$2,'(참조)BL_인건비'!$A$2:$O$2,0)),0)</f>
        <v>2999215.8716619858</v>
      </c>
      <c r="AD10" s="72">
        <f>IFERROR(INDEX('(참조)BL_인건비'!$A$3:$O$40,MATCH(BL_인건비!$A10,'(참조)BL_인건비'!$A$3:$A$40,0),MATCH('(참조)BL_인건비'!K$2,'(참조)BL_인건비'!$A$2:$O$2,0)),0)</f>
        <v>3075128.3047778131</v>
      </c>
      <c r="AE10" s="72">
        <f>IFERROR(INDEX('(참조)BL_인건비'!$A$3:$O$40,MATCH(BL_인건비!$A10,'(참조)BL_인건비'!$A$3:$A$40,0),MATCH('(참조)BL_인건비'!L$2,'(참조)BL_인건비'!$A$2:$O$2,0)),0)</f>
        <v>3152962.1392692514</v>
      </c>
      <c r="AF10" s="72">
        <f>IFERROR(INDEX('(참조)BL_인건비'!$A$3:$O$40,MATCH(BL_인건비!$A10,'(참조)BL_인건비'!$A$3:$A$40,0),MATCH('(참조)BL_인건비'!M$2,'(참조)BL_인건비'!$A$2:$O$2,0)),0)</f>
        <v>3232766.007265382</v>
      </c>
      <c r="AG10" s="72">
        <f>IFERROR(INDEX('(참조)BL_인건비'!$A$3:$O$40,MATCH(BL_인건비!$A10,'(참조)BL_인건비'!$A$3:$A$40,0),MATCH('(참조)BL_인건비'!N$2,'(참조)BL_인건비'!$A$2:$O$2,0)),0)</f>
        <v>3314589.7718114341</v>
      </c>
      <c r="AH10" s="72">
        <f>IFERROR(INDEX('(참조)BL_인건비'!$A$3:$O$40,MATCH(BL_인건비!$A10,'(참조)BL_인건비'!$A$3:$A$40,0),MATCH('(참조)BL_인건비'!O$2,'(참조)BL_인건비'!$A$2:$O$2,0)),0)</f>
        <v>3398484.5580242081</v>
      </c>
      <c r="AI10" s="72">
        <f>IFERROR(INDEX('(참조)BL_인건비'!$A$3:$O$40,MATCH(BL_인건비!$A10,'(참조)BL_인건비'!$A$3:$A$40,0),MATCH('(참조)BL_인건비'!P$2,'(참조)BL_인건비'!$A$2:$O$2,0)),0)</f>
        <v>0</v>
      </c>
      <c r="AJ10" s="72">
        <v>12</v>
      </c>
      <c r="AK10" s="72">
        <v>12</v>
      </c>
      <c r="AL10" s="72">
        <v>12</v>
      </c>
      <c r="AM10" s="72">
        <v>12</v>
      </c>
      <c r="AN10" s="72">
        <v>12</v>
      </c>
      <c r="AO10" s="72">
        <v>12</v>
      </c>
      <c r="AP10" s="72">
        <v>12</v>
      </c>
      <c r="AQ10" s="72">
        <v>12</v>
      </c>
      <c r="AR10" s="72">
        <v>12</v>
      </c>
      <c r="AS10" s="72">
        <v>12</v>
      </c>
      <c r="AT10" s="72">
        <v>12</v>
      </c>
      <c r="AU10" s="73">
        <v>1</v>
      </c>
      <c r="AV10" s="70">
        <v>0</v>
      </c>
      <c r="AW10" s="70">
        <v>0</v>
      </c>
      <c r="AX10" s="56">
        <v>365372137.40382272</v>
      </c>
      <c r="AY10" s="56">
        <v>32566186.939917598</v>
      </c>
      <c r="AZ10" s="56">
        <v>33390461.881668989</v>
      </c>
      <c r="BA10" s="56">
        <v>34235599.848645061</v>
      </c>
      <c r="BB10" s="56">
        <v>35102128.89987015</v>
      </c>
      <c r="BC10" s="56">
        <v>35990590.459943838</v>
      </c>
      <c r="BD10" s="56">
        <v>36901539.657333754</v>
      </c>
      <c r="BE10" s="56">
        <v>37835545.671231017</v>
      </c>
      <c r="BF10" s="56">
        <v>38793192.087184586</v>
      </c>
      <c r="BG10" s="56">
        <v>39775077.261737205</v>
      </c>
      <c r="BH10" s="56">
        <v>40781814.696290493</v>
      </c>
      <c r="BI10" s="56">
        <v>0</v>
      </c>
      <c r="BJ10" s="74">
        <v>2713848.9116598</v>
      </c>
      <c r="BK10" s="56">
        <v>2713848.9116598</v>
      </c>
      <c r="BL10" s="56">
        <v>2713848.9116598</v>
      </c>
      <c r="BM10" s="56">
        <v>2713848.9116598</v>
      </c>
      <c r="BN10" s="56">
        <v>2713848.9116598</v>
      </c>
      <c r="BO10" s="56">
        <v>2713848.9116598</v>
      </c>
      <c r="BP10" s="56">
        <v>2713848.9116598</v>
      </c>
      <c r="BQ10" s="56">
        <v>2713848.9116598</v>
      </c>
      <c r="BR10" s="56">
        <v>2713848.9116598</v>
      </c>
      <c r="BS10" s="56">
        <v>2713848.9116598</v>
      </c>
      <c r="BT10" s="56">
        <v>2713848.9116598</v>
      </c>
      <c r="BU10" s="56">
        <v>2713848.9116598</v>
      </c>
      <c r="BV10" s="56">
        <v>2782538.4901390825</v>
      </c>
      <c r="BW10" s="56">
        <v>2782538.4901390825</v>
      </c>
      <c r="BX10" s="56">
        <v>2782538.4901390825</v>
      </c>
      <c r="BY10" s="56">
        <v>2782538.4901390825</v>
      </c>
      <c r="BZ10" s="56">
        <v>2782538.4901390825</v>
      </c>
      <c r="CA10" s="56">
        <v>2782538.4901390825</v>
      </c>
      <c r="CB10" s="56">
        <v>2782538.4901390825</v>
      </c>
      <c r="CC10" s="56">
        <v>2782538.4901390825</v>
      </c>
      <c r="CD10" s="56">
        <v>2782538.4901390825</v>
      </c>
      <c r="CE10" s="56">
        <v>2782538.4901390825</v>
      </c>
      <c r="CF10" s="56">
        <v>2782538.4901390825</v>
      </c>
      <c r="CG10" s="56">
        <v>2782538.4901390825</v>
      </c>
      <c r="CH10" s="56">
        <v>2852966.6540537551</v>
      </c>
      <c r="CI10" s="56">
        <v>2852966.6540537551</v>
      </c>
      <c r="CJ10" s="56">
        <v>2852966.6540537551</v>
      </c>
      <c r="CK10" s="56">
        <v>2852966.6540537551</v>
      </c>
      <c r="CL10" s="56">
        <v>2852966.6540537551</v>
      </c>
      <c r="CM10" s="56">
        <v>2852966.6540537551</v>
      </c>
      <c r="CN10" s="56">
        <v>2852966.6540537551</v>
      </c>
      <c r="CO10" s="56">
        <v>2852966.6540537551</v>
      </c>
      <c r="CP10" s="56">
        <v>2852966.6540537551</v>
      </c>
      <c r="CQ10" s="56">
        <v>2852966.6540537551</v>
      </c>
      <c r="CR10" s="56">
        <v>2852966.6540537551</v>
      </c>
      <c r="CS10" s="56">
        <v>2852966.6540537551</v>
      </c>
      <c r="CT10" s="56">
        <v>2925177.4083225126</v>
      </c>
      <c r="CU10" s="56">
        <v>2925177.4083225126</v>
      </c>
      <c r="CV10" s="56">
        <v>2925177.4083225126</v>
      </c>
      <c r="CW10" s="56">
        <v>2925177.4083225126</v>
      </c>
      <c r="CX10" s="56">
        <v>2925177.4083225126</v>
      </c>
      <c r="CY10" s="56">
        <v>2925177.4083225126</v>
      </c>
      <c r="CZ10" s="56">
        <v>2925177.4083225126</v>
      </c>
      <c r="DA10" s="56">
        <v>2925177.4083225126</v>
      </c>
      <c r="DB10" s="56">
        <v>2925177.4083225126</v>
      </c>
      <c r="DC10" s="56">
        <v>2925177.4083225126</v>
      </c>
      <c r="DD10" s="56">
        <v>2925177.4083225126</v>
      </c>
      <c r="DE10" s="56">
        <v>2925177.4083225126</v>
      </c>
      <c r="DF10" s="56">
        <v>2999215.8716619858</v>
      </c>
      <c r="DG10" s="56">
        <v>2999215.8716619858</v>
      </c>
      <c r="DH10" s="56">
        <v>2999215.8716619858</v>
      </c>
      <c r="DI10" s="56">
        <v>2999215.8716619858</v>
      </c>
      <c r="DJ10" s="56">
        <v>2999215.8716619858</v>
      </c>
      <c r="DK10" s="56">
        <v>2999215.8716619858</v>
      </c>
      <c r="DL10" s="56">
        <v>2999215.8716619858</v>
      </c>
      <c r="DM10" s="56">
        <v>2999215.8716619858</v>
      </c>
      <c r="DN10" s="56">
        <v>2999215.8716619858</v>
      </c>
      <c r="DO10" s="56">
        <v>2999215.8716619858</v>
      </c>
      <c r="DP10" s="56">
        <v>2999215.8716619858</v>
      </c>
      <c r="DQ10" s="56">
        <v>2999215.8716619858</v>
      </c>
      <c r="DR10" s="56">
        <v>3075128.3047778131</v>
      </c>
      <c r="DS10" s="56">
        <v>3075128.3047778131</v>
      </c>
      <c r="DT10" s="56">
        <v>3075128.3047778131</v>
      </c>
      <c r="DU10" s="56">
        <v>3075128.3047778131</v>
      </c>
      <c r="DV10" s="56">
        <v>3075128.3047778131</v>
      </c>
      <c r="DW10" s="56">
        <v>3075128.3047778131</v>
      </c>
      <c r="DX10" s="56">
        <v>3075128.3047778131</v>
      </c>
      <c r="DY10" s="56">
        <v>3075128.3047778131</v>
      </c>
      <c r="DZ10" s="56">
        <v>3075128.3047778131</v>
      </c>
      <c r="EA10" s="56">
        <v>3075128.3047778131</v>
      </c>
      <c r="EB10" s="56">
        <v>3075128.3047778131</v>
      </c>
      <c r="EC10" s="56">
        <v>3075128.3047778131</v>
      </c>
      <c r="ED10" s="56">
        <v>3152962.1392692514</v>
      </c>
      <c r="EE10" s="56">
        <v>3152962.1392692514</v>
      </c>
      <c r="EF10" s="56">
        <v>3152962.1392692514</v>
      </c>
      <c r="EG10" s="56">
        <v>3152962.1392692514</v>
      </c>
      <c r="EH10" s="56">
        <v>3152962.1392692514</v>
      </c>
      <c r="EI10" s="56">
        <v>3152962.1392692514</v>
      </c>
      <c r="EJ10" s="56">
        <v>3152962.1392692514</v>
      </c>
      <c r="EK10" s="56">
        <v>3152962.1392692514</v>
      </c>
      <c r="EL10" s="56">
        <v>3152962.1392692514</v>
      </c>
      <c r="EM10" s="56">
        <v>3152962.1392692514</v>
      </c>
      <c r="EN10" s="56">
        <v>3152962.1392692514</v>
      </c>
      <c r="EO10" s="56">
        <v>3152962.1392692514</v>
      </c>
      <c r="EP10" s="56">
        <v>3232766.007265382</v>
      </c>
      <c r="EQ10" s="56">
        <v>3232766.007265382</v>
      </c>
      <c r="ER10" s="56">
        <v>3232766.007265382</v>
      </c>
      <c r="ES10" s="56">
        <v>3232766.007265382</v>
      </c>
      <c r="ET10" s="56">
        <v>3232766.007265382</v>
      </c>
      <c r="EU10" s="56">
        <v>3232766.007265382</v>
      </c>
      <c r="EV10" s="56">
        <v>3232766.007265382</v>
      </c>
      <c r="EW10" s="56">
        <v>3232766.007265382</v>
      </c>
      <c r="EX10" s="56">
        <v>3232766.007265382</v>
      </c>
      <c r="EY10" s="56">
        <v>3232766.007265382</v>
      </c>
      <c r="EZ10" s="56">
        <v>3232766.007265382</v>
      </c>
      <c r="FA10" s="56">
        <v>3232766.007265382</v>
      </c>
      <c r="FB10" s="56">
        <v>3314589.7718114341</v>
      </c>
      <c r="FC10" s="56">
        <v>3314589.7718114341</v>
      </c>
      <c r="FD10" s="56">
        <v>3314589.7718114341</v>
      </c>
      <c r="FE10" s="56">
        <v>3314589.7718114341</v>
      </c>
      <c r="FF10" s="56">
        <v>3314589.7718114341</v>
      </c>
      <c r="FG10" s="56">
        <v>3314589.7718114341</v>
      </c>
      <c r="FH10" s="56">
        <v>3314589.7718114341</v>
      </c>
      <c r="FI10" s="56">
        <v>3314589.7718114341</v>
      </c>
      <c r="FJ10" s="56">
        <v>3314589.7718114341</v>
      </c>
      <c r="FK10" s="56">
        <v>3314589.7718114341</v>
      </c>
      <c r="FL10" s="56">
        <v>3314589.7718114341</v>
      </c>
      <c r="FM10" s="56">
        <v>3314589.7718114341</v>
      </c>
      <c r="FN10" s="56">
        <v>3398484.5580242081</v>
      </c>
      <c r="FO10" s="56">
        <v>3398484.5580242081</v>
      </c>
      <c r="FP10" s="56">
        <v>3398484.5580242081</v>
      </c>
      <c r="FQ10" s="56">
        <v>3398484.5580242081</v>
      </c>
      <c r="FR10" s="56">
        <v>3398484.5580242081</v>
      </c>
      <c r="FS10" s="56">
        <v>3398484.5580242081</v>
      </c>
      <c r="FT10" s="56">
        <v>3398484.5580242081</v>
      </c>
      <c r="FU10" s="56">
        <v>3398484.5580242081</v>
      </c>
      <c r="FV10" s="56">
        <v>3398484.5580242081</v>
      </c>
      <c r="FW10" s="56">
        <v>3398484.5580242081</v>
      </c>
      <c r="FX10" s="56">
        <v>3398484.5580242081</v>
      </c>
      <c r="FY10" s="56">
        <v>3398484.5580242081</v>
      </c>
      <c r="FZ10" s="56">
        <v>0</v>
      </c>
      <c r="GA10" s="56">
        <v>0</v>
      </c>
      <c r="GB10" s="56">
        <v>0</v>
      </c>
      <c r="GC10" s="56">
        <v>0</v>
      </c>
      <c r="GD10" s="56">
        <v>0</v>
      </c>
      <c r="GE10" s="56">
        <v>0</v>
      </c>
      <c r="GF10" s="56">
        <v>0</v>
      </c>
      <c r="GG10" s="56">
        <v>0</v>
      </c>
      <c r="GH10" s="56">
        <v>0</v>
      </c>
      <c r="GI10" s="56">
        <v>0</v>
      </c>
      <c r="GJ10" s="56">
        <v>0</v>
      </c>
      <c r="GK10" s="85">
        <v>0</v>
      </c>
      <c r="GL10" s="40"/>
    </row>
    <row r="11" spans="1:194" x14ac:dyDescent="0.4">
      <c r="A11" s="84" t="s">
        <v>241</v>
      </c>
      <c r="B11" s="70" t="s">
        <v>174</v>
      </c>
      <c r="C11" s="70" t="s">
        <v>397</v>
      </c>
      <c r="D11" s="70" t="s">
        <v>209</v>
      </c>
      <c r="E11" s="70" t="s">
        <v>175</v>
      </c>
      <c r="F11" s="70" t="s">
        <v>200</v>
      </c>
      <c r="G11" s="70" t="s">
        <v>175</v>
      </c>
      <c r="H11" s="70">
        <v>0</v>
      </c>
      <c r="I11" s="70">
        <v>0</v>
      </c>
      <c r="J11" s="70" t="s">
        <v>210</v>
      </c>
      <c r="K11" s="70">
        <v>0</v>
      </c>
      <c r="L11" s="70" t="s">
        <v>211</v>
      </c>
      <c r="M11" s="71">
        <f>IFERROR(INDEX('(참조)BL_인건비'!$S$3:$AG$40,MATCH(BL_인건비!$A11,'(참조)BL_인건비'!$S$3:$S$40,0),MATCH('(참조)BL_인건비'!X$2,'(참조)BL_인건비'!$S$2:$AG$2,0)),0)</f>
        <v>10</v>
      </c>
      <c r="N11" s="71">
        <f>IFERROR(INDEX('(참조)BL_인건비'!$S$3:$AG$40,MATCH(BL_인건비!$A11,'(참조)BL_인건비'!$S$3:$S$40,0),MATCH('(참조)BL_인건비'!Y$2,'(참조)BL_인건비'!$S$2:$AG$2,0)),0)</f>
        <v>10</v>
      </c>
      <c r="O11" s="71">
        <f>IFERROR(INDEX('(참조)BL_인건비'!$S$3:$AG$40,MATCH(BL_인건비!$A11,'(참조)BL_인건비'!$S$3:$S$40,0),MATCH('(참조)BL_인건비'!Z$2,'(참조)BL_인건비'!$S$2:$AG$2,0)),0)</f>
        <v>10</v>
      </c>
      <c r="P11" s="71">
        <f>IFERROR(INDEX('(참조)BL_인건비'!$S$3:$AG$40,MATCH(BL_인건비!$A11,'(참조)BL_인건비'!$S$3:$S$40,0),MATCH('(참조)BL_인건비'!AA$2,'(참조)BL_인건비'!$S$2:$AG$2,0)),0)</f>
        <v>10</v>
      </c>
      <c r="Q11" s="71">
        <f>IFERROR(INDEX('(참조)BL_인건비'!$S$3:$AG$40,MATCH(BL_인건비!$A11,'(참조)BL_인건비'!$S$3:$S$40,0),MATCH('(참조)BL_인건비'!AB$2,'(참조)BL_인건비'!$S$2:$AG$2,0)),0)</f>
        <v>10</v>
      </c>
      <c r="R11" s="71">
        <f>IFERROR(INDEX('(참조)BL_인건비'!$S$3:$AG$40,MATCH(BL_인건비!$A11,'(참조)BL_인건비'!$S$3:$S$40,0),MATCH('(참조)BL_인건비'!AC$2,'(참조)BL_인건비'!$S$2:$AG$2,0)),0)</f>
        <v>10</v>
      </c>
      <c r="S11" s="71">
        <f>IFERROR(INDEX('(참조)BL_인건비'!$S$3:$AG$40,MATCH(BL_인건비!$A11,'(참조)BL_인건비'!$S$3:$S$40,0),MATCH('(참조)BL_인건비'!AD$2,'(참조)BL_인건비'!$S$2:$AG$2,0)),0)</f>
        <v>10</v>
      </c>
      <c r="T11" s="71">
        <f>IFERROR(INDEX('(참조)BL_인건비'!$S$3:$AG$40,MATCH(BL_인건비!$A11,'(참조)BL_인건비'!$S$3:$S$40,0),MATCH('(참조)BL_인건비'!AE$2,'(참조)BL_인건비'!$S$2:$AG$2,0)),0)</f>
        <v>10</v>
      </c>
      <c r="U11" s="71">
        <f>IFERROR(INDEX('(참조)BL_인건비'!$S$3:$AG$40,MATCH(BL_인건비!$A11,'(참조)BL_인건비'!$S$3:$S$40,0),MATCH('(참조)BL_인건비'!AF$2,'(참조)BL_인건비'!$S$2:$AG$2,0)),0)</f>
        <v>10</v>
      </c>
      <c r="V11" s="71">
        <f>IFERROR(INDEX('(참조)BL_인건비'!$S$3:$AG$40,MATCH(BL_인건비!$A11,'(참조)BL_인건비'!$S$3:$S$40,0),MATCH('(참조)BL_인건비'!AG$2,'(참조)BL_인건비'!$S$2:$AG$2,0)),0)</f>
        <v>10</v>
      </c>
      <c r="W11" s="71">
        <f>IFERROR(INDEX('(참조)BL_인건비'!$S$3:$AG$40,MATCH(BL_인건비!$A11,'(참조)BL_인건비'!$S$3:$S$40,0),MATCH('(참조)BL_인건비'!AH$2,'(참조)BL_인건비'!$S$2:$AG$2,0)),0)</f>
        <v>0</v>
      </c>
      <c r="X11" s="72">
        <v>0</v>
      </c>
      <c r="Y11" s="72">
        <f>IFERROR(INDEX('(참조)BL_인건비'!$A$3:$O$40,MATCH(BL_인건비!$A11,'(참조)BL_인건비'!$A$3:$A$40,0),MATCH('(참조)BL_인건비'!F$2,'(참조)BL_인건비'!$A$2:$O$2,0)),0)</f>
        <v>2428512.1043271199</v>
      </c>
      <c r="Z11" s="72">
        <f>IFERROR(INDEX('(참조)BL_인건비'!$A$3:$O$40,MATCH(BL_인건비!$A11,'(참조)BL_인건비'!$A$3:$A$40,0),MATCH('(참조)BL_인건비'!G$2,'(참조)BL_인건비'!$A$2:$O$2,0)),0)</f>
        <v>2489979.5913568386</v>
      </c>
      <c r="AA11" s="72">
        <f>IFERROR(INDEX('(참조)BL_인건비'!$A$3:$O$40,MATCH(BL_인건비!$A11,'(참조)BL_인건비'!$A$3:$A$40,0),MATCH('(참조)BL_인건비'!H$2,'(참조)BL_인건비'!$A$2:$O$2,0)),0)</f>
        <v>2553002.8671985697</v>
      </c>
      <c r="AB11" s="72">
        <f>IFERROR(INDEX('(참조)BL_인건비'!$A$3:$O$40,MATCH(BL_인건비!$A11,'(참조)BL_인건비'!$A$3:$A$40,0),MATCH('(참조)BL_인건비'!I$2,'(참조)BL_인건비'!$A$2:$O$2,0)),0)</f>
        <v>2617621.3100495446</v>
      </c>
      <c r="AC11" s="72">
        <f>IFERROR(INDEX('(참조)BL_인건비'!$A$3:$O$40,MATCH(BL_인건비!$A11,'(참조)BL_인건비'!$A$3:$A$40,0),MATCH('(참조)BL_인건비'!J$2,'(참조)BL_인건비'!$A$2:$O$2,0)),0)</f>
        <v>2683875.2947990941</v>
      </c>
      <c r="AD11" s="72">
        <f>IFERROR(INDEX('(참조)BL_인건비'!$A$3:$O$40,MATCH(BL_인건비!$A11,'(참조)BL_인건비'!$A$3:$A$40,0),MATCH('(참조)BL_인건비'!K$2,'(참조)BL_인건비'!$A$2:$O$2,0)),0)</f>
        <v>2751806.2182556833</v>
      </c>
      <c r="AE11" s="72">
        <f>IFERROR(INDEX('(참조)BL_인건비'!$A$3:$O$40,MATCH(BL_인건비!$A11,'(참조)BL_인건비'!$A$3:$A$40,0),MATCH('(참조)BL_인건비'!L$2,'(참조)BL_인건비'!$A$2:$O$2,0)),0)</f>
        <v>2821456.5250124605</v>
      </c>
      <c r="AF11" s="72">
        <f>IFERROR(INDEX('(참조)BL_인건비'!$A$3:$O$40,MATCH(BL_인건비!$A11,'(참조)BL_인건비'!$A$3:$A$40,0),MATCH('(참조)BL_인건비'!M$2,'(참조)BL_인건비'!$A$2:$O$2,0)),0)</f>
        <v>2892869.7339674849</v>
      </c>
      <c r="AG11" s="72">
        <f>IFERROR(INDEX('(참조)BL_인건비'!$A$3:$O$40,MATCH(BL_인건비!$A11,'(참조)BL_인건비'!$A$3:$A$40,0),MATCH('(참조)BL_인건비'!N$2,'(참조)BL_인건비'!$A$2:$O$2,0)),0)</f>
        <v>2966090.4655151996</v>
      </c>
      <c r="AH11" s="72">
        <f>IFERROR(INDEX('(참조)BL_인건비'!$A$3:$O$40,MATCH(BL_인건비!$A11,'(참조)BL_인건비'!$A$3:$A$40,0),MATCH('(참조)BL_인건비'!O$2,'(참조)BL_인건비'!$A$2:$O$2,0)),0)</f>
        <v>3041164.469426143</v>
      </c>
      <c r="AI11" s="72">
        <f>IFERROR(INDEX('(참조)BL_인건비'!$A$3:$O$40,MATCH(BL_인건비!$A11,'(참조)BL_인건비'!$A$3:$A$40,0),MATCH('(참조)BL_인건비'!P$2,'(참조)BL_인건비'!$A$2:$O$2,0)),0)</f>
        <v>0</v>
      </c>
      <c r="AJ11" s="72">
        <v>12</v>
      </c>
      <c r="AK11" s="72">
        <v>12</v>
      </c>
      <c r="AL11" s="72">
        <v>12</v>
      </c>
      <c r="AM11" s="72">
        <v>12</v>
      </c>
      <c r="AN11" s="72">
        <v>12</v>
      </c>
      <c r="AO11" s="72">
        <v>12</v>
      </c>
      <c r="AP11" s="72">
        <v>12</v>
      </c>
      <c r="AQ11" s="72">
        <v>12</v>
      </c>
      <c r="AR11" s="72">
        <v>12</v>
      </c>
      <c r="AS11" s="72">
        <v>12</v>
      </c>
      <c r="AT11" s="72">
        <v>12</v>
      </c>
      <c r="AU11" s="73">
        <v>1</v>
      </c>
      <c r="AV11" s="70">
        <v>0</v>
      </c>
      <c r="AW11" s="70">
        <v>0</v>
      </c>
      <c r="AX11" s="56">
        <v>3269565429.5889764</v>
      </c>
      <c r="AY11" s="56">
        <v>291421452.51925433</v>
      </c>
      <c r="AZ11" s="56">
        <v>298797550.96282059</v>
      </c>
      <c r="BA11" s="56">
        <v>306360344.06382829</v>
      </c>
      <c r="BB11" s="56">
        <v>314114557.20594543</v>
      </c>
      <c r="BC11" s="56">
        <v>322065035.37589133</v>
      </c>
      <c r="BD11" s="56">
        <v>330216746.19068193</v>
      </c>
      <c r="BE11" s="56">
        <v>338574783.00149524</v>
      </c>
      <c r="BF11" s="56">
        <v>347144368.0760982</v>
      </c>
      <c r="BG11" s="56">
        <v>355930855.86182404</v>
      </c>
      <c r="BH11" s="56">
        <v>364939736.33113718</v>
      </c>
      <c r="BI11" s="56">
        <v>0</v>
      </c>
      <c r="BJ11" s="74">
        <v>24285121.043271199</v>
      </c>
      <c r="BK11" s="56">
        <v>24285121.043271199</v>
      </c>
      <c r="BL11" s="56">
        <v>24285121.043271199</v>
      </c>
      <c r="BM11" s="56">
        <v>24285121.043271199</v>
      </c>
      <c r="BN11" s="56">
        <v>24285121.043271199</v>
      </c>
      <c r="BO11" s="56">
        <v>24285121.043271199</v>
      </c>
      <c r="BP11" s="56">
        <v>24285121.043271199</v>
      </c>
      <c r="BQ11" s="56">
        <v>24285121.043271199</v>
      </c>
      <c r="BR11" s="56">
        <v>24285121.043271199</v>
      </c>
      <c r="BS11" s="56">
        <v>24285121.043271199</v>
      </c>
      <c r="BT11" s="56">
        <v>24285121.043271199</v>
      </c>
      <c r="BU11" s="56">
        <v>24285121.043271199</v>
      </c>
      <c r="BV11" s="56">
        <v>24899795.913568385</v>
      </c>
      <c r="BW11" s="56">
        <v>24899795.913568385</v>
      </c>
      <c r="BX11" s="56">
        <v>24899795.913568385</v>
      </c>
      <c r="BY11" s="56">
        <v>24899795.913568385</v>
      </c>
      <c r="BZ11" s="56">
        <v>24899795.913568385</v>
      </c>
      <c r="CA11" s="56">
        <v>24899795.913568385</v>
      </c>
      <c r="CB11" s="56">
        <v>24899795.913568385</v>
      </c>
      <c r="CC11" s="56">
        <v>24899795.913568385</v>
      </c>
      <c r="CD11" s="56">
        <v>24899795.913568385</v>
      </c>
      <c r="CE11" s="56">
        <v>24899795.913568385</v>
      </c>
      <c r="CF11" s="56">
        <v>24899795.913568385</v>
      </c>
      <c r="CG11" s="56">
        <v>24899795.913568385</v>
      </c>
      <c r="CH11" s="56">
        <v>25530028.671985697</v>
      </c>
      <c r="CI11" s="56">
        <v>25530028.671985697</v>
      </c>
      <c r="CJ11" s="56">
        <v>25530028.671985697</v>
      </c>
      <c r="CK11" s="56">
        <v>25530028.671985697</v>
      </c>
      <c r="CL11" s="56">
        <v>25530028.671985697</v>
      </c>
      <c r="CM11" s="56">
        <v>25530028.671985697</v>
      </c>
      <c r="CN11" s="56">
        <v>25530028.671985697</v>
      </c>
      <c r="CO11" s="56">
        <v>25530028.671985697</v>
      </c>
      <c r="CP11" s="56">
        <v>25530028.671985697</v>
      </c>
      <c r="CQ11" s="56">
        <v>25530028.671985697</v>
      </c>
      <c r="CR11" s="56">
        <v>25530028.671985697</v>
      </c>
      <c r="CS11" s="56">
        <v>25530028.671985697</v>
      </c>
      <c r="CT11" s="56">
        <v>26176213.100495446</v>
      </c>
      <c r="CU11" s="56">
        <v>26176213.100495446</v>
      </c>
      <c r="CV11" s="56">
        <v>26176213.100495446</v>
      </c>
      <c r="CW11" s="56">
        <v>26176213.100495446</v>
      </c>
      <c r="CX11" s="56">
        <v>26176213.100495446</v>
      </c>
      <c r="CY11" s="56">
        <v>26176213.100495446</v>
      </c>
      <c r="CZ11" s="56">
        <v>26176213.100495446</v>
      </c>
      <c r="DA11" s="56">
        <v>26176213.100495446</v>
      </c>
      <c r="DB11" s="56">
        <v>26176213.100495446</v>
      </c>
      <c r="DC11" s="56">
        <v>26176213.100495446</v>
      </c>
      <c r="DD11" s="56">
        <v>26176213.100495446</v>
      </c>
      <c r="DE11" s="56">
        <v>26176213.100495446</v>
      </c>
      <c r="DF11" s="56">
        <v>26838752.947990939</v>
      </c>
      <c r="DG11" s="56">
        <v>26838752.947990939</v>
      </c>
      <c r="DH11" s="56">
        <v>26838752.947990939</v>
      </c>
      <c r="DI11" s="56">
        <v>26838752.947990939</v>
      </c>
      <c r="DJ11" s="56">
        <v>26838752.947990939</v>
      </c>
      <c r="DK11" s="56">
        <v>26838752.947990939</v>
      </c>
      <c r="DL11" s="56">
        <v>26838752.947990939</v>
      </c>
      <c r="DM11" s="56">
        <v>26838752.947990939</v>
      </c>
      <c r="DN11" s="56">
        <v>26838752.947990939</v>
      </c>
      <c r="DO11" s="56">
        <v>26838752.947990939</v>
      </c>
      <c r="DP11" s="56">
        <v>26838752.947990939</v>
      </c>
      <c r="DQ11" s="56">
        <v>26838752.947990939</v>
      </c>
      <c r="DR11" s="56">
        <v>27518062.182556834</v>
      </c>
      <c r="DS11" s="56">
        <v>27518062.182556834</v>
      </c>
      <c r="DT11" s="56">
        <v>27518062.182556834</v>
      </c>
      <c r="DU11" s="56">
        <v>27518062.182556834</v>
      </c>
      <c r="DV11" s="56">
        <v>27518062.182556834</v>
      </c>
      <c r="DW11" s="56">
        <v>27518062.182556834</v>
      </c>
      <c r="DX11" s="56">
        <v>27518062.182556834</v>
      </c>
      <c r="DY11" s="56">
        <v>27518062.182556834</v>
      </c>
      <c r="DZ11" s="56">
        <v>27518062.182556834</v>
      </c>
      <c r="EA11" s="56">
        <v>27518062.182556834</v>
      </c>
      <c r="EB11" s="56">
        <v>27518062.182556834</v>
      </c>
      <c r="EC11" s="56">
        <v>27518062.182556834</v>
      </c>
      <c r="ED11" s="56">
        <v>28214565.250124604</v>
      </c>
      <c r="EE11" s="56">
        <v>28214565.250124604</v>
      </c>
      <c r="EF11" s="56">
        <v>28214565.250124604</v>
      </c>
      <c r="EG11" s="56">
        <v>28214565.250124604</v>
      </c>
      <c r="EH11" s="56">
        <v>28214565.250124604</v>
      </c>
      <c r="EI11" s="56">
        <v>28214565.250124604</v>
      </c>
      <c r="EJ11" s="56">
        <v>28214565.250124604</v>
      </c>
      <c r="EK11" s="56">
        <v>28214565.250124604</v>
      </c>
      <c r="EL11" s="56">
        <v>28214565.250124604</v>
      </c>
      <c r="EM11" s="56">
        <v>28214565.250124604</v>
      </c>
      <c r="EN11" s="56">
        <v>28214565.250124604</v>
      </c>
      <c r="EO11" s="56">
        <v>28214565.250124604</v>
      </c>
      <c r="EP11" s="56">
        <v>28928697.339674849</v>
      </c>
      <c r="EQ11" s="56">
        <v>28928697.339674849</v>
      </c>
      <c r="ER11" s="56">
        <v>28928697.339674849</v>
      </c>
      <c r="ES11" s="56">
        <v>28928697.339674849</v>
      </c>
      <c r="ET11" s="56">
        <v>28928697.339674849</v>
      </c>
      <c r="EU11" s="56">
        <v>28928697.339674849</v>
      </c>
      <c r="EV11" s="56">
        <v>28928697.339674849</v>
      </c>
      <c r="EW11" s="56">
        <v>28928697.339674849</v>
      </c>
      <c r="EX11" s="56">
        <v>28928697.339674849</v>
      </c>
      <c r="EY11" s="56">
        <v>28928697.339674849</v>
      </c>
      <c r="EZ11" s="56">
        <v>28928697.339674849</v>
      </c>
      <c r="FA11" s="56">
        <v>28928697.339674849</v>
      </c>
      <c r="FB11" s="56">
        <v>29660904.655151997</v>
      </c>
      <c r="FC11" s="56">
        <v>29660904.655151997</v>
      </c>
      <c r="FD11" s="56">
        <v>29660904.655151997</v>
      </c>
      <c r="FE11" s="56">
        <v>29660904.655151997</v>
      </c>
      <c r="FF11" s="56">
        <v>29660904.655151997</v>
      </c>
      <c r="FG11" s="56">
        <v>29660904.655151997</v>
      </c>
      <c r="FH11" s="56">
        <v>29660904.655151997</v>
      </c>
      <c r="FI11" s="56">
        <v>29660904.655151997</v>
      </c>
      <c r="FJ11" s="56">
        <v>29660904.655151997</v>
      </c>
      <c r="FK11" s="56">
        <v>29660904.655151997</v>
      </c>
      <c r="FL11" s="56">
        <v>29660904.655151997</v>
      </c>
      <c r="FM11" s="56">
        <v>29660904.655151997</v>
      </c>
      <c r="FN11" s="56">
        <v>30411644.694261432</v>
      </c>
      <c r="FO11" s="56">
        <v>30411644.694261432</v>
      </c>
      <c r="FP11" s="56">
        <v>30411644.694261432</v>
      </c>
      <c r="FQ11" s="56">
        <v>30411644.694261432</v>
      </c>
      <c r="FR11" s="56">
        <v>30411644.694261432</v>
      </c>
      <c r="FS11" s="56">
        <v>30411644.694261432</v>
      </c>
      <c r="FT11" s="56">
        <v>30411644.694261432</v>
      </c>
      <c r="FU11" s="56">
        <v>30411644.694261432</v>
      </c>
      <c r="FV11" s="56">
        <v>30411644.694261432</v>
      </c>
      <c r="FW11" s="56">
        <v>30411644.694261432</v>
      </c>
      <c r="FX11" s="56">
        <v>30411644.694261432</v>
      </c>
      <c r="FY11" s="56">
        <v>30411644.694261432</v>
      </c>
      <c r="FZ11" s="56">
        <v>0</v>
      </c>
      <c r="GA11" s="56">
        <v>0</v>
      </c>
      <c r="GB11" s="56">
        <v>0</v>
      </c>
      <c r="GC11" s="56">
        <v>0</v>
      </c>
      <c r="GD11" s="56">
        <v>0</v>
      </c>
      <c r="GE11" s="56">
        <v>0</v>
      </c>
      <c r="GF11" s="56">
        <v>0</v>
      </c>
      <c r="GG11" s="56">
        <v>0</v>
      </c>
      <c r="GH11" s="56">
        <v>0</v>
      </c>
      <c r="GI11" s="56">
        <v>0</v>
      </c>
      <c r="GJ11" s="56">
        <v>0</v>
      </c>
      <c r="GK11" s="85">
        <v>0</v>
      </c>
      <c r="GL11" s="40"/>
    </row>
    <row r="12" spans="1:194" x14ac:dyDescent="0.4">
      <c r="A12" s="84" t="s">
        <v>242</v>
      </c>
      <c r="B12" s="70" t="s">
        <v>174</v>
      </c>
      <c r="C12" s="70" t="s">
        <v>397</v>
      </c>
      <c r="D12" s="70" t="s">
        <v>209</v>
      </c>
      <c r="E12" s="70" t="s">
        <v>193</v>
      </c>
      <c r="F12" s="70" t="s">
        <v>194</v>
      </c>
      <c r="G12" s="70" t="s">
        <v>195</v>
      </c>
      <c r="H12" s="70">
        <v>0</v>
      </c>
      <c r="I12" s="70">
        <v>0</v>
      </c>
      <c r="J12" s="70" t="s">
        <v>210</v>
      </c>
      <c r="K12" s="70">
        <v>0</v>
      </c>
      <c r="L12" s="70" t="s">
        <v>211</v>
      </c>
      <c r="M12" s="71">
        <f>IFERROR(INDEX('(참조)BL_인건비'!$S$3:$AG$40,MATCH(BL_인건비!$A12,'(참조)BL_인건비'!$S$3:$S$40,0),MATCH('(참조)BL_인건비'!X$2,'(참조)BL_인건비'!$S$2:$AG$2,0)),0)</f>
        <v>1</v>
      </c>
      <c r="N12" s="71">
        <f>IFERROR(INDEX('(참조)BL_인건비'!$S$3:$AG$40,MATCH(BL_인건비!$A12,'(참조)BL_인건비'!$S$3:$S$40,0),MATCH('(참조)BL_인건비'!Y$2,'(참조)BL_인건비'!$S$2:$AG$2,0)),0)</f>
        <v>1</v>
      </c>
      <c r="O12" s="71">
        <f>IFERROR(INDEX('(참조)BL_인건비'!$S$3:$AG$40,MATCH(BL_인건비!$A12,'(참조)BL_인건비'!$S$3:$S$40,0),MATCH('(참조)BL_인건비'!Z$2,'(참조)BL_인건비'!$S$2:$AG$2,0)),0)</f>
        <v>1</v>
      </c>
      <c r="P12" s="71">
        <f>IFERROR(INDEX('(참조)BL_인건비'!$S$3:$AG$40,MATCH(BL_인건비!$A12,'(참조)BL_인건비'!$S$3:$S$40,0),MATCH('(참조)BL_인건비'!AA$2,'(참조)BL_인건비'!$S$2:$AG$2,0)),0)</f>
        <v>1</v>
      </c>
      <c r="Q12" s="71">
        <f>IFERROR(INDEX('(참조)BL_인건비'!$S$3:$AG$40,MATCH(BL_인건비!$A12,'(참조)BL_인건비'!$S$3:$S$40,0),MATCH('(참조)BL_인건비'!AB$2,'(참조)BL_인건비'!$S$2:$AG$2,0)),0)</f>
        <v>1</v>
      </c>
      <c r="R12" s="71">
        <f>IFERROR(INDEX('(참조)BL_인건비'!$S$3:$AG$40,MATCH(BL_인건비!$A12,'(참조)BL_인건비'!$S$3:$S$40,0),MATCH('(참조)BL_인건비'!AC$2,'(참조)BL_인건비'!$S$2:$AG$2,0)),0)</f>
        <v>1</v>
      </c>
      <c r="S12" s="71">
        <f>IFERROR(INDEX('(참조)BL_인건비'!$S$3:$AG$40,MATCH(BL_인건비!$A12,'(참조)BL_인건비'!$S$3:$S$40,0),MATCH('(참조)BL_인건비'!AD$2,'(참조)BL_인건비'!$S$2:$AG$2,0)),0)</f>
        <v>1</v>
      </c>
      <c r="T12" s="71">
        <f>IFERROR(INDEX('(참조)BL_인건비'!$S$3:$AG$40,MATCH(BL_인건비!$A12,'(참조)BL_인건비'!$S$3:$S$40,0),MATCH('(참조)BL_인건비'!AE$2,'(참조)BL_인건비'!$S$2:$AG$2,0)),0)</f>
        <v>1</v>
      </c>
      <c r="U12" s="71">
        <f>IFERROR(INDEX('(참조)BL_인건비'!$S$3:$AG$40,MATCH(BL_인건비!$A12,'(참조)BL_인건비'!$S$3:$S$40,0),MATCH('(참조)BL_인건비'!AF$2,'(참조)BL_인건비'!$S$2:$AG$2,0)),0)</f>
        <v>1</v>
      </c>
      <c r="V12" s="71">
        <f>IFERROR(INDEX('(참조)BL_인건비'!$S$3:$AG$40,MATCH(BL_인건비!$A12,'(참조)BL_인건비'!$S$3:$S$40,0),MATCH('(참조)BL_인건비'!AG$2,'(참조)BL_인건비'!$S$2:$AG$2,0)),0)</f>
        <v>1</v>
      </c>
      <c r="W12" s="71">
        <f>IFERROR(INDEX('(참조)BL_인건비'!$S$3:$AG$40,MATCH(BL_인건비!$A12,'(참조)BL_인건비'!$S$3:$S$40,0),MATCH('(참조)BL_인건비'!AH$2,'(참조)BL_인건비'!$S$2:$AG$2,0)),0)</f>
        <v>0</v>
      </c>
      <c r="X12" s="72">
        <v>0</v>
      </c>
      <c r="Y12" s="72">
        <f>IFERROR(INDEX('(참조)BL_인건비'!$A$3:$O$40,MATCH(BL_인건비!$A12,'(참조)BL_인건비'!$A$3:$A$40,0),MATCH('(참조)BL_인건비'!F$2,'(참조)BL_인건비'!$A$2:$O$2,0)),0)</f>
        <v>3934599.2821772001</v>
      </c>
      <c r="Z12" s="72">
        <f>IFERROR(INDEX('(참조)BL_인건비'!$A$3:$O$40,MATCH(BL_인건비!$A12,'(참조)BL_인건비'!$A$3:$A$40,0),MATCH('(참조)BL_인건비'!G$2,'(참조)BL_인건비'!$A$2:$O$2,0)),0)</f>
        <v>4034186.9803045592</v>
      </c>
      <c r="AA12" s="72">
        <f>IFERROR(INDEX('(참조)BL_인건비'!$A$3:$O$40,MATCH(BL_인건비!$A12,'(참조)BL_인건비'!$A$3:$A$40,0),MATCH('(참조)BL_인건비'!H$2,'(참조)BL_인건비'!$A$2:$O$2,0)),0)</f>
        <v>4136295.3187581724</v>
      </c>
      <c r="AB12" s="72">
        <f>IFERROR(INDEX('(참조)BL_인건비'!$A$3:$O$40,MATCH(BL_인건비!$A12,'(참조)BL_인건비'!$A$3:$A$40,0),MATCH('(참조)BL_인건비'!I$2,'(참조)BL_인건비'!$A$2:$O$2,0)),0)</f>
        <v>4240988.0968603836</v>
      </c>
      <c r="AC12" s="72">
        <f>IFERROR(INDEX('(참조)BL_인건비'!$A$3:$O$40,MATCH(BL_인건비!$A12,'(참조)BL_인건비'!$A$3:$A$40,0),MATCH('(참조)BL_인건비'!J$2,'(참조)BL_인건비'!$A$2:$O$2,0)),0)</f>
        <v>4348330.7287428733</v>
      </c>
      <c r="AD12" s="72">
        <f>IFERROR(INDEX('(참조)BL_인건비'!$A$3:$O$40,MATCH(BL_인건비!$A12,'(참조)BL_인건비'!$A$3:$A$40,0),MATCH('(참조)BL_인건비'!K$2,'(참조)BL_인건비'!$A$2:$O$2,0)),0)</f>
        <v>4458390.284218709</v>
      </c>
      <c r="AE12" s="72">
        <f>IFERROR(INDEX('(참조)BL_인건비'!$A$3:$O$40,MATCH(BL_인건비!$A12,'(참조)BL_인건비'!$A$3:$A$40,0),MATCH('(참조)BL_인건비'!L$2,'(참조)BL_인건비'!$A$2:$O$2,0)),0)</f>
        <v>4571235.5306889005</v>
      </c>
      <c r="AF12" s="72">
        <f>IFERROR(INDEX('(참조)BL_인건비'!$A$3:$O$40,MATCH(BL_인건비!$A12,'(참조)BL_인건비'!$A$3:$A$40,0),MATCH('(참조)BL_인건비'!M$2,'(참조)BL_인건비'!$A$2:$O$2,0)),0)</f>
        <v>4686936.9761096397</v>
      </c>
      <c r="AG12" s="72">
        <f>IFERROR(INDEX('(참조)BL_인건비'!$A$3:$O$40,MATCH(BL_인건비!$A12,'(참조)BL_인건비'!$A$3:$A$40,0),MATCH('(참조)BL_인건비'!N$2,'(참조)BL_인건비'!$A$2:$O$2,0)),0)</f>
        <v>4805566.9130470762</v>
      </c>
      <c r="AH12" s="72">
        <f>IFERROR(INDEX('(참조)BL_인건비'!$A$3:$O$40,MATCH(BL_인건비!$A12,'(참조)BL_인건비'!$A$3:$A$40,0),MATCH('(참조)BL_인건비'!O$2,'(참조)BL_인건비'!$A$2:$O$2,0)),0)</f>
        <v>4927199.463847152</v>
      </c>
      <c r="AI12" s="72">
        <f>IFERROR(INDEX('(참조)BL_인건비'!$A$3:$O$40,MATCH(BL_인건비!$A12,'(참조)BL_인건비'!$A$3:$A$40,0),MATCH('(참조)BL_인건비'!P$2,'(참조)BL_인건비'!$A$2:$O$2,0)),0)</f>
        <v>0</v>
      </c>
      <c r="AJ12" s="72">
        <v>12</v>
      </c>
      <c r="AK12" s="72">
        <v>12</v>
      </c>
      <c r="AL12" s="72">
        <v>12</v>
      </c>
      <c r="AM12" s="72">
        <v>12</v>
      </c>
      <c r="AN12" s="72">
        <v>12</v>
      </c>
      <c r="AO12" s="72">
        <v>12</v>
      </c>
      <c r="AP12" s="72">
        <v>12</v>
      </c>
      <c r="AQ12" s="72">
        <v>12</v>
      </c>
      <c r="AR12" s="72">
        <v>12</v>
      </c>
      <c r="AS12" s="72">
        <v>12</v>
      </c>
      <c r="AT12" s="72">
        <v>12</v>
      </c>
      <c r="AU12" s="73">
        <v>1</v>
      </c>
      <c r="AV12" s="70">
        <v>0</v>
      </c>
      <c r="AW12" s="70">
        <v>0</v>
      </c>
      <c r="AX12" s="56">
        <v>529724754.89705592</v>
      </c>
      <c r="AY12" s="56">
        <v>47215191.386126406</v>
      </c>
      <c r="AZ12" s="56">
        <v>48410243.763654716</v>
      </c>
      <c r="BA12" s="56">
        <v>49635543.825098075</v>
      </c>
      <c r="BB12" s="56">
        <v>50891857.162324615</v>
      </c>
      <c r="BC12" s="56">
        <v>52179968.744914494</v>
      </c>
      <c r="BD12" s="56">
        <v>53500683.410624497</v>
      </c>
      <c r="BE12" s="56">
        <v>54854826.368266791</v>
      </c>
      <c r="BF12" s="56">
        <v>56243243.713315673</v>
      </c>
      <c r="BG12" s="56">
        <v>57666802.956564911</v>
      </c>
      <c r="BH12" s="56">
        <v>59126393.566165827</v>
      </c>
      <c r="BI12" s="56">
        <v>0</v>
      </c>
      <c r="BJ12" s="74">
        <v>3934599.2821772001</v>
      </c>
      <c r="BK12" s="56">
        <v>3934599.2821772001</v>
      </c>
      <c r="BL12" s="56">
        <v>3934599.2821772001</v>
      </c>
      <c r="BM12" s="56">
        <v>3934599.2821772001</v>
      </c>
      <c r="BN12" s="56">
        <v>3934599.2821772001</v>
      </c>
      <c r="BO12" s="56">
        <v>3934599.2821772001</v>
      </c>
      <c r="BP12" s="56">
        <v>3934599.2821772001</v>
      </c>
      <c r="BQ12" s="56">
        <v>3934599.2821772001</v>
      </c>
      <c r="BR12" s="56">
        <v>3934599.2821772001</v>
      </c>
      <c r="BS12" s="56">
        <v>3934599.2821772001</v>
      </c>
      <c r="BT12" s="56">
        <v>3934599.2821772001</v>
      </c>
      <c r="BU12" s="56">
        <v>3934599.2821772001</v>
      </c>
      <c r="BV12" s="56">
        <v>4034186.9803045592</v>
      </c>
      <c r="BW12" s="56">
        <v>4034186.9803045592</v>
      </c>
      <c r="BX12" s="56">
        <v>4034186.9803045592</v>
      </c>
      <c r="BY12" s="56">
        <v>4034186.9803045592</v>
      </c>
      <c r="BZ12" s="56">
        <v>4034186.9803045592</v>
      </c>
      <c r="CA12" s="56">
        <v>4034186.9803045592</v>
      </c>
      <c r="CB12" s="56">
        <v>4034186.9803045592</v>
      </c>
      <c r="CC12" s="56">
        <v>4034186.9803045592</v>
      </c>
      <c r="CD12" s="56">
        <v>4034186.9803045592</v>
      </c>
      <c r="CE12" s="56">
        <v>4034186.9803045592</v>
      </c>
      <c r="CF12" s="56">
        <v>4034186.9803045592</v>
      </c>
      <c r="CG12" s="56">
        <v>4034186.9803045592</v>
      </c>
      <c r="CH12" s="56">
        <v>4136295.3187581724</v>
      </c>
      <c r="CI12" s="56">
        <v>4136295.3187581724</v>
      </c>
      <c r="CJ12" s="56">
        <v>4136295.3187581724</v>
      </c>
      <c r="CK12" s="56">
        <v>4136295.3187581724</v>
      </c>
      <c r="CL12" s="56">
        <v>4136295.3187581724</v>
      </c>
      <c r="CM12" s="56">
        <v>4136295.3187581724</v>
      </c>
      <c r="CN12" s="56">
        <v>4136295.3187581724</v>
      </c>
      <c r="CO12" s="56">
        <v>4136295.3187581724</v>
      </c>
      <c r="CP12" s="56">
        <v>4136295.3187581724</v>
      </c>
      <c r="CQ12" s="56">
        <v>4136295.3187581724</v>
      </c>
      <c r="CR12" s="56">
        <v>4136295.3187581724</v>
      </c>
      <c r="CS12" s="56">
        <v>4136295.3187581724</v>
      </c>
      <c r="CT12" s="56">
        <v>4240988.0968603836</v>
      </c>
      <c r="CU12" s="56">
        <v>4240988.0968603836</v>
      </c>
      <c r="CV12" s="56">
        <v>4240988.0968603836</v>
      </c>
      <c r="CW12" s="56">
        <v>4240988.0968603836</v>
      </c>
      <c r="CX12" s="56">
        <v>4240988.0968603836</v>
      </c>
      <c r="CY12" s="56">
        <v>4240988.0968603836</v>
      </c>
      <c r="CZ12" s="56">
        <v>4240988.0968603836</v>
      </c>
      <c r="DA12" s="56">
        <v>4240988.0968603836</v>
      </c>
      <c r="DB12" s="56">
        <v>4240988.0968603836</v>
      </c>
      <c r="DC12" s="56">
        <v>4240988.0968603836</v>
      </c>
      <c r="DD12" s="56">
        <v>4240988.0968603836</v>
      </c>
      <c r="DE12" s="56">
        <v>4240988.0968603836</v>
      </c>
      <c r="DF12" s="56">
        <v>4348330.7287428733</v>
      </c>
      <c r="DG12" s="56">
        <v>4348330.7287428733</v>
      </c>
      <c r="DH12" s="56">
        <v>4348330.7287428733</v>
      </c>
      <c r="DI12" s="56">
        <v>4348330.7287428733</v>
      </c>
      <c r="DJ12" s="56">
        <v>4348330.7287428733</v>
      </c>
      <c r="DK12" s="56">
        <v>4348330.7287428733</v>
      </c>
      <c r="DL12" s="56">
        <v>4348330.7287428733</v>
      </c>
      <c r="DM12" s="56">
        <v>4348330.7287428733</v>
      </c>
      <c r="DN12" s="56">
        <v>4348330.7287428733</v>
      </c>
      <c r="DO12" s="56">
        <v>4348330.7287428733</v>
      </c>
      <c r="DP12" s="56">
        <v>4348330.7287428733</v>
      </c>
      <c r="DQ12" s="56">
        <v>4348330.7287428733</v>
      </c>
      <c r="DR12" s="56">
        <v>4458390.284218709</v>
      </c>
      <c r="DS12" s="56">
        <v>4458390.284218709</v>
      </c>
      <c r="DT12" s="56">
        <v>4458390.284218709</v>
      </c>
      <c r="DU12" s="56">
        <v>4458390.284218709</v>
      </c>
      <c r="DV12" s="56">
        <v>4458390.284218709</v>
      </c>
      <c r="DW12" s="56">
        <v>4458390.284218709</v>
      </c>
      <c r="DX12" s="56">
        <v>4458390.284218709</v>
      </c>
      <c r="DY12" s="56">
        <v>4458390.284218709</v>
      </c>
      <c r="DZ12" s="56">
        <v>4458390.284218709</v>
      </c>
      <c r="EA12" s="56">
        <v>4458390.284218709</v>
      </c>
      <c r="EB12" s="56">
        <v>4458390.284218709</v>
      </c>
      <c r="EC12" s="56">
        <v>4458390.284218709</v>
      </c>
      <c r="ED12" s="56">
        <v>4571235.5306889005</v>
      </c>
      <c r="EE12" s="56">
        <v>4571235.5306889005</v>
      </c>
      <c r="EF12" s="56">
        <v>4571235.5306889005</v>
      </c>
      <c r="EG12" s="56">
        <v>4571235.5306889005</v>
      </c>
      <c r="EH12" s="56">
        <v>4571235.5306889005</v>
      </c>
      <c r="EI12" s="56">
        <v>4571235.5306889005</v>
      </c>
      <c r="EJ12" s="56">
        <v>4571235.5306889005</v>
      </c>
      <c r="EK12" s="56">
        <v>4571235.5306889005</v>
      </c>
      <c r="EL12" s="56">
        <v>4571235.5306889005</v>
      </c>
      <c r="EM12" s="56">
        <v>4571235.5306889005</v>
      </c>
      <c r="EN12" s="56">
        <v>4571235.5306889005</v>
      </c>
      <c r="EO12" s="56">
        <v>4571235.5306889005</v>
      </c>
      <c r="EP12" s="56">
        <v>4686936.9761096397</v>
      </c>
      <c r="EQ12" s="56">
        <v>4686936.9761096397</v>
      </c>
      <c r="ER12" s="56">
        <v>4686936.9761096397</v>
      </c>
      <c r="ES12" s="56">
        <v>4686936.9761096397</v>
      </c>
      <c r="ET12" s="56">
        <v>4686936.9761096397</v>
      </c>
      <c r="EU12" s="56">
        <v>4686936.9761096397</v>
      </c>
      <c r="EV12" s="56">
        <v>4686936.9761096397</v>
      </c>
      <c r="EW12" s="56">
        <v>4686936.9761096397</v>
      </c>
      <c r="EX12" s="56">
        <v>4686936.9761096397</v>
      </c>
      <c r="EY12" s="56">
        <v>4686936.9761096397</v>
      </c>
      <c r="EZ12" s="56">
        <v>4686936.9761096397</v>
      </c>
      <c r="FA12" s="56">
        <v>4686936.9761096397</v>
      </c>
      <c r="FB12" s="56">
        <v>4805566.9130470762</v>
      </c>
      <c r="FC12" s="56">
        <v>4805566.9130470762</v>
      </c>
      <c r="FD12" s="56">
        <v>4805566.9130470762</v>
      </c>
      <c r="FE12" s="56">
        <v>4805566.9130470762</v>
      </c>
      <c r="FF12" s="56">
        <v>4805566.9130470762</v>
      </c>
      <c r="FG12" s="56">
        <v>4805566.9130470762</v>
      </c>
      <c r="FH12" s="56">
        <v>4805566.9130470762</v>
      </c>
      <c r="FI12" s="56">
        <v>4805566.9130470762</v>
      </c>
      <c r="FJ12" s="56">
        <v>4805566.9130470762</v>
      </c>
      <c r="FK12" s="56">
        <v>4805566.9130470762</v>
      </c>
      <c r="FL12" s="56">
        <v>4805566.9130470762</v>
      </c>
      <c r="FM12" s="56">
        <v>4805566.9130470762</v>
      </c>
      <c r="FN12" s="56">
        <v>4927199.463847152</v>
      </c>
      <c r="FO12" s="56">
        <v>4927199.463847152</v>
      </c>
      <c r="FP12" s="56">
        <v>4927199.463847152</v>
      </c>
      <c r="FQ12" s="56">
        <v>4927199.463847152</v>
      </c>
      <c r="FR12" s="56">
        <v>4927199.463847152</v>
      </c>
      <c r="FS12" s="56">
        <v>4927199.463847152</v>
      </c>
      <c r="FT12" s="56">
        <v>4927199.463847152</v>
      </c>
      <c r="FU12" s="56">
        <v>4927199.463847152</v>
      </c>
      <c r="FV12" s="56">
        <v>4927199.463847152</v>
      </c>
      <c r="FW12" s="56">
        <v>4927199.463847152</v>
      </c>
      <c r="FX12" s="56">
        <v>4927199.463847152</v>
      </c>
      <c r="FY12" s="56">
        <v>4927199.463847152</v>
      </c>
      <c r="FZ12" s="56">
        <v>0</v>
      </c>
      <c r="GA12" s="56">
        <v>0</v>
      </c>
      <c r="GB12" s="56">
        <v>0</v>
      </c>
      <c r="GC12" s="56">
        <v>0</v>
      </c>
      <c r="GD12" s="56">
        <v>0</v>
      </c>
      <c r="GE12" s="56">
        <v>0</v>
      </c>
      <c r="GF12" s="56">
        <v>0</v>
      </c>
      <c r="GG12" s="56">
        <v>0</v>
      </c>
      <c r="GH12" s="56">
        <v>0</v>
      </c>
      <c r="GI12" s="56">
        <v>0</v>
      </c>
      <c r="GJ12" s="56">
        <v>0</v>
      </c>
      <c r="GK12" s="85">
        <v>0</v>
      </c>
      <c r="GL12" s="40"/>
    </row>
    <row r="13" spans="1:194" x14ac:dyDescent="0.4">
      <c r="A13" s="84" t="s">
        <v>243</v>
      </c>
      <c r="B13" s="70" t="s">
        <v>174</v>
      </c>
      <c r="C13" s="70" t="s">
        <v>397</v>
      </c>
      <c r="D13" s="70" t="s">
        <v>209</v>
      </c>
      <c r="E13" s="70" t="s">
        <v>193</v>
      </c>
      <c r="F13" s="70" t="s">
        <v>194</v>
      </c>
      <c r="G13" s="70" t="s">
        <v>196</v>
      </c>
      <c r="H13" s="70">
        <v>0</v>
      </c>
      <c r="I13" s="70">
        <v>0</v>
      </c>
      <c r="J13" s="70" t="s">
        <v>210</v>
      </c>
      <c r="K13" s="70">
        <v>0</v>
      </c>
      <c r="L13" s="70" t="s">
        <v>211</v>
      </c>
      <c r="M13" s="71">
        <f>IFERROR(INDEX('(참조)BL_인건비'!$S$3:$AG$40,MATCH(BL_인건비!$A13,'(참조)BL_인건비'!$S$3:$S$40,0),MATCH('(참조)BL_인건비'!X$2,'(참조)BL_인건비'!$S$2:$AG$2,0)),0)</f>
        <v>1</v>
      </c>
      <c r="N13" s="71">
        <f>IFERROR(INDEX('(참조)BL_인건비'!$S$3:$AG$40,MATCH(BL_인건비!$A13,'(참조)BL_인건비'!$S$3:$S$40,0),MATCH('(참조)BL_인건비'!Y$2,'(참조)BL_인건비'!$S$2:$AG$2,0)),0)</f>
        <v>1</v>
      </c>
      <c r="O13" s="71">
        <f>IFERROR(INDEX('(참조)BL_인건비'!$S$3:$AG$40,MATCH(BL_인건비!$A13,'(참조)BL_인건비'!$S$3:$S$40,0),MATCH('(참조)BL_인건비'!Z$2,'(참조)BL_인건비'!$S$2:$AG$2,0)),0)</f>
        <v>1</v>
      </c>
      <c r="P13" s="71">
        <f>IFERROR(INDEX('(참조)BL_인건비'!$S$3:$AG$40,MATCH(BL_인건비!$A13,'(참조)BL_인건비'!$S$3:$S$40,0),MATCH('(참조)BL_인건비'!AA$2,'(참조)BL_인건비'!$S$2:$AG$2,0)),0)</f>
        <v>1</v>
      </c>
      <c r="Q13" s="71">
        <f>IFERROR(INDEX('(참조)BL_인건비'!$S$3:$AG$40,MATCH(BL_인건비!$A13,'(참조)BL_인건비'!$S$3:$S$40,0),MATCH('(참조)BL_인건비'!AB$2,'(참조)BL_인건비'!$S$2:$AG$2,0)),0)</f>
        <v>1</v>
      </c>
      <c r="R13" s="71">
        <f>IFERROR(INDEX('(참조)BL_인건비'!$S$3:$AG$40,MATCH(BL_인건비!$A13,'(참조)BL_인건비'!$S$3:$S$40,0),MATCH('(참조)BL_인건비'!AC$2,'(참조)BL_인건비'!$S$2:$AG$2,0)),0)</f>
        <v>1</v>
      </c>
      <c r="S13" s="71">
        <f>IFERROR(INDEX('(참조)BL_인건비'!$S$3:$AG$40,MATCH(BL_인건비!$A13,'(참조)BL_인건비'!$S$3:$S$40,0),MATCH('(참조)BL_인건비'!AD$2,'(참조)BL_인건비'!$S$2:$AG$2,0)),0)</f>
        <v>1</v>
      </c>
      <c r="T13" s="71">
        <f>IFERROR(INDEX('(참조)BL_인건비'!$S$3:$AG$40,MATCH(BL_인건비!$A13,'(참조)BL_인건비'!$S$3:$S$40,0),MATCH('(참조)BL_인건비'!AE$2,'(참조)BL_인건비'!$S$2:$AG$2,0)),0)</f>
        <v>1</v>
      </c>
      <c r="U13" s="71">
        <f>IFERROR(INDEX('(참조)BL_인건비'!$S$3:$AG$40,MATCH(BL_인건비!$A13,'(참조)BL_인건비'!$S$3:$S$40,0),MATCH('(참조)BL_인건비'!AF$2,'(참조)BL_인건비'!$S$2:$AG$2,0)),0)</f>
        <v>1</v>
      </c>
      <c r="V13" s="71">
        <f>IFERROR(INDEX('(참조)BL_인건비'!$S$3:$AG$40,MATCH(BL_인건비!$A13,'(참조)BL_인건비'!$S$3:$S$40,0),MATCH('(참조)BL_인건비'!AG$2,'(참조)BL_인건비'!$S$2:$AG$2,0)),0)</f>
        <v>1</v>
      </c>
      <c r="W13" s="71">
        <f>IFERROR(INDEX('(참조)BL_인건비'!$S$3:$AG$40,MATCH(BL_인건비!$A13,'(참조)BL_인건비'!$S$3:$S$40,0),MATCH('(참조)BL_인건비'!AH$2,'(참조)BL_인건비'!$S$2:$AG$2,0)),0)</f>
        <v>0</v>
      </c>
      <c r="X13" s="72">
        <v>0</v>
      </c>
      <c r="Y13" s="72">
        <f>IFERROR(INDEX('(참조)BL_인건비'!$A$3:$O$40,MATCH(BL_인건비!$A13,'(참조)BL_인건비'!$A$3:$A$40,0),MATCH('(참조)BL_인건비'!F$2,'(참조)BL_인건비'!$A$2:$O$2,0)),0)</f>
        <v>3005310.9254727201</v>
      </c>
      <c r="Z13" s="72">
        <f>IFERROR(INDEX('(참조)BL_인건비'!$A$3:$O$40,MATCH(BL_인건비!$A13,'(참조)BL_인건비'!$A$3:$A$40,0),MATCH('(참조)BL_인건비'!G$2,'(참조)BL_인건비'!$A$2:$O$2,0)),0)</f>
        <v>3081377.629032738</v>
      </c>
      <c r="AA13" s="72">
        <f>IFERROR(INDEX('(참조)BL_인건비'!$A$3:$O$40,MATCH(BL_인건비!$A13,'(참조)BL_인건비'!$A$3:$A$40,0),MATCH('(참조)BL_인건비'!H$2,'(참조)BL_인건비'!$A$2:$O$2,0)),0)</f>
        <v>3159369.6386705549</v>
      </c>
      <c r="AB13" s="72">
        <f>IFERROR(INDEX('(참조)BL_인건비'!$A$3:$O$40,MATCH(BL_인건비!$A13,'(참조)BL_인건비'!$A$3:$A$40,0),MATCH('(참조)BL_인건비'!I$2,'(참조)BL_인건비'!$A$2:$O$2,0)),0)</f>
        <v>3239335.6853462318</v>
      </c>
      <c r="AC13" s="72">
        <f>IFERROR(INDEX('(참조)BL_인건비'!$A$3:$O$40,MATCH(BL_인건비!$A13,'(참조)BL_인건비'!$A$3:$A$40,0),MATCH('(참조)BL_인건비'!J$2,'(참조)BL_인건비'!$A$2:$O$2,0)),0)</f>
        <v>3321325.733437466</v>
      </c>
      <c r="AD13" s="72">
        <f>IFERROR(INDEX('(참조)BL_인건비'!$A$3:$O$40,MATCH(BL_인건비!$A13,'(참조)BL_인건비'!$A$3:$A$40,0),MATCH('(참조)BL_인건비'!K$2,'(참조)BL_인건비'!$A$2:$O$2,0)),0)</f>
        <v>3405391.0119583257</v>
      </c>
      <c r="AE13" s="72">
        <f>IFERROR(INDEX('(참조)BL_인건비'!$A$3:$O$40,MATCH(BL_인건비!$A13,'(참조)BL_인건비'!$A$3:$A$40,0),MATCH('(참조)BL_인건비'!L$2,'(참조)BL_인건비'!$A$2:$O$2,0)),0)</f>
        <v>3491584.0465681599</v>
      </c>
      <c r="AF13" s="72">
        <f>IFERROR(INDEX('(참조)BL_인건비'!$A$3:$O$40,MATCH(BL_인건비!$A13,'(참조)BL_인건비'!$A$3:$A$40,0),MATCH('(참조)BL_인건비'!M$2,'(참조)BL_인건비'!$A$2:$O$2,0)),0)</f>
        <v>3579958.6923906752</v>
      </c>
      <c r="AG13" s="72">
        <f>IFERROR(INDEX('(참조)BL_인건비'!$A$3:$O$40,MATCH(BL_인건비!$A13,'(참조)BL_인건비'!$A$3:$A$40,0),MATCH('(참조)BL_인건비'!N$2,'(참조)BL_인건비'!$A$2:$O$2,0)),0)</f>
        <v>3670570.1676636892</v>
      </c>
      <c r="AH13" s="72">
        <f>IFERROR(INDEX('(참조)BL_인건비'!$A$3:$O$40,MATCH(BL_인건비!$A13,'(참조)BL_인건비'!$A$3:$A$40,0),MATCH('(참조)BL_인건비'!O$2,'(참조)BL_인건비'!$A$2:$O$2,0)),0)</f>
        <v>3763475.0882405844</v>
      </c>
      <c r="AI13" s="72">
        <f>IFERROR(INDEX('(참조)BL_인건비'!$A$3:$O$40,MATCH(BL_인건비!$A13,'(참조)BL_인건비'!$A$3:$A$40,0),MATCH('(참조)BL_인건비'!P$2,'(참조)BL_인건비'!$A$2:$O$2,0)),0)</f>
        <v>0</v>
      </c>
      <c r="AJ13" s="72">
        <v>12</v>
      </c>
      <c r="AK13" s="72">
        <v>12</v>
      </c>
      <c r="AL13" s="72">
        <v>12</v>
      </c>
      <c r="AM13" s="72">
        <v>12</v>
      </c>
      <c r="AN13" s="72">
        <v>12</v>
      </c>
      <c r="AO13" s="72">
        <v>12</v>
      </c>
      <c r="AP13" s="72">
        <v>12</v>
      </c>
      <c r="AQ13" s="72">
        <v>12</v>
      </c>
      <c r="AR13" s="72">
        <v>12</v>
      </c>
      <c r="AS13" s="72">
        <v>12</v>
      </c>
      <c r="AT13" s="72">
        <v>12</v>
      </c>
      <c r="AU13" s="73">
        <v>1</v>
      </c>
      <c r="AV13" s="70">
        <v>0</v>
      </c>
      <c r="AW13" s="70">
        <v>0</v>
      </c>
      <c r="AX13" s="56">
        <v>404612383.42537373</v>
      </c>
      <c r="AY13" s="56">
        <v>36063731.10567265</v>
      </c>
      <c r="AZ13" s="56">
        <v>36976531.548392855</v>
      </c>
      <c r="BA13" s="56">
        <v>37912435.664046668</v>
      </c>
      <c r="BB13" s="56">
        <v>38872028.224154778</v>
      </c>
      <c r="BC13" s="56">
        <v>39855908.801249593</v>
      </c>
      <c r="BD13" s="56">
        <v>40864692.143499911</v>
      </c>
      <c r="BE13" s="56">
        <v>41899008.558817923</v>
      </c>
      <c r="BF13" s="56">
        <v>42959504.308688104</v>
      </c>
      <c r="BG13" s="56">
        <v>44046842.011964262</v>
      </c>
      <c r="BH13" s="56">
        <v>45161701.058887027</v>
      </c>
      <c r="BI13" s="56">
        <v>0</v>
      </c>
      <c r="BJ13" s="74">
        <v>3005310.9254727201</v>
      </c>
      <c r="BK13" s="56">
        <v>3005310.9254727201</v>
      </c>
      <c r="BL13" s="56">
        <v>3005310.9254727201</v>
      </c>
      <c r="BM13" s="56">
        <v>3005310.9254727201</v>
      </c>
      <c r="BN13" s="56">
        <v>3005310.9254727201</v>
      </c>
      <c r="BO13" s="56">
        <v>3005310.9254727201</v>
      </c>
      <c r="BP13" s="56">
        <v>3005310.9254727201</v>
      </c>
      <c r="BQ13" s="56">
        <v>3005310.9254727201</v>
      </c>
      <c r="BR13" s="56">
        <v>3005310.9254727201</v>
      </c>
      <c r="BS13" s="56">
        <v>3005310.9254727201</v>
      </c>
      <c r="BT13" s="56">
        <v>3005310.9254727201</v>
      </c>
      <c r="BU13" s="56">
        <v>3005310.9254727201</v>
      </c>
      <c r="BV13" s="56">
        <v>3081377.629032738</v>
      </c>
      <c r="BW13" s="56">
        <v>3081377.629032738</v>
      </c>
      <c r="BX13" s="56">
        <v>3081377.629032738</v>
      </c>
      <c r="BY13" s="56">
        <v>3081377.629032738</v>
      </c>
      <c r="BZ13" s="56">
        <v>3081377.629032738</v>
      </c>
      <c r="CA13" s="56">
        <v>3081377.629032738</v>
      </c>
      <c r="CB13" s="56">
        <v>3081377.629032738</v>
      </c>
      <c r="CC13" s="56">
        <v>3081377.629032738</v>
      </c>
      <c r="CD13" s="56">
        <v>3081377.629032738</v>
      </c>
      <c r="CE13" s="56">
        <v>3081377.629032738</v>
      </c>
      <c r="CF13" s="56">
        <v>3081377.629032738</v>
      </c>
      <c r="CG13" s="56">
        <v>3081377.629032738</v>
      </c>
      <c r="CH13" s="56">
        <v>3159369.6386705549</v>
      </c>
      <c r="CI13" s="56">
        <v>3159369.6386705549</v>
      </c>
      <c r="CJ13" s="56">
        <v>3159369.6386705549</v>
      </c>
      <c r="CK13" s="56">
        <v>3159369.6386705549</v>
      </c>
      <c r="CL13" s="56">
        <v>3159369.6386705549</v>
      </c>
      <c r="CM13" s="56">
        <v>3159369.6386705549</v>
      </c>
      <c r="CN13" s="56">
        <v>3159369.6386705549</v>
      </c>
      <c r="CO13" s="56">
        <v>3159369.6386705549</v>
      </c>
      <c r="CP13" s="56">
        <v>3159369.6386705549</v>
      </c>
      <c r="CQ13" s="56">
        <v>3159369.6386705549</v>
      </c>
      <c r="CR13" s="56">
        <v>3159369.6386705549</v>
      </c>
      <c r="CS13" s="56">
        <v>3159369.6386705549</v>
      </c>
      <c r="CT13" s="56">
        <v>3239335.6853462318</v>
      </c>
      <c r="CU13" s="56">
        <v>3239335.6853462318</v>
      </c>
      <c r="CV13" s="56">
        <v>3239335.6853462318</v>
      </c>
      <c r="CW13" s="56">
        <v>3239335.6853462318</v>
      </c>
      <c r="CX13" s="56">
        <v>3239335.6853462318</v>
      </c>
      <c r="CY13" s="56">
        <v>3239335.6853462318</v>
      </c>
      <c r="CZ13" s="56">
        <v>3239335.6853462318</v>
      </c>
      <c r="DA13" s="56">
        <v>3239335.6853462318</v>
      </c>
      <c r="DB13" s="56">
        <v>3239335.6853462318</v>
      </c>
      <c r="DC13" s="56">
        <v>3239335.6853462318</v>
      </c>
      <c r="DD13" s="56">
        <v>3239335.6853462318</v>
      </c>
      <c r="DE13" s="56">
        <v>3239335.6853462318</v>
      </c>
      <c r="DF13" s="56">
        <v>3321325.733437466</v>
      </c>
      <c r="DG13" s="56">
        <v>3321325.733437466</v>
      </c>
      <c r="DH13" s="56">
        <v>3321325.733437466</v>
      </c>
      <c r="DI13" s="56">
        <v>3321325.733437466</v>
      </c>
      <c r="DJ13" s="56">
        <v>3321325.733437466</v>
      </c>
      <c r="DK13" s="56">
        <v>3321325.733437466</v>
      </c>
      <c r="DL13" s="56">
        <v>3321325.733437466</v>
      </c>
      <c r="DM13" s="56">
        <v>3321325.733437466</v>
      </c>
      <c r="DN13" s="56">
        <v>3321325.733437466</v>
      </c>
      <c r="DO13" s="56">
        <v>3321325.733437466</v>
      </c>
      <c r="DP13" s="56">
        <v>3321325.733437466</v>
      </c>
      <c r="DQ13" s="56">
        <v>3321325.733437466</v>
      </c>
      <c r="DR13" s="56">
        <v>3405391.0119583257</v>
      </c>
      <c r="DS13" s="56">
        <v>3405391.0119583257</v>
      </c>
      <c r="DT13" s="56">
        <v>3405391.0119583257</v>
      </c>
      <c r="DU13" s="56">
        <v>3405391.0119583257</v>
      </c>
      <c r="DV13" s="56">
        <v>3405391.0119583257</v>
      </c>
      <c r="DW13" s="56">
        <v>3405391.0119583257</v>
      </c>
      <c r="DX13" s="56">
        <v>3405391.0119583257</v>
      </c>
      <c r="DY13" s="56">
        <v>3405391.0119583257</v>
      </c>
      <c r="DZ13" s="56">
        <v>3405391.0119583257</v>
      </c>
      <c r="EA13" s="56">
        <v>3405391.0119583257</v>
      </c>
      <c r="EB13" s="56">
        <v>3405391.0119583257</v>
      </c>
      <c r="EC13" s="56">
        <v>3405391.0119583257</v>
      </c>
      <c r="ED13" s="56">
        <v>3491584.0465681599</v>
      </c>
      <c r="EE13" s="56">
        <v>3491584.0465681599</v>
      </c>
      <c r="EF13" s="56">
        <v>3491584.0465681599</v>
      </c>
      <c r="EG13" s="56">
        <v>3491584.0465681599</v>
      </c>
      <c r="EH13" s="56">
        <v>3491584.0465681599</v>
      </c>
      <c r="EI13" s="56">
        <v>3491584.0465681599</v>
      </c>
      <c r="EJ13" s="56">
        <v>3491584.0465681599</v>
      </c>
      <c r="EK13" s="56">
        <v>3491584.0465681599</v>
      </c>
      <c r="EL13" s="56">
        <v>3491584.0465681599</v>
      </c>
      <c r="EM13" s="56">
        <v>3491584.0465681599</v>
      </c>
      <c r="EN13" s="56">
        <v>3491584.0465681599</v>
      </c>
      <c r="EO13" s="56">
        <v>3491584.0465681599</v>
      </c>
      <c r="EP13" s="56">
        <v>3579958.6923906752</v>
      </c>
      <c r="EQ13" s="56">
        <v>3579958.6923906752</v>
      </c>
      <c r="ER13" s="56">
        <v>3579958.6923906752</v>
      </c>
      <c r="ES13" s="56">
        <v>3579958.6923906752</v>
      </c>
      <c r="ET13" s="56">
        <v>3579958.6923906752</v>
      </c>
      <c r="EU13" s="56">
        <v>3579958.6923906752</v>
      </c>
      <c r="EV13" s="56">
        <v>3579958.6923906752</v>
      </c>
      <c r="EW13" s="56">
        <v>3579958.6923906752</v>
      </c>
      <c r="EX13" s="56">
        <v>3579958.6923906752</v>
      </c>
      <c r="EY13" s="56">
        <v>3579958.6923906752</v>
      </c>
      <c r="EZ13" s="56">
        <v>3579958.6923906752</v>
      </c>
      <c r="FA13" s="56">
        <v>3579958.6923906752</v>
      </c>
      <c r="FB13" s="56">
        <v>3670570.1676636892</v>
      </c>
      <c r="FC13" s="56">
        <v>3670570.1676636892</v>
      </c>
      <c r="FD13" s="56">
        <v>3670570.1676636892</v>
      </c>
      <c r="FE13" s="56">
        <v>3670570.1676636892</v>
      </c>
      <c r="FF13" s="56">
        <v>3670570.1676636892</v>
      </c>
      <c r="FG13" s="56">
        <v>3670570.1676636892</v>
      </c>
      <c r="FH13" s="56">
        <v>3670570.1676636892</v>
      </c>
      <c r="FI13" s="56">
        <v>3670570.1676636892</v>
      </c>
      <c r="FJ13" s="56">
        <v>3670570.1676636892</v>
      </c>
      <c r="FK13" s="56">
        <v>3670570.1676636892</v>
      </c>
      <c r="FL13" s="56">
        <v>3670570.1676636892</v>
      </c>
      <c r="FM13" s="56">
        <v>3670570.1676636892</v>
      </c>
      <c r="FN13" s="56">
        <v>3763475.0882405844</v>
      </c>
      <c r="FO13" s="56">
        <v>3763475.0882405844</v>
      </c>
      <c r="FP13" s="56">
        <v>3763475.0882405844</v>
      </c>
      <c r="FQ13" s="56">
        <v>3763475.0882405844</v>
      </c>
      <c r="FR13" s="56">
        <v>3763475.0882405844</v>
      </c>
      <c r="FS13" s="56">
        <v>3763475.0882405844</v>
      </c>
      <c r="FT13" s="56">
        <v>3763475.0882405844</v>
      </c>
      <c r="FU13" s="56">
        <v>3763475.0882405844</v>
      </c>
      <c r="FV13" s="56">
        <v>3763475.0882405844</v>
      </c>
      <c r="FW13" s="56">
        <v>3763475.0882405844</v>
      </c>
      <c r="FX13" s="56">
        <v>3763475.0882405844</v>
      </c>
      <c r="FY13" s="56">
        <v>3763475.0882405844</v>
      </c>
      <c r="FZ13" s="56">
        <v>0</v>
      </c>
      <c r="GA13" s="56">
        <v>0</v>
      </c>
      <c r="GB13" s="56">
        <v>0</v>
      </c>
      <c r="GC13" s="56">
        <v>0</v>
      </c>
      <c r="GD13" s="56">
        <v>0</v>
      </c>
      <c r="GE13" s="56">
        <v>0</v>
      </c>
      <c r="GF13" s="56">
        <v>0</v>
      </c>
      <c r="GG13" s="56">
        <v>0</v>
      </c>
      <c r="GH13" s="56">
        <v>0</v>
      </c>
      <c r="GI13" s="56">
        <v>0</v>
      </c>
      <c r="GJ13" s="56">
        <v>0</v>
      </c>
      <c r="GK13" s="85">
        <v>0</v>
      </c>
      <c r="GL13" s="40"/>
    </row>
    <row r="14" spans="1:194" x14ac:dyDescent="0.4">
      <c r="A14" s="84" t="s">
        <v>244</v>
      </c>
      <c r="B14" s="70" t="s">
        <v>174</v>
      </c>
      <c r="C14" s="70" t="s">
        <v>397</v>
      </c>
      <c r="D14" s="70" t="s">
        <v>209</v>
      </c>
      <c r="E14" s="70" t="s">
        <v>193</v>
      </c>
      <c r="F14" s="70" t="s">
        <v>194</v>
      </c>
      <c r="G14" s="70" t="s">
        <v>197</v>
      </c>
      <c r="H14" s="70">
        <v>0</v>
      </c>
      <c r="I14" s="70">
        <v>0</v>
      </c>
      <c r="J14" s="70" t="s">
        <v>210</v>
      </c>
      <c r="K14" s="70">
        <v>0</v>
      </c>
      <c r="L14" s="70" t="s">
        <v>211</v>
      </c>
      <c r="M14" s="71">
        <f>IFERROR(INDEX('(참조)BL_인건비'!$S$3:$AG$40,MATCH(BL_인건비!$A14,'(참조)BL_인건비'!$S$3:$S$40,0),MATCH('(참조)BL_인건비'!X$2,'(참조)BL_인건비'!$S$2:$AG$2,0)),0)</f>
        <v>3</v>
      </c>
      <c r="N14" s="71">
        <f>IFERROR(INDEX('(참조)BL_인건비'!$S$3:$AG$40,MATCH(BL_인건비!$A14,'(참조)BL_인건비'!$S$3:$S$40,0),MATCH('(참조)BL_인건비'!Y$2,'(참조)BL_인건비'!$S$2:$AG$2,0)),0)</f>
        <v>3</v>
      </c>
      <c r="O14" s="71">
        <f>IFERROR(INDEX('(참조)BL_인건비'!$S$3:$AG$40,MATCH(BL_인건비!$A14,'(참조)BL_인건비'!$S$3:$S$40,0),MATCH('(참조)BL_인건비'!Z$2,'(참조)BL_인건비'!$S$2:$AG$2,0)),0)</f>
        <v>3</v>
      </c>
      <c r="P14" s="71">
        <f>IFERROR(INDEX('(참조)BL_인건비'!$S$3:$AG$40,MATCH(BL_인건비!$A14,'(참조)BL_인건비'!$S$3:$S$40,0),MATCH('(참조)BL_인건비'!AA$2,'(참조)BL_인건비'!$S$2:$AG$2,0)),0)</f>
        <v>3</v>
      </c>
      <c r="Q14" s="71">
        <f>IFERROR(INDEX('(참조)BL_인건비'!$S$3:$AG$40,MATCH(BL_인건비!$A14,'(참조)BL_인건비'!$S$3:$S$40,0),MATCH('(참조)BL_인건비'!AB$2,'(참조)BL_인건비'!$S$2:$AG$2,0)),0)</f>
        <v>3</v>
      </c>
      <c r="R14" s="71">
        <f>IFERROR(INDEX('(참조)BL_인건비'!$S$3:$AG$40,MATCH(BL_인건비!$A14,'(참조)BL_인건비'!$S$3:$S$40,0),MATCH('(참조)BL_인건비'!AC$2,'(참조)BL_인건비'!$S$2:$AG$2,0)),0)</f>
        <v>3</v>
      </c>
      <c r="S14" s="71">
        <f>IFERROR(INDEX('(참조)BL_인건비'!$S$3:$AG$40,MATCH(BL_인건비!$A14,'(참조)BL_인건비'!$S$3:$S$40,0),MATCH('(참조)BL_인건비'!AD$2,'(참조)BL_인건비'!$S$2:$AG$2,0)),0)</f>
        <v>3</v>
      </c>
      <c r="T14" s="71">
        <f>IFERROR(INDEX('(참조)BL_인건비'!$S$3:$AG$40,MATCH(BL_인건비!$A14,'(참조)BL_인건비'!$S$3:$S$40,0),MATCH('(참조)BL_인건비'!AE$2,'(참조)BL_인건비'!$S$2:$AG$2,0)),0)</f>
        <v>3</v>
      </c>
      <c r="U14" s="71">
        <f>IFERROR(INDEX('(참조)BL_인건비'!$S$3:$AG$40,MATCH(BL_인건비!$A14,'(참조)BL_인건비'!$S$3:$S$40,0),MATCH('(참조)BL_인건비'!AF$2,'(참조)BL_인건비'!$S$2:$AG$2,0)),0)</f>
        <v>3</v>
      </c>
      <c r="V14" s="71">
        <f>IFERROR(INDEX('(참조)BL_인건비'!$S$3:$AG$40,MATCH(BL_인건비!$A14,'(참조)BL_인건비'!$S$3:$S$40,0),MATCH('(참조)BL_인건비'!AG$2,'(참조)BL_인건비'!$S$2:$AG$2,0)),0)</f>
        <v>3</v>
      </c>
      <c r="W14" s="71">
        <f>IFERROR(INDEX('(참조)BL_인건비'!$S$3:$AG$40,MATCH(BL_인건비!$A14,'(참조)BL_인건비'!$S$3:$S$40,0),MATCH('(참조)BL_인건비'!AH$2,'(참조)BL_인건비'!$S$2:$AG$2,0)),0)</f>
        <v>0</v>
      </c>
      <c r="X14" s="72">
        <v>0</v>
      </c>
      <c r="Y14" s="72">
        <f>IFERROR(INDEX('(참조)BL_인건비'!$A$3:$O$40,MATCH(BL_인건비!$A14,'(참조)BL_인건비'!$A$3:$A$40,0),MATCH('(참조)BL_인건비'!F$2,'(참조)BL_인건비'!$A$2:$O$2,0)),0)</f>
        <v>2822413.9414824001</v>
      </c>
      <c r="Z14" s="72">
        <f>IFERROR(INDEX('(참조)BL_인건비'!$A$3:$O$40,MATCH(BL_인건비!$A14,'(참조)BL_인건비'!$A$3:$A$40,0),MATCH('(참조)BL_인건비'!G$2,'(참조)BL_인건비'!$A$2:$O$2,0)),0)</f>
        <v>2893851.3833759152</v>
      </c>
      <c r="AA14" s="72">
        <f>IFERROR(INDEX('(참조)BL_인건비'!$A$3:$O$40,MATCH(BL_인건비!$A14,'(참조)BL_인건비'!$A$3:$A$40,0),MATCH('(참조)BL_인건비'!H$2,'(참조)BL_인건비'!$A$2:$O$2,0)),0)</f>
        <v>2967096.9612162109</v>
      </c>
      <c r="AB14" s="72">
        <f>IFERROR(INDEX('(참조)BL_인건비'!$A$3:$O$40,MATCH(BL_인건비!$A14,'(참조)BL_인건비'!$A$3:$A$40,0),MATCH('(참조)BL_인건비'!I$2,'(참조)BL_인건비'!$A$2:$O$2,0)),0)</f>
        <v>3042196.4402982835</v>
      </c>
      <c r="AC14" s="72">
        <f>IFERROR(INDEX('(참조)BL_인건비'!$A$3:$O$40,MATCH(BL_인건비!$A14,'(참조)BL_인건비'!$A$3:$A$40,0),MATCH('(참조)BL_인건비'!J$2,'(참조)BL_인건비'!$A$2:$O$2,0)),0)</f>
        <v>3119196.7442715275</v>
      </c>
      <c r="AD14" s="72">
        <f>IFERROR(INDEX('(참조)BL_인건비'!$A$3:$O$40,MATCH(BL_인건비!$A14,'(참조)BL_인건비'!$A$3:$A$40,0),MATCH('(참조)BL_인건비'!K$2,'(참조)BL_인건비'!$A$2:$O$2,0)),0)</f>
        <v>3198145.9844585657</v>
      </c>
      <c r="AE14" s="72">
        <f>IFERROR(INDEX('(참조)BL_인건비'!$A$3:$O$40,MATCH(BL_인건비!$A14,'(참조)BL_인건비'!$A$3:$A$40,0),MATCH('(참조)BL_인건비'!L$2,'(참조)BL_인건비'!$A$2:$O$2,0)),0)</f>
        <v>3279093.4899161602</v>
      </c>
      <c r="AF14" s="72">
        <f>IFERROR(INDEX('(참조)BL_인건비'!$A$3:$O$40,MATCH(BL_인건비!$A14,'(참조)BL_인건비'!$A$3:$A$40,0),MATCH('(참조)BL_인건비'!M$2,'(참조)BL_인건비'!$A$2:$O$2,0)),0)</f>
        <v>3362089.8382569905</v>
      </c>
      <c r="AG14" s="72">
        <f>IFERROR(INDEX('(참조)BL_인건비'!$A$3:$O$40,MATCH(BL_인건비!$A14,'(참조)BL_인건비'!$A$3:$A$40,0),MATCH('(참조)BL_인건비'!N$2,'(참조)BL_인건비'!$A$2:$O$2,0)),0)</f>
        <v>3447186.8872515522</v>
      </c>
      <c r="AH14" s="72">
        <f>IFERROR(INDEX('(참조)BL_인건비'!$A$3:$O$40,MATCH(BL_인건비!$A14,'(참조)BL_인건비'!$A$3:$A$40,0),MATCH('(참조)BL_인건비'!O$2,'(참조)BL_인건비'!$A$2:$O$2,0)),0)</f>
        <v>3534437.8072299231</v>
      </c>
      <c r="AI14" s="72">
        <f>IFERROR(INDEX('(참조)BL_인건비'!$A$3:$O$40,MATCH(BL_인건비!$A14,'(참조)BL_인건비'!$A$3:$A$40,0),MATCH('(참조)BL_인건비'!P$2,'(참조)BL_인건비'!$A$2:$O$2,0)),0)</f>
        <v>0</v>
      </c>
      <c r="AJ14" s="72">
        <v>12</v>
      </c>
      <c r="AK14" s="72">
        <v>12</v>
      </c>
      <c r="AL14" s="72">
        <v>12</v>
      </c>
      <c r="AM14" s="72">
        <v>12</v>
      </c>
      <c r="AN14" s="72">
        <v>12</v>
      </c>
      <c r="AO14" s="72">
        <v>12</v>
      </c>
      <c r="AP14" s="72">
        <v>12</v>
      </c>
      <c r="AQ14" s="72">
        <v>12</v>
      </c>
      <c r="AR14" s="72">
        <v>12</v>
      </c>
      <c r="AS14" s="72">
        <v>12</v>
      </c>
      <c r="AT14" s="72">
        <v>12</v>
      </c>
      <c r="AU14" s="73">
        <v>1</v>
      </c>
      <c r="AV14" s="70">
        <v>0</v>
      </c>
      <c r="AW14" s="70">
        <v>0</v>
      </c>
      <c r="AX14" s="56">
        <v>1139965541.199271</v>
      </c>
      <c r="AY14" s="56">
        <v>101606901.8933664</v>
      </c>
      <c r="AZ14" s="56">
        <v>104178649.80153292</v>
      </c>
      <c r="BA14" s="56">
        <v>106815490.60378359</v>
      </c>
      <c r="BB14" s="56">
        <v>109519071.85073821</v>
      </c>
      <c r="BC14" s="56">
        <v>112291082.79377498</v>
      </c>
      <c r="BD14" s="56">
        <v>115133255.44050837</v>
      </c>
      <c r="BE14" s="56">
        <v>118047365.63698177</v>
      </c>
      <c r="BF14" s="56">
        <v>121035234.17725165</v>
      </c>
      <c r="BG14" s="56">
        <v>124098727.94105585</v>
      </c>
      <c r="BH14" s="56">
        <v>127239761.06027721</v>
      </c>
      <c r="BI14" s="56">
        <v>0</v>
      </c>
      <c r="BJ14" s="74">
        <v>8467241.8244471997</v>
      </c>
      <c r="BK14" s="56">
        <v>8467241.8244471997</v>
      </c>
      <c r="BL14" s="56">
        <v>8467241.8244471997</v>
      </c>
      <c r="BM14" s="56">
        <v>8467241.8244471997</v>
      </c>
      <c r="BN14" s="56">
        <v>8467241.8244471997</v>
      </c>
      <c r="BO14" s="56">
        <v>8467241.8244471997</v>
      </c>
      <c r="BP14" s="56">
        <v>8467241.8244471997</v>
      </c>
      <c r="BQ14" s="56">
        <v>8467241.8244471997</v>
      </c>
      <c r="BR14" s="56">
        <v>8467241.8244471997</v>
      </c>
      <c r="BS14" s="56">
        <v>8467241.8244471997</v>
      </c>
      <c r="BT14" s="56">
        <v>8467241.8244471997</v>
      </c>
      <c r="BU14" s="56">
        <v>8467241.8244471997</v>
      </c>
      <c r="BV14" s="56">
        <v>8681554.1501277462</v>
      </c>
      <c r="BW14" s="56">
        <v>8681554.1501277462</v>
      </c>
      <c r="BX14" s="56">
        <v>8681554.1501277462</v>
      </c>
      <c r="BY14" s="56">
        <v>8681554.1501277462</v>
      </c>
      <c r="BZ14" s="56">
        <v>8681554.1501277462</v>
      </c>
      <c r="CA14" s="56">
        <v>8681554.1501277462</v>
      </c>
      <c r="CB14" s="56">
        <v>8681554.1501277462</v>
      </c>
      <c r="CC14" s="56">
        <v>8681554.1501277462</v>
      </c>
      <c r="CD14" s="56">
        <v>8681554.1501277462</v>
      </c>
      <c r="CE14" s="56">
        <v>8681554.1501277462</v>
      </c>
      <c r="CF14" s="56">
        <v>8681554.1501277462</v>
      </c>
      <c r="CG14" s="56">
        <v>8681554.1501277462</v>
      </c>
      <c r="CH14" s="56">
        <v>8901290.8836486321</v>
      </c>
      <c r="CI14" s="56">
        <v>8901290.8836486321</v>
      </c>
      <c r="CJ14" s="56">
        <v>8901290.8836486321</v>
      </c>
      <c r="CK14" s="56">
        <v>8901290.8836486321</v>
      </c>
      <c r="CL14" s="56">
        <v>8901290.8836486321</v>
      </c>
      <c r="CM14" s="56">
        <v>8901290.8836486321</v>
      </c>
      <c r="CN14" s="56">
        <v>8901290.8836486321</v>
      </c>
      <c r="CO14" s="56">
        <v>8901290.8836486321</v>
      </c>
      <c r="CP14" s="56">
        <v>8901290.8836486321</v>
      </c>
      <c r="CQ14" s="56">
        <v>8901290.8836486321</v>
      </c>
      <c r="CR14" s="56">
        <v>8901290.8836486321</v>
      </c>
      <c r="CS14" s="56">
        <v>8901290.8836486321</v>
      </c>
      <c r="CT14" s="56">
        <v>9126589.3208948504</v>
      </c>
      <c r="CU14" s="56">
        <v>9126589.3208948504</v>
      </c>
      <c r="CV14" s="56">
        <v>9126589.3208948504</v>
      </c>
      <c r="CW14" s="56">
        <v>9126589.3208948504</v>
      </c>
      <c r="CX14" s="56">
        <v>9126589.3208948504</v>
      </c>
      <c r="CY14" s="56">
        <v>9126589.3208948504</v>
      </c>
      <c r="CZ14" s="56">
        <v>9126589.3208948504</v>
      </c>
      <c r="DA14" s="56">
        <v>9126589.3208948504</v>
      </c>
      <c r="DB14" s="56">
        <v>9126589.3208948504</v>
      </c>
      <c r="DC14" s="56">
        <v>9126589.3208948504</v>
      </c>
      <c r="DD14" s="56">
        <v>9126589.3208948504</v>
      </c>
      <c r="DE14" s="56">
        <v>9126589.3208948504</v>
      </c>
      <c r="DF14" s="56">
        <v>9357590.2328145821</v>
      </c>
      <c r="DG14" s="56">
        <v>9357590.2328145821</v>
      </c>
      <c r="DH14" s="56">
        <v>9357590.2328145821</v>
      </c>
      <c r="DI14" s="56">
        <v>9357590.2328145821</v>
      </c>
      <c r="DJ14" s="56">
        <v>9357590.2328145821</v>
      </c>
      <c r="DK14" s="56">
        <v>9357590.2328145821</v>
      </c>
      <c r="DL14" s="56">
        <v>9357590.2328145821</v>
      </c>
      <c r="DM14" s="56">
        <v>9357590.2328145821</v>
      </c>
      <c r="DN14" s="56">
        <v>9357590.2328145821</v>
      </c>
      <c r="DO14" s="56">
        <v>9357590.2328145821</v>
      </c>
      <c r="DP14" s="56">
        <v>9357590.2328145821</v>
      </c>
      <c r="DQ14" s="56">
        <v>9357590.2328145821</v>
      </c>
      <c r="DR14" s="56">
        <v>9594437.9533756971</v>
      </c>
      <c r="DS14" s="56">
        <v>9594437.9533756971</v>
      </c>
      <c r="DT14" s="56">
        <v>9594437.9533756971</v>
      </c>
      <c r="DU14" s="56">
        <v>9594437.9533756971</v>
      </c>
      <c r="DV14" s="56">
        <v>9594437.9533756971</v>
      </c>
      <c r="DW14" s="56">
        <v>9594437.9533756971</v>
      </c>
      <c r="DX14" s="56">
        <v>9594437.9533756971</v>
      </c>
      <c r="DY14" s="56">
        <v>9594437.9533756971</v>
      </c>
      <c r="DZ14" s="56">
        <v>9594437.9533756971</v>
      </c>
      <c r="EA14" s="56">
        <v>9594437.9533756971</v>
      </c>
      <c r="EB14" s="56">
        <v>9594437.9533756971</v>
      </c>
      <c r="EC14" s="56">
        <v>9594437.9533756971</v>
      </c>
      <c r="ED14" s="56">
        <v>9837280.4697484802</v>
      </c>
      <c r="EE14" s="56">
        <v>9837280.4697484802</v>
      </c>
      <c r="EF14" s="56">
        <v>9837280.4697484802</v>
      </c>
      <c r="EG14" s="56">
        <v>9837280.4697484802</v>
      </c>
      <c r="EH14" s="56">
        <v>9837280.4697484802</v>
      </c>
      <c r="EI14" s="56">
        <v>9837280.4697484802</v>
      </c>
      <c r="EJ14" s="56">
        <v>9837280.4697484802</v>
      </c>
      <c r="EK14" s="56">
        <v>9837280.4697484802</v>
      </c>
      <c r="EL14" s="56">
        <v>9837280.4697484802</v>
      </c>
      <c r="EM14" s="56">
        <v>9837280.4697484802</v>
      </c>
      <c r="EN14" s="56">
        <v>9837280.4697484802</v>
      </c>
      <c r="EO14" s="56">
        <v>9837280.4697484802</v>
      </c>
      <c r="EP14" s="56">
        <v>10086269.514770972</v>
      </c>
      <c r="EQ14" s="56">
        <v>10086269.514770972</v>
      </c>
      <c r="ER14" s="56">
        <v>10086269.514770972</v>
      </c>
      <c r="ES14" s="56">
        <v>10086269.514770972</v>
      </c>
      <c r="ET14" s="56">
        <v>10086269.514770972</v>
      </c>
      <c r="EU14" s="56">
        <v>10086269.514770972</v>
      </c>
      <c r="EV14" s="56">
        <v>10086269.514770972</v>
      </c>
      <c r="EW14" s="56">
        <v>10086269.514770972</v>
      </c>
      <c r="EX14" s="56">
        <v>10086269.514770972</v>
      </c>
      <c r="EY14" s="56">
        <v>10086269.514770972</v>
      </c>
      <c r="EZ14" s="56">
        <v>10086269.514770972</v>
      </c>
      <c r="FA14" s="56">
        <v>10086269.514770972</v>
      </c>
      <c r="FB14" s="56">
        <v>10341560.661754657</v>
      </c>
      <c r="FC14" s="56">
        <v>10341560.661754657</v>
      </c>
      <c r="FD14" s="56">
        <v>10341560.661754657</v>
      </c>
      <c r="FE14" s="56">
        <v>10341560.661754657</v>
      </c>
      <c r="FF14" s="56">
        <v>10341560.661754657</v>
      </c>
      <c r="FG14" s="56">
        <v>10341560.661754657</v>
      </c>
      <c r="FH14" s="56">
        <v>10341560.661754657</v>
      </c>
      <c r="FI14" s="56">
        <v>10341560.661754657</v>
      </c>
      <c r="FJ14" s="56">
        <v>10341560.661754657</v>
      </c>
      <c r="FK14" s="56">
        <v>10341560.661754657</v>
      </c>
      <c r="FL14" s="56">
        <v>10341560.661754657</v>
      </c>
      <c r="FM14" s="56">
        <v>10341560.661754657</v>
      </c>
      <c r="FN14" s="56">
        <v>10603313.421689769</v>
      </c>
      <c r="FO14" s="56">
        <v>10603313.421689769</v>
      </c>
      <c r="FP14" s="56">
        <v>10603313.421689769</v>
      </c>
      <c r="FQ14" s="56">
        <v>10603313.421689769</v>
      </c>
      <c r="FR14" s="56">
        <v>10603313.421689769</v>
      </c>
      <c r="FS14" s="56">
        <v>10603313.421689769</v>
      </c>
      <c r="FT14" s="56">
        <v>10603313.421689769</v>
      </c>
      <c r="FU14" s="56">
        <v>10603313.421689769</v>
      </c>
      <c r="FV14" s="56">
        <v>10603313.421689769</v>
      </c>
      <c r="FW14" s="56">
        <v>10603313.421689769</v>
      </c>
      <c r="FX14" s="56">
        <v>10603313.421689769</v>
      </c>
      <c r="FY14" s="56">
        <v>10603313.421689769</v>
      </c>
      <c r="FZ14" s="56">
        <v>0</v>
      </c>
      <c r="GA14" s="56">
        <v>0</v>
      </c>
      <c r="GB14" s="56">
        <v>0</v>
      </c>
      <c r="GC14" s="56">
        <v>0</v>
      </c>
      <c r="GD14" s="56">
        <v>0</v>
      </c>
      <c r="GE14" s="56">
        <v>0</v>
      </c>
      <c r="GF14" s="56">
        <v>0</v>
      </c>
      <c r="GG14" s="56">
        <v>0</v>
      </c>
      <c r="GH14" s="56">
        <v>0</v>
      </c>
      <c r="GI14" s="56">
        <v>0</v>
      </c>
      <c r="GJ14" s="56">
        <v>0</v>
      </c>
      <c r="GK14" s="85">
        <v>0</v>
      </c>
      <c r="GL14" s="40"/>
    </row>
    <row r="15" spans="1:194" x14ac:dyDescent="0.4">
      <c r="A15" s="84" t="s">
        <v>245</v>
      </c>
      <c r="B15" s="70" t="s">
        <v>174</v>
      </c>
      <c r="C15" s="70" t="s">
        <v>397</v>
      </c>
      <c r="D15" s="70" t="s">
        <v>209</v>
      </c>
      <c r="E15" s="70" t="s">
        <v>193</v>
      </c>
      <c r="F15" s="70" t="s">
        <v>161</v>
      </c>
      <c r="G15" s="70" t="s">
        <v>198</v>
      </c>
      <c r="H15" s="70">
        <v>0</v>
      </c>
      <c r="I15" s="70">
        <v>0</v>
      </c>
      <c r="J15" s="70" t="s">
        <v>210</v>
      </c>
      <c r="K15" s="70">
        <v>0</v>
      </c>
      <c r="L15" s="70" t="s">
        <v>211</v>
      </c>
      <c r="M15" s="71">
        <f>IFERROR(INDEX('(참조)BL_인건비'!$S$3:$AG$40,MATCH(BL_인건비!$A15,'(참조)BL_인건비'!$S$3:$S$40,0),MATCH('(참조)BL_인건비'!X$2,'(참조)BL_인건비'!$S$2:$AG$2,0)),0)</f>
        <v>1</v>
      </c>
      <c r="N15" s="71">
        <f>IFERROR(INDEX('(참조)BL_인건비'!$S$3:$AG$40,MATCH(BL_인건비!$A15,'(참조)BL_인건비'!$S$3:$S$40,0),MATCH('(참조)BL_인건비'!Y$2,'(참조)BL_인건비'!$S$2:$AG$2,0)),0)</f>
        <v>1</v>
      </c>
      <c r="O15" s="71">
        <f>IFERROR(INDEX('(참조)BL_인건비'!$S$3:$AG$40,MATCH(BL_인건비!$A15,'(참조)BL_인건비'!$S$3:$S$40,0),MATCH('(참조)BL_인건비'!Z$2,'(참조)BL_인건비'!$S$2:$AG$2,0)),0)</f>
        <v>1</v>
      </c>
      <c r="P15" s="71">
        <f>IFERROR(INDEX('(참조)BL_인건비'!$S$3:$AG$40,MATCH(BL_인건비!$A15,'(참조)BL_인건비'!$S$3:$S$40,0),MATCH('(참조)BL_인건비'!AA$2,'(참조)BL_인건비'!$S$2:$AG$2,0)),0)</f>
        <v>1</v>
      </c>
      <c r="Q15" s="71">
        <f>IFERROR(INDEX('(참조)BL_인건비'!$S$3:$AG$40,MATCH(BL_인건비!$A15,'(참조)BL_인건비'!$S$3:$S$40,0),MATCH('(참조)BL_인건비'!AB$2,'(참조)BL_인건비'!$S$2:$AG$2,0)),0)</f>
        <v>1</v>
      </c>
      <c r="R15" s="71">
        <f>IFERROR(INDEX('(참조)BL_인건비'!$S$3:$AG$40,MATCH(BL_인건비!$A15,'(참조)BL_인건비'!$S$3:$S$40,0),MATCH('(참조)BL_인건비'!AC$2,'(참조)BL_인건비'!$S$2:$AG$2,0)),0)</f>
        <v>1</v>
      </c>
      <c r="S15" s="71">
        <f>IFERROR(INDEX('(참조)BL_인건비'!$S$3:$AG$40,MATCH(BL_인건비!$A15,'(참조)BL_인건비'!$S$3:$S$40,0),MATCH('(참조)BL_인건비'!AD$2,'(참조)BL_인건비'!$S$2:$AG$2,0)),0)</f>
        <v>1</v>
      </c>
      <c r="T15" s="71">
        <f>IFERROR(INDEX('(참조)BL_인건비'!$S$3:$AG$40,MATCH(BL_인건비!$A15,'(참조)BL_인건비'!$S$3:$S$40,0),MATCH('(참조)BL_인건비'!AE$2,'(참조)BL_인건비'!$S$2:$AG$2,0)),0)</f>
        <v>1</v>
      </c>
      <c r="U15" s="71">
        <f>IFERROR(INDEX('(참조)BL_인건비'!$S$3:$AG$40,MATCH(BL_인건비!$A15,'(참조)BL_인건비'!$S$3:$S$40,0),MATCH('(참조)BL_인건비'!AF$2,'(참조)BL_인건비'!$S$2:$AG$2,0)),0)</f>
        <v>1</v>
      </c>
      <c r="V15" s="71">
        <f>IFERROR(INDEX('(참조)BL_인건비'!$S$3:$AG$40,MATCH(BL_인건비!$A15,'(참조)BL_인건비'!$S$3:$S$40,0),MATCH('(참조)BL_인건비'!AG$2,'(참조)BL_인건비'!$S$2:$AG$2,0)),0)</f>
        <v>1</v>
      </c>
      <c r="W15" s="71">
        <f>IFERROR(INDEX('(참조)BL_인건비'!$S$3:$AG$40,MATCH(BL_인건비!$A15,'(참조)BL_인건비'!$S$3:$S$40,0),MATCH('(참조)BL_인건비'!AH$2,'(참조)BL_인건비'!$S$2:$AG$2,0)),0)</f>
        <v>0</v>
      </c>
      <c r="X15" s="72">
        <v>0</v>
      </c>
      <c r="Y15" s="72">
        <f>IFERROR(INDEX('(참조)BL_인건비'!$A$3:$O$40,MATCH(BL_인건비!$A15,'(참조)BL_인건비'!$A$3:$A$40,0),MATCH('(참조)BL_인건비'!F$2,'(참조)BL_인건비'!$A$2:$O$2,0)),0)</f>
        <v>2822413.9414824001</v>
      </c>
      <c r="Z15" s="72">
        <f>IFERROR(INDEX('(참조)BL_인건비'!$A$3:$O$40,MATCH(BL_인건비!$A15,'(참조)BL_인건비'!$A$3:$A$40,0),MATCH('(참조)BL_인건비'!G$2,'(참조)BL_인건비'!$A$2:$O$2,0)),0)</f>
        <v>2893851.3833759152</v>
      </c>
      <c r="AA15" s="72">
        <f>IFERROR(INDEX('(참조)BL_인건비'!$A$3:$O$40,MATCH(BL_인건비!$A15,'(참조)BL_인건비'!$A$3:$A$40,0),MATCH('(참조)BL_인건비'!H$2,'(참조)BL_인건비'!$A$2:$O$2,0)),0)</f>
        <v>2967096.9612162109</v>
      </c>
      <c r="AB15" s="72">
        <f>IFERROR(INDEX('(참조)BL_인건비'!$A$3:$O$40,MATCH(BL_인건비!$A15,'(참조)BL_인건비'!$A$3:$A$40,0),MATCH('(참조)BL_인건비'!I$2,'(참조)BL_인건비'!$A$2:$O$2,0)),0)</f>
        <v>3042196.4402982835</v>
      </c>
      <c r="AC15" s="72">
        <f>IFERROR(INDEX('(참조)BL_인건비'!$A$3:$O$40,MATCH(BL_인건비!$A15,'(참조)BL_인건비'!$A$3:$A$40,0),MATCH('(참조)BL_인건비'!J$2,'(참조)BL_인건비'!$A$2:$O$2,0)),0)</f>
        <v>3119196.7442715275</v>
      </c>
      <c r="AD15" s="72">
        <f>IFERROR(INDEX('(참조)BL_인건비'!$A$3:$O$40,MATCH(BL_인건비!$A15,'(참조)BL_인건비'!$A$3:$A$40,0),MATCH('(참조)BL_인건비'!K$2,'(참조)BL_인건비'!$A$2:$O$2,0)),0)</f>
        <v>3198145.9844585657</v>
      </c>
      <c r="AE15" s="72">
        <f>IFERROR(INDEX('(참조)BL_인건비'!$A$3:$O$40,MATCH(BL_인건비!$A15,'(참조)BL_인건비'!$A$3:$A$40,0),MATCH('(참조)BL_인건비'!L$2,'(참조)BL_인건비'!$A$2:$O$2,0)),0)</f>
        <v>3279093.4899161602</v>
      </c>
      <c r="AF15" s="72">
        <f>IFERROR(INDEX('(참조)BL_인건비'!$A$3:$O$40,MATCH(BL_인건비!$A15,'(참조)BL_인건비'!$A$3:$A$40,0),MATCH('(참조)BL_인건비'!M$2,'(참조)BL_인건비'!$A$2:$O$2,0)),0)</f>
        <v>3362089.8382569905</v>
      </c>
      <c r="AG15" s="72">
        <f>IFERROR(INDEX('(참조)BL_인건비'!$A$3:$O$40,MATCH(BL_인건비!$A15,'(참조)BL_인건비'!$A$3:$A$40,0),MATCH('(참조)BL_인건비'!N$2,'(참조)BL_인건비'!$A$2:$O$2,0)),0)</f>
        <v>3447186.8872515522</v>
      </c>
      <c r="AH15" s="72">
        <f>IFERROR(INDEX('(참조)BL_인건비'!$A$3:$O$40,MATCH(BL_인건비!$A15,'(참조)BL_인건비'!$A$3:$A$40,0),MATCH('(참조)BL_인건비'!O$2,'(참조)BL_인건비'!$A$2:$O$2,0)),0)</f>
        <v>3534437.8072299231</v>
      </c>
      <c r="AI15" s="72">
        <f>IFERROR(INDEX('(참조)BL_인건비'!$A$3:$O$40,MATCH(BL_인건비!$A15,'(참조)BL_인건비'!$A$3:$A$40,0),MATCH('(참조)BL_인건비'!P$2,'(참조)BL_인건비'!$A$2:$O$2,0)),0)</f>
        <v>0</v>
      </c>
      <c r="AJ15" s="72">
        <v>12</v>
      </c>
      <c r="AK15" s="72">
        <v>12</v>
      </c>
      <c r="AL15" s="72">
        <v>12</v>
      </c>
      <c r="AM15" s="72">
        <v>12</v>
      </c>
      <c r="AN15" s="72">
        <v>12</v>
      </c>
      <c r="AO15" s="72">
        <v>12</v>
      </c>
      <c r="AP15" s="72">
        <v>12</v>
      </c>
      <c r="AQ15" s="72">
        <v>12</v>
      </c>
      <c r="AR15" s="72">
        <v>12</v>
      </c>
      <c r="AS15" s="72">
        <v>12</v>
      </c>
      <c r="AT15" s="72">
        <v>12</v>
      </c>
      <c r="AU15" s="73">
        <v>1</v>
      </c>
      <c r="AV15" s="70">
        <v>0</v>
      </c>
      <c r="AW15" s="70">
        <v>0</v>
      </c>
      <c r="AX15" s="56">
        <v>379988513.73309028</v>
      </c>
      <c r="AY15" s="56">
        <v>33868967.297788791</v>
      </c>
      <c r="AZ15" s="56">
        <v>34726216.600510992</v>
      </c>
      <c r="BA15" s="56">
        <v>35605163.534594528</v>
      </c>
      <c r="BB15" s="56">
        <v>36506357.283579394</v>
      </c>
      <c r="BC15" s="56">
        <v>37430360.931258328</v>
      </c>
      <c r="BD15" s="56">
        <v>38377751.813502789</v>
      </c>
      <c r="BE15" s="56">
        <v>39349121.878993921</v>
      </c>
      <c r="BF15" s="56">
        <v>40345078.059083901</v>
      </c>
      <c r="BG15" s="56">
        <v>41366242.647018626</v>
      </c>
      <c r="BH15" s="56">
        <v>42413253.686759062</v>
      </c>
      <c r="BI15" s="56">
        <v>0</v>
      </c>
      <c r="BJ15" s="74">
        <v>2822413.9414824001</v>
      </c>
      <c r="BK15" s="56">
        <v>2822413.9414824001</v>
      </c>
      <c r="BL15" s="56">
        <v>2822413.9414824001</v>
      </c>
      <c r="BM15" s="56">
        <v>2822413.9414824001</v>
      </c>
      <c r="BN15" s="56">
        <v>2822413.9414824001</v>
      </c>
      <c r="BO15" s="56">
        <v>2822413.9414824001</v>
      </c>
      <c r="BP15" s="56">
        <v>2822413.9414824001</v>
      </c>
      <c r="BQ15" s="56">
        <v>2822413.9414824001</v>
      </c>
      <c r="BR15" s="56">
        <v>2822413.9414824001</v>
      </c>
      <c r="BS15" s="56">
        <v>2822413.9414824001</v>
      </c>
      <c r="BT15" s="56">
        <v>2822413.9414824001</v>
      </c>
      <c r="BU15" s="56">
        <v>2822413.9414824001</v>
      </c>
      <c r="BV15" s="56">
        <v>2893851.3833759152</v>
      </c>
      <c r="BW15" s="56">
        <v>2893851.3833759152</v>
      </c>
      <c r="BX15" s="56">
        <v>2893851.3833759152</v>
      </c>
      <c r="BY15" s="56">
        <v>2893851.3833759152</v>
      </c>
      <c r="BZ15" s="56">
        <v>2893851.3833759152</v>
      </c>
      <c r="CA15" s="56">
        <v>2893851.3833759152</v>
      </c>
      <c r="CB15" s="56">
        <v>2893851.3833759152</v>
      </c>
      <c r="CC15" s="56">
        <v>2893851.3833759152</v>
      </c>
      <c r="CD15" s="56">
        <v>2893851.3833759152</v>
      </c>
      <c r="CE15" s="56">
        <v>2893851.3833759152</v>
      </c>
      <c r="CF15" s="56">
        <v>2893851.3833759152</v>
      </c>
      <c r="CG15" s="56">
        <v>2893851.3833759152</v>
      </c>
      <c r="CH15" s="56">
        <v>2967096.9612162109</v>
      </c>
      <c r="CI15" s="56">
        <v>2967096.9612162109</v>
      </c>
      <c r="CJ15" s="56">
        <v>2967096.9612162109</v>
      </c>
      <c r="CK15" s="56">
        <v>2967096.9612162109</v>
      </c>
      <c r="CL15" s="56">
        <v>2967096.9612162109</v>
      </c>
      <c r="CM15" s="56">
        <v>2967096.9612162109</v>
      </c>
      <c r="CN15" s="56">
        <v>2967096.9612162109</v>
      </c>
      <c r="CO15" s="56">
        <v>2967096.9612162109</v>
      </c>
      <c r="CP15" s="56">
        <v>2967096.9612162109</v>
      </c>
      <c r="CQ15" s="56">
        <v>2967096.9612162109</v>
      </c>
      <c r="CR15" s="56">
        <v>2967096.9612162109</v>
      </c>
      <c r="CS15" s="56">
        <v>2967096.9612162109</v>
      </c>
      <c r="CT15" s="56">
        <v>3042196.4402982835</v>
      </c>
      <c r="CU15" s="56">
        <v>3042196.4402982835</v>
      </c>
      <c r="CV15" s="56">
        <v>3042196.4402982835</v>
      </c>
      <c r="CW15" s="56">
        <v>3042196.4402982835</v>
      </c>
      <c r="CX15" s="56">
        <v>3042196.4402982835</v>
      </c>
      <c r="CY15" s="56">
        <v>3042196.4402982835</v>
      </c>
      <c r="CZ15" s="56">
        <v>3042196.4402982835</v>
      </c>
      <c r="DA15" s="56">
        <v>3042196.4402982835</v>
      </c>
      <c r="DB15" s="56">
        <v>3042196.4402982835</v>
      </c>
      <c r="DC15" s="56">
        <v>3042196.4402982835</v>
      </c>
      <c r="DD15" s="56">
        <v>3042196.4402982835</v>
      </c>
      <c r="DE15" s="56">
        <v>3042196.4402982835</v>
      </c>
      <c r="DF15" s="56">
        <v>3119196.7442715275</v>
      </c>
      <c r="DG15" s="56">
        <v>3119196.7442715275</v>
      </c>
      <c r="DH15" s="56">
        <v>3119196.7442715275</v>
      </c>
      <c r="DI15" s="56">
        <v>3119196.7442715275</v>
      </c>
      <c r="DJ15" s="56">
        <v>3119196.7442715275</v>
      </c>
      <c r="DK15" s="56">
        <v>3119196.7442715275</v>
      </c>
      <c r="DL15" s="56">
        <v>3119196.7442715275</v>
      </c>
      <c r="DM15" s="56">
        <v>3119196.7442715275</v>
      </c>
      <c r="DN15" s="56">
        <v>3119196.7442715275</v>
      </c>
      <c r="DO15" s="56">
        <v>3119196.7442715275</v>
      </c>
      <c r="DP15" s="56">
        <v>3119196.7442715275</v>
      </c>
      <c r="DQ15" s="56">
        <v>3119196.7442715275</v>
      </c>
      <c r="DR15" s="56">
        <v>3198145.9844585657</v>
      </c>
      <c r="DS15" s="56">
        <v>3198145.9844585657</v>
      </c>
      <c r="DT15" s="56">
        <v>3198145.9844585657</v>
      </c>
      <c r="DU15" s="56">
        <v>3198145.9844585657</v>
      </c>
      <c r="DV15" s="56">
        <v>3198145.9844585657</v>
      </c>
      <c r="DW15" s="56">
        <v>3198145.9844585657</v>
      </c>
      <c r="DX15" s="56">
        <v>3198145.9844585657</v>
      </c>
      <c r="DY15" s="56">
        <v>3198145.9844585657</v>
      </c>
      <c r="DZ15" s="56">
        <v>3198145.9844585657</v>
      </c>
      <c r="EA15" s="56">
        <v>3198145.9844585657</v>
      </c>
      <c r="EB15" s="56">
        <v>3198145.9844585657</v>
      </c>
      <c r="EC15" s="56">
        <v>3198145.9844585657</v>
      </c>
      <c r="ED15" s="56">
        <v>3279093.4899161602</v>
      </c>
      <c r="EE15" s="56">
        <v>3279093.4899161602</v>
      </c>
      <c r="EF15" s="56">
        <v>3279093.4899161602</v>
      </c>
      <c r="EG15" s="56">
        <v>3279093.4899161602</v>
      </c>
      <c r="EH15" s="56">
        <v>3279093.4899161602</v>
      </c>
      <c r="EI15" s="56">
        <v>3279093.4899161602</v>
      </c>
      <c r="EJ15" s="56">
        <v>3279093.4899161602</v>
      </c>
      <c r="EK15" s="56">
        <v>3279093.4899161602</v>
      </c>
      <c r="EL15" s="56">
        <v>3279093.4899161602</v>
      </c>
      <c r="EM15" s="56">
        <v>3279093.4899161602</v>
      </c>
      <c r="EN15" s="56">
        <v>3279093.4899161602</v>
      </c>
      <c r="EO15" s="56">
        <v>3279093.4899161602</v>
      </c>
      <c r="EP15" s="56">
        <v>3362089.8382569905</v>
      </c>
      <c r="EQ15" s="56">
        <v>3362089.8382569905</v>
      </c>
      <c r="ER15" s="56">
        <v>3362089.8382569905</v>
      </c>
      <c r="ES15" s="56">
        <v>3362089.8382569905</v>
      </c>
      <c r="ET15" s="56">
        <v>3362089.8382569905</v>
      </c>
      <c r="EU15" s="56">
        <v>3362089.8382569905</v>
      </c>
      <c r="EV15" s="56">
        <v>3362089.8382569905</v>
      </c>
      <c r="EW15" s="56">
        <v>3362089.8382569905</v>
      </c>
      <c r="EX15" s="56">
        <v>3362089.8382569905</v>
      </c>
      <c r="EY15" s="56">
        <v>3362089.8382569905</v>
      </c>
      <c r="EZ15" s="56">
        <v>3362089.8382569905</v>
      </c>
      <c r="FA15" s="56">
        <v>3362089.8382569905</v>
      </c>
      <c r="FB15" s="56">
        <v>3447186.8872515522</v>
      </c>
      <c r="FC15" s="56">
        <v>3447186.8872515522</v>
      </c>
      <c r="FD15" s="56">
        <v>3447186.8872515522</v>
      </c>
      <c r="FE15" s="56">
        <v>3447186.8872515522</v>
      </c>
      <c r="FF15" s="56">
        <v>3447186.8872515522</v>
      </c>
      <c r="FG15" s="56">
        <v>3447186.8872515522</v>
      </c>
      <c r="FH15" s="56">
        <v>3447186.8872515522</v>
      </c>
      <c r="FI15" s="56">
        <v>3447186.8872515522</v>
      </c>
      <c r="FJ15" s="56">
        <v>3447186.8872515522</v>
      </c>
      <c r="FK15" s="56">
        <v>3447186.8872515522</v>
      </c>
      <c r="FL15" s="56">
        <v>3447186.8872515522</v>
      </c>
      <c r="FM15" s="56">
        <v>3447186.8872515522</v>
      </c>
      <c r="FN15" s="56">
        <v>3534437.8072299231</v>
      </c>
      <c r="FO15" s="56">
        <v>3534437.8072299231</v>
      </c>
      <c r="FP15" s="56">
        <v>3534437.8072299231</v>
      </c>
      <c r="FQ15" s="56">
        <v>3534437.8072299231</v>
      </c>
      <c r="FR15" s="56">
        <v>3534437.8072299231</v>
      </c>
      <c r="FS15" s="56">
        <v>3534437.8072299231</v>
      </c>
      <c r="FT15" s="56">
        <v>3534437.8072299231</v>
      </c>
      <c r="FU15" s="56">
        <v>3534437.8072299231</v>
      </c>
      <c r="FV15" s="56">
        <v>3534437.8072299231</v>
      </c>
      <c r="FW15" s="56">
        <v>3534437.8072299231</v>
      </c>
      <c r="FX15" s="56">
        <v>3534437.8072299231</v>
      </c>
      <c r="FY15" s="56">
        <v>3534437.8072299231</v>
      </c>
      <c r="FZ15" s="56">
        <v>0</v>
      </c>
      <c r="GA15" s="56">
        <v>0</v>
      </c>
      <c r="GB15" s="56">
        <v>0</v>
      </c>
      <c r="GC15" s="56">
        <v>0</v>
      </c>
      <c r="GD15" s="56">
        <v>0</v>
      </c>
      <c r="GE15" s="56">
        <v>0</v>
      </c>
      <c r="GF15" s="56">
        <v>0</v>
      </c>
      <c r="GG15" s="56">
        <v>0</v>
      </c>
      <c r="GH15" s="56">
        <v>0</v>
      </c>
      <c r="GI15" s="56">
        <v>0</v>
      </c>
      <c r="GJ15" s="56">
        <v>0</v>
      </c>
      <c r="GK15" s="85">
        <v>0</v>
      </c>
      <c r="GL15" s="40"/>
    </row>
    <row r="16" spans="1:194" x14ac:dyDescent="0.4">
      <c r="A16" s="84" t="s">
        <v>246</v>
      </c>
      <c r="B16" s="70" t="s">
        <v>174</v>
      </c>
      <c r="C16" s="70" t="s">
        <v>397</v>
      </c>
      <c r="D16" s="70" t="s">
        <v>209</v>
      </c>
      <c r="E16" s="70" t="s">
        <v>193</v>
      </c>
      <c r="F16" s="70" t="s">
        <v>199</v>
      </c>
      <c r="G16" s="70" t="s">
        <v>198</v>
      </c>
      <c r="H16" s="70">
        <v>0</v>
      </c>
      <c r="I16" s="70">
        <v>0</v>
      </c>
      <c r="J16" s="70" t="s">
        <v>210</v>
      </c>
      <c r="K16" s="70">
        <v>0</v>
      </c>
      <c r="L16" s="70" t="s">
        <v>211</v>
      </c>
      <c r="M16" s="71">
        <f>IFERROR(INDEX('(참조)BL_인건비'!$S$3:$AG$40,MATCH(BL_인건비!$A16,'(참조)BL_인건비'!$S$3:$S$40,0),MATCH('(참조)BL_인건비'!X$2,'(참조)BL_인건비'!$S$2:$AG$2,0)),0)</f>
        <v>1</v>
      </c>
      <c r="N16" s="71">
        <f>IFERROR(INDEX('(참조)BL_인건비'!$S$3:$AG$40,MATCH(BL_인건비!$A16,'(참조)BL_인건비'!$S$3:$S$40,0),MATCH('(참조)BL_인건비'!Y$2,'(참조)BL_인건비'!$S$2:$AG$2,0)),0)</f>
        <v>1</v>
      </c>
      <c r="O16" s="71">
        <f>IFERROR(INDEX('(참조)BL_인건비'!$S$3:$AG$40,MATCH(BL_인건비!$A16,'(참조)BL_인건비'!$S$3:$S$40,0),MATCH('(참조)BL_인건비'!Z$2,'(참조)BL_인건비'!$S$2:$AG$2,0)),0)</f>
        <v>1</v>
      </c>
      <c r="P16" s="71">
        <f>IFERROR(INDEX('(참조)BL_인건비'!$S$3:$AG$40,MATCH(BL_인건비!$A16,'(참조)BL_인건비'!$S$3:$S$40,0),MATCH('(참조)BL_인건비'!AA$2,'(참조)BL_인건비'!$S$2:$AG$2,0)),0)</f>
        <v>1</v>
      </c>
      <c r="Q16" s="71">
        <f>IFERROR(INDEX('(참조)BL_인건비'!$S$3:$AG$40,MATCH(BL_인건비!$A16,'(참조)BL_인건비'!$S$3:$S$40,0),MATCH('(참조)BL_인건비'!AB$2,'(참조)BL_인건비'!$S$2:$AG$2,0)),0)</f>
        <v>1</v>
      </c>
      <c r="R16" s="71">
        <f>IFERROR(INDEX('(참조)BL_인건비'!$S$3:$AG$40,MATCH(BL_인건비!$A16,'(참조)BL_인건비'!$S$3:$S$40,0),MATCH('(참조)BL_인건비'!AC$2,'(참조)BL_인건비'!$S$2:$AG$2,0)),0)</f>
        <v>1</v>
      </c>
      <c r="S16" s="71">
        <f>IFERROR(INDEX('(참조)BL_인건비'!$S$3:$AG$40,MATCH(BL_인건비!$A16,'(참조)BL_인건비'!$S$3:$S$40,0),MATCH('(참조)BL_인건비'!AD$2,'(참조)BL_인건비'!$S$2:$AG$2,0)),0)</f>
        <v>1</v>
      </c>
      <c r="T16" s="71">
        <f>IFERROR(INDEX('(참조)BL_인건비'!$S$3:$AG$40,MATCH(BL_인건비!$A16,'(참조)BL_인건비'!$S$3:$S$40,0),MATCH('(참조)BL_인건비'!AE$2,'(참조)BL_인건비'!$S$2:$AG$2,0)),0)</f>
        <v>1</v>
      </c>
      <c r="U16" s="71">
        <f>IFERROR(INDEX('(참조)BL_인건비'!$S$3:$AG$40,MATCH(BL_인건비!$A16,'(참조)BL_인건비'!$S$3:$S$40,0),MATCH('(참조)BL_인건비'!AF$2,'(참조)BL_인건비'!$S$2:$AG$2,0)),0)</f>
        <v>1</v>
      </c>
      <c r="V16" s="71">
        <f>IFERROR(INDEX('(참조)BL_인건비'!$S$3:$AG$40,MATCH(BL_인건비!$A16,'(참조)BL_인건비'!$S$3:$S$40,0),MATCH('(참조)BL_인건비'!AG$2,'(참조)BL_인건비'!$S$2:$AG$2,0)),0)</f>
        <v>1</v>
      </c>
      <c r="W16" s="71">
        <f>IFERROR(INDEX('(참조)BL_인건비'!$S$3:$AG$40,MATCH(BL_인건비!$A16,'(참조)BL_인건비'!$S$3:$S$40,0),MATCH('(참조)BL_인건비'!AH$2,'(참조)BL_인건비'!$S$2:$AG$2,0)),0)</f>
        <v>0</v>
      </c>
      <c r="X16" s="72">
        <v>0</v>
      </c>
      <c r="Y16" s="72">
        <f>IFERROR(INDEX('(참조)BL_인건비'!$A$3:$O$40,MATCH(BL_인건비!$A16,'(참조)BL_인건비'!$A$3:$A$40,0),MATCH('(참조)BL_인건비'!F$2,'(참조)BL_인건비'!$A$2:$O$2,0)),0)</f>
        <v>2822413.9414824001</v>
      </c>
      <c r="Z16" s="72">
        <f>IFERROR(INDEX('(참조)BL_인건비'!$A$3:$O$40,MATCH(BL_인건비!$A16,'(참조)BL_인건비'!$A$3:$A$40,0),MATCH('(참조)BL_인건비'!G$2,'(참조)BL_인건비'!$A$2:$O$2,0)),0)</f>
        <v>2893851.3833759152</v>
      </c>
      <c r="AA16" s="72">
        <f>IFERROR(INDEX('(참조)BL_인건비'!$A$3:$O$40,MATCH(BL_인건비!$A16,'(참조)BL_인건비'!$A$3:$A$40,0),MATCH('(참조)BL_인건비'!H$2,'(참조)BL_인건비'!$A$2:$O$2,0)),0)</f>
        <v>2967096.9612162109</v>
      </c>
      <c r="AB16" s="72">
        <f>IFERROR(INDEX('(참조)BL_인건비'!$A$3:$O$40,MATCH(BL_인건비!$A16,'(참조)BL_인건비'!$A$3:$A$40,0),MATCH('(참조)BL_인건비'!I$2,'(참조)BL_인건비'!$A$2:$O$2,0)),0)</f>
        <v>3042196.4402982835</v>
      </c>
      <c r="AC16" s="72">
        <f>IFERROR(INDEX('(참조)BL_인건비'!$A$3:$O$40,MATCH(BL_인건비!$A16,'(참조)BL_인건비'!$A$3:$A$40,0),MATCH('(참조)BL_인건비'!J$2,'(참조)BL_인건비'!$A$2:$O$2,0)),0)</f>
        <v>3119196.7442715275</v>
      </c>
      <c r="AD16" s="72">
        <f>IFERROR(INDEX('(참조)BL_인건비'!$A$3:$O$40,MATCH(BL_인건비!$A16,'(참조)BL_인건비'!$A$3:$A$40,0),MATCH('(참조)BL_인건비'!K$2,'(참조)BL_인건비'!$A$2:$O$2,0)),0)</f>
        <v>3198145.9844585657</v>
      </c>
      <c r="AE16" s="72">
        <f>IFERROR(INDEX('(참조)BL_인건비'!$A$3:$O$40,MATCH(BL_인건비!$A16,'(참조)BL_인건비'!$A$3:$A$40,0),MATCH('(참조)BL_인건비'!L$2,'(참조)BL_인건비'!$A$2:$O$2,0)),0)</f>
        <v>3279093.4899161602</v>
      </c>
      <c r="AF16" s="72">
        <f>IFERROR(INDEX('(참조)BL_인건비'!$A$3:$O$40,MATCH(BL_인건비!$A16,'(참조)BL_인건비'!$A$3:$A$40,0),MATCH('(참조)BL_인건비'!M$2,'(참조)BL_인건비'!$A$2:$O$2,0)),0)</f>
        <v>3362089.8382569905</v>
      </c>
      <c r="AG16" s="72">
        <f>IFERROR(INDEX('(참조)BL_인건비'!$A$3:$O$40,MATCH(BL_인건비!$A16,'(참조)BL_인건비'!$A$3:$A$40,0),MATCH('(참조)BL_인건비'!N$2,'(참조)BL_인건비'!$A$2:$O$2,0)),0)</f>
        <v>3447186.8872515522</v>
      </c>
      <c r="AH16" s="72">
        <f>IFERROR(INDEX('(참조)BL_인건비'!$A$3:$O$40,MATCH(BL_인건비!$A16,'(참조)BL_인건비'!$A$3:$A$40,0),MATCH('(참조)BL_인건비'!O$2,'(참조)BL_인건비'!$A$2:$O$2,0)),0)</f>
        <v>3534437.8072299231</v>
      </c>
      <c r="AI16" s="72">
        <f>IFERROR(INDEX('(참조)BL_인건비'!$A$3:$O$40,MATCH(BL_인건비!$A16,'(참조)BL_인건비'!$A$3:$A$40,0),MATCH('(참조)BL_인건비'!P$2,'(참조)BL_인건비'!$A$2:$O$2,0)),0)</f>
        <v>0</v>
      </c>
      <c r="AJ16" s="72">
        <v>12</v>
      </c>
      <c r="AK16" s="72">
        <v>12</v>
      </c>
      <c r="AL16" s="72">
        <v>12</v>
      </c>
      <c r="AM16" s="72">
        <v>12</v>
      </c>
      <c r="AN16" s="72">
        <v>12</v>
      </c>
      <c r="AO16" s="72">
        <v>12</v>
      </c>
      <c r="AP16" s="72">
        <v>12</v>
      </c>
      <c r="AQ16" s="72">
        <v>12</v>
      </c>
      <c r="AR16" s="72">
        <v>12</v>
      </c>
      <c r="AS16" s="72">
        <v>12</v>
      </c>
      <c r="AT16" s="72">
        <v>12</v>
      </c>
      <c r="AU16" s="73">
        <v>1</v>
      </c>
      <c r="AV16" s="70">
        <v>0</v>
      </c>
      <c r="AW16" s="70">
        <v>0</v>
      </c>
      <c r="AX16" s="56">
        <v>379988513.73309028</v>
      </c>
      <c r="AY16" s="56">
        <v>33868967.297788791</v>
      </c>
      <c r="AZ16" s="56">
        <v>34726216.600510992</v>
      </c>
      <c r="BA16" s="56">
        <v>35605163.534594528</v>
      </c>
      <c r="BB16" s="56">
        <v>36506357.283579394</v>
      </c>
      <c r="BC16" s="56">
        <v>37430360.931258328</v>
      </c>
      <c r="BD16" s="56">
        <v>38377751.813502789</v>
      </c>
      <c r="BE16" s="56">
        <v>39349121.878993921</v>
      </c>
      <c r="BF16" s="56">
        <v>40345078.059083901</v>
      </c>
      <c r="BG16" s="56">
        <v>41366242.647018626</v>
      </c>
      <c r="BH16" s="56">
        <v>42413253.686759062</v>
      </c>
      <c r="BI16" s="56">
        <v>0</v>
      </c>
      <c r="BJ16" s="74">
        <v>2822413.9414824001</v>
      </c>
      <c r="BK16" s="56">
        <v>2822413.9414824001</v>
      </c>
      <c r="BL16" s="56">
        <v>2822413.9414824001</v>
      </c>
      <c r="BM16" s="56">
        <v>2822413.9414824001</v>
      </c>
      <c r="BN16" s="56">
        <v>2822413.9414824001</v>
      </c>
      <c r="BO16" s="56">
        <v>2822413.9414824001</v>
      </c>
      <c r="BP16" s="56">
        <v>2822413.9414824001</v>
      </c>
      <c r="BQ16" s="56">
        <v>2822413.9414824001</v>
      </c>
      <c r="BR16" s="56">
        <v>2822413.9414824001</v>
      </c>
      <c r="BS16" s="56">
        <v>2822413.9414824001</v>
      </c>
      <c r="BT16" s="56">
        <v>2822413.9414824001</v>
      </c>
      <c r="BU16" s="56">
        <v>2822413.9414824001</v>
      </c>
      <c r="BV16" s="56">
        <v>2893851.3833759152</v>
      </c>
      <c r="BW16" s="56">
        <v>2893851.3833759152</v>
      </c>
      <c r="BX16" s="56">
        <v>2893851.3833759152</v>
      </c>
      <c r="BY16" s="56">
        <v>2893851.3833759152</v>
      </c>
      <c r="BZ16" s="56">
        <v>2893851.3833759152</v>
      </c>
      <c r="CA16" s="56">
        <v>2893851.3833759152</v>
      </c>
      <c r="CB16" s="56">
        <v>2893851.3833759152</v>
      </c>
      <c r="CC16" s="56">
        <v>2893851.3833759152</v>
      </c>
      <c r="CD16" s="56">
        <v>2893851.3833759152</v>
      </c>
      <c r="CE16" s="56">
        <v>2893851.3833759152</v>
      </c>
      <c r="CF16" s="56">
        <v>2893851.3833759152</v>
      </c>
      <c r="CG16" s="56">
        <v>2893851.3833759152</v>
      </c>
      <c r="CH16" s="56">
        <v>2967096.9612162109</v>
      </c>
      <c r="CI16" s="56">
        <v>2967096.9612162109</v>
      </c>
      <c r="CJ16" s="56">
        <v>2967096.9612162109</v>
      </c>
      <c r="CK16" s="56">
        <v>2967096.9612162109</v>
      </c>
      <c r="CL16" s="56">
        <v>2967096.9612162109</v>
      </c>
      <c r="CM16" s="56">
        <v>2967096.9612162109</v>
      </c>
      <c r="CN16" s="56">
        <v>2967096.9612162109</v>
      </c>
      <c r="CO16" s="56">
        <v>2967096.9612162109</v>
      </c>
      <c r="CP16" s="56">
        <v>2967096.9612162109</v>
      </c>
      <c r="CQ16" s="56">
        <v>2967096.9612162109</v>
      </c>
      <c r="CR16" s="56">
        <v>2967096.9612162109</v>
      </c>
      <c r="CS16" s="56">
        <v>2967096.9612162109</v>
      </c>
      <c r="CT16" s="56">
        <v>3042196.4402982835</v>
      </c>
      <c r="CU16" s="56">
        <v>3042196.4402982835</v>
      </c>
      <c r="CV16" s="56">
        <v>3042196.4402982835</v>
      </c>
      <c r="CW16" s="56">
        <v>3042196.4402982835</v>
      </c>
      <c r="CX16" s="56">
        <v>3042196.4402982835</v>
      </c>
      <c r="CY16" s="56">
        <v>3042196.4402982835</v>
      </c>
      <c r="CZ16" s="56">
        <v>3042196.4402982835</v>
      </c>
      <c r="DA16" s="56">
        <v>3042196.4402982835</v>
      </c>
      <c r="DB16" s="56">
        <v>3042196.4402982835</v>
      </c>
      <c r="DC16" s="56">
        <v>3042196.4402982835</v>
      </c>
      <c r="DD16" s="56">
        <v>3042196.4402982835</v>
      </c>
      <c r="DE16" s="56">
        <v>3042196.4402982835</v>
      </c>
      <c r="DF16" s="56">
        <v>3119196.7442715275</v>
      </c>
      <c r="DG16" s="56">
        <v>3119196.7442715275</v>
      </c>
      <c r="DH16" s="56">
        <v>3119196.7442715275</v>
      </c>
      <c r="DI16" s="56">
        <v>3119196.7442715275</v>
      </c>
      <c r="DJ16" s="56">
        <v>3119196.7442715275</v>
      </c>
      <c r="DK16" s="56">
        <v>3119196.7442715275</v>
      </c>
      <c r="DL16" s="56">
        <v>3119196.7442715275</v>
      </c>
      <c r="DM16" s="56">
        <v>3119196.7442715275</v>
      </c>
      <c r="DN16" s="56">
        <v>3119196.7442715275</v>
      </c>
      <c r="DO16" s="56">
        <v>3119196.7442715275</v>
      </c>
      <c r="DP16" s="56">
        <v>3119196.7442715275</v>
      </c>
      <c r="DQ16" s="56">
        <v>3119196.7442715275</v>
      </c>
      <c r="DR16" s="56">
        <v>3198145.9844585657</v>
      </c>
      <c r="DS16" s="56">
        <v>3198145.9844585657</v>
      </c>
      <c r="DT16" s="56">
        <v>3198145.9844585657</v>
      </c>
      <c r="DU16" s="56">
        <v>3198145.9844585657</v>
      </c>
      <c r="DV16" s="56">
        <v>3198145.9844585657</v>
      </c>
      <c r="DW16" s="56">
        <v>3198145.9844585657</v>
      </c>
      <c r="DX16" s="56">
        <v>3198145.9844585657</v>
      </c>
      <c r="DY16" s="56">
        <v>3198145.9844585657</v>
      </c>
      <c r="DZ16" s="56">
        <v>3198145.9844585657</v>
      </c>
      <c r="EA16" s="56">
        <v>3198145.9844585657</v>
      </c>
      <c r="EB16" s="56">
        <v>3198145.9844585657</v>
      </c>
      <c r="EC16" s="56">
        <v>3198145.9844585657</v>
      </c>
      <c r="ED16" s="56">
        <v>3279093.4899161602</v>
      </c>
      <c r="EE16" s="56">
        <v>3279093.4899161602</v>
      </c>
      <c r="EF16" s="56">
        <v>3279093.4899161602</v>
      </c>
      <c r="EG16" s="56">
        <v>3279093.4899161602</v>
      </c>
      <c r="EH16" s="56">
        <v>3279093.4899161602</v>
      </c>
      <c r="EI16" s="56">
        <v>3279093.4899161602</v>
      </c>
      <c r="EJ16" s="56">
        <v>3279093.4899161602</v>
      </c>
      <c r="EK16" s="56">
        <v>3279093.4899161602</v>
      </c>
      <c r="EL16" s="56">
        <v>3279093.4899161602</v>
      </c>
      <c r="EM16" s="56">
        <v>3279093.4899161602</v>
      </c>
      <c r="EN16" s="56">
        <v>3279093.4899161602</v>
      </c>
      <c r="EO16" s="56">
        <v>3279093.4899161602</v>
      </c>
      <c r="EP16" s="56">
        <v>3362089.8382569905</v>
      </c>
      <c r="EQ16" s="56">
        <v>3362089.8382569905</v>
      </c>
      <c r="ER16" s="56">
        <v>3362089.8382569905</v>
      </c>
      <c r="ES16" s="56">
        <v>3362089.8382569905</v>
      </c>
      <c r="ET16" s="56">
        <v>3362089.8382569905</v>
      </c>
      <c r="EU16" s="56">
        <v>3362089.8382569905</v>
      </c>
      <c r="EV16" s="56">
        <v>3362089.8382569905</v>
      </c>
      <c r="EW16" s="56">
        <v>3362089.8382569905</v>
      </c>
      <c r="EX16" s="56">
        <v>3362089.8382569905</v>
      </c>
      <c r="EY16" s="56">
        <v>3362089.8382569905</v>
      </c>
      <c r="EZ16" s="56">
        <v>3362089.8382569905</v>
      </c>
      <c r="FA16" s="56">
        <v>3362089.8382569905</v>
      </c>
      <c r="FB16" s="56">
        <v>3447186.8872515522</v>
      </c>
      <c r="FC16" s="56">
        <v>3447186.8872515522</v>
      </c>
      <c r="FD16" s="56">
        <v>3447186.8872515522</v>
      </c>
      <c r="FE16" s="56">
        <v>3447186.8872515522</v>
      </c>
      <c r="FF16" s="56">
        <v>3447186.8872515522</v>
      </c>
      <c r="FG16" s="56">
        <v>3447186.8872515522</v>
      </c>
      <c r="FH16" s="56">
        <v>3447186.8872515522</v>
      </c>
      <c r="FI16" s="56">
        <v>3447186.8872515522</v>
      </c>
      <c r="FJ16" s="56">
        <v>3447186.8872515522</v>
      </c>
      <c r="FK16" s="56">
        <v>3447186.8872515522</v>
      </c>
      <c r="FL16" s="56">
        <v>3447186.8872515522</v>
      </c>
      <c r="FM16" s="56">
        <v>3447186.8872515522</v>
      </c>
      <c r="FN16" s="56">
        <v>3534437.8072299231</v>
      </c>
      <c r="FO16" s="56">
        <v>3534437.8072299231</v>
      </c>
      <c r="FP16" s="56">
        <v>3534437.8072299231</v>
      </c>
      <c r="FQ16" s="56">
        <v>3534437.8072299231</v>
      </c>
      <c r="FR16" s="56">
        <v>3534437.8072299231</v>
      </c>
      <c r="FS16" s="56">
        <v>3534437.8072299231</v>
      </c>
      <c r="FT16" s="56">
        <v>3534437.8072299231</v>
      </c>
      <c r="FU16" s="56">
        <v>3534437.8072299231</v>
      </c>
      <c r="FV16" s="56">
        <v>3534437.8072299231</v>
      </c>
      <c r="FW16" s="56">
        <v>3534437.8072299231</v>
      </c>
      <c r="FX16" s="56">
        <v>3534437.8072299231</v>
      </c>
      <c r="FY16" s="56">
        <v>3534437.8072299231</v>
      </c>
      <c r="FZ16" s="56">
        <v>0</v>
      </c>
      <c r="GA16" s="56">
        <v>0</v>
      </c>
      <c r="GB16" s="56">
        <v>0</v>
      </c>
      <c r="GC16" s="56">
        <v>0</v>
      </c>
      <c r="GD16" s="56">
        <v>0</v>
      </c>
      <c r="GE16" s="56">
        <v>0</v>
      </c>
      <c r="GF16" s="56">
        <v>0</v>
      </c>
      <c r="GG16" s="56">
        <v>0</v>
      </c>
      <c r="GH16" s="56">
        <v>0</v>
      </c>
      <c r="GI16" s="56">
        <v>0</v>
      </c>
      <c r="GJ16" s="56">
        <v>0</v>
      </c>
      <c r="GK16" s="85">
        <v>0</v>
      </c>
      <c r="GL16" s="40"/>
    </row>
    <row r="17" spans="1:194" x14ac:dyDescent="0.4">
      <c r="A17" s="84" t="s">
        <v>247</v>
      </c>
      <c r="B17" s="70" t="s">
        <v>174</v>
      </c>
      <c r="C17" s="70" t="s">
        <v>397</v>
      </c>
      <c r="D17" s="70" t="s">
        <v>209</v>
      </c>
      <c r="E17" s="70" t="s">
        <v>193</v>
      </c>
      <c r="F17" s="70" t="s">
        <v>192</v>
      </c>
      <c r="G17" s="70" t="s">
        <v>198</v>
      </c>
      <c r="H17" s="70">
        <v>0</v>
      </c>
      <c r="I17" s="70">
        <v>0</v>
      </c>
      <c r="J17" s="70" t="s">
        <v>210</v>
      </c>
      <c r="K17" s="70">
        <v>0</v>
      </c>
      <c r="L17" s="70" t="s">
        <v>211</v>
      </c>
      <c r="M17" s="71">
        <f>IFERROR(INDEX('(참조)BL_인건비'!$S$3:$AG$40,MATCH(BL_인건비!$A17,'(참조)BL_인건비'!$S$3:$S$40,0),MATCH('(참조)BL_인건비'!X$2,'(참조)BL_인건비'!$S$2:$AG$2,0)),0)</f>
        <v>2</v>
      </c>
      <c r="N17" s="71">
        <f>IFERROR(INDEX('(참조)BL_인건비'!$S$3:$AG$40,MATCH(BL_인건비!$A17,'(참조)BL_인건비'!$S$3:$S$40,0),MATCH('(참조)BL_인건비'!Y$2,'(참조)BL_인건비'!$S$2:$AG$2,0)),0)</f>
        <v>2</v>
      </c>
      <c r="O17" s="71">
        <f>IFERROR(INDEX('(참조)BL_인건비'!$S$3:$AG$40,MATCH(BL_인건비!$A17,'(참조)BL_인건비'!$S$3:$S$40,0),MATCH('(참조)BL_인건비'!Z$2,'(참조)BL_인건비'!$S$2:$AG$2,0)),0)</f>
        <v>2</v>
      </c>
      <c r="P17" s="71">
        <f>IFERROR(INDEX('(참조)BL_인건비'!$S$3:$AG$40,MATCH(BL_인건비!$A17,'(참조)BL_인건비'!$S$3:$S$40,0),MATCH('(참조)BL_인건비'!AA$2,'(참조)BL_인건비'!$S$2:$AG$2,0)),0)</f>
        <v>2</v>
      </c>
      <c r="Q17" s="71">
        <f>IFERROR(INDEX('(참조)BL_인건비'!$S$3:$AG$40,MATCH(BL_인건비!$A17,'(참조)BL_인건비'!$S$3:$S$40,0),MATCH('(참조)BL_인건비'!AB$2,'(참조)BL_인건비'!$S$2:$AG$2,0)),0)</f>
        <v>2</v>
      </c>
      <c r="R17" s="71">
        <f>IFERROR(INDEX('(참조)BL_인건비'!$S$3:$AG$40,MATCH(BL_인건비!$A17,'(참조)BL_인건비'!$S$3:$S$40,0),MATCH('(참조)BL_인건비'!AC$2,'(참조)BL_인건비'!$S$2:$AG$2,0)),0)</f>
        <v>2</v>
      </c>
      <c r="S17" s="71">
        <f>IFERROR(INDEX('(참조)BL_인건비'!$S$3:$AG$40,MATCH(BL_인건비!$A17,'(참조)BL_인건비'!$S$3:$S$40,0),MATCH('(참조)BL_인건비'!AD$2,'(참조)BL_인건비'!$S$2:$AG$2,0)),0)</f>
        <v>2</v>
      </c>
      <c r="T17" s="71">
        <f>IFERROR(INDEX('(참조)BL_인건비'!$S$3:$AG$40,MATCH(BL_인건비!$A17,'(참조)BL_인건비'!$S$3:$S$40,0),MATCH('(참조)BL_인건비'!AE$2,'(참조)BL_인건비'!$S$2:$AG$2,0)),0)</f>
        <v>2</v>
      </c>
      <c r="U17" s="71">
        <f>IFERROR(INDEX('(참조)BL_인건비'!$S$3:$AG$40,MATCH(BL_인건비!$A17,'(참조)BL_인건비'!$S$3:$S$40,0),MATCH('(참조)BL_인건비'!AF$2,'(참조)BL_인건비'!$S$2:$AG$2,0)),0)</f>
        <v>2</v>
      </c>
      <c r="V17" s="71">
        <f>IFERROR(INDEX('(참조)BL_인건비'!$S$3:$AG$40,MATCH(BL_인건비!$A17,'(참조)BL_인건비'!$S$3:$S$40,0),MATCH('(참조)BL_인건비'!AG$2,'(참조)BL_인건비'!$S$2:$AG$2,0)),0)</f>
        <v>2</v>
      </c>
      <c r="W17" s="71">
        <f>IFERROR(INDEX('(참조)BL_인건비'!$S$3:$AG$40,MATCH(BL_인건비!$A17,'(참조)BL_인건비'!$S$3:$S$40,0),MATCH('(참조)BL_인건비'!AH$2,'(참조)BL_인건비'!$S$2:$AG$2,0)),0)</f>
        <v>0</v>
      </c>
      <c r="X17" s="72">
        <v>0</v>
      </c>
      <c r="Y17" s="72">
        <f>IFERROR(INDEX('(참조)BL_인건비'!$A$3:$O$40,MATCH(BL_인건비!$A17,'(참조)BL_인건비'!$A$3:$A$40,0),MATCH('(참조)BL_인건비'!F$2,'(참조)BL_인건비'!$A$2:$O$2,0)),0)</f>
        <v>2822413.9414824001</v>
      </c>
      <c r="Z17" s="72">
        <f>IFERROR(INDEX('(참조)BL_인건비'!$A$3:$O$40,MATCH(BL_인건비!$A17,'(참조)BL_인건비'!$A$3:$A$40,0),MATCH('(참조)BL_인건비'!G$2,'(참조)BL_인건비'!$A$2:$O$2,0)),0)</f>
        <v>2893851.3833759152</v>
      </c>
      <c r="AA17" s="72">
        <f>IFERROR(INDEX('(참조)BL_인건비'!$A$3:$O$40,MATCH(BL_인건비!$A17,'(참조)BL_인건비'!$A$3:$A$40,0),MATCH('(참조)BL_인건비'!H$2,'(참조)BL_인건비'!$A$2:$O$2,0)),0)</f>
        <v>2967096.9612162109</v>
      </c>
      <c r="AB17" s="72">
        <f>IFERROR(INDEX('(참조)BL_인건비'!$A$3:$O$40,MATCH(BL_인건비!$A17,'(참조)BL_인건비'!$A$3:$A$40,0),MATCH('(참조)BL_인건비'!I$2,'(참조)BL_인건비'!$A$2:$O$2,0)),0)</f>
        <v>3042196.4402982835</v>
      </c>
      <c r="AC17" s="72">
        <f>IFERROR(INDEX('(참조)BL_인건비'!$A$3:$O$40,MATCH(BL_인건비!$A17,'(참조)BL_인건비'!$A$3:$A$40,0),MATCH('(참조)BL_인건비'!J$2,'(참조)BL_인건비'!$A$2:$O$2,0)),0)</f>
        <v>3119196.7442715275</v>
      </c>
      <c r="AD17" s="72">
        <f>IFERROR(INDEX('(참조)BL_인건비'!$A$3:$O$40,MATCH(BL_인건비!$A17,'(참조)BL_인건비'!$A$3:$A$40,0),MATCH('(참조)BL_인건비'!K$2,'(참조)BL_인건비'!$A$2:$O$2,0)),0)</f>
        <v>3198145.9844585657</v>
      </c>
      <c r="AE17" s="72">
        <f>IFERROR(INDEX('(참조)BL_인건비'!$A$3:$O$40,MATCH(BL_인건비!$A17,'(참조)BL_인건비'!$A$3:$A$40,0),MATCH('(참조)BL_인건비'!L$2,'(참조)BL_인건비'!$A$2:$O$2,0)),0)</f>
        <v>3279093.4899161602</v>
      </c>
      <c r="AF17" s="72">
        <f>IFERROR(INDEX('(참조)BL_인건비'!$A$3:$O$40,MATCH(BL_인건비!$A17,'(참조)BL_인건비'!$A$3:$A$40,0),MATCH('(참조)BL_인건비'!M$2,'(참조)BL_인건비'!$A$2:$O$2,0)),0)</f>
        <v>3362089.8382569905</v>
      </c>
      <c r="AG17" s="72">
        <f>IFERROR(INDEX('(참조)BL_인건비'!$A$3:$O$40,MATCH(BL_인건비!$A17,'(참조)BL_인건비'!$A$3:$A$40,0),MATCH('(참조)BL_인건비'!N$2,'(참조)BL_인건비'!$A$2:$O$2,0)),0)</f>
        <v>3447186.8872515522</v>
      </c>
      <c r="AH17" s="72">
        <f>IFERROR(INDEX('(참조)BL_인건비'!$A$3:$O$40,MATCH(BL_인건비!$A17,'(참조)BL_인건비'!$A$3:$A$40,0),MATCH('(참조)BL_인건비'!O$2,'(참조)BL_인건비'!$A$2:$O$2,0)),0)</f>
        <v>3534437.8072299231</v>
      </c>
      <c r="AI17" s="72">
        <f>IFERROR(INDEX('(참조)BL_인건비'!$A$3:$O$40,MATCH(BL_인건비!$A17,'(참조)BL_인건비'!$A$3:$A$40,0),MATCH('(참조)BL_인건비'!P$2,'(참조)BL_인건비'!$A$2:$O$2,0)),0)</f>
        <v>0</v>
      </c>
      <c r="AJ17" s="72">
        <v>12</v>
      </c>
      <c r="AK17" s="72">
        <v>12</v>
      </c>
      <c r="AL17" s="72">
        <v>12</v>
      </c>
      <c r="AM17" s="72">
        <v>12</v>
      </c>
      <c r="AN17" s="72">
        <v>12</v>
      </c>
      <c r="AO17" s="72">
        <v>12</v>
      </c>
      <c r="AP17" s="72">
        <v>12</v>
      </c>
      <c r="AQ17" s="72">
        <v>12</v>
      </c>
      <c r="AR17" s="72">
        <v>12</v>
      </c>
      <c r="AS17" s="72">
        <v>12</v>
      </c>
      <c r="AT17" s="72">
        <v>12</v>
      </c>
      <c r="AU17" s="73">
        <v>1</v>
      </c>
      <c r="AV17" s="70">
        <v>0</v>
      </c>
      <c r="AW17" s="70">
        <v>0</v>
      </c>
      <c r="AX17" s="56">
        <v>759977027.46618056</v>
      </c>
      <c r="AY17" s="56">
        <v>67737934.595577583</v>
      </c>
      <c r="AZ17" s="56">
        <v>69452433.201021984</v>
      </c>
      <c r="BA17" s="56">
        <v>71210327.069189057</v>
      </c>
      <c r="BB17" s="56">
        <v>73012714.567158788</v>
      </c>
      <c r="BC17" s="56">
        <v>74860721.862516657</v>
      </c>
      <c r="BD17" s="56">
        <v>76755503.627005577</v>
      </c>
      <c r="BE17" s="56">
        <v>78698243.757987842</v>
      </c>
      <c r="BF17" s="56">
        <v>80690156.118167803</v>
      </c>
      <c r="BG17" s="56">
        <v>82732485.294037253</v>
      </c>
      <c r="BH17" s="56">
        <v>84826507.373518124</v>
      </c>
      <c r="BI17" s="56">
        <v>0</v>
      </c>
      <c r="BJ17" s="74">
        <v>5644827.8829648001</v>
      </c>
      <c r="BK17" s="56">
        <v>5644827.8829648001</v>
      </c>
      <c r="BL17" s="56">
        <v>5644827.8829648001</v>
      </c>
      <c r="BM17" s="56">
        <v>5644827.8829648001</v>
      </c>
      <c r="BN17" s="56">
        <v>5644827.8829648001</v>
      </c>
      <c r="BO17" s="56">
        <v>5644827.8829648001</v>
      </c>
      <c r="BP17" s="56">
        <v>5644827.8829648001</v>
      </c>
      <c r="BQ17" s="56">
        <v>5644827.8829648001</v>
      </c>
      <c r="BR17" s="56">
        <v>5644827.8829648001</v>
      </c>
      <c r="BS17" s="56">
        <v>5644827.8829648001</v>
      </c>
      <c r="BT17" s="56">
        <v>5644827.8829648001</v>
      </c>
      <c r="BU17" s="56">
        <v>5644827.8829648001</v>
      </c>
      <c r="BV17" s="56">
        <v>5787702.7667518305</v>
      </c>
      <c r="BW17" s="56">
        <v>5787702.7667518305</v>
      </c>
      <c r="BX17" s="56">
        <v>5787702.7667518305</v>
      </c>
      <c r="BY17" s="56">
        <v>5787702.7667518305</v>
      </c>
      <c r="BZ17" s="56">
        <v>5787702.7667518305</v>
      </c>
      <c r="CA17" s="56">
        <v>5787702.7667518305</v>
      </c>
      <c r="CB17" s="56">
        <v>5787702.7667518305</v>
      </c>
      <c r="CC17" s="56">
        <v>5787702.7667518305</v>
      </c>
      <c r="CD17" s="56">
        <v>5787702.7667518305</v>
      </c>
      <c r="CE17" s="56">
        <v>5787702.7667518305</v>
      </c>
      <c r="CF17" s="56">
        <v>5787702.7667518305</v>
      </c>
      <c r="CG17" s="56">
        <v>5787702.7667518305</v>
      </c>
      <c r="CH17" s="56">
        <v>5934193.9224324217</v>
      </c>
      <c r="CI17" s="56">
        <v>5934193.9224324217</v>
      </c>
      <c r="CJ17" s="56">
        <v>5934193.9224324217</v>
      </c>
      <c r="CK17" s="56">
        <v>5934193.9224324217</v>
      </c>
      <c r="CL17" s="56">
        <v>5934193.9224324217</v>
      </c>
      <c r="CM17" s="56">
        <v>5934193.9224324217</v>
      </c>
      <c r="CN17" s="56">
        <v>5934193.9224324217</v>
      </c>
      <c r="CO17" s="56">
        <v>5934193.9224324217</v>
      </c>
      <c r="CP17" s="56">
        <v>5934193.9224324217</v>
      </c>
      <c r="CQ17" s="56">
        <v>5934193.9224324217</v>
      </c>
      <c r="CR17" s="56">
        <v>5934193.9224324217</v>
      </c>
      <c r="CS17" s="56">
        <v>5934193.9224324217</v>
      </c>
      <c r="CT17" s="56">
        <v>6084392.8805965669</v>
      </c>
      <c r="CU17" s="56">
        <v>6084392.8805965669</v>
      </c>
      <c r="CV17" s="56">
        <v>6084392.8805965669</v>
      </c>
      <c r="CW17" s="56">
        <v>6084392.8805965669</v>
      </c>
      <c r="CX17" s="56">
        <v>6084392.8805965669</v>
      </c>
      <c r="CY17" s="56">
        <v>6084392.8805965669</v>
      </c>
      <c r="CZ17" s="56">
        <v>6084392.8805965669</v>
      </c>
      <c r="DA17" s="56">
        <v>6084392.8805965669</v>
      </c>
      <c r="DB17" s="56">
        <v>6084392.8805965669</v>
      </c>
      <c r="DC17" s="56">
        <v>6084392.8805965669</v>
      </c>
      <c r="DD17" s="56">
        <v>6084392.8805965669</v>
      </c>
      <c r="DE17" s="56">
        <v>6084392.8805965669</v>
      </c>
      <c r="DF17" s="56">
        <v>6238393.488543055</v>
      </c>
      <c r="DG17" s="56">
        <v>6238393.488543055</v>
      </c>
      <c r="DH17" s="56">
        <v>6238393.488543055</v>
      </c>
      <c r="DI17" s="56">
        <v>6238393.488543055</v>
      </c>
      <c r="DJ17" s="56">
        <v>6238393.488543055</v>
      </c>
      <c r="DK17" s="56">
        <v>6238393.488543055</v>
      </c>
      <c r="DL17" s="56">
        <v>6238393.488543055</v>
      </c>
      <c r="DM17" s="56">
        <v>6238393.488543055</v>
      </c>
      <c r="DN17" s="56">
        <v>6238393.488543055</v>
      </c>
      <c r="DO17" s="56">
        <v>6238393.488543055</v>
      </c>
      <c r="DP17" s="56">
        <v>6238393.488543055</v>
      </c>
      <c r="DQ17" s="56">
        <v>6238393.488543055</v>
      </c>
      <c r="DR17" s="56">
        <v>6396291.9689171314</v>
      </c>
      <c r="DS17" s="56">
        <v>6396291.9689171314</v>
      </c>
      <c r="DT17" s="56">
        <v>6396291.9689171314</v>
      </c>
      <c r="DU17" s="56">
        <v>6396291.9689171314</v>
      </c>
      <c r="DV17" s="56">
        <v>6396291.9689171314</v>
      </c>
      <c r="DW17" s="56">
        <v>6396291.9689171314</v>
      </c>
      <c r="DX17" s="56">
        <v>6396291.9689171314</v>
      </c>
      <c r="DY17" s="56">
        <v>6396291.9689171314</v>
      </c>
      <c r="DZ17" s="56">
        <v>6396291.9689171314</v>
      </c>
      <c r="EA17" s="56">
        <v>6396291.9689171314</v>
      </c>
      <c r="EB17" s="56">
        <v>6396291.9689171314</v>
      </c>
      <c r="EC17" s="56">
        <v>6396291.9689171314</v>
      </c>
      <c r="ED17" s="56">
        <v>6558186.9798323205</v>
      </c>
      <c r="EE17" s="56">
        <v>6558186.9798323205</v>
      </c>
      <c r="EF17" s="56">
        <v>6558186.9798323205</v>
      </c>
      <c r="EG17" s="56">
        <v>6558186.9798323205</v>
      </c>
      <c r="EH17" s="56">
        <v>6558186.9798323205</v>
      </c>
      <c r="EI17" s="56">
        <v>6558186.9798323205</v>
      </c>
      <c r="EJ17" s="56">
        <v>6558186.9798323205</v>
      </c>
      <c r="EK17" s="56">
        <v>6558186.9798323205</v>
      </c>
      <c r="EL17" s="56">
        <v>6558186.9798323205</v>
      </c>
      <c r="EM17" s="56">
        <v>6558186.9798323205</v>
      </c>
      <c r="EN17" s="56">
        <v>6558186.9798323205</v>
      </c>
      <c r="EO17" s="56">
        <v>6558186.9798323205</v>
      </c>
      <c r="EP17" s="56">
        <v>6724179.6765139811</v>
      </c>
      <c r="EQ17" s="56">
        <v>6724179.6765139811</v>
      </c>
      <c r="ER17" s="56">
        <v>6724179.6765139811</v>
      </c>
      <c r="ES17" s="56">
        <v>6724179.6765139811</v>
      </c>
      <c r="ET17" s="56">
        <v>6724179.6765139811</v>
      </c>
      <c r="EU17" s="56">
        <v>6724179.6765139811</v>
      </c>
      <c r="EV17" s="56">
        <v>6724179.6765139811</v>
      </c>
      <c r="EW17" s="56">
        <v>6724179.6765139811</v>
      </c>
      <c r="EX17" s="56">
        <v>6724179.6765139811</v>
      </c>
      <c r="EY17" s="56">
        <v>6724179.6765139811</v>
      </c>
      <c r="EZ17" s="56">
        <v>6724179.6765139811</v>
      </c>
      <c r="FA17" s="56">
        <v>6724179.6765139811</v>
      </c>
      <c r="FB17" s="56">
        <v>6894373.7745031044</v>
      </c>
      <c r="FC17" s="56">
        <v>6894373.7745031044</v>
      </c>
      <c r="FD17" s="56">
        <v>6894373.7745031044</v>
      </c>
      <c r="FE17" s="56">
        <v>6894373.7745031044</v>
      </c>
      <c r="FF17" s="56">
        <v>6894373.7745031044</v>
      </c>
      <c r="FG17" s="56">
        <v>6894373.7745031044</v>
      </c>
      <c r="FH17" s="56">
        <v>6894373.7745031044</v>
      </c>
      <c r="FI17" s="56">
        <v>6894373.7745031044</v>
      </c>
      <c r="FJ17" s="56">
        <v>6894373.7745031044</v>
      </c>
      <c r="FK17" s="56">
        <v>6894373.7745031044</v>
      </c>
      <c r="FL17" s="56">
        <v>6894373.7745031044</v>
      </c>
      <c r="FM17" s="56">
        <v>6894373.7745031044</v>
      </c>
      <c r="FN17" s="56">
        <v>7068875.6144598462</v>
      </c>
      <c r="FO17" s="56">
        <v>7068875.6144598462</v>
      </c>
      <c r="FP17" s="56">
        <v>7068875.6144598462</v>
      </c>
      <c r="FQ17" s="56">
        <v>7068875.6144598462</v>
      </c>
      <c r="FR17" s="56">
        <v>7068875.6144598462</v>
      </c>
      <c r="FS17" s="56">
        <v>7068875.6144598462</v>
      </c>
      <c r="FT17" s="56">
        <v>7068875.6144598462</v>
      </c>
      <c r="FU17" s="56">
        <v>7068875.6144598462</v>
      </c>
      <c r="FV17" s="56">
        <v>7068875.6144598462</v>
      </c>
      <c r="FW17" s="56">
        <v>7068875.6144598462</v>
      </c>
      <c r="FX17" s="56">
        <v>7068875.6144598462</v>
      </c>
      <c r="FY17" s="56">
        <v>7068875.6144598462</v>
      </c>
      <c r="FZ17" s="56">
        <v>0</v>
      </c>
      <c r="GA17" s="56">
        <v>0</v>
      </c>
      <c r="GB17" s="56">
        <v>0</v>
      </c>
      <c r="GC17" s="56">
        <v>0</v>
      </c>
      <c r="GD17" s="56">
        <v>0</v>
      </c>
      <c r="GE17" s="56">
        <v>0</v>
      </c>
      <c r="GF17" s="56">
        <v>0</v>
      </c>
      <c r="GG17" s="56">
        <v>0</v>
      </c>
      <c r="GH17" s="56">
        <v>0</v>
      </c>
      <c r="GI17" s="56">
        <v>0</v>
      </c>
      <c r="GJ17" s="56">
        <v>0</v>
      </c>
      <c r="GK17" s="85">
        <v>0</v>
      </c>
      <c r="GL17" s="40"/>
    </row>
    <row r="18" spans="1:194" x14ac:dyDescent="0.4">
      <c r="A18" s="84" t="s">
        <v>248</v>
      </c>
      <c r="B18" s="70" t="s">
        <v>174</v>
      </c>
      <c r="C18" s="70" t="s">
        <v>397</v>
      </c>
      <c r="D18" s="70" t="s">
        <v>209</v>
      </c>
      <c r="E18" s="70" t="s">
        <v>193</v>
      </c>
      <c r="F18" s="70" t="s">
        <v>192</v>
      </c>
      <c r="G18" s="70" t="s">
        <v>203</v>
      </c>
      <c r="H18" s="70">
        <v>0</v>
      </c>
      <c r="I18" s="70">
        <v>0</v>
      </c>
      <c r="J18" s="70" t="s">
        <v>210</v>
      </c>
      <c r="K18" s="70">
        <v>0</v>
      </c>
      <c r="L18" s="70" t="s">
        <v>211</v>
      </c>
      <c r="M18" s="71">
        <f>IFERROR(INDEX('(참조)BL_인건비'!$S$3:$AG$40,MATCH(BL_인건비!$A18,'(참조)BL_인건비'!$S$3:$S$40,0),MATCH('(참조)BL_인건비'!X$2,'(참조)BL_인건비'!$S$2:$AG$2,0)),0)</f>
        <v>2</v>
      </c>
      <c r="N18" s="71">
        <f>IFERROR(INDEX('(참조)BL_인건비'!$S$3:$AG$40,MATCH(BL_인건비!$A18,'(참조)BL_인건비'!$S$3:$S$40,0),MATCH('(참조)BL_인건비'!Y$2,'(참조)BL_인건비'!$S$2:$AG$2,0)),0)</f>
        <v>2</v>
      </c>
      <c r="O18" s="71">
        <f>IFERROR(INDEX('(참조)BL_인건비'!$S$3:$AG$40,MATCH(BL_인건비!$A18,'(참조)BL_인건비'!$S$3:$S$40,0),MATCH('(참조)BL_인건비'!Z$2,'(참조)BL_인건비'!$S$2:$AG$2,0)),0)</f>
        <v>2</v>
      </c>
      <c r="P18" s="71">
        <f>IFERROR(INDEX('(참조)BL_인건비'!$S$3:$AG$40,MATCH(BL_인건비!$A18,'(참조)BL_인건비'!$S$3:$S$40,0),MATCH('(참조)BL_인건비'!AA$2,'(참조)BL_인건비'!$S$2:$AG$2,0)),0)</f>
        <v>2</v>
      </c>
      <c r="Q18" s="71">
        <f>IFERROR(INDEX('(참조)BL_인건비'!$S$3:$AG$40,MATCH(BL_인건비!$A18,'(참조)BL_인건비'!$S$3:$S$40,0),MATCH('(참조)BL_인건비'!AB$2,'(참조)BL_인건비'!$S$2:$AG$2,0)),0)</f>
        <v>2</v>
      </c>
      <c r="R18" s="71">
        <f>IFERROR(INDEX('(참조)BL_인건비'!$S$3:$AG$40,MATCH(BL_인건비!$A18,'(참조)BL_인건비'!$S$3:$S$40,0),MATCH('(참조)BL_인건비'!AC$2,'(참조)BL_인건비'!$S$2:$AG$2,0)),0)</f>
        <v>2</v>
      </c>
      <c r="S18" s="71">
        <f>IFERROR(INDEX('(참조)BL_인건비'!$S$3:$AG$40,MATCH(BL_인건비!$A18,'(참조)BL_인건비'!$S$3:$S$40,0),MATCH('(참조)BL_인건비'!AD$2,'(참조)BL_인건비'!$S$2:$AG$2,0)),0)</f>
        <v>2</v>
      </c>
      <c r="T18" s="71">
        <f>IFERROR(INDEX('(참조)BL_인건비'!$S$3:$AG$40,MATCH(BL_인건비!$A18,'(참조)BL_인건비'!$S$3:$S$40,0),MATCH('(참조)BL_인건비'!AE$2,'(참조)BL_인건비'!$S$2:$AG$2,0)),0)</f>
        <v>2</v>
      </c>
      <c r="U18" s="71">
        <f>IFERROR(INDEX('(참조)BL_인건비'!$S$3:$AG$40,MATCH(BL_인건비!$A18,'(참조)BL_인건비'!$S$3:$S$40,0),MATCH('(참조)BL_인건비'!AF$2,'(참조)BL_인건비'!$S$2:$AG$2,0)),0)</f>
        <v>2</v>
      </c>
      <c r="V18" s="71">
        <f>IFERROR(INDEX('(참조)BL_인건비'!$S$3:$AG$40,MATCH(BL_인건비!$A18,'(참조)BL_인건비'!$S$3:$S$40,0),MATCH('(참조)BL_인건비'!AG$2,'(참조)BL_인건비'!$S$2:$AG$2,0)),0)</f>
        <v>2</v>
      </c>
      <c r="W18" s="71">
        <f>IFERROR(INDEX('(참조)BL_인건비'!$S$3:$AG$40,MATCH(BL_인건비!$A18,'(참조)BL_인건비'!$S$3:$S$40,0),MATCH('(참조)BL_인건비'!AH$2,'(참조)BL_인건비'!$S$2:$AG$2,0)),0)</f>
        <v>0</v>
      </c>
      <c r="X18" s="72">
        <v>0</v>
      </c>
      <c r="Y18" s="72">
        <f>IFERROR(INDEX('(참조)BL_인건비'!$A$3:$O$40,MATCH(BL_인건비!$A18,'(참조)BL_인건비'!$A$3:$A$40,0),MATCH('(참조)BL_인건비'!F$2,'(참조)BL_인건비'!$A$2:$O$2,0)),0)</f>
        <v>2577095.0131125199</v>
      </c>
      <c r="Z18" s="72">
        <f>IFERROR(INDEX('(참조)BL_인건비'!$A$3:$O$40,MATCH(BL_인건비!$A18,'(참조)BL_인건비'!$A$3:$A$40,0),MATCH('(참조)BL_인건비'!G$2,'(참조)BL_인건비'!$A$2:$O$2,0)),0)</f>
        <v>2642323.2464866075</v>
      </c>
      <c r="AA18" s="72">
        <f>IFERROR(INDEX('(참조)BL_인건비'!$A$3:$O$40,MATCH(BL_인건비!$A18,'(참조)BL_인건비'!$A$3:$A$40,0),MATCH('(참조)BL_인건비'!H$2,'(참조)BL_인건비'!$A$2:$O$2,0)),0)</f>
        <v>2709202.4560208507</v>
      </c>
      <c r="AB18" s="72">
        <f>IFERROR(INDEX('(참조)BL_인건비'!$A$3:$O$40,MATCH(BL_인건비!$A18,'(참조)BL_인건비'!$A$3:$A$40,0),MATCH('(참조)BL_인건비'!I$2,'(참조)BL_인건비'!$A$2:$O$2,0)),0)</f>
        <v>2777774.4291766048</v>
      </c>
      <c r="AC18" s="72">
        <f>IFERROR(INDEX('(참조)BL_인건비'!$A$3:$O$40,MATCH(BL_인건비!$A18,'(참조)BL_인건비'!$A$3:$A$40,0),MATCH('(참조)BL_인건비'!J$2,'(참조)BL_인건비'!$A$2:$O$2,0)),0)</f>
        <v>2848082.0110876309</v>
      </c>
      <c r="AD18" s="72">
        <f>IFERROR(INDEX('(참조)BL_인건비'!$A$3:$O$40,MATCH(BL_인건비!$A18,'(참조)BL_인건비'!$A$3:$A$40,0),MATCH('(참조)BL_인건비'!K$2,'(참조)BL_인건비'!$A$2:$O$2,0)),0)</f>
        <v>2920169.1313305874</v>
      </c>
      <c r="AE18" s="72">
        <f>IFERROR(INDEX('(참조)BL_인건비'!$A$3:$O$40,MATCH(BL_인건비!$A18,'(참조)BL_인건비'!$A$3:$A$40,0),MATCH('(참조)BL_인건비'!L$2,'(참조)BL_인건비'!$A$2:$O$2,0)),0)</f>
        <v>2994080.8313731044</v>
      </c>
      <c r="AF18" s="72">
        <f>IFERROR(INDEX('(참조)BL_인건비'!$A$3:$O$40,MATCH(BL_인건비!$A18,'(참조)BL_인건비'!$A$3:$A$40,0),MATCH('(참조)BL_인건비'!M$2,'(참조)BL_인건비'!$A$2:$O$2,0)),0)</f>
        <v>3069863.2927165893</v>
      </c>
      <c r="AG18" s="72">
        <f>IFERROR(INDEX('(참조)BL_인건비'!$A$3:$O$40,MATCH(BL_인건비!$A18,'(참조)BL_인건비'!$A$3:$A$40,0),MATCH('(참조)BL_인건비'!N$2,'(참조)BL_인건비'!$A$2:$O$2,0)),0)</f>
        <v>3147563.8657513484</v>
      </c>
      <c r="AH18" s="72">
        <f>IFERROR(INDEX('(참조)BL_인건비'!$A$3:$O$40,MATCH(BL_인건비!$A18,'(참조)BL_인건비'!$A$3:$A$40,0),MATCH('(참조)BL_인건비'!O$2,'(참조)BL_인건비'!$A$2:$O$2,0)),0)</f>
        <v>3227231.0993420528</v>
      </c>
      <c r="AI18" s="72">
        <f>IFERROR(INDEX('(참조)BL_인건비'!$A$3:$O$40,MATCH(BL_인건비!$A18,'(참조)BL_인건비'!$A$3:$A$40,0),MATCH('(참조)BL_인건비'!P$2,'(참조)BL_인건비'!$A$2:$O$2,0)),0)</f>
        <v>0</v>
      </c>
      <c r="AJ18" s="72">
        <v>12</v>
      </c>
      <c r="AK18" s="72">
        <v>12</v>
      </c>
      <c r="AL18" s="72">
        <v>12</v>
      </c>
      <c r="AM18" s="72">
        <v>12</v>
      </c>
      <c r="AN18" s="72">
        <v>12</v>
      </c>
      <c r="AO18" s="72">
        <v>12</v>
      </c>
      <c r="AP18" s="72">
        <v>12</v>
      </c>
      <c r="AQ18" s="72">
        <v>12</v>
      </c>
      <c r="AR18" s="72">
        <v>12</v>
      </c>
      <c r="AS18" s="72">
        <v>12</v>
      </c>
      <c r="AT18" s="72">
        <v>12</v>
      </c>
      <c r="AU18" s="73">
        <v>1</v>
      </c>
      <c r="AV18" s="70">
        <v>0</v>
      </c>
      <c r="AW18" s="70">
        <v>0</v>
      </c>
      <c r="AX18" s="56">
        <v>693921249.03354943</v>
      </c>
      <c r="AY18" s="56">
        <v>61850280.314700462</v>
      </c>
      <c r="AZ18" s="56">
        <v>63415757.915678583</v>
      </c>
      <c r="BA18" s="56">
        <v>65020858.944500417</v>
      </c>
      <c r="BB18" s="56">
        <v>66666586.300238527</v>
      </c>
      <c r="BC18" s="56">
        <v>68353968.266103134</v>
      </c>
      <c r="BD18" s="56">
        <v>70084059.151934102</v>
      </c>
      <c r="BE18" s="56">
        <v>71857939.952954486</v>
      </c>
      <c r="BF18" s="56">
        <v>73676719.025198147</v>
      </c>
      <c r="BG18" s="56">
        <v>75541532.778032362</v>
      </c>
      <c r="BH18" s="56">
        <v>77453546.38420926</v>
      </c>
      <c r="BI18" s="56">
        <v>0</v>
      </c>
      <c r="BJ18" s="74">
        <v>5154190.0262250397</v>
      </c>
      <c r="BK18" s="56">
        <v>5154190.0262250397</v>
      </c>
      <c r="BL18" s="56">
        <v>5154190.0262250397</v>
      </c>
      <c r="BM18" s="56">
        <v>5154190.0262250397</v>
      </c>
      <c r="BN18" s="56">
        <v>5154190.0262250397</v>
      </c>
      <c r="BO18" s="56">
        <v>5154190.0262250397</v>
      </c>
      <c r="BP18" s="56">
        <v>5154190.0262250397</v>
      </c>
      <c r="BQ18" s="56">
        <v>5154190.0262250397</v>
      </c>
      <c r="BR18" s="56">
        <v>5154190.0262250397</v>
      </c>
      <c r="BS18" s="56">
        <v>5154190.0262250397</v>
      </c>
      <c r="BT18" s="56">
        <v>5154190.0262250397</v>
      </c>
      <c r="BU18" s="56">
        <v>5154190.0262250397</v>
      </c>
      <c r="BV18" s="56">
        <v>5284646.4929732149</v>
      </c>
      <c r="BW18" s="56">
        <v>5284646.4929732149</v>
      </c>
      <c r="BX18" s="56">
        <v>5284646.4929732149</v>
      </c>
      <c r="BY18" s="56">
        <v>5284646.4929732149</v>
      </c>
      <c r="BZ18" s="56">
        <v>5284646.4929732149</v>
      </c>
      <c r="CA18" s="56">
        <v>5284646.4929732149</v>
      </c>
      <c r="CB18" s="56">
        <v>5284646.4929732149</v>
      </c>
      <c r="CC18" s="56">
        <v>5284646.4929732149</v>
      </c>
      <c r="CD18" s="56">
        <v>5284646.4929732149</v>
      </c>
      <c r="CE18" s="56">
        <v>5284646.4929732149</v>
      </c>
      <c r="CF18" s="56">
        <v>5284646.4929732149</v>
      </c>
      <c r="CG18" s="56">
        <v>5284646.4929732149</v>
      </c>
      <c r="CH18" s="56">
        <v>5418404.9120417014</v>
      </c>
      <c r="CI18" s="56">
        <v>5418404.9120417014</v>
      </c>
      <c r="CJ18" s="56">
        <v>5418404.9120417014</v>
      </c>
      <c r="CK18" s="56">
        <v>5418404.9120417014</v>
      </c>
      <c r="CL18" s="56">
        <v>5418404.9120417014</v>
      </c>
      <c r="CM18" s="56">
        <v>5418404.9120417014</v>
      </c>
      <c r="CN18" s="56">
        <v>5418404.9120417014</v>
      </c>
      <c r="CO18" s="56">
        <v>5418404.9120417014</v>
      </c>
      <c r="CP18" s="56">
        <v>5418404.9120417014</v>
      </c>
      <c r="CQ18" s="56">
        <v>5418404.9120417014</v>
      </c>
      <c r="CR18" s="56">
        <v>5418404.9120417014</v>
      </c>
      <c r="CS18" s="56">
        <v>5418404.9120417014</v>
      </c>
      <c r="CT18" s="56">
        <v>5555548.8583532097</v>
      </c>
      <c r="CU18" s="56">
        <v>5555548.8583532097</v>
      </c>
      <c r="CV18" s="56">
        <v>5555548.8583532097</v>
      </c>
      <c r="CW18" s="56">
        <v>5555548.8583532097</v>
      </c>
      <c r="CX18" s="56">
        <v>5555548.8583532097</v>
      </c>
      <c r="CY18" s="56">
        <v>5555548.8583532097</v>
      </c>
      <c r="CZ18" s="56">
        <v>5555548.8583532097</v>
      </c>
      <c r="DA18" s="56">
        <v>5555548.8583532097</v>
      </c>
      <c r="DB18" s="56">
        <v>5555548.8583532097</v>
      </c>
      <c r="DC18" s="56">
        <v>5555548.8583532097</v>
      </c>
      <c r="DD18" s="56">
        <v>5555548.8583532097</v>
      </c>
      <c r="DE18" s="56">
        <v>5555548.8583532097</v>
      </c>
      <c r="DF18" s="56">
        <v>5696164.0221752618</v>
      </c>
      <c r="DG18" s="56">
        <v>5696164.0221752618</v>
      </c>
      <c r="DH18" s="56">
        <v>5696164.0221752618</v>
      </c>
      <c r="DI18" s="56">
        <v>5696164.0221752618</v>
      </c>
      <c r="DJ18" s="56">
        <v>5696164.0221752618</v>
      </c>
      <c r="DK18" s="56">
        <v>5696164.0221752618</v>
      </c>
      <c r="DL18" s="56">
        <v>5696164.0221752618</v>
      </c>
      <c r="DM18" s="56">
        <v>5696164.0221752618</v>
      </c>
      <c r="DN18" s="56">
        <v>5696164.0221752618</v>
      </c>
      <c r="DO18" s="56">
        <v>5696164.0221752618</v>
      </c>
      <c r="DP18" s="56">
        <v>5696164.0221752618</v>
      </c>
      <c r="DQ18" s="56">
        <v>5696164.0221752618</v>
      </c>
      <c r="DR18" s="56">
        <v>5840338.2626611749</v>
      </c>
      <c r="DS18" s="56">
        <v>5840338.2626611749</v>
      </c>
      <c r="DT18" s="56">
        <v>5840338.2626611749</v>
      </c>
      <c r="DU18" s="56">
        <v>5840338.2626611749</v>
      </c>
      <c r="DV18" s="56">
        <v>5840338.2626611749</v>
      </c>
      <c r="DW18" s="56">
        <v>5840338.2626611749</v>
      </c>
      <c r="DX18" s="56">
        <v>5840338.2626611749</v>
      </c>
      <c r="DY18" s="56">
        <v>5840338.2626611749</v>
      </c>
      <c r="DZ18" s="56">
        <v>5840338.2626611749</v>
      </c>
      <c r="EA18" s="56">
        <v>5840338.2626611749</v>
      </c>
      <c r="EB18" s="56">
        <v>5840338.2626611749</v>
      </c>
      <c r="EC18" s="56">
        <v>5840338.2626611749</v>
      </c>
      <c r="ED18" s="56">
        <v>5988161.6627462087</v>
      </c>
      <c r="EE18" s="56">
        <v>5988161.6627462087</v>
      </c>
      <c r="EF18" s="56">
        <v>5988161.6627462087</v>
      </c>
      <c r="EG18" s="56">
        <v>5988161.6627462087</v>
      </c>
      <c r="EH18" s="56">
        <v>5988161.6627462087</v>
      </c>
      <c r="EI18" s="56">
        <v>5988161.6627462087</v>
      </c>
      <c r="EJ18" s="56">
        <v>5988161.6627462087</v>
      </c>
      <c r="EK18" s="56">
        <v>5988161.6627462087</v>
      </c>
      <c r="EL18" s="56">
        <v>5988161.6627462087</v>
      </c>
      <c r="EM18" s="56">
        <v>5988161.6627462087</v>
      </c>
      <c r="EN18" s="56">
        <v>5988161.6627462087</v>
      </c>
      <c r="EO18" s="56">
        <v>5988161.6627462087</v>
      </c>
      <c r="EP18" s="56">
        <v>6139726.5854331786</v>
      </c>
      <c r="EQ18" s="56">
        <v>6139726.5854331786</v>
      </c>
      <c r="ER18" s="56">
        <v>6139726.5854331786</v>
      </c>
      <c r="ES18" s="56">
        <v>6139726.5854331786</v>
      </c>
      <c r="ET18" s="56">
        <v>6139726.5854331786</v>
      </c>
      <c r="EU18" s="56">
        <v>6139726.5854331786</v>
      </c>
      <c r="EV18" s="56">
        <v>6139726.5854331786</v>
      </c>
      <c r="EW18" s="56">
        <v>6139726.5854331786</v>
      </c>
      <c r="EX18" s="56">
        <v>6139726.5854331786</v>
      </c>
      <c r="EY18" s="56">
        <v>6139726.5854331786</v>
      </c>
      <c r="EZ18" s="56">
        <v>6139726.5854331786</v>
      </c>
      <c r="FA18" s="56">
        <v>6139726.5854331786</v>
      </c>
      <c r="FB18" s="56">
        <v>6295127.7315026969</v>
      </c>
      <c r="FC18" s="56">
        <v>6295127.7315026969</v>
      </c>
      <c r="FD18" s="56">
        <v>6295127.7315026969</v>
      </c>
      <c r="FE18" s="56">
        <v>6295127.7315026969</v>
      </c>
      <c r="FF18" s="56">
        <v>6295127.7315026969</v>
      </c>
      <c r="FG18" s="56">
        <v>6295127.7315026969</v>
      </c>
      <c r="FH18" s="56">
        <v>6295127.7315026969</v>
      </c>
      <c r="FI18" s="56">
        <v>6295127.7315026969</v>
      </c>
      <c r="FJ18" s="56">
        <v>6295127.7315026969</v>
      </c>
      <c r="FK18" s="56">
        <v>6295127.7315026969</v>
      </c>
      <c r="FL18" s="56">
        <v>6295127.7315026969</v>
      </c>
      <c r="FM18" s="56">
        <v>6295127.7315026969</v>
      </c>
      <c r="FN18" s="56">
        <v>6454462.1986841056</v>
      </c>
      <c r="FO18" s="56">
        <v>6454462.1986841056</v>
      </c>
      <c r="FP18" s="56">
        <v>6454462.1986841056</v>
      </c>
      <c r="FQ18" s="56">
        <v>6454462.1986841056</v>
      </c>
      <c r="FR18" s="56">
        <v>6454462.1986841056</v>
      </c>
      <c r="FS18" s="56">
        <v>6454462.1986841056</v>
      </c>
      <c r="FT18" s="56">
        <v>6454462.1986841056</v>
      </c>
      <c r="FU18" s="56">
        <v>6454462.1986841056</v>
      </c>
      <c r="FV18" s="56">
        <v>6454462.1986841056</v>
      </c>
      <c r="FW18" s="56">
        <v>6454462.1986841056</v>
      </c>
      <c r="FX18" s="56">
        <v>6454462.1986841056</v>
      </c>
      <c r="FY18" s="56">
        <v>6454462.1986841056</v>
      </c>
      <c r="FZ18" s="56">
        <v>0</v>
      </c>
      <c r="GA18" s="56">
        <v>0</v>
      </c>
      <c r="GB18" s="56">
        <v>0</v>
      </c>
      <c r="GC18" s="56">
        <v>0</v>
      </c>
      <c r="GD18" s="56">
        <v>0</v>
      </c>
      <c r="GE18" s="56">
        <v>0</v>
      </c>
      <c r="GF18" s="56">
        <v>0</v>
      </c>
      <c r="GG18" s="56">
        <v>0</v>
      </c>
      <c r="GH18" s="56">
        <v>0</v>
      </c>
      <c r="GI18" s="56">
        <v>0</v>
      </c>
      <c r="GJ18" s="56">
        <v>0</v>
      </c>
      <c r="GK18" s="85">
        <v>0</v>
      </c>
      <c r="GL18" s="40"/>
    </row>
    <row r="19" spans="1:194" x14ac:dyDescent="0.4">
      <c r="A19" s="84" t="s">
        <v>249</v>
      </c>
      <c r="B19" s="70" t="s">
        <v>174</v>
      </c>
      <c r="C19" s="70" t="s">
        <v>397</v>
      </c>
      <c r="D19" s="70" t="s">
        <v>209</v>
      </c>
      <c r="E19" s="70" t="s">
        <v>193</v>
      </c>
      <c r="F19" s="70" t="s">
        <v>200</v>
      </c>
      <c r="G19" s="70" t="s">
        <v>198</v>
      </c>
      <c r="H19" s="70">
        <v>0</v>
      </c>
      <c r="I19" s="70">
        <v>0</v>
      </c>
      <c r="J19" s="70" t="s">
        <v>210</v>
      </c>
      <c r="K19" s="70">
        <v>0</v>
      </c>
      <c r="L19" s="70" t="s">
        <v>211</v>
      </c>
      <c r="M19" s="71">
        <f>IFERROR(INDEX('(참조)BL_인건비'!$S$3:$AG$40,MATCH(BL_인건비!$A19,'(참조)BL_인건비'!$S$3:$S$40,0),MATCH('(참조)BL_인건비'!X$2,'(참조)BL_인건비'!$S$2:$AG$2,0)),0)</f>
        <v>1</v>
      </c>
      <c r="N19" s="71">
        <f>IFERROR(INDEX('(참조)BL_인건비'!$S$3:$AG$40,MATCH(BL_인건비!$A19,'(참조)BL_인건비'!$S$3:$S$40,0),MATCH('(참조)BL_인건비'!Y$2,'(참조)BL_인건비'!$S$2:$AG$2,0)),0)</f>
        <v>1</v>
      </c>
      <c r="O19" s="71">
        <f>IFERROR(INDEX('(참조)BL_인건비'!$S$3:$AG$40,MATCH(BL_인건비!$A19,'(참조)BL_인건비'!$S$3:$S$40,0),MATCH('(참조)BL_인건비'!Z$2,'(참조)BL_인건비'!$S$2:$AG$2,0)),0)</f>
        <v>1</v>
      </c>
      <c r="P19" s="71">
        <f>IFERROR(INDEX('(참조)BL_인건비'!$S$3:$AG$40,MATCH(BL_인건비!$A19,'(참조)BL_인건비'!$S$3:$S$40,0),MATCH('(참조)BL_인건비'!AA$2,'(참조)BL_인건비'!$S$2:$AG$2,0)),0)</f>
        <v>1</v>
      </c>
      <c r="Q19" s="71">
        <f>IFERROR(INDEX('(참조)BL_인건비'!$S$3:$AG$40,MATCH(BL_인건비!$A19,'(참조)BL_인건비'!$S$3:$S$40,0),MATCH('(참조)BL_인건비'!AB$2,'(참조)BL_인건비'!$S$2:$AG$2,0)),0)</f>
        <v>1</v>
      </c>
      <c r="R19" s="71">
        <f>IFERROR(INDEX('(참조)BL_인건비'!$S$3:$AG$40,MATCH(BL_인건비!$A19,'(참조)BL_인건비'!$S$3:$S$40,0),MATCH('(참조)BL_인건비'!AC$2,'(참조)BL_인건비'!$S$2:$AG$2,0)),0)</f>
        <v>1</v>
      </c>
      <c r="S19" s="71">
        <f>IFERROR(INDEX('(참조)BL_인건비'!$S$3:$AG$40,MATCH(BL_인건비!$A19,'(참조)BL_인건비'!$S$3:$S$40,0),MATCH('(참조)BL_인건비'!AD$2,'(참조)BL_인건비'!$S$2:$AG$2,0)),0)</f>
        <v>1</v>
      </c>
      <c r="T19" s="71">
        <f>IFERROR(INDEX('(참조)BL_인건비'!$S$3:$AG$40,MATCH(BL_인건비!$A19,'(참조)BL_인건비'!$S$3:$S$40,0),MATCH('(참조)BL_인건비'!AE$2,'(참조)BL_인건비'!$S$2:$AG$2,0)),0)</f>
        <v>1</v>
      </c>
      <c r="U19" s="71">
        <f>IFERROR(INDEX('(참조)BL_인건비'!$S$3:$AG$40,MATCH(BL_인건비!$A19,'(참조)BL_인건비'!$S$3:$S$40,0),MATCH('(참조)BL_인건비'!AF$2,'(참조)BL_인건비'!$S$2:$AG$2,0)),0)</f>
        <v>1</v>
      </c>
      <c r="V19" s="71">
        <f>IFERROR(INDEX('(참조)BL_인건비'!$S$3:$AG$40,MATCH(BL_인건비!$A19,'(참조)BL_인건비'!$S$3:$S$40,0),MATCH('(참조)BL_인건비'!AG$2,'(참조)BL_인건비'!$S$2:$AG$2,0)),0)</f>
        <v>1</v>
      </c>
      <c r="W19" s="71">
        <f>IFERROR(INDEX('(참조)BL_인건비'!$S$3:$AG$40,MATCH(BL_인건비!$A19,'(참조)BL_인건비'!$S$3:$S$40,0),MATCH('(참조)BL_인건비'!AH$2,'(참조)BL_인건비'!$S$2:$AG$2,0)),0)</f>
        <v>0</v>
      </c>
      <c r="X19" s="72">
        <v>0</v>
      </c>
      <c r="Y19" s="72">
        <f>IFERROR(INDEX('(참조)BL_인건비'!$A$3:$O$40,MATCH(BL_인건비!$A19,'(참조)BL_인건비'!$A$3:$A$40,0),MATCH('(참조)BL_인건비'!F$2,'(참조)BL_인건비'!$A$2:$O$2,0)),0)</f>
        <v>2822413.9414824001</v>
      </c>
      <c r="Z19" s="72">
        <f>IFERROR(INDEX('(참조)BL_인건비'!$A$3:$O$40,MATCH(BL_인건비!$A19,'(참조)BL_인건비'!$A$3:$A$40,0),MATCH('(참조)BL_인건비'!G$2,'(참조)BL_인건비'!$A$2:$O$2,0)),0)</f>
        <v>2893851.3833759152</v>
      </c>
      <c r="AA19" s="72">
        <f>IFERROR(INDEX('(참조)BL_인건비'!$A$3:$O$40,MATCH(BL_인건비!$A19,'(참조)BL_인건비'!$A$3:$A$40,0),MATCH('(참조)BL_인건비'!H$2,'(참조)BL_인건비'!$A$2:$O$2,0)),0)</f>
        <v>2967096.9612162109</v>
      </c>
      <c r="AB19" s="72">
        <f>IFERROR(INDEX('(참조)BL_인건비'!$A$3:$O$40,MATCH(BL_인건비!$A19,'(참조)BL_인건비'!$A$3:$A$40,0),MATCH('(참조)BL_인건비'!I$2,'(참조)BL_인건비'!$A$2:$O$2,0)),0)</f>
        <v>3042196.4402982835</v>
      </c>
      <c r="AC19" s="72">
        <f>IFERROR(INDEX('(참조)BL_인건비'!$A$3:$O$40,MATCH(BL_인건비!$A19,'(참조)BL_인건비'!$A$3:$A$40,0),MATCH('(참조)BL_인건비'!J$2,'(참조)BL_인건비'!$A$2:$O$2,0)),0)</f>
        <v>3119196.7442715275</v>
      </c>
      <c r="AD19" s="72">
        <f>IFERROR(INDEX('(참조)BL_인건비'!$A$3:$O$40,MATCH(BL_인건비!$A19,'(참조)BL_인건비'!$A$3:$A$40,0),MATCH('(참조)BL_인건비'!K$2,'(참조)BL_인건비'!$A$2:$O$2,0)),0)</f>
        <v>3198145.9844585657</v>
      </c>
      <c r="AE19" s="72">
        <f>IFERROR(INDEX('(참조)BL_인건비'!$A$3:$O$40,MATCH(BL_인건비!$A19,'(참조)BL_인건비'!$A$3:$A$40,0),MATCH('(참조)BL_인건비'!L$2,'(참조)BL_인건비'!$A$2:$O$2,0)),0)</f>
        <v>3279093.4899161602</v>
      </c>
      <c r="AF19" s="72">
        <f>IFERROR(INDEX('(참조)BL_인건비'!$A$3:$O$40,MATCH(BL_인건비!$A19,'(참조)BL_인건비'!$A$3:$A$40,0),MATCH('(참조)BL_인건비'!M$2,'(참조)BL_인건비'!$A$2:$O$2,0)),0)</f>
        <v>3362089.8382569905</v>
      </c>
      <c r="AG19" s="72">
        <f>IFERROR(INDEX('(참조)BL_인건비'!$A$3:$O$40,MATCH(BL_인건비!$A19,'(참조)BL_인건비'!$A$3:$A$40,0),MATCH('(참조)BL_인건비'!N$2,'(참조)BL_인건비'!$A$2:$O$2,0)),0)</f>
        <v>3447186.8872515522</v>
      </c>
      <c r="AH19" s="72">
        <f>IFERROR(INDEX('(참조)BL_인건비'!$A$3:$O$40,MATCH(BL_인건비!$A19,'(참조)BL_인건비'!$A$3:$A$40,0),MATCH('(참조)BL_인건비'!O$2,'(참조)BL_인건비'!$A$2:$O$2,0)),0)</f>
        <v>3534437.8072299231</v>
      </c>
      <c r="AI19" s="72">
        <f>IFERROR(INDEX('(참조)BL_인건비'!$A$3:$O$40,MATCH(BL_인건비!$A19,'(참조)BL_인건비'!$A$3:$A$40,0),MATCH('(참조)BL_인건비'!P$2,'(참조)BL_인건비'!$A$2:$O$2,0)),0)</f>
        <v>0</v>
      </c>
      <c r="AJ19" s="72">
        <v>12</v>
      </c>
      <c r="AK19" s="72">
        <v>12</v>
      </c>
      <c r="AL19" s="72">
        <v>12</v>
      </c>
      <c r="AM19" s="72">
        <v>12</v>
      </c>
      <c r="AN19" s="72">
        <v>12</v>
      </c>
      <c r="AO19" s="72">
        <v>12</v>
      </c>
      <c r="AP19" s="72">
        <v>12</v>
      </c>
      <c r="AQ19" s="72">
        <v>12</v>
      </c>
      <c r="AR19" s="72">
        <v>12</v>
      </c>
      <c r="AS19" s="72">
        <v>12</v>
      </c>
      <c r="AT19" s="72">
        <v>12</v>
      </c>
      <c r="AU19" s="73">
        <v>1</v>
      </c>
      <c r="AV19" s="70">
        <v>0</v>
      </c>
      <c r="AW19" s="70">
        <v>0</v>
      </c>
      <c r="AX19" s="56">
        <v>379988513.73309028</v>
      </c>
      <c r="AY19" s="56">
        <v>33868967.297788791</v>
      </c>
      <c r="AZ19" s="56">
        <v>34726216.600510992</v>
      </c>
      <c r="BA19" s="56">
        <v>35605163.534594528</v>
      </c>
      <c r="BB19" s="56">
        <v>36506357.283579394</v>
      </c>
      <c r="BC19" s="56">
        <v>37430360.931258328</v>
      </c>
      <c r="BD19" s="56">
        <v>38377751.813502789</v>
      </c>
      <c r="BE19" s="56">
        <v>39349121.878993921</v>
      </c>
      <c r="BF19" s="56">
        <v>40345078.059083901</v>
      </c>
      <c r="BG19" s="56">
        <v>41366242.647018626</v>
      </c>
      <c r="BH19" s="56">
        <v>42413253.686759062</v>
      </c>
      <c r="BI19" s="56">
        <v>0</v>
      </c>
      <c r="BJ19" s="74">
        <v>2822413.9414824001</v>
      </c>
      <c r="BK19" s="56">
        <v>2822413.9414824001</v>
      </c>
      <c r="BL19" s="56">
        <v>2822413.9414824001</v>
      </c>
      <c r="BM19" s="56">
        <v>2822413.9414824001</v>
      </c>
      <c r="BN19" s="56">
        <v>2822413.9414824001</v>
      </c>
      <c r="BO19" s="56">
        <v>2822413.9414824001</v>
      </c>
      <c r="BP19" s="56">
        <v>2822413.9414824001</v>
      </c>
      <c r="BQ19" s="56">
        <v>2822413.9414824001</v>
      </c>
      <c r="BR19" s="56">
        <v>2822413.9414824001</v>
      </c>
      <c r="BS19" s="56">
        <v>2822413.9414824001</v>
      </c>
      <c r="BT19" s="56">
        <v>2822413.9414824001</v>
      </c>
      <c r="BU19" s="56">
        <v>2822413.9414824001</v>
      </c>
      <c r="BV19" s="56">
        <v>2893851.3833759152</v>
      </c>
      <c r="BW19" s="56">
        <v>2893851.3833759152</v>
      </c>
      <c r="BX19" s="56">
        <v>2893851.3833759152</v>
      </c>
      <c r="BY19" s="56">
        <v>2893851.3833759152</v>
      </c>
      <c r="BZ19" s="56">
        <v>2893851.3833759152</v>
      </c>
      <c r="CA19" s="56">
        <v>2893851.3833759152</v>
      </c>
      <c r="CB19" s="56">
        <v>2893851.3833759152</v>
      </c>
      <c r="CC19" s="56">
        <v>2893851.3833759152</v>
      </c>
      <c r="CD19" s="56">
        <v>2893851.3833759152</v>
      </c>
      <c r="CE19" s="56">
        <v>2893851.3833759152</v>
      </c>
      <c r="CF19" s="56">
        <v>2893851.3833759152</v>
      </c>
      <c r="CG19" s="56">
        <v>2893851.3833759152</v>
      </c>
      <c r="CH19" s="56">
        <v>2967096.9612162109</v>
      </c>
      <c r="CI19" s="56">
        <v>2967096.9612162109</v>
      </c>
      <c r="CJ19" s="56">
        <v>2967096.9612162109</v>
      </c>
      <c r="CK19" s="56">
        <v>2967096.9612162109</v>
      </c>
      <c r="CL19" s="56">
        <v>2967096.9612162109</v>
      </c>
      <c r="CM19" s="56">
        <v>2967096.9612162109</v>
      </c>
      <c r="CN19" s="56">
        <v>2967096.9612162109</v>
      </c>
      <c r="CO19" s="56">
        <v>2967096.9612162109</v>
      </c>
      <c r="CP19" s="56">
        <v>2967096.9612162109</v>
      </c>
      <c r="CQ19" s="56">
        <v>2967096.9612162109</v>
      </c>
      <c r="CR19" s="56">
        <v>2967096.9612162109</v>
      </c>
      <c r="CS19" s="56">
        <v>2967096.9612162109</v>
      </c>
      <c r="CT19" s="56">
        <v>3042196.4402982835</v>
      </c>
      <c r="CU19" s="56">
        <v>3042196.4402982835</v>
      </c>
      <c r="CV19" s="56">
        <v>3042196.4402982835</v>
      </c>
      <c r="CW19" s="56">
        <v>3042196.4402982835</v>
      </c>
      <c r="CX19" s="56">
        <v>3042196.4402982835</v>
      </c>
      <c r="CY19" s="56">
        <v>3042196.4402982835</v>
      </c>
      <c r="CZ19" s="56">
        <v>3042196.4402982835</v>
      </c>
      <c r="DA19" s="56">
        <v>3042196.4402982835</v>
      </c>
      <c r="DB19" s="56">
        <v>3042196.4402982835</v>
      </c>
      <c r="DC19" s="56">
        <v>3042196.4402982835</v>
      </c>
      <c r="DD19" s="56">
        <v>3042196.4402982835</v>
      </c>
      <c r="DE19" s="56">
        <v>3042196.4402982835</v>
      </c>
      <c r="DF19" s="56">
        <v>3119196.7442715275</v>
      </c>
      <c r="DG19" s="56">
        <v>3119196.7442715275</v>
      </c>
      <c r="DH19" s="56">
        <v>3119196.7442715275</v>
      </c>
      <c r="DI19" s="56">
        <v>3119196.7442715275</v>
      </c>
      <c r="DJ19" s="56">
        <v>3119196.7442715275</v>
      </c>
      <c r="DK19" s="56">
        <v>3119196.7442715275</v>
      </c>
      <c r="DL19" s="56">
        <v>3119196.7442715275</v>
      </c>
      <c r="DM19" s="56">
        <v>3119196.7442715275</v>
      </c>
      <c r="DN19" s="56">
        <v>3119196.7442715275</v>
      </c>
      <c r="DO19" s="56">
        <v>3119196.7442715275</v>
      </c>
      <c r="DP19" s="56">
        <v>3119196.7442715275</v>
      </c>
      <c r="DQ19" s="56">
        <v>3119196.7442715275</v>
      </c>
      <c r="DR19" s="56">
        <v>3198145.9844585657</v>
      </c>
      <c r="DS19" s="56">
        <v>3198145.9844585657</v>
      </c>
      <c r="DT19" s="56">
        <v>3198145.9844585657</v>
      </c>
      <c r="DU19" s="56">
        <v>3198145.9844585657</v>
      </c>
      <c r="DV19" s="56">
        <v>3198145.9844585657</v>
      </c>
      <c r="DW19" s="56">
        <v>3198145.9844585657</v>
      </c>
      <c r="DX19" s="56">
        <v>3198145.9844585657</v>
      </c>
      <c r="DY19" s="56">
        <v>3198145.9844585657</v>
      </c>
      <c r="DZ19" s="56">
        <v>3198145.9844585657</v>
      </c>
      <c r="EA19" s="56">
        <v>3198145.9844585657</v>
      </c>
      <c r="EB19" s="56">
        <v>3198145.9844585657</v>
      </c>
      <c r="EC19" s="56">
        <v>3198145.9844585657</v>
      </c>
      <c r="ED19" s="56">
        <v>3279093.4899161602</v>
      </c>
      <c r="EE19" s="56">
        <v>3279093.4899161602</v>
      </c>
      <c r="EF19" s="56">
        <v>3279093.4899161602</v>
      </c>
      <c r="EG19" s="56">
        <v>3279093.4899161602</v>
      </c>
      <c r="EH19" s="56">
        <v>3279093.4899161602</v>
      </c>
      <c r="EI19" s="56">
        <v>3279093.4899161602</v>
      </c>
      <c r="EJ19" s="56">
        <v>3279093.4899161602</v>
      </c>
      <c r="EK19" s="56">
        <v>3279093.4899161602</v>
      </c>
      <c r="EL19" s="56">
        <v>3279093.4899161602</v>
      </c>
      <c r="EM19" s="56">
        <v>3279093.4899161602</v>
      </c>
      <c r="EN19" s="56">
        <v>3279093.4899161602</v>
      </c>
      <c r="EO19" s="56">
        <v>3279093.4899161602</v>
      </c>
      <c r="EP19" s="56">
        <v>3362089.8382569905</v>
      </c>
      <c r="EQ19" s="56">
        <v>3362089.8382569905</v>
      </c>
      <c r="ER19" s="56">
        <v>3362089.8382569905</v>
      </c>
      <c r="ES19" s="56">
        <v>3362089.8382569905</v>
      </c>
      <c r="ET19" s="56">
        <v>3362089.8382569905</v>
      </c>
      <c r="EU19" s="56">
        <v>3362089.8382569905</v>
      </c>
      <c r="EV19" s="56">
        <v>3362089.8382569905</v>
      </c>
      <c r="EW19" s="56">
        <v>3362089.8382569905</v>
      </c>
      <c r="EX19" s="56">
        <v>3362089.8382569905</v>
      </c>
      <c r="EY19" s="56">
        <v>3362089.8382569905</v>
      </c>
      <c r="EZ19" s="56">
        <v>3362089.8382569905</v>
      </c>
      <c r="FA19" s="56">
        <v>3362089.8382569905</v>
      </c>
      <c r="FB19" s="56">
        <v>3447186.8872515522</v>
      </c>
      <c r="FC19" s="56">
        <v>3447186.8872515522</v>
      </c>
      <c r="FD19" s="56">
        <v>3447186.8872515522</v>
      </c>
      <c r="FE19" s="56">
        <v>3447186.8872515522</v>
      </c>
      <c r="FF19" s="56">
        <v>3447186.8872515522</v>
      </c>
      <c r="FG19" s="56">
        <v>3447186.8872515522</v>
      </c>
      <c r="FH19" s="56">
        <v>3447186.8872515522</v>
      </c>
      <c r="FI19" s="56">
        <v>3447186.8872515522</v>
      </c>
      <c r="FJ19" s="56">
        <v>3447186.8872515522</v>
      </c>
      <c r="FK19" s="56">
        <v>3447186.8872515522</v>
      </c>
      <c r="FL19" s="56">
        <v>3447186.8872515522</v>
      </c>
      <c r="FM19" s="56">
        <v>3447186.8872515522</v>
      </c>
      <c r="FN19" s="56">
        <v>3534437.8072299231</v>
      </c>
      <c r="FO19" s="56">
        <v>3534437.8072299231</v>
      </c>
      <c r="FP19" s="56">
        <v>3534437.8072299231</v>
      </c>
      <c r="FQ19" s="56">
        <v>3534437.8072299231</v>
      </c>
      <c r="FR19" s="56">
        <v>3534437.8072299231</v>
      </c>
      <c r="FS19" s="56">
        <v>3534437.8072299231</v>
      </c>
      <c r="FT19" s="56">
        <v>3534437.8072299231</v>
      </c>
      <c r="FU19" s="56">
        <v>3534437.8072299231</v>
      </c>
      <c r="FV19" s="56">
        <v>3534437.8072299231</v>
      </c>
      <c r="FW19" s="56">
        <v>3534437.8072299231</v>
      </c>
      <c r="FX19" s="56">
        <v>3534437.8072299231</v>
      </c>
      <c r="FY19" s="56">
        <v>3534437.8072299231</v>
      </c>
      <c r="FZ19" s="56">
        <v>0</v>
      </c>
      <c r="GA19" s="56">
        <v>0</v>
      </c>
      <c r="GB19" s="56">
        <v>0</v>
      </c>
      <c r="GC19" s="56">
        <v>0</v>
      </c>
      <c r="GD19" s="56">
        <v>0</v>
      </c>
      <c r="GE19" s="56">
        <v>0</v>
      </c>
      <c r="GF19" s="56">
        <v>0</v>
      </c>
      <c r="GG19" s="56">
        <v>0</v>
      </c>
      <c r="GH19" s="56">
        <v>0</v>
      </c>
      <c r="GI19" s="56">
        <v>0</v>
      </c>
      <c r="GJ19" s="56">
        <v>0</v>
      </c>
      <c r="GK19" s="85">
        <v>0</v>
      </c>
      <c r="GL19" s="40"/>
    </row>
    <row r="20" spans="1:194" x14ac:dyDescent="0.4">
      <c r="A20" s="84" t="s">
        <v>254</v>
      </c>
      <c r="B20" s="75" t="s">
        <v>256</v>
      </c>
      <c r="C20" s="70" t="s">
        <v>397</v>
      </c>
      <c r="D20" s="70" t="s">
        <v>209</v>
      </c>
      <c r="E20" s="75" t="s">
        <v>193</v>
      </c>
      <c r="F20" s="75" t="s">
        <v>250</v>
      </c>
      <c r="G20" s="75" t="s">
        <v>251</v>
      </c>
      <c r="H20" s="75">
        <v>0</v>
      </c>
      <c r="I20" s="70">
        <v>0</v>
      </c>
      <c r="J20" s="70" t="s">
        <v>210</v>
      </c>
      <c r="K20" s="70">
        <v>0</v>
      </c>
      <c r="L20" s="70" t="s">
        <v>211</v>
      </c>
      <c r="M20" s="71">
        <f>IFERROR(INDEX('(참조)BL_인건비'!$S$3:$AG$40,MATCH(BL_인건비!$A20,'(참조)BL_인건비'!$S$3:$S$40,0),MATCH('(참조)BL_인건비'!X$2,'(참조)BL_인건비'!$S$2:$AG$2,0)),0)</f>
        <v>0</v>
      </c>
      <c r="N20" s="71">
        <f>IFERROR(INDEX('(참조)BL_인건비'!$S$3:$AG$40,MATCH(BL_인건비!$A20,'(참조)BL_인건비'!$S$3:$S$40,0),MATCH('(참조)BL_인건비'!Y$2,'(참조)BL_인건비'!$S$2:$AG$2,0)),0)</f>
        <v>0</v>
      </c>
      <c r="O20" s="71">
        <f>IFERROR(INDEX('(참조)BL_인건비'!$S$3:$AG$40,MATCH(BL_인건비!$A20,'(참조)BL_인건비'!$S$3:$S$40,0),MATCH('(참조)BL_인건비'!Z$2,'(참조)BL_인건비'!$S$2:$AG$2,0)),0)</f>
        <v>0</v>
      </c>
      <c r="P20" s="71">
        <f>IFERROR(INDEX('(참조)BL_인건비'!$S$3:$AG$40,MATCH(BL_인건비!$A20,'(참조)BL_인건비'!$S$3:$S$40,0),MATCH('(참조)BL_인건비'!AA$2,'(참조)BL_인건비'!$S$2:$AG$2,0)),0)</f>
        <v>0</v>
      </c>
      <c r="Q20" s="71">
        <f>IFERROR(INDEX('(참조)BL_인건비'!$S$3:$AG$40,MATCH(BL_인건비!$A20,'(참조)BL_인건비'!$S$3:$S$40,0),MATCH('(참조)BL_인건비'!AB$2,'(참조)BL_인건비'!$S$2:$AG$2,0)),0)</f>
        <v>0</v>
      </c>
      <c r="R20" s="71">
        <f>IFERROR(INDEX('(참조)BL_인건비'!$S$3:$AG$40,MATCH(BL_인건비!$A20,'(참조)BL_인건비'!$S$3:$S$40,0),MATCH('(참조)BL_인건비'!AC$2,'(참조)BL_인건비'!$S$2:$AG$2,0)),0)</f>
        <v>0</v>
      </c>
      <c r="S20" s="71">
        <f>IFERROR(INDEX('(참조)BL_인건비'!$S$3:$AG$40,MATCH(BL_인건비!$A20,'(참조)BL_인건비'!$S$3:$S$40,0),MATCH('(참조)BL_인건비'!AD$2,'(참조)BL_인건비'!$S$2:$AG$2,0)),0)</f>
        <v>0</v>
      </c>
      <c r="T20" s="71">
        <f>IFERROR(INDEX('(참조)BL_인건비'!$S$3:$AG$40,MATCH(BL_인건비!$A20,'(참조)BL_인건비'!$S$3:$S$40,0),MATCH('(참조)BL_인건비'!AE$2,'(참조)BL_인건비'!$S$2:$AG$2,0)),0)</f>
        <v>0</v>
      </c>
      <c r="U20" s="71">
        <f>IFERROR(INDEX('(참조)BL_인건비'!$S$3:$AG$40,MATCH(BL_인건비!$A20,'(참조)BL_인건비'!$S$3:$S$40,0),MATCH('(참조)BL_인건비'!AF$2,'(참조)BL_인건비'!$S$2:$AG$2,0)),0)</f>
        <v>0</v>
      </c>
      <c r="V20" s="71">
        <f>IFERROR(INDEX('(참조)BL_인건비'!$S$3:$AG$40,MATCH(BL_인건비!$A20,'(참조)BL_인건비'!$S$3:$S$40,0),MATCH('(참조)BL_인건비'!AG$2,'(참조)BL_인건비'!$S$2:$AG$2,0)),0)</f>
        <v>0</v>
      </c>
      <c r="W20" s="71">
        <f>IFERROR(INDEX('(참조)BL_인건비'!$S$3:$AG$40,MATCH(BL_인건비!$A20,'(참조)BL_인건비'!$S$3:$S$40,0),MATCH('(참조)BL_인건비'!AH$2,'(참조)BL_인건비'!$S$2:$AG$2,0)),0)</f>
        <v>0</v>
      </c>
      <c r="X20" s="72">
        <v>0</v>
      </c>
      <c r="Y20" s="72">
        <f>IFERROR(INDEX('(참조)BL_인건비'!$A$3:$O$40,MATCH(BL_인건비!$A20,'(참조)BL_인건비'!$A$3:$A$40,0),MATCH('(참조)BL_인건비'!F$2,'(참조)BL_인건비'!$A$2:$O$2,0)),0)</f>
        <v>2822413.9414824001</v>
      </c>
      <c r="Z20" s="72">
        <f>IFERROR(INDEX('(참조)BL_인건비'!$A$3:$O$40,MATCH(BL_인건비!$A20,'(참조)BL_인건비'!$A$3:$A$40,0),MATCH('(참조)BL_인건비'!G$2,'(참조)BL_인건비'!$A$2:$O$2,0)),0)</f>
        <v>2893851.3833759152</v>
      </c>
      <c r="AA20" s="72">
        <f>IFERROR(INDEX('(참조)BL_인건비'!$A$3:$O$40,MATCH(BL_인건비!$A20,'(참조)BL_인건비'!$A$3:$A$40,0),MATCH('(참조)BL_인건비'!H$2,'(참조)BL_인건비'!$A$2:$O$2,0)),0)</f>
        <v>2967096.9612162109</v>
      </c>
      <c r="AB20" s="72">
        <f>IFERROR(INDEX('(참조)BL_인건비'!$A$3:$O$40,MATCH(BL_인건비!$A20,'(참조)BL_인건비'!$A$3:$A$40,0),MATCH('(참조)BL_인건비'!I$2,'(참조)BL_인건비'!$A$2:$O$2,0)),0)</f>
        <v>3042196.4402982835</v>
      </c>
      <c r="AC20" s="72">
        <f>IFERROR(INDEX('(참조)BL_인건비'!$A$3:$O$40,MATCH(BL_인건비!$A20,'(참조)BL_인건비'!$A$3:$A$40,0),MATCH('(참조)BL_인건비'!J$2,'(참조)BL_인건비'!$A$2:$O$2,0)),0)</f>
        <v>3119196.7442715275</v>
      </c>
      <c r="AD20" s="72">
        <f>IFERROR(INDEX('(참조)BL_인건비'!$A$3:$O$40,MATCH(BL_인건비!$A20,'(참조)BL_인건비'!$A$3:$A$40,0),MATCH('(참조)BL_인건비'!K$2,'(참조)BL_인건비'!$A$2:$O$2,0)),0)</f>
        <v>3198145.9844585657</v>
      </c>
      <c r="AE20" s="72">
        <f>IFERROR(INDEX('(참조)BL_인건비'!$A$3:$O$40,MATCH(BL_인건비!$A20,'(참조)BL_인건비'!$A$3:$A$40,0),MATCH('(참조)BL_인건비'!L$2,'(참조)BL_인건비'!$A$2:$O$2,0)),0)</f>
        <v>3279093.4899161602</v>
      </c>
      <c r="AF20" s="72">
        <f>IFERROR(INDEX('(참조)BL_인건비'!$A$3:$O$40,MATCH(BL_인건비!$A20,'(참조)BL_인건비'!$A$3:$A$40,0),MATCH('(참조)BL_인건비'!M$2,'(참조)BL_인건비'!$A$2:$O$2,0)),0)</f>
        <v>3362089.8382569905</v>
      </c>
      <c r="AG20" s="72">
        <f>IFERROR(INDEX('(참조)BL_인건비'!$A$3:$O$40,MATCH(BL_인건비!$A20,'(참조)BL_인건비'!$A$3:$A$40,0),MATCH('(참조)BL_인건비'!N$2,'(참조)BL_인건비'!$A$2:$O$2,0)),0)</f>
        <v>3447186.8872515522</v>
      </c>
      <c r="AH20" s="72">
        <f>IFERROR(INDEX('(참조)BL_인건비'!$A$3:$O$40,MATCH(BL_인건비!$A20,'(참조)BL_인건비'!$A$3:$A$40,0),MATCH('(참조)BL_인건비'!O$2,'(참조)BL_인건비'!$A$2:$O$2,0)),0)</f>
        <v>3534437.8072299231</v>
      </c>
      <c r="AI20" s="72">
        <f>IFERROR(INDEX('(참조)BL_인건비'!$A$3:$O$40,MATCH(BL_인건비!$A20,'(참조)BL_인건비'!$A$3:$A$40,0),MATCH('(참조)BL_인건비'!P$2,'(참조)BL_인건비'!$A$2:$O$2,0)),0)</f>
        <v>0</v>
      </c>
      <c r="AJ20" s="72">
        <v>12</v>
      </c>
      <c r="AK20" s="72">
        <v>12</v>
      </c>
      <c r="AL20" s="72">
        <v>12</v>
      </c>
      <c r="AM20" s="72">
        <v>12</v>
      </c>
      <c r="AN20" s="72">
        <v>12</v>
      </c>
      <c r="AO20" s="72">
        <v>12</v>
      </c>
      <c r="AP20" s="72">
        <v>12</v>
      </c>
      <c r="AQ20" s="72">
        <v>12</v>
      </c>
      <c r="AR20" s="72">
        <v>12</v>
      </c>
      <c r="AS20" s="72">
        <v>12</v>
      </c>
      <c r="AT20" s="72">
        <v>12</v>
      </c>
      <c r="AU20" s="73">
        <v>1</v>
      </c>
      <c r="AV20" s="70">
        <v>0</v>
      </c>
      <c r="AW20" s="70">
        <v>0</v>
      </c>
      <c r="AX20" s="56">
        <v>0</v>
      </c>
      <c r="AY20" s="56">
        <v>0</v>
      </c>
      <c r="AZ20" s="56">
        <v>0</v>
      </c>
      <c r="BA20" s="56">
        <v>0</v>
      </c>
      <c r="BB20" s="56">
        <v>0</v>
      </c>
      <c r="BC20" s="56">
        <v>0</v>
      </c>
      <c r="BD20" s="56">
        <v>0</v>
      </c>
      <c r="BE20" s="56">
        <v>0</v>
      </c>
      <c r="BF20" s="56">
        <v>0</v>
      </c>
      <c r="BG20" s="56">
        <v>0</v>
      </c>
      <c r="BH20" s="56">
        <v>0</v>
      </c>
      <c r="BI20" s="56">
        <v>0</v>
      </c>
      <c r="BJ20" s="74">
        <v>0</v>
      </c>
      <c r="BK20" s="56">
        <v>0</v>
      </c>
      <c r="BL20" s="56">
        <v>0</v>
      </c>
      <c r="BM20" s="56">
        <v>0</v>
      </c>
      <c r="BN20" s="56">
        <v>0</v>
      </c>
      <c r="BO20" s="56">
        <v>0</v>
      </c>
      <c r="BP20" s="56">
        <v>0</v>
      </c>
      <c r="BQ20" s="56">
        <v>0</v>
      </c>
      <c r="BR20" s="56">
        <v>0</v>
      </c>
      <c r="BS20" s="56">
        <v>0</v>
      </c>
      <c r="BT20" s="56">
        <v>0</v>
      </c>
      <c r="BU20" s="56">
        <v>0</v>
      </c>
      <c r="BV20" s="56">
        <v>0</v>
      </c>
      <c r="BW20" s="56">
        <v>0</v>
      </c>
      <c r="BX20" s="56">
        <v>0</v>
      </c>
      <c r="BY20" s="56">
        <v>0</v>
      </c>
      <c r="BZ20" s="56">
        <v>0</v>
      </c>
      <c r="CA20" s="56">
        <v>0</v>
      </c>
      <c r="CB20" s="56">
        <v>0</v>
      </c>
      <c r="CC20" s="56">
        <v>0</v>
      </c>
      <c r="CD20" s="56">
        <v>0</v>
      </c>
      <c r="CE20" s="56">
        <v>0</v>
      </c>
      <c r="CF20" s="56">
        <v>0</v>
      </c>
      <c r="CG20" s="56">
        <v>0</v>
      </c>
      <c r="CH20" s="56">
        <v>0</v>
      </c>
      <c r="CI20" s="56">
        <v>0</v>
      </c>
      <c r="CJ20" s="56">
        <v>0</v>
      </c>
      <c r="CK20" s="56">
        <v>0</v>
      </c>
      <c r="CL20" s="56">
        <v>0</v>
      </c>
      <c r="CM20" s="56">
        <v>0</v>
      </c>
      <c r="CN20" s="56">
        <v>0</v>
      </c>
      <c r="CO20" s="56">
        <v>0</v>
      </c>
      <c r="CP20" s="56">
        <v>0</v>
      </c>
      <c r="CQ20" s="56">
        <v>0</v>
      </c>
      <c r="CR20" s="56">
        <v>0</v>
      </c>
      <c r="CS20" s="56">
        <v>0</v>
      </c>
      <c r="CT20" s="56">
        <v>0</v>
      </c>
      <c r="CU20" s="56">
        <v>0</v>
      </c>
      <c r="CV20" s="56">
        <v>0</v>
      </c>
      <c r="CW20" s="56">
        <v>0</v>
      </c>
      <c r="CX20" s="56">
        <v>0</v>
      </c>
      <c r="CY20" s="56">
        <v>0</v>
      </c>
      <c r="CZ20" s="56">
        <v>0</v>
      </c>
      <c r="DA20" s="56">
        <v>0</v>
      </c>
      <c r="DB20" s="56">
        <v>0</v>
      </c>
      <c r="DC20" s="56">
        <v>0</v>
      </c>
      <c r="DD20" s="56">
        <v>0</v>
      </c>
      <c r="DE20" s="56">
        <v>0</v>
      </c>
      <c r="DF20" s="56">
        <v>0</v>
      </c>
      <c r="DG20" s="56">
        <v>0</v>
      </c>
      <c r="DH20" s="56">
        <v>0</v>
      </c>
      <c r="DI20" s="56">
        <v>0</v>
      </c>
      <c r="DJ20" s="56">
        <v>0</v>
      </c>
      <c r="DK20" s="56">
        <v>0</v>
      </c>
      <c r="DL20" s="56">
        <v>0</v>
      </c>
      <c r="DM20" s="56">
        <v>0</v>
      </c>
      <c r="DN20" s="56">
        <v>0</v>
      </c>
      <c r="DO20" s="56">
        <v>0</v>
      </c>
      <c r="DP20" s="56">
        <v>0</v>
      </c>
      <c r="DQ20" s="56">
        <v>0</v>
      </c>
      <c r="DR20" s="56">
        <v>0</v>
      </c>
      <c r="DS20" s="56">
        <v>0</v>
      </c>
      <c r="DT20" s="56">
        <v>0</v>
      </c>
      <c r="DU20" s="56">
        <v>0</v>
      </c>
      <c r="DV20" s="56">
        <v>0</v>
      </c>
      <c r="DW20" s="56">
        <v>0</v>
      </c>
      <c r="DX20" s="56">
        <v>0</v>
      </c>
      <c r="DY20" s="56">
        <v>0</v>
      </c>
      <c r="DZ20" s="56">
        <v>0</v>
      </c>
      <c r="EA20" s="56">
        <v>0</v>
      </c>
      <c r="EB20" s="56">
        <v>0</v>
      </c>
      <c r="EC20" s="56">
        <v>0</v>
      </c>
      <c r="ED20" s="56">
        <v>0</v>
      </c>
      <c r="EE20" s="56">
        <v>0</v>
      </c>
      <c r="EF20" s="56">
        <v>0</v>
      </c>
      <c r="EG20" s="56">
        <v>0</v>
      </c>
      <c r="EH20" s="56">
        <v>0</v>
      </c>
      <c r="EI20" s="56">
        <v>0</v>
      </c>
      <c r="EJ20" s="56">
        <v>0</v>
      </c>
      <c r="EK20" s="56">
        <v>0</v>
      </c>
      <c r="EL20" s="56">
        <v>0</v>
      </c>
      <c r="EM20" s="56">
        <v>0</v>
      </c>
      <c r="EN20" s="56">
        <v>0</v>
      </c>
      <c r="EO20" s="56">
        <v>0</v>
      </c>
      <c r="EP20" s="56">
        <v>0</v>
      </c>
      <c r="EQ20" s="56">
        <v>0</v>
      </c>
      <c r="ER20" s="56">
        <v>0</v>
      </c>
      <c r="ES20" s="56">
        <v>0</v>
      </c>
      <c r="ET20" s="56">
        <v>0</v>
      </c>
      <c r="EU20" s="56">
        <v>0</v>
      </c>
      <c r="EV20" s="56">
        <v>0</v>
      </c>
      <c r="EW20" s="56">
        <v>0</v>
      </c>
      <c r="EX20" s="56">
        <v>0</v>
      </c>
      <c r="EY20" s="56">
        <v>0</v>
      </c>
      <c r="EZ20" s="56">
        <v>0</v>
      </c>
      <c r="FA20" s="56">
        <v>0</v>
      </c>
      <c r="FB20" s="56">
        <v>0</v>
      </c>
      <c r="FC20" s="56">
        <v>0</v>
      </c>
      <c r="FD20" s="56">
        <v>0</v>
      </c>
      <c r="FE20" s="56">
        <v>0</v>
      </c>
      <c r="FF20" s="56">
        <v>0</v>
      </c>
      <c r="FG20" s="56">
        <v>0</v>
      </c>
      <c r="FH20" s="56">
        <v>0</v>
      </c>
      <c r="FI20" s="56">
        <v>0</v>
      </c>
      <c r="FJ20" s="56">
        <v>0</v>
      </c>
      <c r="FK20" s="56">
        <v>0</v>
      </c>
      <c r="FL20" s="56">
        <v>0</v>
      </c>
      <c r="FM20" s="56">
        <v>0</v>
      </c>
      <c r="FN20" s="56">
        <v>0</v>
      </c>
      <c r="FO20" s="56">
        <v>0</v>
      </c>
      <c r="FP20" s="56">
        <v>0</v>
      </c>
      <c r="FQ20" s="56">
        <v>0</v>
      </c>
      <c r="FR20" s="56">
        <v>0</v>
      </c>
      <c r="FS20" s="56">
        <v>0</v>
      </c>
      <c r="FT20" s="56">
        <v>0</v>
      </c>
      <c r="FU20" s="56">
        <v>0</v>
      </c>
      <c r="FV20" s="56">
        <v>0</v>
      </c>
      <c r="FW20" s="56">
        <v>0</v>
      </c>
      <c r="FX20" s="56">
        <v>0</v>
      </c>
      <c r="FY20" s="56">
        <v>0</v>
      </c>
      <c r="FZ20" s="56">
        <v>0</v>
      </c>
      <c r="GA20" s="56">
        <v>0</v>
      </c>
      <c r="GB20" s="56">
        <v>0</v>
      </c>
      <c r="GC20" s="56">
        <v>0</v>
      </c>
      <c r="GD20" s="56">
        <v>0</v>
      </c>
      <c r="GE20" s="56">
        <v>0</v>
      </c>
      <c r="GF20" s="56">
        <v>0</v>
      </c>
      <c r="GG20" s="56">
        <v>0</v>
      </c>
      <c r="GH20" s="56">
        <v>0</v>
      </c>
      <c r="GI20" s="56">
        <v>0</v>
      </c>
      <c r="GJ20" s="56">
        <v>0</v>
      </c>
      <c r="GK20" s="85">
        <v>0</v>
      </c>
      <c r="GL20" s="40"/>
    </row>
    <row r="21" spans="1:194" x14ac:dyDescent="0.4">
      <c r="A21" s="84" t="s">
        <v>258</v>
      </c>
      <c r="B21" s="75" t="s">
        <v>256</v>
      </c>
      <c r="C21" s="70" t="s">
        <v>397</v>
      </c>
      <c r="D21" s="70" t="s">
        <v>209</v>
      </c>
      <c r="E21" s="75" t="s">
        <v>175</v>
      </c>
      <c r="F21" s="75" t="s">
        <v>250</v>
      </c>
      <c r="G21" s="75" t="s">
        <v>175</v>
      </c>
      <c r="H21" s="75">
        <v>0</v>
      </c>
      <c r="I21" s="70">
        <v>0</v>
      </c>
      <c r="J21" s="70" t="s">
        <v>210</v>
      </c>
      <c r="K21" s="70">
        <v>0</v>
      </c>
      <c r="L21" s="70" t="s">
        <v>211</v>
      </c>
      <c r="M21" s="71">
        <f>IFERROR(INDEX('(참조)BL_인건비'!$S$3:$AG$40,MATCH(BL_인건비!$A21,'(참조)BL_인건비'!$S$3:$S$40,0),MATCH('(참조)BL_인건비'!X$2,'(참조)BL_인건비'!$S$2:$AG$2,0)),0)</f>
        <v>19.5</v>
      </c>
      <c r="N21" s="71">
        <f>IFERROR(INDEX('(참조)BL_인건비'!$S$3:$AG$40,MATCH(BL_인건비!$A21,'(참조)BL_인건비'!$S$3:$S$40,0),MATCH('(참조)BL_인건비'!Y$2,'(참조)BL_인건비'!$S$2:$AG$2,0)),0)</f>
        <v>34</v>
      </c>
      <c r="O21" s="71">
        <f>IFERROR(INDEX('(참조)BL_인건비'!$S$3:$AG$40,MATCH(BL_인건비!$A21,'(참조)BL_인건비'!$S$3:$S$40,0),MATCH('(참조)BL_인건비'!Z$2,'(참조)BL_인건비'!$S$2:$AG$2,0)),0)</f>
        <v>34</v>
      </c>
      <c r="P21" s="71">
        <f>IFERROR(INDEX('(참조)BL_인건비'!$S$3:$AG$40,MATCH(BL_인건비!$A21,'(참조)BL_인건비'!$S$3:$S$40,0),MATCH('(참조)BL_인건비'!AA$2,'(참조)BL_인건비'!$S$2:$AG$2,0)),0)</f>
        <v>34</v>
      </c>
      <c r="Q21" s="71">
        <f>IFERROR(INDEX('(참조)BL_인건비'!$S$3:$AG$40,MATCH(BL_인건비!$A21,'(참조)BL_인건비'!$S$3:$S$40,0),MATCH('(참조)BL_인건비'!AB$2,'(참조)BL_인건비'!$S$2:$AG$2,0)),0)</f>
        <v>34</v>
      </c>
      <c r="R21" s="71">
        <f>IFERROR(INDEX('(참조)BL_인건비'!$S$3:$AG$40,MATCH(BL_인건비!$A21,'(참조)BL_인건비'!$S$3:$S$40,0),MATCH('(참조)BL_인건비'!AC$2,'(참조)BL_인건비'!$S$2:$AG$2,0)),0)</f>
        <v>34</v>
      </c>
      <c r="S21" s="71">
        <f>IFERROR(INDEX('(참조)BL_인건비'!$S$3:$AG$40,MATCH(BL_인건비!$A21,'(참조)BL_인건비'!$S$3:$S$40,0),MATCH('(참조)BL_인건비'!AD$2,'(참조)BL_인건비'!$S$2:$AG$2,0)),0)</f>
        <v>34</v>
      </c>
      <c r="T21" s="71">
        <f>IFERROR(INDEX('(참조)BL_인건비'!$S$3:$AG$40,MATCH(BL_인건비!$A21,'(참조)BL_인건비'!$S$3:$S$40,0),MATCH('(참조)BL_인건비'!AE$2,'(참조)BL_인건비'!$S$2:$AG$2,0)),0)</f>
        <v>34</v>
      </c>
      <c r="U21" s="71">
        <f>IFERROR(INDEX('(참조)BL_인건비'!$S$3:$AG$40,MATCH(BL_인건비!$A21,'(참조)BL_인건비'!$S$3:$S$40,0),MATCH('(참조)BL_인건비'!AF$2,'(참조)BL_인건비'!$S$2:$AG$2,0)),0)</f>
        <v>34</v>
      </c>
      <c r="V21" s="71">
        <f>IFERROR(INDEX('(참조)BL_인건비'!$S$3:$AG$40,MATCH(BL_인건비!$A21,'(참조)BL_인건비'!$S$3:$S$40,0),MATCH('(참조)BL_인건비'!AG$2,'(참조)BL_인건비'!$S$2:$AG$2,0)),0)</f>
        <v>34</v>
      </c>
      <c r="W21" s="71">
        <f>IFERROR(INDEX('(참조)BL_인건비'!$S$3:$AG$40,MATCH(BL_인건비!$A21,'(참조)BL_인건비'!$S$3:$S$40,0),MATCH('(참조)BL_인건비'!AH$2,'(참조)BL_인건비'!$S$2:$AG$2,0)),0)</f>
        <v>0</v>
      </c>
      <c r="X21" s="72">
        <v>0</v>
      </c>
      <c r="Y21" s="72">
        <f>IFERROR(INDEX('(참조)BL_인건비'!$A$3:$O$40,MATCH(BL_인건비!$A21,'(참조)BL_인건비'!$A$3:$A$40,0),MATCH('(참조)BL_인건비'!F$2,'(참조)BL_인건비'!$A$2:$O$2,0)),0)</f>
        <v>2475400.5906926799</v>
      </c>
      <c r="Z21" s="72">
        <f>IFERROR(INDEX('(참조)BL_인건비'!$A$3:$O$40,MATCH(BL_인건비!$A21,'(참조)BL_인건비'!$A$3:$A$40,0),MATCH('(참조)BL_인건비'!G$2,'(참조)BL_인건비'!$A$2:$O$2,0)),0)</f>
        <v>2538054.8609475605</v>
      </c>
      <c r="AA21" s="72">
        <f>IFERROR(INDEX('(참조)BL_인건비'!$A$3:$O$40,MATCH(BL_인건비!$A21,'(참조)BL_인건비'!$A$3:$A$40,0),MATCH('(참조)BL_인건비'!H$2,'(참조)BL_인건비'!$A$2:$O$2,0)),0)</f>
        <v>2602294.9583998374</v>
      </c>
      <c r="AB21" s="72">
        <f>IFERROR(INDEX('(참조)BL_인건비'!$A$3:$O$40,MATCH(BL_인건비!$A21,'(참조)BL_인건비'!$A$3:$A$40,0),MATCH('(참조)BL_인건비'!I$2,'(참조)BL_인건비'!$A$2:$O$2,0)),0)</f>
        <v>2668161.0215411056</v>
      </c>
      <c r="AC21" s="72">
        <f>IFERROR(INDEX('(참조)BL_인건비'!$A$3:$O$40,MATCH(BL_인건비!$A21,'(참조)BL_인건비'!$A$3:$A$40,0),MATCH('(참조)BL_인건비'!J$2,'(참조)BL_인건비'!$A$2:$O$2,0)),0)</f>
        <v>2735694.2047986872</v>
      </c>
      <c r="AD21" s="72">
        <f>IFERROR(INDEX('(참조)BL_인건비'!$A$3:$O$40,MATCH(BL_인건비!$A21,'(참조)BL_인건비'!$A$3:$A$40,0),MATCH('(참조)BL_인건비'!K$2,'(참조)BL_인건비'!$A$2:$O$2,0)),0)</f>
        <v>2804936.7042497378</v>
      </c>
      <c r="AE21" s="72">
        <f>IFERROR(INDEX('(참조)BL_인건비'!$A$3:$O$40,MATCH(BL_인건비!$A21,'(참조)BL_인건비'!$A$3:$A$40,0),MATCH('(참조)BL_인건비'!L$2,'(참조)BL_인건비'!$A$2:$O$2,0)),0)</f>
        <v>2875931.7839861941</v>
      </c>
      <c r="AF21" s="72">
        <f>IFERROR(INDEX('(참조)BL_인건비'!$A$3:$O$40,MATCH(BL_인건비!$A21,'(참조)BL_인건비'!$A$3:$A$40,0),MATCH('(참조)BL_인건비'!M$2,'(참조)BL_인건비'!$A$2:$O$2,0)),0)</f>
        <v>2948723.8031470403</v>
      </c>
      <c r="AG21" s="72">
        <f>IFERROR(INDEX('(참조)BL_인건비'!$A$3:$O$40,MATCH(BL_인건비!$A21,'(참조)BL_인건비'!$A$3:$A$40,0),MATCH('(참조)BL_인건비'!N$2,'(참조)BL_인건비'!$A$2:$O$2,0)),0)</f>
        <v>3023358.2436347823</v>
      </c>
      <c r="AH21" s="72">
        <f>IFERROR(INDEX('(참조)BL_인건비'!$A$3:$O$40,MATCH(BL_인건비!$A21,'(참조)BL_인건비'!$A$3:$A$40,0),MATCH('(참조)BL_인건비'!O$2,'(참조)BL_인건비'!$A$2:$O$2,0)),0)</f>
        <v>3099881.7385334438</v>
      </c>
      <c r="AI21" s="72">
        <f>IFERROR(INDEX('(참조)BL_인건비'!$A$3:$O$40,MATCH(BL_인건비!$A21,'(참조)BL_인건비'!$A$3:$A$40,0),MATCH('(참조)BL_인건비'!P$2,'(참조)BL_인건비'!$A$2:$O$2,0)),0)</f>
        <v>0</v>
      </c>
      <c r="AJ21" s="72">
        <v>12</v>
      </c>
      <c r="AK21" s="72">
        <v>12</v>
      </c>
      <c r="AL21" s="72">
        <v>12</v>
      </c>
      <c r="AM21" s="72">
        <v>12</v>
      </c>
      <c r="AN21" s="72">
        <v>12</v>
      </c>
      <c r="AO21" s="72">
        <v>12</v>
      </c>
      <c r="AP21" s="72">
        <v>12</v>
      </c>
      <c r="AQ21" s="72">
        <v>12</v>
      </c>
      <c r="AR21" s="72">
        <v>12</v>
      </c>
      <c r="AS21" s="72">
        <v>12</v>
      </c>
      <c r="AT21" s="72">
        <v>12</v>
      </c>
      <c r="AU21" s="73">
        <v>1</v>
      </c>
      <c r="AV21" s="70">
        <v>0</v>
      </c>
      <c r="AW21" s="70">
        <v>0</v>
      </c>
      <c r="AX21" s="56">
        <v>10900434964.47135</v>
      </c>
      <c r="AY21" s="56">
        <v>579243738.22208703</v>
      </c>
      <c r="AZ21" s="56">
        <v>1035526383.2666045</v>
      </c>
      <c r="BA21" s="56">
        <v>1061736343.0271335</v>
      </c>
      <c r="BB21" s="56">
        <v>1088609696.7887709</v>
      </c>
      <c r="BC21" s="56">
        <v>1116163235.5578644</v>
      </c>
      <c r="BD21" s="56">
        <v>1144414175.3338933</v>
      </c>
      <c r="BE21" s="56">
        <v>1173380167.8663671</v>
      </c>
      <c r="BF21" s="56">
        <v>1203079311.6839924</v>
      </c>
      <c r="BG21" s="56">
        <v>1233530163.4029911</v>
      </c>
      <c r="BH21" s="56">
        <v>1264751749.321645</v>
      </c>
      <c r="BI21" s="56">
        <v>0</v>
      </c>
      <c r="BJ21" s="74">
        <v>48270311.518507257</v>
      </c>
      <c r="BK21" s="56">
        <v>48270311.518507257</v>
      </c>
      <c r="BL21" s="56">
        <v>48270311.518507257</v>
      </c>
      <c r="BM21" s="56">
        <v>48270311.518507257</v>
      </c>
      <c r="BN21" s="56">
        <v>48270311.518507257</v>
      </c>
      <c r="BO21" s="56">
        <v>48270311.518507257</v>
      </c>
      <c r="BP21" s="56">
        <v>48270311.518507257</v>
      </c>
      <c r="BQ21" s="56">
        <v>48270311.518507257</v>
      </c>
      <c r="BR21" s="56">
        <v>48270311.518507257</v>
      </c>
      <c r="BS21" s="56">
        <v>48270311.518507257</v>
      </c>
      <c r="BT21" s="56">
        <v>48270311.518507257</v>
      </c>
      <c r="BU21" s="56">
        <v>48270311.518507257</v>
      </c>
      <c r="BV21" s="56">
        <v>86293865.272217065</v>
      </c>
      <c r="BW21" s="56">
        <v>86293865.272217065</v>
      </c>
      <c r="BX21" s="56">
        <v>86293865.272217065</v>
      </c>
      <c r="BY21" s="56">
        <v>86293865.272217065</v>
      </c>
      <c r="BZ21" s="56">
        <v>86293865.272217065</v>
      </c>
      <c r="CA21" s="56">
        <v>86293865.272217065</v>
      </c>
      <c r="CB21" s="56">
        <v>86293865.272217065</v>
      </c>
      <c r="CC21" s="56">
        <v>86293865.272217065</v>
      </c>
      <c r="CD21" s="56">
        <v>86293865.272217065</v>
      </c>
      <c r="CE21" s="56">
        <v>86293865.272217065</v>
      </c>
      <c r="CF21" s="56">
        <v>86293865.272217065</v>
      </c>
      <c r="CG21" s="56">
        <v>86293865.272217065</v>
      </c>
      <c r="CH21" s="56">
        <v>88478028.585594475</v>
      </c>
      <c r="CI21" s="56">
        <v>88478028.585594475</v>
      </c>
      <c r="CJ21" s="56">
        <v>88478028.585594475</v>
      </c>
      <c r="CK21" s="56">
        <v>88478028.585594475</v>
      </c>
      <c r="CL21" s="56">
        <v>88478028.585594475</v>
      </c>
      <c r="CM21" s="56">
        <v>88478028.585594475</v>
      </c>
      <c r="CN21" s="56">
        <v>88478028.585594475</v>
      </c>
      <c r="CO21" s="56">
        <v>88478028.585594475</v>
      </c>
      <c r="CP21" s="56">
        <v>88478028.585594475</v>
      </c>
      <c r="CQ21" s="56">
        <v>88478028.585594475</v>
      </c>
      <c r="CR21" s="56">
        <v>88478028.585594475</v>
      </c>
      <c r="CS21" s="56">
        <v>88478028.585594475</v>
      </c>
      <c r="CT21" s="56">
        <v>90717474.732397586</v>
      </c>
      <c r="CU21" s="56">
        <v>90717474.732397586</v>
      </c>
      <c r="CV21" s="56">
        <v>90717474.732397586</v>
      </c>
      <c r="CW21" s="56">
        <v>90717474.732397586</v>
      </c>
      <c r="CX21" s="56">
        <v>90717474.732397586</v>
      </c>
      <c r="CY21" s="56">
        <v>90717474.732397586</v>
      </c>
      <c r="CZ21" s="56">
        <v>90717474.732397586</v>
      </c>
      <c r="DA21" s="56">
        <v>90717474.732397586</v>
      </c>
      <c r="DB21" s="56">
        <v>90717474.732397586</v>
      </c>
      <c r="DC21" s="56">
        <v>90717474.732397586</v>
      </c>
      <c r="DD21" s="56">
        <v>90717474.732397586</v>
      </c>
      <c r="DE21" s="56">
        <v>90717474.732397586</v>
      </c>
      <c r="DF21" s="56">
        <v>93013602.963155359</v>
      </c>
      <c r="DG21" s="56">
        <v>93013602.963155359</v>
      </c>
      <c r="DH21" s="56">
        <v>93013602.963155359</v>
      </c>
      <c r="DI21" s="56">
        <v>93013602.963155359</v>
      </c>
      <c r="DJ21" s="56">
        <v>93013602.963155359</v>
      </c>
      <c r="DK21" s="56">
        <v>93013602.963155359</v>
      </c>
      <c r="DL21" s="56">
        <v>93013602.963155359</v>
      </c>
      <c r="DM21" s="56">
        <v>93013602.963155359</v>
      </c>
      <c r="DN21" s="56">
        <v>93013602.963155359</v>
      </c>
      <c r="DO21" s="56">
        <v>93013602.963155359</v>
      </c>
      <c r="DP21" s="56">
        <v>93013602.963155359</v>
      </c>
      <c r="DQ21" s="56">
        <v>93013602.963155359</v>
      </c>
      <c r="DR21" s="56">
        <v>95367847.944491088</v>
      </c>
      <c r="DS21" s="56">
        <v>95367847.944491088</v>
      </c>
      <c r="DT21" s="56">
        <v>95367847.944491088</v>
      </c>
      <c r="DU21" s="56">
        <v>95367847.944491088</v>
      </c>
      <c r="DV21" s="56">
        <v>95367847.944491088</v>
      </c>
      <c r="DW21" s="56">
        <v>95367847.944491088</v>
      </c>
      <c r="DX21" s="56">
        <v>95367847.944491088</v>
      </c>
      <c r="DY21" s="56">
        <v>95367847.944491088</v>
      </c>
      <c r="DZ21" s="56">
        <v>95367847.944491088</v>
      </c>
      <c r="EA21" s="56">
        <v>95367847.944491088</v>
      </c>
      <c r="EB21" s="56">
        <v>95367847.944491088</v>
      </c>
      <c r="EC21" s="56">
        <v>95367847.944491088</v>
      </c>
      <c r="ED21" s="56">
        <v>97781680.655530602</v>
      </c>
      <c r="EE21" s="56">
        <v>97781680.655530602</v>
      </c>
      <c r="EF21" s="56">
        <v>97781680.655530602</v>
      </c>
      <c r="EG21" s="56">
        <v>97781680.655530602</v>
      </c>
      <c r="EH21" s="56">
        <v>97781680.655530602</v>
      </c>
      <c r="EI21" s="56">
        <v>97781680.655530602</v>
      </c>
      <c r="EJ21" s="56">
        <v>97781680.655530602</v>
      </c>
      <c r="EK21" s="56">
        <v>97781680.655530602</v>
      </c>
      <c r="EL21" s="56">
        <v>97781680.655530602</v>
      </c>
      <c r="EM21" s="56">
        <v>97781680.655530602</v>
      </c>
      <c r="EN21" s="56">
        <v>97781680.655530602</v>
      </c>
      <c r="EO21" s="56">
        <v>97781680.655530602</v>
      </c>
      <c r="EP21" s="56">
        <v>100256609.30699937</v>
      </c>
      <c r="EQ21" s="56">
        <v>100256609.30699937</v>
      </c>
      <c r="ER21" s="56">
        <v>100256609.30699937</v>
      </c>
      <c r="ES21" s="56">
        <v>100256609.30699937</v>
      </c>
      <c r="ET21" s="56">
        <v>100256609.30699937</v>
      </c>
      <c r="EU21" s="56">
        <v>100256609.30699937</v>
      </c>
      <c r="EV21" s="56">
        <v>100256609.30699937</v>
      </c>
      <c r="EW21" s="56">
        <v>100256609.30699937</v>
      </c>
      <c r="EX21" s="56">
        <v>100256609.30699937</v>
      </c>
      <c r="EY21" s="56">
        <v>100256609.30699937</v>
      </c>
      <c r="EZ21" s="56">
        <v>100256609.30699937</v>
      </c>
      <c r="FA21" s="56">
        <v>100256609.30699937</v>
      </c>
      <c r="FB21" s="56">
        <v>102794180.2835826</v>
      </c>
      <c r="FC21" s="56">
        <v>102794180.2835826</v>
      </c>
      <c r="FD21" s="56">
        <v>102794180.2835826</v>
      </c>
      <c r="FE21" s="56">
        <v>102794180.2835826</v>
      </c>
      <c r="FF21" s="56">
        <v>102794180.2835826</v>
      </c>
      <c r="FG21" s="56">
        <v>102794180.2835826</v>
      </c>
      <c r="FH21" s="56">
        <v>102794180.2835826</v>
      </c>
      <c r="FI21" s="56">
        <v>102794180.2835826</v>
      </c>
      <c r="FJ21" s="56">
        <v>102794180.2835826</v>
      </c>
      <c r="FK21" s="56">
        <v>102794180.2835826</v>
      </c>
      <c r="FL21" s="56">
        <v>102794180.2835826</v>
      </c>
      <c r="FM21" s="56">
        <v>102794180.2835826</v>
      </c>
      <c r="FN21" s="56">
        <v>105395979.11013709</v>
      </c>
      <c r="FO21" s="56">
        <v>105395979.11013709</v>
      </c>
      <c r="FP21" s="56">
        <v>105395979.11013709</v>
      </c>
      <c r="FQ21" s="56">
        <v>105395979.11013709</v>
      </c>
      <c r="FR21" s="56">
        <v>105395979.11013709</v>
      </c>
      <c r="FS21" s="56">
        <v>105395979.11013709</v>
      </c>
      <c r="FT21" s="56">
        <v>105395979.11013709</v>
      </c>
      <c r="FU21" s="56">
        <v>105395979.11013709</v>
      </c>
      <c r="FV21" s="56">
        <v>105395979.11013709</v>
      </c>
      <c r="FW21" s="56">
        <v>105395979.11013709</v>
      </c>
      <c r="FX21" s="56">
        <v>105395979.11013709</v>
      </c>
      <c r="FY21" s="56">
        <v>105395979.11013709</v>
      </c>
      <c r="FZ21" s="56">
        <v>0</v>
      </c>
      <c r="GA21" s="56">
        <v>0</v>
      </c>
      <c r="GB21" s="56">
        <v>0</v>
      </c>
      <c r="GC21" s="56">
        <v>0</v>
      </c>
      <c r="GD21" s="56">
        <v>0</v>
      </c>
      <c r="GE21" s="56">
        <v>0</v>
      </c>
      <c r="GF21" s="56">
        <v>0</v>
      </c>
      <c r="GG21" s="56">
        <v>0</v>
      </c>
      <c r="GH21" s="56">
        <v>0</v>
      </c>
      <c r="GI21" s="56">
        <v>0</v>
      </c>
      <c r="GJ21" s="56">
        <v>0</v>
      </c>
      <c r="GK21" s="85">
        <v>0</v>
      </c>
      <c r="GL21" s="40"/>
    </row>
    <row r="22" spans="1:194" x14ac:dyDescent="0.4">
      <c r="A22" s="84" t="s">
        <v>259</v>
      </c>
      <c r="B22" s="75" t="s">
        <v>256</v>
      </c>
      <c r="C22" s="70" t="s">
        <v>397</v>
      </c>
      <c r="D22" s="70" t="s">
        <v>209</v>
      </c>
      <c r="E22" s="75" t="s">
        <v>175</v>
      </c>
      <c r="F22" s="75" t="s">
        <v>252</v>
      </c>
      <c r="G22" s="75" t="s">
        <v>175</v>
      </c>
      <c r="H22" s="75">
        <v>0</v>
      </c>
      <c r="I22" s="70">
        <v>0</v>
      </c>
      <c r="J22" s="70" t="s">
        <v>210</v>
      </c>
      <c r="K22" s="70">
        <v>0</v>
      </c>
      <c r="L22" s="70" t="s">
        <v>211</v>
      </c>
      <c r="M22" s="71">
        <f>IFERROR(INDEX('(참조)BL_인건비'!$S$3:$AG$40,MATCH(BL_인건비!$A22,'(참조)BL_인건비'!$S$3:$S$40,0),MATCH('(참조)BL_인건비'!X$2,'(참조)BL_인건비'!$S$2:$AG$2,0)),0)</f>
        <v>4</v>
      </c>
      <c r="N22" s="71">
        <f>IFERROR(INDEX('(참조)BL_인건비'!$S$3:$AG$40,MATCH(BL_인건비!$A22,'(참조)BL_인건비'!$S$3:$S$40,0),MATCH('(참조)BL_인건비'!Y$2,'(참조)BL_인건비'!$S$2:$AG$2,0)),0)</f>
        <v>4</v>
      </c>
      <c r="O22" s="71">
        <f>IFERROR(INDEX('(참조)BL_인건비'!$S$3:$AG$40,MATCH(BL_인건비!$A22,'(참조)BL_인건비'!$S$3:$S$40,0),MATCH('(참조)BL_인건비'!Z$2,'(참조)BL_인건비'!$S$2:$AG$2,0)),0)</f>
        <v>4</v>
      </c>
      <c r="P22" s="71">
        <f>IFERROR(INDEX('(참조)BL_인건비'!$S$3:$AG$40,MATCH(BL_인건비!$A22,'(참조)BL_인건비'!$S$3:$S$40,0),MATCH('(참조)BL_인건비'!AA$2,'(참조)BL_인건비'!$S$2:$AG$2,0)),0)</f>
        <v>4</v>
      </c>
      <c r="Q22" s="71">
        <f>IFERROR(INDEX('(참조)BL_인건비'!$S$3:$AG$40,MATCH(BL_인건비!$A22,'(참조)BL_인건비'!$S$3:$S$40,0),MATCH('(참조)BL_인건비'!AB$2,'(참조)BL_인건비'!$S$2:$AG$2,0)),0)</f>
        <v>4</v>
      </c>
      <c r="R22" s="71">
        <f>IFERROR(INDEX('(참조)BL_인건비'!$S$3:$AG$40,MATCH(BL_인건비!$A22,'(참조)BL_인건비'!$S$3:$S$40,0),MATCH('(참조)BL_인건비'!AC$2,'(참조)BL_인건비'!$S$2:$AG$2,0)),0)</f>
        <v>4</v>
      </c>
      <c r="S22" s="71">
        <f>IFERROR(INDEX('(참조)BL_인건비'!$S$3:$AG$40,MATCH(BL_인건비!$A22,'(참조)BL_인건비'!$S$3:$S$40,0),MATCH('(참조)BL_인건비'!AD$2,'(참조)BL_인건비'!$S$2:$AG$2,0)),0)</f>
        <v>4</v>
      </c>
      <c r="T22" s="71">
        <f>IFERROR(INDEX('(참조)BL_인건비'!$S$3:$AG$40,MATCH(BL_인건비!$A22,'(참조)BL_인건비'!$S$3:$S$40,0),MATCH('(참조)BL_인건비'!AE$2,'(참조)BL_인건비'!$S$2:$AG$2,0)),0)</f>
        <v>4</v>
      </c>
      <c r="U22" s="71">
        <f>IFERROR(INDEX('(참조)BL_인건비'!$S$3:$AG$40,MATCH(BL_인건비!$A22,'(참조)BL_인건비'!$S$3:$S$40,0),MATCH('(참조)BL_인건비'!AF$2,'(참조)BL_인건비'!$S$2:$AG$2,0)),0)</f>
        <v>4</v>
      </c>
      <c r="V22" s="71">
        <f>IFERROR(INDEX('(참조)BL_인건비'!$S$3:$AG$40,MATCH(BL_인건비!$A22,'(참조)BL_인건비'!$S$3:$S$40,0),MATCH('(참조)BL_인건비'!AG$2,'(참조)BL_인건비'!$S$2:$AG$2,0)),0)</f>
        <v>4</v>
      </c>
      <c r="W22" s="71">
        <f>IFERROR(INDEX('(참조)BL_인건비'!$S$3:$AG$40,MATCH(BL_인건비!$A22,'(참조)BL_인건비'!$S$3:$S$40,0),MATCH('(참조)BL_인건비'!AH$2,'(참조)BL_인건비'!$S$2:$AG$2,0)),0)</f>
        <v>0</v>
      </c>
      <c r="X22" s="72">
        <v>0</v>
      </c>
      <c r="Y22" s="72">
        <f>IFERROR(INDEX('(참조)BL_인건비'!$A$3:$O$40,MATCH(BL_인건비!$A22,'(참조)BL_인건비'!$A$3:$A$40,0),MATCH('(참조)BL_인건비'!F$2,'(참조)BL_인건비'!$A$2:$O$2,0)),0)</f>
        <v>2810805.3730576797</v>
      </c>
      <c r="Z22" s="72">
        <f>IFERROR(INDEX('(참조)BL_인건비'!$A$3:$O$40,MATCH(BL_인건비!$A22,'(참조)BL_인건비'!$A$3:$A$40,0),MATCH('(참조)BL_인건비'!G$2,'(참조)BL_인건비'!$A$2:$O$2,0)),0)</f>
        <v>2881948.9932618532</v>
      </c>
      <c r="AA22" s="72">
        <f>IFERROR(INDEX('(참조)BL_인건비'!$A$3:$O$40,MATCH(BL_인건비!$A22,'(참조)BL_인건비'!$A$3:$A$40,0),MATCH('(참조)BL_인건비'!H$2,'(참조)BL_인건비'!$A$2:$O$2,0)),0)</f>
        <v>2954893.3125625458</v>
      </c>
      <c r="AB22" s="72">
        <f>IFERROR(INDEX('(참조)BL_인건비'!$A$3:$O$40,MATCH(BL_인건비!$A22,'(참조)BL_인건비'!$A$3:$A$40,0),MATCH('(참조)BL_인건비'!I$2,'(참조)BL_인건비'!$A$2:$O$2,0)),0)</f>
        <v>3029683.9080224214</v>
      </c>
      <c r="AC22" s="72">
        <f>IFERROR(INDEX('(참조)BL_인건비'!$A$3:$O$40,MATCH(BL_인건비!$A22,'(참조)BL_인건비'!$A$3:$A$40,0),MATCH('(참조)BL_인건비'!J$2,'(참조)BL_인건비'!$A$2:$O$2,0)),0)</f>
        <v>3106367.510294239</v>
      </c>
      <c r="AD22" s="72">
        <f>IFERROR(INDEX('(참조)BL_인건비'!$A$3:$O$40,MATCH(BL_인건비!$A22,'(참조)BL_인건비'!$A$3:$A$40,0),MATCH('(참조)BL_인건비'!K$2,'(참조)BL_인건비'!$A$2:$O$2,0)),0)</f>
        <v>3184992.0328190941</v>
      </c>
      <c r="AE22" s="72">
        <f>IFERROR(INDEX('(참조)BL_인건비'!$A$3:$O$40,MATCH(BL_인건비!$A22,'(참조)BL_인건비'!$A$3:$A$40,0),MATCH('(참조)BL_인건비'!L$2,'(참조)BL_인건비'!$A$2:$O$2,0)),0)</f>
        <v>3265606.6017636904</v>
      </c>
      <c r="AF22" s="72">
        <f>IFERROR(INDEX('(참조)BL_인건비'!$A$3:$O$40,MATCH(BL_인건비!$A22,'(참조)BL_인건비'!$A$3:$A$40,0),MATCH('(참조)BL_인건비'!M$2,'(참조)BL_인건비'!$A$2:$O$2,0)),0)</f>
        <v>3348261.5867153467</v>
      </c>
      <c r="AG22" s="72">
        <f>IFERROR(INDEX('(참조)BL_인건비'!$A$3:$O$40,MATCH(BL_인건비!$A22,'(참조)BL_인건비'!$A$3:$A$40,0),MATCH('(참조)BL_인건비'!N$2,'(참조)BL_인건비'!$A$2:$O$2,0)),0)</f>
        <v>3433008.632153918</v>
      </c>
      <c r="AH22" s="72">
        <f>IFERROR(INDEX('(참조)BL_인건비'!$A$3:$O$40,MATCH(BL_인건비!$A22,'(참조)BL_인건비'!$A$3:$A$40,0),MATCH('(참조)BL_인건비'!O$2,'(참조)BL_인건비'!$A$2:$O$2,0)),0)</f>
        <v>3519900.689720294</v>
      </c>
      <c r="AI22" s="72">
        <f>IFERROR(INDEX('(참조)BL_인건비'!$A$3:$O$40,MATCH(BL_인건비!$A22,'(참조)BL_인건비'!$A$3:$A$40,0),MATCH('(참조)BL_인건비'!P$2,'(참조)BL_인건비'!$A$2:$O$2,0)),0)</f>
        <v>0</v>
      </c>
      <c r="AJ22" s="72">
        <v>12</v>
      </c>
      <c r="AK22" s="72">
        <v>12</v>
      </c>
      <c r="AL22" s="72">
        <v>12</v>
      </c>
      <c r="AM22" s="72">
        <v>12</v>
      </c>
      <c r="AN22" s="72">
        <v>12</v>
      </c>
      <c r="AO22" s="72">
        <v>12</v>
      </c>
      <c r="AP22" s="72">
        <v>12</v>
      </c>
      <c r="AQ22" s="72">
        <v>12</v>
      </c>
      <c r="AR22" s="72">
        <v>12</v>
      </c>
      <c r="AS22" s="72">
        <v>12</v>
      </c>
      <c r="AT22" s="72">
        <v>12</v>
      </c>
      <c r="AU22" s="73">
        <v>1</v>
      </c>
      <c r="AV22" s="70">
        <v>0</v>
      </c>
      <c r="AW22" s="70">
        <v>0</v>
      </c>
      <c r="AX22" s="56">
        <v>1513702494.7378118</v>
      </c>
      <c r="AY22" s="56">
        <v>134918657.90676859</v>
      </c>
      <c r="AZ22" s="56">
        <v>138333551.67656893</v>
      </c>
      <c r="BA22" s="56">
        <v>141834879.00300223</v>
      </c>
      <c r="BB22" s="56">
        <v>145424827.58507624</v>
      </c>
      <c r="BC22" s="56">
        <v>149105640.49412349</v>
      </c>
      <c r="BD22" s="56">
        <v>152879617.57531649</v>
      </c>
      <c r="BE22" s="56">
        <v>156749116.88465714</v>
      </c>
      <c r="BF22" s="56">
        <v>160716556.16233668</v>
      </c>
      <c r="BG22" s="56">
        <v>164784414.34338808</v>
      </c>
      <c r="BH22" s="56">
        <v>168955233.10657415</v>
      </c>
      <c r="BI22" s="56">
        <v>0</v>
      </c>
      <c r="BJ22" s="74">
        <v>11243221.492230719</v>
      </c>
      <c r="BK22" s="56">
        <v>11243221.492230719</v>
      </c>
      <c r="BL22" s="56">
        <v>11243221.492230719</v>
      </c>
      <c r="BM22" s="56">
        <v>11243221.492230719</v>
      </c>
      <c r="BN22" s="56">
        <v>11243221.492230719</v>
      </c>
      <c r="BO22" s="56">
        <v>11243221.492230719</v>
      </c>
      <c r="BP22" s="56">
        <v>11243221.492230719</v>
      </c>
      <c r="BQ22" s="56">
        <v>11243221.492230719</v>
      </c>
      <c r="BR22" s="56">
        <v>11243221.492230719</v>
      </c>
      <c r="BS22" s="56">
        <v>11243221.492230719</v>
      </c>
      <c r="BT22" s="56">
        <v>11243221.492230719</v>
      </c>
      <c r="BU22" s="56">
        <v>11243221.492230719</v>
      </c>
      <c r="BV22" s="56">
        <v>11527795.973047413</v>
      </c>
      <c r="BW22" s="56">
        <v>11527795.973047413</v>
      </c>
      <c r="BX22" s="56">
        <v>11527795.973047413</v>
      </c>
      <c r="BY22" s="56">
        <v>11527795.973047413</v>
      </c>
      <c r="BZ22" s="56">
        <v>11527795.973047413</v>
      </c>
      <c r="CA22" s="56">
        <v>11527795.973047413</v>
      </c>
      <c r="CB22" s="56">
        <v>11527795.973047413</v>
      </c>
      <c r="CC22" s="56">
        <v>11527795.973047413</v>
      </c>
      <c r="CD22" s="56">
        <v>11527795.973047413</v>
      </c>
      <c r="CE22" s="56">
        <v>11527795.973047413</v>
      </c>
      <c r="CF22" s="56">
        <v>11527795.973047413</v>
      </c>
      <c r="CG22" s="56">
        <v>11527795.973047413</v>
      </c>
      <c r="CH22" s="56">
        <v>11819573.250250183</v>
      </c>
      <c r="CI22" s="56">
        <v>11819573.250250183</v>
      </c>
      <c r="CJ22" s="56">
        <v>11819573.250250183</v>
      </c>
      <c r="CK22" s="56">
        <v>11819573.250250183</v>
      </c>
      <c r="CL22" s="56">
        <v>11819573.250250183</v>
      </c>
      <c r="CM22" s="56">
        <v>11819573.250250183</v>
      </c>
      <c r="CN22" s="56">
        <v>11819573.250250183</v>
      </c>
      <c r="CO22" s="56">
        <v>11819573.250250183</v>
      </c>
      <c r="CP22" s="56">
        <v>11819573.250250183</v>
      </c>
      <c r="CQ22" s="56">
        <v>11819573.250250183</v>
      </c>
      <c r="CR22" s="56">
        <v>11819573.250250183</v>
      </c>
      <c r="CS22" s="56">
        <v>11819573.250250183</v>
      </c>
      <c r="CT22" s="56">
        <v>12118735.632089686</v>
      </c>
      <c r="CU22" s="56">
        <v>12118735.632089686</v>
      </c>
      <c r="CV22" s="56">
        <v>12118735.632089686</v>
      </c>
      <c r="CW22" s="56">
        <v>12118735.632089686</v>
      </c>
      <c r="CX22" s="56">
        <v>12118735.632089686</v>
      </c>
      <c r="CY22" s="56">
        <v>12118735.632089686</v>
      </c>
      <c r="CZ22" s="56">
        <v>12118735.632089686</v>
      </c>
      <c r="DA22" s="56">
        <v>12118735.632089686</v>
      </c>
      <c r="DB22" s="56">
        <v>12118735.632089686</v>
      </c>
      <c r="DC22" s="56">
        <v>12118735.632089686</v>
      </c>
      <c r="DD22" s="56">
        <v>12118735.632089686</v>
      </c>
      <c r="DE22" s="56">
        <v>12118735.632089686</v>
      </c>
      <c r="DF22" s="56">
        <v>12425470.041176956</v>
      </c>
      <c r="DG22" s="56">
        <v>12425470.041176956</v>
      </c>
      <c r="DH22" s="56">
        <v>12425470.041176956</v>
      </c>
      <c r="DI22" s="56">
        <v>12425470.041176956</v>
      </c>
      <c r="DJ22" s="56">
        <v>12425470.041176956</v>
      </c>
      <c r="DK22" s="56">
        <v>12425470.041176956</v>
      </c>
      <c r="DL22" s="56">
        <v>12425470.041176956</v>
      </c>
      <c r="DM22" s="56">
        <v>12425470.041176956</v>
      </c>
      <c r="DN22" s="56">
        <v>12425470.041176956</v>
      </c>
      <c r="DO22" s="56">
        <v>12425470.041176956</v>
      </c>
      <c r="DP22" s="56">
        <v>12425470.041176956</v>
      </c>
      <c r="DQ22" s="56">
        <v>12425470.041176956</v>
      </c>
      <c r="DR22" s="56">
        <v>12739968.131276377</v>
      </c>
      <c r="DS22" s="56">
        <v>12739968.131276377</v>
      </c>
      <c r="DT22" s="56">
        <v>12739968.131276377</v>
      </c>
      <c r="DU22" s="56">
        <v>12739968.131276377</v>
      </c>
      <c r="DV22" s="56">
        <v>12739968.131276377</v>
      </c>
      <c r="DW22" s="56">
        <v>12739968.131276377</v>
      </c>
      <c r="DX22" s="56">
        <v>12739968.131276377</v>
      </c>
      <c r="DY22" s="56">
        <v>12739968.131276377</v>
      </c>
      <c r="DZ22" s="56">
        <v>12739968.131276377</v>
      </c>
      <c r="EA22" s="56">
        <v>12739968.131276377</v>
      </c>
      <c r="EB22" s="56">
        <v>12739968.131276377</v>
      </c>
      <c r="EC22" s="56">
        <v>12739968.131276377</v>
      </c>
      <c r="ED22" s="56">
        <v>13062426.407054761</v>
      </c>
      <c r="EE22" s="56">
        <v>13062426.407054761</v>
      </c>
      <c r="EF22" s="56">
        <v>13062426.407054761</v>
      </c>
      <c r="EG22" s="56">
        <v>13062426.407054761</v>
      </c>
      <c r="EH22" s="56">
        <v>13062426.407054761</v>
      </c>
      <c r="EI22" s="56">
        <v>13062426.407054761</v>
      </c>
      <c r="EJ22" s="56">
        <v>13062426.407054761</v>
      </c>
      <c r="EK22" s="56">
        <v>13062426.407054761</v>
      </c>
      <c r="EL22" s="56">
        <v>13062426.407054761</v>
      </c>
      <c r="EM22" s="56">
        <v>13062426.407054761</v>
      </c>
      <c r="EN22" s="56">
        <v>13062426.407054761</v>
      </c>
      <c r="EO22" s="56">
        <v>13062426.407054761</v>
      </c>
      <c r="EP22" s="56">
        <v>13393046.346861387</v>
      </c>
      <c r="EQ22" s="56">
        <v>13393046.346861387</v>
      </c>
      <c r="ER22" s="56">
        <v>13393046.346861387</v>
      </c>
      <c r="ES22" s="56">
        <v>13393046.346861387</v>
      </c>
      <c r="ET22" s="56">
        <v>13393046.346861387</v>
      </c>
      <c r="EU22" s="56">
        <v>13393046.346861387</v>
      </c>
      <c r="EV22" s="56">
        <v>13393046.346861387</v>
      </c>
      <c r="EW22" s="56">
        <v>13393046.346861387</v>
      </c>
      <c r="EX22" s="56">
        <v>13393046.346861387</v>
      </c>
      <c r="EY22" s="56">
        <v>13393046.346861387</v>
      </c>
      <c r="EZ22" s="56">
        <v>13393046.346861387</v>
      </c>
      <c r="FA22" s="56">
        <v>13393046.346861387</v>
      </c>
      <c r="FB22" s="56">
        <v>13732034.528615672</v>
      </c>
      <c r="FC22" s="56">
        <v>13732034.528615672</v>
      </c>
      <c r="FD22" s="56">
        <v>13732034.528615672</v>
      </c>
      <c r="FE22" s="56">
        <v>13732034.528615672</v>
      </c>
      <c r="FF22" s="56">
        <v>13732034.528615672</v>
      </c>
      <c r="FG22" s="56">
        <v>13732034.528615672</v>
      </c>
      <c r="FH22" s="56">
        <v>13732034.528615672</v>
      </c>
      <c r="FI22" s="56">
        <v>13732034.528615672</v>
      </c>
      <c r="FJ22" s="56">
        <v>13732034.528615672</v>
      </c>
      <c r="FK22" s="56">
        <v>13732034.528615672</v>
      </c>
      <c r="FL22" s="56">
        <v>13732034.528615672</v>
      </c>
      <c r="FM22" s="56">
        <v>13732034.528615672</v>
      </c>
      <c r="FN22" s="56">
        <v>14079602.758881176</v>
      </c>
      <c r="FO22" s="56">
        <v>14079602.758881176</v>
      </c>
      <c r="FP22" s="56">
        <v>14079602.758881176</v>
      </c>
      <c r="FQ22" s="56">
        <v>14079602.758881176</v>
      </c>
      <c r="FR22" s="56">
        <v>14079602.758881176</v>
      </c>
      <c r="FS22" s="56">
        <v>14079602.758881176</v>
      </c>
      <c r="FT22" s="56">
        <v>14079602.758881176</v>
      </c>
      <c r="FU22" s="56">
        <v>14079602.758881176</v>
      </c>
      <c r="FV22" s="56">
        <v>14079602.758881176</v>
      </c>
      <c r="FW22" s="56">
        <v>14079602.758881176</v>
      </c>
      <c r="FX22" s="56">
        <v>14079602.758881176</v>
      </c>
      <c r="FY22" s="56">
        <v>14079602.758881176</v>
      </c>
      <c r="FZ22" s="56">
        <v>0</v>
      </c>
      <c r="GA22" s="56">
        <v>0</v>
      </c>
      <c r="GB22" s="56">
        <v>0</v>
      </c>
      <c r="GC22" s="56">
        <v>0</v>
      </c>
      <c r="GD22" s="56">
        <v>0</v>
      </c>
      <c r="GE22" s="56">
        <v>0</v>
      </c>
      <c r="GF22" s="56">
        <v>0</v>
      </c>
      <c r="GG22" s="56">
        <v>0</v>
      </c>
      <c r="GH22" s="56">
        <v>0</v>
      </c>
      <c r="GI22" s="56">
        <v>0</v>
      </c>
      <c r="GJ22" s="56">
        <v>0</v>
      </c>
      <c r="GK22" s="85">
        <v>0</v>
      </c>
      <c r="GL22" s="40"/>
    </row>
    <row r="23" spans="1:194" x14ac:dyDescent="0.4">
      <c r="A23" s="84" t="s">
        <v>260</v>
      </c>
      <c r="B23" s="75" t="s">
        <v>256</v>
      </c>
      <c r="C23" s="70" t="s">
        <v>397</v>
      </c>
      <c r="D23" s="70" t="s">
        <v>209</v>
      </c>
      <c r="E23" s="75" t="s">
        <v>175</v>
      </c>
      <c r="F23" s="75" t="s">
        <v>252</v>
      </c>
      <c r="G23" s="75" t="s">
        <v>253</v>
      </c>
      <c r="H23" s="75">
        <v>0</v>
      </c>
      <c r="I23" s="70">
        <v>0</v>
      </c>
      <c r="J23" s="70" t="s">
        <v>210</v>
      </c>
      <c r="K23" s="70">
        <v>0</v>
      </c>
      <c r="L23" s="70" t="s">
        <v>211</v>
      </c>
      <c r="M23" s="71">
        <f>IFERROR(INDEX('(참조)BL_인건비'!$S$3:$AG$40,MATCH(BL_인건비!$A23,'(참조)BL_인건비'!$S$3:$S$40,0),MATCH('(참조)BL_인건비'!X$2,'(참조)BL_인건비'!$S$2:$AG$2,0)),0)</f>
        <v>2</v>
      </c>
      <c r="N23" s="71">
        <f>IFERROR(INDEX('(참조)BL_인건비'!$S$3:$AG$40,MATCH(BL_인건비!$A23,'(참조)BL_인건비'!$S$3:$S$40,0),MATCH('(참조)BL_인건비'!Y$2,'(참조)BL_인건비'!$S$2:$AG$2,0)),0)</f>
        <v>2</v>
      </c>
      <c r="O23" s="71">
        <f>IFERROR(INDEX('(참조)BL_인건비'!$S$3:$AG$40,MATCH(BL_인건비!$A23,'(참조)BL_인건비'!$S$3:$S$40,0),MATCH('(참조)BL_인건비'!Z$2,'(참조)BL_인건비'!$S$2:$AG$2,0)),0)</f>
        <v>2</v>
      </c>
      <c r="P23" s="71">
        <f>IFERROR(INDEX('(참조)BL_인건비'!$S$3:$AG$40,MATCH(BL_인건비!$A23,'(참조)BL_인건비'!$S$3:$S$40,0),MATCH('(참조)BL_인건비'!AA$2,'(참조)BL_인건비'!$S$2:$AG$2,0)),0)</f>
        <v>2</v>
      </c>
      <c r="Q23" s="71">
        <f>IFERROR(INDEX('(참조)BL_인건비'!$S$3:$AG$40,MATCH(BL_인건비!$A23,'(참조)BL_인건비'!$S$3:$S$40,0),MATCH('(참조)BL_인건비'!AB$2,'(참조)BL_인건비'!$S$2:$AG$2,0)),0)</f>
        <v>2</v>
      </c>
      <c r="R23" s="71">
        <f>IFERROR(INDEX('(참조)BL_인건비'!$S$3:$AG$40,MATCH(BL_인건비!$A23,'(참조)BL_인건비'!$S$3:$S$40,0),MATCH('(참조)BL_인건비'!AC$2,'(참조)BL_인건비'!$S$2:$AG$2,0)),0)</f>
        <v>2</v>
      </c>
      <c r="S23" s="71">
        <f>IFERROR(INDEX('(참조)BL_인건비'!$S$3:$AG$40,MATCH(BL_인건비!$A23,'(참조)BL_인건비'!$S$3:$S$40,0),MATCH('(참조)BL_인건비'!AD$2,'(참조)BL_인건비'!$S$2:$AG$2,0)),0)</f>
        <v>2</v>
      </c>
      <c r="T23" s="71">
        <f>IFERROR(INDEX('(참조)BL_인건비'!$S$3:$AG$40,MATCH(BL_인건비!$A23,'(참조)BL_인건비'!$S$3:$S$40,0),MATCH('(참조)BL_인건비'!AE$2,'(참조)BL_인건비'!$S$2:$AG$2,0)),0)</f>
        <v>2</v>
      </c>
      <c r="U23" s="71">
        <f>IFERROR(INDEX('(참조)BL_인건비'!$S$3:$AG$40,MATCH(BL_인건비!$A23,'(참조)BL_인건비'!$S$3:$S$40,0),MATCH('(참조)BL_인건비'!AF$2,'(참조)BL_인건비'!$S$2:$AG$2,0)),0)</f>
        <v>2</v>
      </c>
      <c r="V23" s="71">
        <f>IFERROR(INDEX('(참조)BL_인건비'!$S$3:$AG$40,MATCH(BL_인건비!$A23,'(참조)BL_인건비'!$S$3:$S$40,0),MATCH('(참조)BL_인건비'!AG$2,'(참조)BL_인건비'!$S$2:$AG$2,0)),0)</f>
        <v>2</v>
      </c>
      <c r="W23" s="71">
        <f>IFERROR(INDEX('(참조)BL_인건비'!$S$3:$AG$40,MATCH(BL_인건비!$A23,'(참조)BL_인건비'!$S$3:$S$40,0),MATCH('(참조)BL_인건비'!AH$2,'(참조)BL_인건비'!$S$2:$AG$2,0)),0)</f>
        <v>0</v>
      </c>
      <c r="X23" s="72">
        <v>0</v>
      </c>
      <c r="Y23" s="72">
        <f>IFERROR(INDEX('(참조)BL_인건비'!$A$3:$O$40,MATCH(BL_인건비!$A23,'(참조)BL_인건비'!$A$3:$A$40,0),MATCH('(참조)BL_인건비'!F$2,'(참조)BL_인건비'!$A$2:$O$2,0)),0)</f>
        <v>2268632.3215880399</v>
      </c>
      <c r="Z23" s="72">
        <f>IFERROR(INDEX('(참조)BL_인건비'!$A$3:$O$40,MATCH(BL_인건비!$A23,'(참조)BL_인건비'!$A$3:$A$40,0),MATCH('(참조)BL_인건비'!G$2,'(참조)BL_인건비'!$A$2:$O$2,0)),0)</f>
        <v>2326053.1298079975</v>
      </c>
      <c r="AA23" s="72">
        <f>IFERROR(INDEX('(참조)BL_인건비'!$A$3:$O$40,MATCH(BL_인건비!$A23,'(참조)BL_인건비'!$A$3:$A$40,0),MATCH('(참조)BL_인건비'!H$2,'(참조)BL_인건비'!$A$2:$O$2,0)),0)</f>
        <v>2384927.3023238163</v>
      </c>
      <c r="AB23" s="72">
        <f>IFERROR(INDEX('(참조)BL_인건비'!$A$3:$O$40,MATCH(BL_인건비!$A23,'(참조)BL_인건비'!$A$3:$A$40,0),MATCH('(참조)BL_인건비'!I$2,'(참조)BL_인건비'!$A$2:$O$2,0)),0)</f>
        <v>2445291.6248903819</v>
      </c>
      <c r="AC23" s="72">
        <f>IFERROR(INDEX('(참조)BL_인건비'!$A$3:$O$40,MATCH(BL_인건비!$A23,'(참조)BL_인건비'!$A$3:$A$40,0),MATCH('(참조)BL_인건비'!J$2,'(참조)BL_인건비'!$A$2:$O$2,0)),0)</f>
        <v>2507183.8143379926</v>
      </c>
      <c r="AD23" s="72">
        <f>IFERROR(INDEX('(참조)BL_인건비'!$A$3:$O$40,MATCH(BL_인건비!$A23,'(참조)BL_인건비'!$A$3:$A$40,0),MATCH('(참조)BL_인건비'!K$2,'(참조)BL_인건비'!$A$2:$O$2,0)),0)</f>
        <v>2570642.5421385858</v>
      </c>
      <c r="AE23" s="72">
        <f>IFERROR(INDEX('(참조)BL_인건비'!$A$3:$O$40,MATCH(BL_인건비!$A23,'(참조)BL_인건비'!$A$3:$A$40,0),MATCH('(참조)BL_인건비'!L$2,'(참조)BL_인건비'!$A$2:$O$2,0)),0)</f>
        <v>2635707.4585684454</v>
      </c>
      <c r="AF23" s="72">
        <f>IFERROR(INDEX('(참조)BL_인건비'!$A$3:$O$40,MATCH(BL_인건비!$A23,'(참조)BL_인건비'!$A$3:$A$40,0),MATCH('(참조)BL_인건비'!M$2,'(참조)BL_인건비'!$A$2:$O$2,0)),0)</f>
        <v>2702419.2174824812</v>
      </c>
      <c r="AG23" s="72">
        <f>IFERROR(INDEX('(참조)BL_인건비'!$A$3:$O$40,MATCH(BL_인건비!$A23,'(참조)BL_인건비'!$A$3:$A$40,0),MATCH('(참조)BL_인건비'!N$2,'(참조)BL_인건비'!$A$2:$O$2,0)),0)</f>
        <v>2770819.5017155679</v>
      </c>
      <c r="AH23" s="72">
        <f>IFERROR(INDEX('(참조)BL_인건비'!$A$3:$O$40,MATCH(BL_인건비!$A23,'(참조)BL_인건비'!$A$3:$A$40,0),MATCH('(참조)BL_인건비'!O$2,'(참조)BL_인건비'!$A$2:$O$2,0)),0)</f>
        <v>2840951.0491268104</v>
      </c>
      <c r="AI23" s="72">
        <f>IFERROR(INDEX('(참조)BL_인건비'!$A$3:$O$40,MATCH(BL_인건비!$A23,'(참조)BL_인건비'!$A$3:$A$40,0),MATCH('(참조)BL_인건비'!P$2,'(참조)BL_인건비'!$A$2:$O$2,0)),0)</f>
        <v>0</v>
      </c>
      <c r="AJ23" s="72">
        <v>12</v>
      </c>
      <c r="AK23" s="72">
        <v>12</v>
      </c>
      <c r="AL23" s="72">
        <v>12</v>
      </c>
      <c r="AM23" s="72">
        <v>12</v>
      </c>
      <c r="AN23" s="72">
        <v>12</v>
      </c>
      <c r="AO23" s="72">
        <v>12</v>
      </c>
      <c r="AP23" s="72">
        <v>12</v>
      </c>
      <c r="AQ23" s="72">
        <v>12</v>
      </c>
      <c r="AR23" s="72">
        <v>12</v>
      </c>
      <c r="AS23" s="72">
        <v>12</v>
      </c>
      <c r="AT23" s="72">
        <v>12</v>
      </c>
      <c r="AU23" s="73">
        <v>1</v>
      </c>
      <c r="AV23" s="70">
        <v>0</v>
      </c>
      <c r="AW23" s="70">
        <v>0</v>
      </c>
      <c r="AX23" s="56">
        <v>610863071.08752275</v>
      </c>
      <c r="AY23" s="56">
        <v>54447175.718112953</v>
      </c>
      <c r="AZ23" s="56">
        <v>55825275.11539194</v>
      </c>
      <c r="BA23" s="56">
        <v>57238255.255771607</v>
      </c>
      <c r="BB23" s="56">
        <v>58686998.997369178</v>
      </c>
      <c r="BC23" s="56">
        <v>60172411.544111811</v>
      </c>
      <c r="BD23" s="56">
        <v>61695421.011326045</v>
      </c>
      <c r="BE23" s="56">
        <v>63256979.005642705</v>
      </c>
      <c r="BF23" s="56">
        <v>64858061.219579548</v>
      </c>
      <c r="BG23" s="56">
        <v>66499668.041173615</v>
      </c>
      <c r="BH23" s="56">
        <v>68182825.179043457</v>
      </c>
      <c r="BI23" s="56">
        <v>0</v>
      </c>
      <c r="BJ23" s="74">
        <v>4537264.6431760797</v>
      </c>
      <c r="BK23" s="56">
        <v>4537264.6431760797</v>
      </c>
      <c r="BL23" s="56">
        <v>4537264.6431760797</v>
      </c>
      <c r="BM23" s="56">
        <v>4537264.6431760797</v>
      </c>
      <c r="BN23" s="56">
        <v>4537264.6431760797</v>
      </c>
      <c r="BO23" s="56">
        <v>4537264.6431760797</v>
      </c>
      <c r="BP23" s="56">
        <v>4537264.6431760797</v>
      </c>
      <c r="BQ23" s="56">
        <v>4537264.6431760797</v>
      </c>
      <c r="BR23" s="56">
        <v>4537264.6431760797</v>
      </c>
      <c r="BS23" s="56">
        <v>4537264.6431760797</v>
      </c>
      <c r="BT23" s="56">
        <v>4537264.6431760797</v>
      </c>
      <c r="BU23" s="56">
        <v>4537264.6431760797</v>
      </c>
      <c r="BV23" s="56">
        <v>4652106.259615995</v>
      </c>
      <c r="BW23" s="56">
        <v>4652106.259615995</v>
      </c>
      <c r="BX23" s="56">
        <v>4652106.259615995</v>
      </c>
      <c r="BY23" s="56">
        <v>4652106.259615995</v>
      </c>
      <c r="BZ23" s="56">
        <v>4652106.259615995</v>
      </c>
      <c r="CA23" s="56">
        <v>4652106.259615995</v>
      </c>
      <c r="CB23" s="56">
        <v>4652106.259615995</v>
      </c>
      <c r="CC23" s="56">
        <v>4652106.259615995</v>
      </c>
      <c r="CD23" s="56">
        <v>4652106.259615995</v>
      </c>
      <c r="CE23" s="56">
        <v>4652106.259615995</v>
      </c>
      <c r="CF23" s="56">
        <v>4652106.259615995</v>
      </c>
      <c r="CG23" s="56">
        <v>4652106.259615995</v>
      </c>
      <c r="CH23" s="56">
        <v>4769854.6046476327</v>
      </c>
      <c r="CI23" s="56">
        <v>4769854.6046476327</v>
      </c>
      <c r="CJ23" s="56">
        <v>4769854.6046476327</v>
      </c>
      <c r="CK23" s="56">
        <v>4769854.6046476327</v>
      </c>
      <c r="CL23" s="56">
        <v>4769854.6046476327</v>
      </c>
      <c r="CM23" s="56">
        <v>4769854.6046476327</v>
      </c>
      <c r="CN23" s="56">
        <v>4769854.6046476327</v>
      </c>
      <c r="CO23" s="56">
        <v>4769854.6046476327</v>
      </c>
      <c r="CP23" s="56">
        <v>4769854.6046476327</v>
      </c>
      <c r="CQ23" s="56">
        <v>4769854.6046476327</v>
      </c>
      <c r="CR23" s="56">
        <v>4769854.6046476327</v>
      </c>
      <c r="CS23" s="56">
        <v>4769854.6046476327</v>
      </c>
      <c r="CT23" s="56">
        <v>4890583.2497807639</v>
      </c>
      <c r="CU23" s="56">
        <v>4890583.2497807639</v>
      </c>
      <c r="CV23" s="56">
        <v>4890583.2497807639</v>
      </c>
      <c r="CW23" s="56">
        <v>4890583.2497807639</v>
      </c>
      <c r="CX23" s="56">
        <v>4890583.2497807639</v>
      </c>
      <c r="CY23" s="56">
        <v>4890583.2497807639</v>
      </c>
      <c r="CZ23" s="56">
        <v>4890583.2497807639</v>
      </c>
      <c r="DA23" s="56">
        <v>4890583.2497807639</v>
      </c>
      <c r="DB23" s="56">
        <v>4890583.2497807639</v>
      </c>
      <c r="DC23" s="56">
        <v>4890583.2497807639</v>
      </c>
      <c r="DD23" s="56">
        <v>4890583.2497807639</v>
      </c>
      <c r="DE23" s="56">
        <v>4890583.2497807639</v>
      </c>
      <c r="DF23" s="56">
        <v>5014367.6286759852</v>
      </c>
      <c r="DG23" s="56">
        <v>5014367.6286759852</v>
      </c>
      <c r="DH23" s="56">
        <v>5014367.6286759852</v>
      </c>
      <c r="DI23" s="56">
        <v>5014367.6286759852</v>
      </c>
      <c r="DJ23" s="56">
        <v>5014367.6286759852</v>
      </c>
      <c r="DK23" s="56">
        <v>5014367.6286759852</v>
      </c>
      <c r="DL23" s="56">
        <v>5014367.6286759852</v>
      </c>
      <c r="DM23" s="56">
        <v>5014367.6286759852</v>
      </c>
      <c r="DN23" s="56">
        <v>5014367.6286759852</v>
      </c>
      <c r="DO23" s="56">
        <v>5014367.6286759852</v>
      </c>
      <c r="DP23" s="56">
        <v>5014367.6286759852</v>
      </c>
      <c r="DQ23" s="56">
        <v>5014367.6286759852</v>
      </c>
      <c r="DR23" s="56">
        <v>5141285.0842771716</v>
      </c>
      <c r="DS23" s="56">
        <v>5141285.0842771716</v>
      </c>
      <c r="DT23" s="56">
        <v>5141285.0842771716</v>
      </c>
      <c r="DU23" s="56">
        <v>5141285.0842771716</v>
      </c>
      <c r="DV23" s="56">
        <v>5141285.0842771716</v>
      </c>
      <c r="DW23" s="56">
        <v>5141285.0842771716</v>
      </c>
      <c r="DX23" s="56">
        <v>5141285.0842771716</v>
      </c>
      <c r="DY23" s="56">
        <v>5141285.0842771716</v>
      </c>
      <c r="DZ23" s="56">
        <v>5141285.0842771716</v>
      </c>
      <c r="EA23" s="56">
        <v>5141285.0842771716</v>
      </c>
      <c r="EB23" s="56">
        <v>5141285.0842771716</v>
      </c>
      <c r="EC23" s="56">
        <v>5141285.0842771716</v>
      </c>
      <c r="ED23" s="56">
        <v>5271414.9171368908</v>
      </c>
      <c r="EE23" s="56">
        <v>5271414.9171368908</v>
      </c>
      <c r="EF23" s="56">
        <v>5271414.9171368908</v>
      </c>
      <c r="EG23" s="56">
        <v>5271414.9171368908</v>
      </c>
      <c r="EH23" s="56">
        <v>5271414.9171368908</v>
      </c>
      <c r="EI23" s="56">
        <v>5271414.9171368908</v>
      </c>
      <c r="EJ23" s="56">
        <v>5271414.9171368908</v>
      </c>
      <c r="EK23" s="56">
        <v>5271414.9171368908</v>
      </c>
      <c r="EL23" s="56">
        <v>5271414.9171368908</v>
      </c>
      <c r="EM23" s="56">
        <v>5271414.9171368908</v>
      </c>
      <c r="EN23" s="56">
        <v>5271414.9171368908</v>
      </c>
      <c r="EO23" s="56">
        <v>5271414.9171368908</v>
      </c>
      <c r="EP23" s="56">
        <v>5404838.4349649623</v>
      </c>
      <c r="EQ23" s="56">
        <v>5404838.4349649623</v>
      </c>
      <c r="ER23" s="56">
        <v>5404838.4349649623</v>
      </c>
      <c r="ES23" s="56">
        <v>5404838.4349649623</v>
      </c>
      <c r="ET23" s="56">
        <v>5404838.4349649623</v>
      </c>
      <c r="EU23" s="56">
        <v>5404838.4349649623</v>
      </c>
      <c r="EV23" s="56">
        <v>5404838.4349649623</v>
      </c>
      <c r="EW23" s="56">
        <v>5404838.4349649623</v>
      </c>
      <c r="EX23" s="56">
        <v>5404838.4349649623</v>
      </c>
      <c r="EY23" s="56">
        <v>5404838.4349649623</v>
      </c>
      <c r="EZ23" s="56">
        <v>5404838.4349649623</v>
      </c>
      <c r="FA23" s="56">
        <v>5404838.4349649623</v>
      </c>
      <c r="FB23" s="56">
        <v>5541639.0034311358</v>
      </c>
      <c r="FC23" s="56">
        <v>5541639.0034311358</v>
      </c>
      <c r="FD23" s="56">
        <v>5541639.0034311358</v>
      </c>
      <c r="FE23" s="56">
        <v>5541639.0034311358</v>
      </c>
      <c r="FF23" s="56">
        <v>5541639.0034311358</v>
      </c>
      <c r="FG23" s="56">
        <v>5541639.0034311358</v>
      </c>
      <c r="FH23" s="56">
        <v>5541639.0034311358</v>
      </c>
      <c r="FI23" s="56">
        <v>5541639.0034311358</v>
      </c>
      <c r="FJ23" s="56">
        <v>5541639.0034311358</v>
      </c>
      <c r="FK23" s="56">
        <v>5541639.0034311358</v>
      </c>
      <c r="FL23" s="56">
        <v>5541639.0034311358</v>
      </c>
      <c r="FM23" s="56">
        <v>5541639.0034311358</v>
      </c>
      <c r="FN23" s="56">
        <v>5681902.0982536208</v>
      </c>
      <c r="FO23" s="56">
        <v>5681902.0982536208</v>
      </c>
      <c r="FP23" s="56">
        <v>5681902.0982536208</v>
      </c>
      <c r="FQ23" s="56">
        <v>5681902.0982536208</v>
      </c>
      <c r="FR23" s="56">
        <v>5681902.0982536208</v>
      </c>
      <c r="FS23" s="56">
        <v>5681902.0982536208</v>
      </c>
      <c r="FT23" s="56">
        <v>5681902.0982536208</v>
      </c>
      <c r="FU23" s="56">
        <v>5681902.0982536208</v>
      </c>
      <c r="FV23" s="56">
        <v>5681902.0982536208</v>
      </c>
      <c r="FW23" s="56">
        <v>5681902.0982536208</v>
      </c>
      <c r="FX23" s="56">
        <v>5681902.0982536208</v>
      </c>
      <c r="FY23" s="56">
        <v>5681902.0982536208</v>
      </c>
      <c r="FZ23" s="56">
        <v>0</v>
      </c>
      <c r="GA23" s="56">
        <v>0</v>
      </c>
      <c r="GB23" s="56">
        <v>0</v>
      </c>
      <c r="GC23" s="56">
        <v>0</v>
      </c>
      <c r="GD23" s="56">
        <v>0</v>
      </c>
      <c r="GE23" s="56">
        <v>0</v>
      </c>
      <c r="GF23" s="56">
        <v>0</v>
      </c>
      <c r="GG23" s="56">
        <v>0</v>
      </c>
      <c r="GH23" s="56">
        <v>0</v>
      </c>
      <c r="GI23" s="56">
        <v>0</v>
      </c>
      <c r="GJ23" s="56">
        <v>0</v>
      </c>
      <c r="GK23" s="85">
        <v>0</v>
      </c>
      <c r="GL23" s="40"/>
    </row>
    <row r="24" spans="1:194" x14ac:dyDescent="0.4">
      <c r="A24" s="84" t="s">
        <v>261</v>
      </c>
      <c r="B24" s="75" t="s">
        <v>256</v>
      </c>
      <c r="C24" s="70" t="s">
        <v>397</v>
      </c>
      <c r="D24" s="70" t="s">
        <v>209</v>
      </c>
      <c r="E24" s="75" t="s">
        <v>193</v>
      </c>
      <c r="F24" s="75" t="s">
        <v>194</v>
      </c>
      <c r="G24" s="75" t="s">
        <v>195</v>
      </c>
      <c r="H24" s="75">
        <v>0</v>
      </c>
      <c r="I24" s="70">
        <v>0</v>
      </c>
      <c r="J24" s="70" t="s">
        <v>210</v>
      </c>
      <c r="K24" s="70">
        <v>0</v>
      </c>
      <c r="L24" s="70" t="s">
        <v>211</v>
      </c>
      <c r="M24" s="71">
        <f>IFERROR(INDEX('(참조)BL_인건비'!$S$3:$AG$40,MATCH(BL_인건비!$A24,'(참조)BL_인건비'!$S$3:$S$40,0),MATCH('(참조)BL_인건비'!X$2,'(참조)BL_인건비'!$S$2:$AG$2,0)),0)</f>
        <v>1</v>
      </c>
      <c r="N24" s="71">
        <f>IFERROR(INDEX('(참조)BL_인건비'!$S$3:$AG$40,MATCH(BL_인건비!$A24,'(참조)BL_인건비'!$S$3:$S$40,0),MATCH('(참조)BL_인건비'!Y$2,'(참조)BL_인건비'!$S$2:$AG$2,0)),0)</f>
        <v>1</v>
      </c>
      <c r="O24" s="71">
        <f>IFERROR(INDEX('(참조)BL_인건비'!$S$3:$AG$40,MATCH(BL_인건비!$A24,'(참조)BL_인건비'!$S$3:$S$40,0),MATCH('(참조)BL_인건비'!Z$2,'(참조)BL_인건비'!$S$2:$AG$2,0)),0)</f>
        <v>1</v>
      </c>
      <c r="P24" s="71">
        <f>IFERROR(INDEX('(참조)BL_인건비'!$S$3:$AG$40,MATCH(BL_인건비!$A24,'(참조)BL_인건비'!$S$3:$S$40,0),MATCH('(참조)BL_인건비'!AA$2,'(참조)BL_인건비'!$S$2:$AG$2,0)),0)</f>
        <v>1</v>
      </c>
      <c r="Q24" s="71">
        <f>IFERROR(INDEX('(참조)BL_인건비'!$S$3:$AG$40,MATCH(BL_인건비!$A24,'(참조)BL_인건비'!$S$3:$S$40,0),MATCH('(참조)BL_인건비'!AB$2,'(참조)BL_인건비'!$S$2:$AG$2,0)),0)</f>
        <v>1</v>
      </c>
      <c r="R24" s="71">
        <f>IFERROR(INDEX('(참조)BL_인건비'!$S$3:$AG$40,MATCH(BL_인건비!$A24,'(참조)BL_인건비'!$S$3:$S$40,0),MATCH('(참조)BL_인건비'!AC$2,'(참조)BL_인건비'!$S$2:$AG$2,0)),0)</f>
        <v>1</v>
      </c>
      <c r="S24" s="71">
        <f>IFERROR(INDEX('(참조)BL_인건비'!$S$3:$AG$40,MATCH(BL_인건비!$A24,'(참조)BL_인건비'!$S$3:$S$40,0),MATCH('(참조)BL_인건비'!AD$2,'(참조)BL_인건비'!$S$2:$AG$2,0)),0)</f>
        <v>1</v>
      </c>
      <c r="T24" s="71">
        <f>IFERROR(INDEX('(참조)BL_인건비'!$S$3:$AG$40,MATCH(BL_인건비!$A24,'(참조)BL_인건비'!$S$3:$S$40,0),MATCH('(참조)BL_인건비'!AE$2,'(참조)BL_인건비'!$S$2:$AG$2,0)),0)</f>
        <v>1</v>
      </c>
      <c r="U24" s="71">
        <f>IFERROR(INDEX('(참조)BL_인건비'!$S$3:$AG$40,MATCH(BL_인건비!$A24,'(참조)BL_인건비'!$S$3:$S$40,0),MATCH('(참조)BL_인건비'!AF$2,'(참조)BL_인건비'!$S$2:$AG$2,0)),0)</f>
        <v>1</v>
      </c>
      <c r="V24" s="71">
        <f>IFERROR(INDEX('(참조)BL_인건비'!$S$3:$AG$40,MATCH(BL_인건비!$A24,'(참조)BL_인건비'!$S$3:$S$40,0),MATCH('(참조)BL_인건비'!AG$2,'(참조)BL_인건비'!$S$2:$AG$2,0)),0)</f>
        <v>1</v>
      </c>
      <c r="W24" s="71">
        <f>IFERROR(INDEX('(참조)BL_인건비'!$S$3:$AG$40,MATCH(BL_인건비!$A24,'(참조)BL_인건비'!$S$3:$S$40,0),MATCH('(참조)BL_인건비'!AH$2,'(참조)BL_인건비'!$S$2:$AG$2,0)),0)</f>
        <v>0</v>
      </c>
      <c r="X24" s="72">
        <v>0</v>
      </c>
      <c r="Y24" s="72">
        <f>IFERROR(INDEX('(참조)BL_인건비'!$A$3:$O$40,MATCH(BL_인건비!$A24,'(참조)BL_인건비'!$A$3:$A$40,0),MATCH('(참조)BL_인건비'!F$2,'(참조)BL_인건비'!$A$2:$O$2,0)),0)</f>
        <v>3934599.2821772001</v>
      </c>
      <c r="Z24" s="72">
        <f>IFERROR(INDEX('(참조)BL_인건비'!$A$3:$O$40,MATCH(BL_인건비!$A24,'(참조)BL_인건비'!$A$3:$A$40,0),MATCH('(참조)BL_인건비'!G$2,'(참조)BL_인건비'!$A$2:$O$2,0)),0)</f>
        <v>4034186.9803045592</v>
      </c>
      <c r="AA24" s="72">
        <f>IFERROR(INDEX('(참조)BL_인건비'!$A$3:$O$40,MATCH(BL_인건비!$A24,'(참조)BL_인건비'!$A$3:$A$40,0),MATCH('(참조)BL_인건비'!H$2,'(참조)BL_인건비'!$A$2:$O$2,0)),0)</f>
        <v>4136295.3187581724</v>
      </c>
      <c r="AB24" s="72">
        <f>IFERROR(INDEX('(참조)BL_인건비'!$A$3:$O$40,MATCH(BL_인건비!$A24,'(참조)BL_인건비'!$A$3:$A$40,0),MATCH('(참조)BL_인건비'!I$2,'(참조)BL_인건비'!$A$2:$O$2,0)),0)</f>
        <v>4240988.0968603836</v>
      </c>
      <c r="AC24" s="72">
        <f>IFERROR(INDEX('(참조)BL_인건비'!$A$3:$O$40,MATCH(BL_인건비!$A24,'(참조)BL_인건비'!$A$3:$A$40,0),MATCH('(참조)BL_인건비'!J$2,'(참조)BL_인건비'!$A$2:$O$2,0)),0)</f>
        <v>4348330.7287428733</v>
      </c>
      <c r="AD24" s="72">
        <f>IFERROR(INDEX('(참조)BL_인건비'!$A$3:$O$40,MATCH(BL_인건비!$A24,'(참조)BL_인건비'!$A$3:$A$40,0),MATCH('(참조)BL_인건비'!K$2,'(참조)BL_인건비'!$A$2:$O$2,0)),0)</f>
        <v>4458390.284218709</v>
      </c>
      <c r="AE24" s="72">
        <f>IFERROR(INDEX('(참조)BL_인건비'!$A$3:$O$40,MATCH(BL_인건비!$A24,'(참조)BL_인건비'!$A$3:$A$40,0),MATCH('(참조)BL_인건비'!L$2,'(참조)BL_인건비'!$A$2:$O$2,0)),0)</f>
        <v>4571235.5306889005</v>
      </c>
      <c r="AF24" s="72">
        <f>IFERROR(INDEX('(참조)BL_인건비'!$A$3:$O$40,MATCH(BL_인건비!$A24,'(참조)BL_인건비'!$A$3:$A$40,0),MATCH('(참조)BL_인건비'!M$2,'(참조)BL_인건비'!$A$2:$O$2,0)),0)</f>
        <v>4686936.9761096397</v>
      </c>
      <c r="AG24" s="72">
        <f>IFERROR(INDEX('(참조)BL_인건비'!$A$3:$O$40,MATCH(BL_인건비!$A24,'(참조)BL_인건비'!$A$3:$A$40,0),MATCH('(참조)BL_인건비'!N$2,'(참조)BL_인건비'!$A$2:$O$2,0)),0)</f>
        <v>4805566.9130470762</v>
      </c>
      <c r="AH24" s="72">
        <f>IFERROR(INDEX('(참조)BL_인건비'!$A$3:$O$40,MATCH(BL_인건비!$A24,'(참조)BL_인건비'!$A$3:$A$40,0),MATCH('(참조)BL_인건비'!O$2,'(참조)BL_인건비'!$A$2:$O$2,0)),0)</f>
        <v>4927199.463847152</v>
      </c>
      <c r="AI24" s="72">
        <f>IFERROR(INDEX('(참조)BL_인건비'!$A$3:$O$40,MATCH(BL_인건비!$A24,'(참조)BL_인건비'!$A$3:$A$40,0),MATCH('(참조)BL_인건비'!P$2,'(참조)BL_인건비'!$A$2:$O$2,0)),0)</f>
        <v>0</v>
      </c>
      <c r="AJ24" s="72">
        <v>12</v>
      </c>
      <c r="AK24" s="72">
        <v>12</v>
      </c>
      <c r="AL24" s="72">
        <v>12</v>
      </c>
      <c r="AM24" s="72">
        <v>12</v>
      </c>
      <c r="AN24" s="72">
        <v>12</v>
      </c>
      <c r="AO24" s="72">
        <v>12</v>
      </c>
      <c r="AP24" s="72">
        <v>12</v>
      </c>
      <c r="AQ24" s="72">
        <v>12</v>
      </c>
      <c r="AR24" s="72">
        <v>12</v>
      </c>
      <c r="AS24" s="72">
        <v>12</v>
      </c>
      <c r="AT24" s="72">
        <v>12</v>
      </c>
      <c r="AU24" s="73">
        <v>1</v>
      </c>
      <c r="AV24" s="70">
        <v>0</v>
      </c>
      <c r="AW24" s="70">
        <v>0</v>
      </c>
      <c r="AX24" s="56">
        <v>529724754.89705592</v>
      </c>
      <c r="AY24" s="56">
        <v>47215191.386126406</v>
      </c>
      <c r="AZ24" s="56">
        <v>48410243.763654716</v>
      </c>
      <c r="BA24" s="56">
        <v>49635543.825098075</v>
      </c>
      <c r="BB24" s="56">
        <v>50891857.162324615</v>
      </c>
      <c r="BC24" s="56">
        <v>52179968.744914494</v>
      </c>
      <c r="BD24" s="56">
        <v>53500683.410624497</v>
      </c>
      <c r="BE24" s="56">
        <v>54854826.368266791</v>
      </c>
      <c r="BF24" s="56">
        <v>56243243.713315673</v>
      </c>
      <c r="BG24" s="56">
        <v>57666802.956564911</v>
      </c>
      <c r="BH24" s="56">
        <v>59126393.566165827</v>
      </c>
      <c r="BI24" s="56">
        <v>0</v>
      </c>
      <c r="BJ24" s="74">
        <v>3934599.2821772001</v>
      </c>
      <c r="BK24" s="56">
        <v>3934599.2821772001</v>
      </c>
      <c r="BL24" s="56">
        <v>3934599.2821772001</v>
      </c>
      <c r="BM24" s="56">
        <v>3934599.2821772001</v>
      </c>
      <c r="BN24" s="56">
        <v>3934599.2821772001</v>
      </c>
      <c r="BO24" s="56">
        <v>3934599.2821772001</v>
      </c>
      <c r="BP24" s="56">
        <v>3934599.2821772001</v>
      </c>
      <c r="BQ24" s="56">
        <v>3934599.2821772001</v>
      </c>
      <c r="BR24" s="56">
        <v>3934599.2821772001</v>
      </c>
      <c r="BS24" s="56">
        <v>3934599.2821772001</v>
      </c>
      <c r="BT24" s="56">
        <v>3934599.2821772001</v>
      </c>
      <c r="BU24" s="56">
        <v>3934599.2821772001</v>
      </c>
      <c r="BV24" s="56">
        <v>4034186.9803045592</v>
      </c>
      <c r="BW24" s="56">
        <v>4034186.9803045592</v>
      </c>
      <c r="BX24" s="56">
        <v>4034186.9803045592</v>
      </c>
      <c r="BY24" s="56">
        <v>4034186.9803045592</v>
      </c>
      <c r="BZ24" s="56">
        <v>4034186.9803045592</v>
      </c>
      <c r="CA24" s="56">
        <v>4034186.9803045592</v>
      </c>
      <c r="CB24" s="56">
        <v>4034186.9803045592</v>
      </c>
      <c r="CC24" s="56">
        <v>4034186.9803045592</v>
      </c>
      <c r="CD24" s="56">
        <v>4034186.9803045592</v>
      </c>
      <c r="CE24" s="56">
        <v>4034186.9803045592</v>
      </c>
      <c r="CF24" s="56">
        <v>4034186.9803045592</v>
      </c>
      <c r="CG24" s="56">
        <v>4034186.9803045592</v>
      </c>
      <c r="CH24" s="56">
        <v>4136295.3187581724</v>
      </c>
      <c r="CI24" s="56">
        <v>4136295.3187581724</v>
      </c>
      <c r="CJ24" s="56">
        <v>4136295.3187581724</v>
      </c>
      <c r="CK24" s="56">
        <v>4136295.3187581724</v>
      </c>
      <c r="CL24" s="56">
        <v>4136295.3187581724</v>
      </c>
      <c r="CM24" s="56">
        <v>4136295.3187581724</v>
      </c>
      <c r="CN24" s="56">
        <v>4136295.3187581724</v>
      </c>
      <c r="CO24" s="56">
        <v>4136295.3187581724</v>
      </c>
      <c r="CP24" s="56">
        <v>4136295.3187581724</v>
      </c>
      <c r="CQ24" s="56">
        <v>4136295.3187581724</v>
      </c>
      <c r="CR24" s="56">
        <v>4136295.3187581724</v>
      </c>
      <c r="CS24" s="56">
        <v>4136295.3187581724</v>
      </c>
      <c r="CT24" s="56">
        <v>4240988.0968603836</v>
      </c>
      <c r="CU24" s="56">
        <v>4240988.0968603836</v>
      </c>
      <c r="CV24" s="56">
        <v>4240988.0968603836</v>
      </c>
      <c r="CW24" s="56">
        <v>4240988.0968603836</v>
      </c>
      <c r="CX24" s="56">
        <v>4240988.0968603836</v>
      </c>
      <c r="CY24" s="56">
        <v>4240988.0968603836</v>
      </c>
      <c r="CZ24" s="56">
        <v>4240988.0968603836</v>
      </c>
      <c r="DA24" s="56">
        <v>4240988.0968603836</v>
      </c>
      <c r="DB24" s="56">
        <v>4240988.0968603836</v>
      </c>
      <c r="DC24" s="56">
        <v>4240988.0968603836</v>
      </c>
      <c r="DD24" s="56">
        <v>4240988.0968603836</v>
      </c>
      <c r="DE24" s="56">
        <v>4240988.0968603836</v>
      </c>
      <c r="DF24" s="56">
        <v>4348330.7287428733</v>
      </c>
      <c r="DG24" s="56">
        <v>4348330.7287428733</v>
      </c>
      <c r="DH24" s="56">
        <v>4348330.7287428733</v>
      </c>
      <c r="DI24" s="56">
        <v>4348330.7287428733</v>
      </c>
      <c r="DJ24" s="56">
        <v>4348330.7287428733</v>
      </c>
      <c r="DK24" s="56">
        <v>4348330.7287428733</v>
      </c>
      <c r="DL24" s="56">
        <v>4348330.7287428733</v>
      </c>
      <c r="DM24" s="56">
        <v>4348330.7287428733</v>
      </c>
      <c r="DN24" s="56">
        <v>4348330.7287428733</v>
      </c>
      <c r="DO24" s="56">
        <v>4348330.7287428733</v>
      </c>
      <c r="DP24" s="56">
        <v>4348330.7287428733</v>
      </c>
      <c r="DQ24" s="56">
        <v>4348330.7287428733</v>
      </c>
      <c r="DR24" s="56">
        <v>4458390.284218709</v>
      </c>
      <c r="DS24" s="56">
        <v>4458390.284218709</v>
      </c>
      <c r="DT24" s="56">
        <v>4458390.284218709</v>
      </c>
      <c r="DU24" s="56">
        <v>4458390.284218709</v>
      </c>
      <c r="DV24" s="56">
        <v>4458390.284218709</v>
      </c>
      <c r="DW24" s="56">
        <v>4458390.284218709</v>
      </c>
      <c r="DX24" s="56">
        <v>4458390.284218709</v>
      </c>
      <c r="DY24" s="56">
        <v>4458390.284218709</v>
      </c>
      <c r="DZ24" s="56">
        <v>4458390.284218709</v>
      </c>
      <c r="EA24" s="56">
        <v>4458390.284218709</v>
      </c>
      <c r="EB24" s="56">
        <v>4458390.284218709</v>
      </c>
      <c r="EC24" s="56">
        <v>4458390.284218709</v>
      </c>
      <c r="ED24" s="56">
        <v>4571235.5306889005</v>
      </c>
      <c r="EE24" s="56">
        <v>4571235.5306889005</v>
      </c>
      <c r="EF24" s="56">
        <v>4571235.5306889005</v>
      </c>
      <c r="EG24" s="56">
        <v>4571235.5306889005</v>
      </c>
      <c r="EH24" s="56">
        <v>4571235.5306889005</v>
      </c>
      <c r="EI24" s="56">
        <v>4571235.5306889005</v>
      </c>
      <c r="EJ24" s="56">
        <v>4571235.5306889005</v>
      </c>
      <c r="EK24" s="56">
        <v>4571235.5306889005</v>
      </c>
      <c r="EL24" s="56">
        <v>4571235.5306889005</v>
      </c>
      <c r="EM24" s="56">
        <v>4571235.5306889005</v>
      </c>
      <c r="EN24" s="56">
        <v>4571235.5306889005</v>
      </c>
      <c r="EO24" s="56">
        <v>4571235.5306889005</v>
      </c>
      <c r="EP24" s="56">
        <v>4686936.9761096397</v>
      </c>
      <c r="EQ24" s="56">
        <v>4686936.9761096397</v>
      </c>
      <c r="ER24" s="56">
        <v>4686936.9761096397</v>
      </c>
      <c r="ES24" s="56">
        <v>4686936.9761096397</v>
      </c>
      <c r="ET24" s="56">
        <v>4686936.9761096397</v>
      </c>
      <c r="EU24" s="56">
        <v>4686936.9761096397</v>
      </c>
      <c r="EV24" s="56">
        <v>4686936.9761096397</v>
      </c>
      <c r="EW24" s="56">
        <v>4686936.9761096397</v>
      </c>
      <c r="EX24" s="56">
        <v>4686936.9761096397</v>
      </c>
      <c r="EY24" s="56">
        <v>4686936.9761096397</v>
      </c>
      <c r="EZ24" s="56">
        <v>4686936.9761096397</v>
      </c>
      <c r="FA24" s="56">
        <v>4686936.9761096397</v>
      </c>
      <c r="FB24" s="56">
        <v>4805566.9130470762</v>
      </c>
      <c r="FC24" s="56">
        <v>4805566.9130470762</v>
      </c>
      <c r="FD24" s="56">
        <v>4805566.9130470762</v>
      </c>
      <c r="FE24" s="56">
        <v>4805566.9130470762</v>
      </c>
      <c r="FF24" s="56">
        <v>4805566.9130470762</v>
      </c>
      <c r="FG24" s="56">
        <v>4805566.9130470762</v>
      </c>
      <c r="FH24" s="56">
        <v>4805566.9130470762</v>
      </c>
      <c r="FI24" s="56">
        <v>4805566.9130470762</v>
      </c>
      <c r="FJ24" s="56">
        <v>4805566.9130470762</v>
      </c>
      <c r="FK24" s="56">
        <v>4805566.9130470762</v>
      </c>
      <c r="FL24" s="56">
        <v>4805566.9130470762</v>
      </c>
      <c r="FM24" s="56">
        <v>4805566.9130470762</v>
      </c>
      <c r="FN24" s="56">
        <v>4927199.463847152</v>
      </c>
      <c r="FO24" s="56">
        <v>4927199.463847152</v>
      </c>
      <c r="FP24" s="56">
        <v>4927199.463847152</v>
      </c>
      <c r="FQ24" s="56">
        <v>4927199.463847152</v>
      </c>
      <c r="FR24" s="56">
        <v>4927199.463847152</v>
      </c>
      <c r="FS24" s="56">
        <v>4927199.463847152</v>
      </c>
      <c r="FT24" s="56">
        <v>4927199.463847152</v>
      </c>
      <c r="FU24" s="56">
        <v>4927199.463847152</v>
      </c>
      <c r="FV24" s="56">
        <v>4927199.463847152</v>
      </c>
      <c r="FW24" s="56">
        <v>4927199.463847152</v>
      </c>
      <c r="FX24" s="56">
        <v>4927199.463847152</v>
      </c>
      <c r="FY24" s="56">
        <v>4927199.463847152</v>
      </c>
      <c r="FZ24" s="56">
        <v>0</v>
      </c>
      <c r="GA24" s="56">
        <v>0</v>
      </c>
      <c r="GB24" s="56">
        <v>0</v>
      </c>
      <c r="GC24" s="56">
        <v>0</v>
      </c>
      <c r="GD24" s="56">
        <v>0</v>
      </c>
      <c r="GE24" s="56">
        <v>0</v>
      </c>
      <c r="GF24" s="56">
        <v>0</v>
      </c>
      <c r="GG24" s="56">
        <v>0</v>
      </c>
      <c r="GH24" s="56">
        <v>0</v>
      </c>
      <c r="GI24" s="56">
        <v>0</v>
      </c>
      <c r="GJ24" s="56">
        <v>0</v>
      </c>
      <c r="GK24" s="85">
        <v>0</v>
      </c>
      <c r="GL24" s="40"/>
    </row>
    <row r="25" spans="1:194" x14ac:dyDescent="0.4">
      <c r="A25" s="84" t="s">
        <v>262</v>
      </c>
      <c r="B25" s="75" t="s">
        <v>256</v>
      </c>
      <c r="C25" s="70" t="s">
        <v>397</v>
      </c>
      <c r="D25" s="70" t="s">
        <v>209</v>
      </c>
      <c r="E25" s="75" t="s">
        <v>193</v>
      </c>
      <c r="F25" s="75" t="s">
        <v>194</v>
      </c>
      <c r="G25" s="75" t="s">
        <v>197</v>
      </c>
      <c r="H25" s="75">
        <v>0</v>
      </c>
      <c r="I25" s="70">
        <v>0</v>
      </c>
      <c r="J25" s="70" t="s">
        <v>210</v>
      </c>
      <c r="K25" s="70">
        <v>0</v>
      </c>
      <c r="L25" s="70" t="s">
        <v>211</v>
      </c>
      <c r="M25" s="71">
        <f>IFERROR(INDEX('(참조)BL_인건비'!$S$3:$AG$40,MATCH(BL_인건비!$A25,'(참조)BL_인건비'!$S$3:$S$40,0),MATCH('(참조)BL_인건비'!X$2,'(참조)BL_인건비'!$S$2:$AG$2,0)),0)</f>
        <v>2.25</v>
      </c>
      <c r="N25" s="71">
        <f>IFERROR(INDEX('(참조)BL_인건비'!$S$3:$AG$40,MATCH(BL_인건비!$A25,'(참조)BL_인건비'!$S$3:$S$40,0),MATCH('(참조)BL_인건비'!Y$2,'(참조)BL_인건비'!$S$2:$AG$2,0)),0)</f>
        <v>1</v>
      </c>
      <c r="O25" s="71">
        <f>IFERROR(INDEX('(참조)BL_인건비'!$S$3:$AG$40,MATCH(BL_인건비!$A25,'(참조)BL_인건비'!$S$3:$S$40,0),MATCH('(참조)BL_인건비'!Z$2,'(참조)BL_인건비'!$S$2:$AG$2,0)),0)</f>
        <v>1</v>
      </c>
      <c r="P25" s="71">
        <f>IFERROR(INDEX('(참조)BL_인건비'!$S$3:$AG$40,MATCH(BL_인건비!$A25,'(참조)BL_인건비'!$S$3:$S$40,0),MATCH('(참조)BL_인건비'!AA$2,'(참조)BL_인건비'!$S$2:$AG$2,0)),0)</f>
        <v>1</v>
      </c>
      <c r="Q25" s="71">
        <f>IFERROR(INDEX('(참조)BL_인건비'!$S$3:$AG$40,MATCH(BL_인건비!$A25,'(참조)BL_인건비'!$S$3:$S$40,0),MATCH('(참조)BL_인건비'!AB$2,'(참조)BL_인건비'!$S$2:$AG$2,0)),0)</f>
        <v>1</v>
      </c>
      <c r="R25" s="71">
        <f>IFERROR(INDEX('(참조)BL_인건비'!$S$3:$AG$40,MATCH(BL_인건비!$A25,'(참조)BL_인건비'!$S$3:$S$40,0),MATCH('(참조)BL_인건비'!AC$2,'(참조)BL_인건비'!$S$2:$AG$2,0)),0)</f>
        <v>1</v>
      </c>
      <c r="S25" s="71">
        <f>IFERROR(INDEX('(참조)BL_인건비'!$S$3:$AG$40,MATCH(BL_인건비!$A25,'(참조)BL_인건비'!$S$3:$S$40,0),MATCH('(참조)BL_인건비'!AD$2,'(참조)BL_인건비'!$S$2:$AG$2,0)),0)</f>
        <v>1</v>
      </c>
      <c r="T25" s="71">
        <f>IFERROR(INDEX('(참조)BL_인건비'!$S$3:$AG$40,MATCH(BL_인건비!$A25,'(참조)BL_인건비'!$S$3:$S$40,0),MATCH('(참조)BL_인건비'!AE$2,'(참조)BL_인건비'!$S$2:$AG$2,0)),0)</f>
        <v>1</v>
      </c>
      <c r="U25" s="71">
        <f>IFERROR(INDEX('(참조)BL_인건비'!$S$3:$AG$40,MATCH(BL_인건비!$A25,'(참조)BL_인건비'!$S$3:$S$40,0),MATCH('(참조)BL_인건비'!AF$2,'(참조)BL_인건비'!$S$2:$AG$2,0)),0)</f>
        <v>1</v>
      </c>
      <c r="V25" s="71">
        <f>IFERROR(INDEX('(참조)BL_인건비'!$S$3:$AG$40,MATCH(BL_인건비!$A25,'(참조)BL_인건비'!$S$3:$S$40,0),MATCH('(참조)BL_인건비'!AG$2,'(참조)BL_인건비'!$S$2:$AG$2,0)),0)</f>
        <v>1</v>
      </c>
      <c r="W25" s="71">
        <f>IFERROR(INDEX('(참조)BL_인건비'!$S$3:$AG$40,MATCH(BL_인건비!$A25,'(참조)BL_인건비'!$S$3:$S$40,0),MATCH('(참조)BL_인건비'!AH$2,'(참조)BL_인건비'!$S$2:$AG$2,0)),0)</f>
        <v>0</v>
      </c>
      <c r="X25" s="72">
        <v>0</v>
      </c>
      <c r="Y25" s="72">
        <f>IFERROR(INDEX('(참조)BL_인건비'!$A$3:$O$40,MATCH(BL_인건비!$A25,'(참조)BL_인건비'!$A$3:$A$40,0),MATCH('(참조)BL_인건비'!F$2,'(참조)BL_인건비'!$A$2:$O$2,0)),0)</f>
        <v>2822413.9414824001</v>
      </c>
      <c r="Z25" s="72">
        <f>IFERROR(INDEX('(참조)BL_인건비'!$A$3:$O$40,MATCH(BL_인건비!$A25,'(참조)BL_인건비'!$A$3:$A$40,0),MATCH('(참조)BL_인건비'!G$2,'(참조)BL_인건비'!$A$2:$O$2,0)),0)</f>
        <v>2893851.3833759152</v>
      </c>
      <c r="AA25" s="72">
        <f>IFERROR(INDEX('(참조)BL_인건비'!$A$3:$O$40,MATCH(BL_인건비!$A25,'(참조)BL_인건비'!$A$3:$A$40,0),MATCH('(참조)BL_인건비'!H$2,'(참조)BL_인건비'!$A$2:$O$2,0)),0)</f>
        <v>2967096.9612162109</v>
      </c>
      <c r="AB25" s="72">
        <f>IFERROR(INDEX('(참조)BL_인건비'!$A$3:$O$40,MATCH(BL_인건비!$A25,'(참조)BL_인건비'!$A$3:$A$40,0),MATCH('(참조)BL_인건비'!I$2,'(참조)BL_인건비'!$A$2:$O$2,0)),0)</f>
        <v>3042196.4402982835</v>
      </c>
      <c r="AC25" s="72">
        <f>IFERROR(INDEX('(참조)BL_인건비'!$A$3:$O$40,MATCH(BL_인건비!$A25,'(참조)BL_인건비'!$A$3:$A$40,0),MATCH('(참조)BL_인건비'!J$2,'(참조)BL_인건비'!$A$2:$O$2,0)),0)</f>
        <v>3119196.7442715275</v>
      </c>
      <c r="AD25" s="72">
        <f>IFERROR(INDEX('(참조)BL_인건비'!$A$3:$O$40,MATCH(BL_인건비!$A25,'(참조)BL_인건비'!$A$3:$A$40,0),MATCH('(참조)BL_인건비'!K$2,'(참조)BL_인건비'!$A$2:$O$2,0)),0)</f>
        <v>3198145.9844585657</v>
      </c>
      <c r="AE25" s="72">
        <f>IFERROR(INDEX('(참조)BL_인건비'!$A$3:$O$40,MATCH(BL_인건비!$A25,'(참조)BL_인건비'!$A$3:$A$40,0),MATCH('(참조)BL_인건비'!L$2,'(참조)BL_인건비'!$A$2:$O$2,0)),0)</f>
        <v>3279093.4899161602</v>
      </c>
      <c r="AF25" s="72">
        <f>IFERROR(INDEX('(참조)BL_인건비'!$A$3:$O$40,MATCH(BL_인건비!$A25,'(참조)BL_인건비'!$A$3:$A$40,0),MATCH('(참조)BL_인건비'!M$2,'(참조)BL_인건비'!$A$2:$O$2,0)),0)</f>
        <v>3362089.8382569905</v>
      </c>
      <c r="AG25" s="72">
        <f>IFERROR(INDEX('(참조)BL_인건비'!$A$3:$O$40,MATCH(BL_인건비!$A25,'(참조)BL_인건비'!$A$3:$A$40,0),MATCH('(참조)BL_인건비'!N$2,'(참조)BL_인건비'!$A$2:$O$2,0)),0)</f>
        <v>3447186.8872515522</v>
      </c>
      <c r="AH25" s="72">
        <f>IFERROR(INDEX('(참조)BL_인건비'!$A$3:$O$40,MATCH(BL_인건비!$A25,'(참조)BL_인건비'!$A$3:$A$40,0),MATCH('(참조)BL_인건비'!O$2,'(참조)BL_인건비'!$A$2:$O$2,0)),0)</f>
        <v>3534437.8072299231</v>
      </c>
      <c r="AI25" s="72">
        <f>IFERROR(INDEX('(참조)BL_인건비'!$A$3:$O$40,MATCH(BL_인건비!$A25,'(참조)BL_인건비'!$A$3:$A$40,0),MATCH('(참조)BL_인건비'!P$2,'(참조)BL_인건비'!$A$2:$O$2,0)),0)</f>
        <v>0</v>
      </c>
      <c r="AJ25" s="72">
        <v>12</v>
      </c>
      <c r="AK25" s="72">
        <v>12</v>
      </c>
      <c r="AL25" s="72">
        <v>12</v>
      </c>
      <c r="AM25" s="72">
        <v>12</v>
      </c>
      <c r="AN25" s="72">
        <v>12</v>
      </c>
      <c r="AO25" s="72">
        <v>12</v>
      </c>
      <c r="AP25" s="72">
        <v>12</v>
      </c>
      <c r="AQ25" s="72">
        <v>12</v>
      </c>
      <c r="AR25" s="72">
        <v>12</v>
      </c>
      <c r="AS25" s="72">
        <v>12</v>
      </c>
      <c r="AT25" s="72">
        <v>12</v>
      </c>
      <c r="AU25" s="73">
        <v>1</v>
      </c>
      <c r="AV25" s="70">
        <v>0</v>
      </c>
      <c r="AW25" s="70">
        <v>0</v>
      </c>
      <c r="AX25" s="56">
        <v>422324722.85532629</v>
      </c>
      <c r="AY25" s="56">
        <v>76205176.420024782</v>
      </c>
      <c r="AZ25" s="56">
        <v>34726216.600510992</v>
      </c>
      <c r="BA25" s="56">
        <v>35605163.534594528</v>
      </c>
      <c r="BB25" s="56">
        <v>36506357.283579394</v>
      </c>
      <c r="BC25" s="56">
        <v>37430360.931258328</v>
      </c>
      <c r="BD25" s="56">
        <v>38377751.813502789</v>
      </c>
      <c r="BE25" s="56">
        <v>39349121.878993921</v>
      </c>
      <c r="BF25" s="56">
        <v>40345078.059083901</v>
      </c>
      <c r="BG25" s="56">
        <v>41366242.647018626</v>
      </c>
      <c r="BH25" s="56">
        <v>42413253.686759062</v>
      </c>
      <c r="BI25" s="56">
        <v>0</v>
      </c>
      <c r="BJ25" s="74">
        <v>6350431.3683353998</v>
      </c>
      <c r="BK25" s="56">
        <v>6350431.3683353998</v>
      </c>
      <c r="BL25" s="56">
        <v>6350431.3683353998</v>
      </c>
      <c r="BM25" s="56">
        <v>6350431.3683353998</v>
      </c>
      <c r="BN25" s="56">
        <v>6350431.3683353998</v>
      </c>
      <c r="BO25" s="56">
        <v>6350431.3683353998</v>
      </c>
      <c r="BP25" s="56">
        <v>6350431.3683353998</v>
      </c>
      <c r="BQ25" s="56">
        <v>6350431.3683353998</v>
      </c>
      <c r="BR25" s="56">
        <v>6350431.3683353998</v>
      </c>
      <c r="BS25" s="56">
        <v>6350431.3683353998</v>
      </c>
      <c r="BT25" s="56">
        <v>6350431.3683353998</v>
      </c>
      <c r="BU25" s="56">
        <v>6350431.3683353998</v>
      </c>
      <c r="BV25" s="56">
        <v>2893851.3833759152</v>
      </c>
      <c r="BW25" s="56">
        <v>2893851.3833759152</v>
      </c>
      <c r="BX25" s="56">
        <v>2893851.3833759152</v>
      </c>
      <c r="BY25" s="56">
        <v>2893851.3833759152</v>
      </c>
      <c r="BZ25" s="56">
        <v>2893851.3833759152</v>
      </c>
      <c r="CA25" s="56">
        <v>2893851.3833759152</v>
      </c>
      <c r="CB25" s="56">
        <v>2893851.3833759152</v>
      </c>
      <c r="CC25" s="56">
        <v>2893851.3833759152</v>
      </c>
      <c r="CD25" s="56">
        <v>2893851.3833759152</v>
      </c>
      <c r="CE25" s="56">
        <v>2893851.3833759152</v>
      </c>
      <c r="CF25" s="56">
        <v>2893851.3833759152</v>
      </c>
      <c r="CG25" s="56">
        <v>2893851.3833759152</v>
      </c>
      <c r="CH25" s="56">
        <v>2967096.9612162109</v>
      </c>
      <c r="CI25" s="56">
        <v>2967096.9612162109</v>
      </c>
      <c r="CJ25" s="56">
        <v>2967096.9612162109</v>
      </c>
      <c r="CK25" s="56">
        <v>2967096.9612162109</v>
      </c>
      <c r="CL25" s="56">
        <v>2967096.9612162109</v>
      </c>
      <c r="CM25" s="56">
        <v>2967096.9612162109</v>
      </c>
      <c r="CN25" s="56">
        <v>2967096.9612162109</v>
      </c>
      <c r="CO25" s="56">
        <v>2967096.9612162109</v>
      </c>
      <c r="CP25" s="56">
        <v>2967096.9612162109</v>
      </c>
      <c r="CQ25" s="56">
        <v>2967096.9612162109</v>
      </c>
      <c r="CR25" s="56">
        <v>2967096.9612162109</v>
      </c>
      <c r="CS25" s="56">
        <v>2967096.9612162109</v>
      </c>
      <c r="CT25" s="56">
        <v>3042196.4402982835</v>
      </c>
      <c r="CU25" s="56">
        <v>3042196.4402982835</v>
      </c>
      <c r="CV25" s="56">
        <v>3042196.4402982835</v>
      </c>
      <c r="CW25" s="56">
        <v>3042196.4402982835</v>
      </c>
      <c r="CX25" s="56">
        <v>3042196.4402982835</v>
      </c>
      <c r="CY25" s="56">
        <v>3042196.4402982835</v>
      </c>
      <c r="CZ25" s="56">
        <v>3042196.4402982835</v>
      </c>
      <c r="DA25" s="56">
        <v>3042196.4402982835</v>
      </c>
      <c r="DB25" s="56">
        <v>3042196.4402982835</v>
      </c>
      <c r="DC25" s="56">
        <v>3042196.4402982835</v>
      </c>
      <c r="DD25" s="56">
        <v>3042196.4402982835</v>
      </c>
      <c r="DE25" s="56">
        <v>3042196.4402982835</v>
      </c>
      <c r="DF25" s="56">
        <v>3119196.7442715275</v>
      </c>
      <c r="DG25" s="56">
        <v>3119196.7442715275</v>
      </c>
      <c r="DH25" s="56">
        <v>3119196.7442715275</v>
      </c>
      <c r="DI25" s="56">
        <v>3119196.7442715275</v>
      </c>
      <c r="DJ25" s="56">
        <v>3119196.7442715275</v>
      </c>
      <c r="DK25" s="56">
        <v>3119196.7442715275</v>
      </c>
      <c r="DL25" s="56">
        <v>3119196.7442715275</v>
      </c>
      <c r="DM25" s="56">
        <v>3119196.7442715275</v>
      </c>
      <c r="DN25" s="56">
        <v>3119196.7442715275</v>
      </c>
      <c r="DO25" s="56">
        <v>3119196.7442715275</v>
      </c>
      <c r="DP25" s="56">
        <v>3119196.7442715275</v>
      </c>
      <c r="DQ25" s="56">
        <v>3119196.7442715275</v>
      </c>
      <c r="DR25" s="56">
        <v>3198145.9844585657</v>
      </c>
      <c r="DS25" s="56">
        <v>3198145.9844585657</v>
      </c>
      <c r="DT25" s="56">
        <v>3198145.9844585657</v>
      </c>
      <c r="DU25" s="56">
        <v>3198145.9844585657</v>
      </c>
      <c r="DV25" s="56">
        <v>3198145.9844585657</v>
      </c>
      <c r="DW25" s="56">
        <v>3198145.9844585657</v>
      </c>
      <c r="DX25" s="56">
        <v>3198145.9844585657</v>
      </c>
      <c r="DY25" s="56">
        <v>3198145.9844585657</v>
      </c>
      <c r="DZ25" s="56">
        <v>3198145.9844585657</v>
      </c>
      <c r="EA25" s="56">
        <v>3198145.9844585657</v>
      </c>
      <c r="EB25" s="56">
        <v>3198145.9844585657</v>
      </c>
      <c r="EC25" s="56">
        <v>3198145.9844585657</v>
      </c>
      <c r="ED25" s="56">
        <v>3279093.4899161602</v>
      </c>
      <c r="EE25" s="56">
        <v>3279093.4899161602</v>
      </c>
      <c r="EF25" s="56">
        <v>3279093.4899161602</v>
      </c>
      <c r="EG25" s="56">
        <v>3279093.4899161602</v>
      </c>
      <c r="EH25" s="56">
        <v>3279093.4899161602</v>
      </c>
      <c r="EI25" s="56">
        <v>3279093.4899161602</v>
      </c>
      <c r="EJ25" s="56">
        <v>3279093.4899161602</v>
      </c>
      <c r="EK25" s="56">
        <v>3279093.4899161602</v>
      </c>
      <c r="EL25" s="56">
        <v>3279093.4899161602</v>
      </c>
      <c r="EM25" s="56">
        <v>3279093.4899161602</v>
      </c>
      <c r="EN25" s="56">
        <v>3279093.4899161602</v>
      </c>
      <c r="EO25" s="56">
        <v>3279093.4899161602</v>
      </c>
      <c r="EP25" s="56">
        <v>3362089.8382569905</v>
      </c>
      <c r="EQ25" s="56">
        <v>3362089.8382569905</v>
      </c>
      <c r="ER25" s="56">
        <v>3362089.8382569905</v>
      </c>
      <c r="ES25" s="56">
        <v>3362089.8382569905</v>
      </c>
      <c r="ET25" s="56">
        <v>3362089.8382569905</v>
      </c>
      <c r="EU25" s="56">
        <v>3362089.8382569905</v>
      </c>
      <c r="EV25" s="56">
        <v>3362089.8382569905</v>
      </c>
      <c r="EW25" s="56">
        <v>3362089.8382569905</v>
      </c>
      <c r="EX25" s="56">
        <v>3362089.8382569905</v>
      </c>
      <c r="EY25" s="56">
        <v>3362089.8382569905</v>
      </c>
      <c r="EZ25" s="56">
        <v>3362089.8382569905</v>
      </c>
      <c r="FA25" s="56">
        <v>3362089.8382569905</v>
      </c>
      <c r="FB25" s="56">
        <v>3447186.8872515522</v>
      </c>
      <c r="FC25" s="56">
        <v>3447186.8872515522</v>
      </c>
      <c r="FD25" s="56">
        <v>3447186.8872515522</v>
      </c>
      <c r="FE25" s="56">
        <v>3447186.8872515522</v>
      </c>
      <c r="FF25" s="56">
        <v>3447186.8872515522</v>
      </c>
      <c r="FG25" s="56">
        <v>3447186.8872515522</v>
      </c>
      <c r="FH25" s="56">
        <v>3447186.8872515522</v>
      </c>
      <c r="FI25" s="56">
        <v>3447186.8872515522</v>
      </c>
      <c r="FJ25" s="56">
        <v>3447186.8872515522</v>
      </c>
      <c r="FK25" s="56">
        <v>3447186.8872515522</v>
      </c>
      <c r="FL25" s="56">
        <v>3447186.8872515522</v>
      </c>
      <c r="FM25" s="56">
        <v>3447186.8872515522</v>
      </c>
      <c r="FN25" s="56">
        <v>3534437.8072299231</v>
      </c>
      <c r="FO25" s="56">
        <v>3534437.8072299231</v>
      </c>
      <c r="FP25" s="56">
        <v>3534437.8072299231</v>
      </c>
      <c r="FQ25" s="56">
        <v>3534437.8072299231</v>
      </c>
      <c r="FR25" s="56">
        <v>3534437.8072299231</v>
      </c>
      <c r="FS25" s="56">
        <v>3534437.8072299231</v>
      </c>
      <c r="FT25" s="56">
        <v>3534437.8072299231</v>
      </c>
      <c r="FU25" s="56">
        <v>3534437.8072299231</v>
      </c>
      <c r="FV25" s="56">
        <v>3534437.8072299231</v>
      </c>
      <c r="FW25" s="56">
        <v>3534437.8072299231</v>
      </c>
      <c r="FX25" s="56">
        <v>3534437.8072299231</v>
      </c>
      <c r="FY25" s="56">
        <v>3534437.8072299231</v>
      </c>
      <c r="FZ25" s="56">
        <v>0</v>
      </c>
      <c r="GA25" s="56">
        <v>0</v>
      </c>
      <c r="GB25" s="56">
        <v>0</v>
      </c>
      <c r="GC25" s="56">
        <v>0</v>
      </c>
      <c r="GD25" s="56">
        <v>0</v>
      </c>
      <c r="GE25" s="56">
        <v>0</v>
      </c>
      <c r="GF25" s="56">
        <v>0</v>
      </c>
      <c r="GG25" s="56">
        <v>0</v>
      </c>
      <c r="GH25" s="56">
        <v>0</v>
      </c>
      <c r="GI25" s="56">
        <v>0</v>
      </c>
      <c r="GJ25" s="56">
        <v>0</v>
      </c>
      <c r="GK25" s="85">
        <v>0</v>
      </c>
      <c r="GL25" s="40"/>
    </row>
    <row r="26" spans="1:194" x14ac:dyDescent="0.4">
      <c r="A26" s="84" t="s">
        <v>263</v>
      </c>
      <c r="B26" s="75" t="s">
        <v>256</v>
      </c>
      <c r="C26" s="70" t="s">
        <v>397</v>
      </c>
      <c r="D26" s="70" t="s">
        <v>209</v>
      </c>
      <c r="E26" s="75" t="s">
        <v>193</v>
      </c>
      <c r="F26" s="75" t="s">
        <v>250</v>
      </c>
      <c r="G26" s="75" t="s">
        <v>198</v>
      </c>
      <c r="H26" s="75">
        <v>0</v>
      </c>
      <c r="I26" s="70">
        <v>0</v>
      </c>
      <c r="J26" s="70" t="s">
        <v>210</v>
      </c>
      <c r="K26" s="70">
        <v>0</v>
      </c>
      <c r="L26" s="70" t="s">
        <v>211</v>
      </c>
      <c r="M26" s="71">
        <f>IFERROR(INDEX('(참조)BL_인건비'!$S$3:$AG$40,MATCH(BL_인건비!$A26,'(참조)BL_인건비'!$S$3:$S$40,0),MATCH('(참조)BL_인건비'!X$2,'(참조)BL_인건비'!$S$2:$AG$2,0)),0)</f>
        <v>3.5</v>
      </c>
      <c r="N26" s="71">
        <f>IFERROR(INDEX('(참조)BL_인건비'!$S$3:$AG$40,MATCH(BL_인건비!$A26,'(참조)BL_인건비'!$S$3:$S$40,0),MATCH('(참조)BL_인건비'!Y$2,'(참조)BL_인건비'!$S$2:$AG$2,0)),0)</f>
        <v>3</v>
      </c>
      <c r="O26" s="71">
        <f>IFERROR(INDEX('(참조)BL_인건비'!$S$3:$AG$40,MATCH(BL_인건비!$A26,'(참조)BL_인건비'!$S$3:$S$40,0),MATCH('(참조)BL_인건비'!Z$2,'(참조)BL_인건비'!$S$2:$AG$2,0)),0)</f>
        <v>3</v>
      </c>
      <c r="P26" s="71">
        <f>IFERROR(INDEX('(참조)BL_인건비'!$S$3:$AG$40,MATCH(BL_인건비!$A26,'(참조)BL_인건비'!$S$3:$S$40,0),MATCH('(참조)BL_인건비'!AA$2,'(참조)BL_인건비'!$S$2:$AG$2,0)),0)</f>
        <v>3</v>
      </c>
      <c r="Q26" s="71">
        <f>IFERROR(INDEX('(참조)BL_인건비'!$S$3:$AG$40,MATCH(BL_인건비!$A26,'(참조)BL_인건비'!$S$3:$S$40,0),MATCH('(참조)BL_인건비'!AB$2,'(참조)BL_인건비'!$S$2:$AG$2,0)),0)</f>
        <v>3</v>
      </c>
      <c r="R26" s="71">
        <f>IFERROR(INDEX('(참조)BL_인건비'!$S$3:$AG$40,MATCH(BL_인건비!$A26,'(참조)BL_인건비'!$S$3:$S$40,0),MATCH('(참조)BL_인건비'!AC$2,'(참조)BL_인건비'!$S$2:$AG$2,0)),0)</f>
        <v>3</v>
      </c>
      <c r="S26" s="71">
        <f>IFERROR(INDEX('(참조)BL_인건비'!$S$3:$AG$40,MATCH(BL_인건비!$A26,'(참조)BL_인건비'!$S$3:$S$40,0),MATCH('(참조)BL_인건비'!AD$2,'(참조)BL_인건비'!$S$2:$AG$2,0)),0)</f>
        <v>3</v>
      </c>
      <c r="T26" s="71">
        <f>IFERROR(INDEX('(참조)BL_인건비'!$S$3:$AG$40,MATCH(BL_인건비!$A26,'(참조)BL_인건비'!$S$3:$S$40,0),MATCH('(참조)BL_인건비'!AE$2,'(참조)BL_인건비'!$S$2:$AG$2,0)),0)</f>
        <v>3</v>
      </c>
      <c r="U26" s="71">
        <f>IFERROR(INDEX('(참조)BL_인건비'!$S$3:$AG$40,MATCH(BL_인건비!$A26,'(참조)BL_인건비'!$S$3:$S$40,0),MATCH('(참조)BL_인건비'!AF$2,'(참조)BL_인건비'!$S$2:$AG$2,0)),0)</f>
        <v>3</v>
      </c>
      <c r="V26" s="71">
        <f>IFERROR(INDEX('(참조)BL_인건비'!$S$3:$AG$40,MATCH(BL_인건비!$A26,'(참조)BL_인건비'!$S$3:$S$40,0),MATCH('(참조)BL_인건비'!AG$2,'(참조)BL_인건비'!$S$2:$AG$2,0)),0)</f>
        <v>3</v>
      </c>
      <c r="W26" s="71">
        <f>IFERROR(INDEX('(참조)BL_인건비'!$S$3:$AG$40,MATCH(BL_인건비!$A26,'(참조)BL_인건비'!$S$3:$S$40,0),MATCH('(참조)BL_인건비'!AH$2,'(참조)BL_인건비'!$S$2:$AG$2,0)),0)</f>
        <v>0</v>
      </c>
      <c r="X26" s="72">
        <v>0</v>
      </c>
      <c r="Y26" s="72">
        <f>IFERROR(INDEX('(참조)BL_인건비'!$A$3:$O$40,MATCH(BL_인건비!$A26,'(참조)BL_인건비'!$A$3:$A$40,0),MATCH('(참조)BL_인건비'!F$2,'(참조)BL_인건비'!$A$2:$O$2,0)),0)</f>
        <v>2822413.9414824001</v>
      </c>
      <c r="Z26" s="72">
        <f>IFERROR(INDEX('(참조)BL_인건비'!$A$3:$O$40,MATCH(BL_인건비!$A26,'(참조)BL_인건비'!$A$3:$A$40,0),MATCH('(참조)BL_인건비'!G$2,'(참조)BL_인건비'!$A$2:$O$2,0)),0)</f>
        <v>2893851.3833759152</v>
      </c>
      <c r="AA26" s="72">
        <f>IFERROR(INDEX('(참조)BL_인건비'!$A$3:$O$40,MATCH(BL_인건비!$A26,'(참조)BL_인건비'!$A$3:$A$40,0),MATCH('(참조)BL_인건비'!H$2,'(참조)BL_인건비'!$A$2:$O$2,0)),0)</f>
        <v>2967096.9612162109</v>
      </c>
      <c r="AB26" s="72">
        <f>IFERROR(INDEX('(참조)BL_인건비'!$A$3:$O$40,MATCH(BL_인건비!$A26,'(참조)BL_인건비'!$A$3:$A$40,0),MATCH('(참조)BL_인건비'!I$2,'(참조)BL_인건비'!$A$2:$O$2,0)),0)</f>
        <v>3042196.4402982835</v>
      </c>
      <c r="AC26" s="72">
        <f>IFERROR(INDEX('(참조)BL_인건비'!$A$3:$O$40,MATCH(BL_인건비!$A26,'(참조)BL_인건비'!$A$3:$A$40,0),MATCH('(참조)BL_인건비'!J$2,'(참조)BL_인건비'!$A$2:$O$2,0)),0)</f>
        <v>3119196.7442715275</v>
      </c>
      <c r="AD26" s="72">
        <f>IFERROR(INDEX('(참조)BL_인건비'!$A$3:$O$40,MATCH(BL_인건비!$A26,'(참조)BL_인건비'!$A$3:$A$40,0),MATCH('(참조)BL_인건비'!K$2,'(참조)BL_인건비'!$A$2:$O$2,0)),0)</f>
        <v>3198145.9844585657</v>
      </c>
      <c r="AE26" s="72">
        <f>IFERROR(INDEX('(참조)BL_인건비'!$A$3:$O$40,MATCH(BL_인건비!$A26,'(참조)BL_인건비'!$A$3:$A$40,0),MATCH('(참조)BL_인건비'!L$2,'(참조)BL_인건비'!$A$2:$O$2,0)),0)</f>
        <v>3279093.4899161602</v>
      </c>
      <c r="AF26" s="72">
        <f>IFERROR(INDEX('(참조)BL_인건비'!$A$3:$O$40,MATCH(BL_인건비!$A26,'(참조)BL_인건비'!$A$3:$A$40,0),MATCH('(참조)BL_인건비'!M$2,'(참조)BL_인건비'!$A$2:$O$2,0)),0)</f>
        <v>3362089.8382569905</v>
      </c>
      <c r="AG26" s="72">
        <f>IFERROR(INDEX('(참조)BL_인건비'!$A$3:$O$40,MATCH(BL_인건비!$A26,'(참조)BL_인건비'!$A$3:$A$40,0),MATCH('(참조)BL_인건비'!N$2,'(참조)BL_인건비'!$A$2:$O$2,0)),0)</f>
        <v>3447186.8872515522</v>
      </c>
      <c r="AH26" s="72">
        <f>IFERROR(INDEX('(참조)BL_인건비'!$A$3:$O$40,MATCH(BL_인건비!$A26,'(참조)BL_인건비'!$A$3:$A$40,0),MATCH('(참조)BL_인건비'!O$2,'(참조)BL_인건비'!$A$2:$O$2,0)),0)</f>
        <v>3534437.8072299231</v>
      </c>
      <c r="AI26" s="72">
        <f>IFERROR(INDEX('(참조)BL_인건비'!$A$3:$O$40,MATCH(BL_인건비!$A26,'(참조)BL_인건비'!$A$3:$A$40,0),MATCH('(참조)BL_인건비'!P$2,'(참조)BL_인건비'!$A$2:$O$2,0)),0)</f>
        <v>0</v>
      </c>
      <c r="AJ26" s="72">
        <v>12</v>
      </c>
      <c r="AK26" s="72">
        <v>12</v>
      </c>
      <c r="AL26" s="72">
        <v>12</v>
      </c>
      <c r="AM26" s="72">
        <v>12</v>
      </c>
      <c r="AN26" s="72">
        <v>12</v>
      </c>
      <c r="AO26" s="72">
        <v>12</v>
      </c>
      <c r="AP26" s="72">
        <v>12</v>
      </c>
      <c r="AQ26" s="72">
        <v>12</v>
      </c>
      <c r="AR26" s="72">
        <v>12</v>
      </c>
      <c r="AS26" s="72">
        <v>12</v>
      </c>
      <c r="AT26" s="72">
        <v>12</v>
      </c>
      <c r="AU26" s="73">
        <v>1</v>
      </c>
      <c r="AV26" s="70">
        <v>0</v>
      </c>
      <c r="AW26" s="70">
        <v>0</v>
      </c>
      <c r="AX26" s="56">
        <v>1156900024.8481653</v>
      </c>
      <c r="AY26" s="56">
        <v>118541385.54226078</v>
      </c>
      <c r="AZ26" s="56">
        <v>104178649.80153292</v>
      </c>
      <c r="BA26" s="56">
        <v>106815490.60378359</v>
      </c>
      <c r="BB26" s="56">
        <v>109519071.85073821</v>
      </c>
      <c r="BC26" s="56">
        <v>112291082.79377498</v>
      </c>
      <c r="BD26" s="56">
        <v>115133255.44050837</v>
      </c>
      <c r="BE26" s="56">
        <v>118047365.63698177</v>
      </c>
      <c r="BF26" s="56">
        <v>121035234.17725165</v>
      </c>
      <c r="BG26" s="56">
        <v>124098727.94105585</v>
      </c>
      <c r="BH26" s="56">
        <v>127239761.06027721</v>
      </c>
      <c r="BI26" s="56">
        <v>0</v>
      </c>
      <c r="BJ26" s="74">
        <v>9878448.7951884009</v>
      </c>
      <c r="BK26" s="56">
        <v>9878448.7951884009</v>
      </c>
      <c r="BL26" s="56">
        <v>9878448.7951884009</v>
      </c>
      <c r="BM26" s="56">
        <v>9878448.7951884009</v>
      </c>
      <c r="BN26" s="56">
        <v>9878448.7951884009</v>
      </c>
      <c r="BO26" s="56">
        <v>9878448.7951884009</v>
      </c>
      <c r="BP26" s="56">
        <v>9878448.7951884009</v>
      </c>
      <c r="BQ26" s="56">
        <v>9878448.7951884009</v>
      </c>
      <c r="BR26" s="56">
        <v>9878448.7951884009</v>
      </c>
      <c r="BS26" s="56">
        <v>9878448.7951884009</v>
      </c>
      <c r="BT26" s="56">
        <v>9878448.7951884009</v>
      </c>
      <c r="BU26" s="56">
        <v>9878448.7951884009</v>
      </c>
      <c r="BV26" s="56">
        <v>8681554.1501277462</v>
      </c>
      <c r="BW26" s="56">
        <v>8681554.1501277462</v>
      </c>
      <c r="BX26" s="56">
        <v>8681554.1501277462</v>
      </c>
      <c r="BY26" s="56">
        <v>8681554.1501277462</v>
      </c>
      <c r="BZ26" s="56">
        <v>8681554.1501277462</v>
      </c>
      <c r="CA26" s="56">
        <v>8681554.1501277462</v>
      </c>
      <c r="CB26" s="56">
        <v>8681554.1501277462</v>
      </c>
      <c r="CC26" s="56">
        <v>8681554.1501277462</v>
      </c>
      <c r="CD26" s="56">
        <v>8681554.1501277462</v>
      </c>
      <c r="CE26" s="56">
        <v>8681554.1501277462</v>
      </c>
      <c r="CF26" s="56">
        <v>8681554.1501277462</v>
      </c>
      <c r="CG26" s="56">
        <v>8681554.1501277462</v>
      </c>
      <c r="CH26" s="56">
        <v>8901290.8836486321</v>
      </c>
      <c r="CI26" s="56">
        <v>8901290.8836486321</v>
      </c>
      <c r="CJ26" s="56">
        <v>8901290.8836486321</v>
      </c>
      <c r="CK26" s="56">
        <v>8901290.8836486321</v>
      </c>
      <c r="CL26" s="56">
        <v>8901290.8836486321</v>
      </c>
      <c r="CM26" s="56">
        <v>8901290.8836486321</v>
      </c>
      <c r="CN26" s="56">
        <v>8901290.8836486321</v>
      </c>
      <c r="CO26" s="56">
        <v>8901290.8836486321</v>
      </c>
      <c r="CP26" s="56">
        <v>8901290.8836486321</v>
      </c>
      <c r="CQ26" s="56">
        <v>8901290.8836486321</v>
      </c>
      <c r="CR26" s="56">
        <v>8901290.8836486321</v>
      </c>
      <c r="CS26" s="56">
        <v>8901290.8836486321</v>
      </c>
      <c r="CT26" s="56">
        <v>9126589.3208948504</v>
      </c>
      <c r="CU26" s="56">
        <v>9126589.3208948504</v>
      </c>
      <c r="CV26" s="56">
        <v>9126589.3208948504</v>
      </c>
      <c r="CW26" s="56">
        <v>9126589.3208948504</v>
      </c>
      <c r="CX26" s="56">
        <v>9126589.3208948504</v>
      </c>
      <c r="CY26" s="56">
        <v>9126589.3208948504</v>
      </c>
      <c r="CZ26" s="56">
        <v>9126589.3208948504</v>
      </c>
      <c r="DA26" s="56">
        <v>9126589.3208948504</v>
      </c>
      <c r="DB26" s="56">
        <v>9126589.3208948504</v>
      </c>
      <c r="DC26" s="56">
        <v>9126589.3208948504</v>
      </c>
      <c r="DD26" s="56">
        <v>9126589.3208948504</v>
      </c>
      <c r="DE26" s="56">
        <v>9126589.3208948504</v>
      </c>
      <c r="DF26" s="56">
        <v>9357590.2328145821</v>
      </c>
      <c r="DG26" s="56">
        <v>9357590.2328145821</v>
      </c>
      <c r="DH26" s="56">
        <v>9357590.2328145821</v>
      </c>
      <c r="DI26" s="56">
        <v>9357590.2328145821</v>
      </c>
      <c r="DJ26" s="56">
        <v>9357590.2328145821</v>
      </c>
      <c r="DK26" s="56">
        <v>9357590.2328145821</v>
      </c>
      <c r="DL26" s="56">
        <v>9357590.2328145821</v>
      </c>
      <c r="DM26" s="56">
        <v>9357590.2328145821</v>
      </c>
      <c r="DN26" s="56">
        <v>9357590.2328145821</v>
      </c>
      <c r="DO26" s="56">
        <v>9357590.2328145821</v>
      </c>
      <c r="DP26" s="56">
        <v>9357590.2328145821</v>
      </c>
      <c r="DQ26" s="56">
        <v>9357590.2328145821</v>
      </c>
      <c r="DR26" s="56">
        <v>9594437.9533756971</v>
      </c>
      <c r="DS26" s="56">
        <v>9594437.9533756971</v>
      </c>
      <c r="DT26" s="56">
        <v>9594437.9533756971</v>
      </c>
      <c r="DU26" s="56">
        <v>9594437.9533756971</v>
      </c>
      <c r="DV26" s="56">
        <v>9594437.9533756971</v>
      </c>
      <c r="DW26" s="56">
        <v>9594437.9533756971</v>
      </c>
      <c r="DX26" s="56">
        <v>9594437.9533756971</v>
      </c>
      <c r="DY26" s="56">
        <v>9594437.9533756971</v>
      </c>
      <c r="DZ26" s="56">
        <v>9594437.9533756971</v>
      </c>
      <c r="EA26" s="56">
        <v>9594437.9533756971</v>
      </c>
      <c r="EB26" s="56">
        <v>9594437.9533756971</v>
      </c>
      <c r="EC26" s="56">
        <v>9594437.9533756971</v>
      </c>
      <c r="ED26" s="56">
        <v>9837280.4697484802</v>
      </c>
      <c r="EE26" s="56">
        <v>9837280.4697484802</v>
      </c>
      <c r="EF26" s="56">
        <v>9837280.4697484802</v>
      </c>
      <c r="EG26" s="56">
        <v>9837280.4697484802</v>
      </c>
      <c r="EH26" s="56">
        <v>9837280.4697484802</v>
      </c>
      <c r="EI26" s="56">
        <v>9837280.4697484802</v>
      </c>
      <c r="EJ26" s="56">
        <v>9837280.4697484802</v>
      </c>
      <c r="EK26" s="56">
        <v>9837280.4697484802</v>
      </c>
      <c r="EL26" s="56">
        <v>9837280.4697484802</v>
      </c>
      <c r="EM26" s="56">
        <v>9837280.4697484802</v>
      </c>
      <c r="EN26" s="56">
        <v>9837280.4697484802</v>
      </c>
      <c r="EO26" s="56">
        <v>9837280.4697484802</v>
      </c>
      <c r="EP26" s="56">
        <v>10086269.514770972</v>
      </c>
      <c r="EQ26" s="56">
        <v>10086269.514770972</v>
      </c>
      <c r="ER26" s="56">
        <v>10086269.514770972</v>
      </c>
      <c r="ES26" s="56">
        <v>10086269.514770972</v>
      </c>
      <c r="ET26" s="56">
        <v>10086269.514770972</v>
      </c>
      <c r="EU26" s="56">
        <v>10086269.514770972</v>
      </c>
      <c r="EV26" s="56">
        <v>10086269.514770972</v>
      </c>
      <c r="EW26" s="56">
        <v>10086269.514770972</v>
      </c>
      <c r="EX26" s="56">
        <v>10086269.514770972</v>
      </c>
      <c r="EY26" s="56">
        <v>10086269.514770972</v>
      </c>
      <c r="EZ26" s="56">
        <v>10086269.514770972</v>
      </c>
      <c r="FA26" s="56">
        <v>10086269.514770972</v>
      </c>
      <c r="FB26" s="56">
        <v>10341560.661754657</v>
      </c>
      <c r="FC26" s="56">
        <v>10341560.661754657</v>
      </c>
      <c r="FD26" s="56">
        <v>10341560.661754657</v>
      </c>
      <c r="FE26" s="56">
        <v>10341560.661754657</v>
      </c>
      <c r="FF26" s="56">
        <v>10341560.661754657</v>
      </c>
      <c r="FG26" s="56">
        <v>10341560.661754657</v>
      </c>
      <c r="FH26" s="56">
        <v>10341560.661754657</v>
      </c>
      <c r="FI26" s="56">
        <v>10341560.661754657</v>
      </c>
      <c r="FJ26" s="56">
        <v>10341560.661754657</v>
      </c>
      <c r="FK26" s="56">
        <v>10341560.661754657</v>
      </c>
      <c r="FL26" s="56">
        <v>10341560.661754657</v>
      </c>
      <c r="FM26" s="56">
        <v>10341560.661754657</v>
      </c>
      <c r="FN26" s="56">
        <v>10603313.421689769</v>
      </c>
      <c r="FO26" s="56">
        <v>10603313.421689769</v>
      </c>
      <c r="FP26" s="56">
        <v>10603313.421689769</v>
      </c>
      <c r="FQ26" s="56">
        <v>10603313.421689769</v>
      </c>
      <c r="FR26" s="56">
        <v>10603313.421689769</v>
      </c>
      <c r="FS26" s="56">
        <v>10603313.421689769</v>
      </c>
      <c r="FT26" s="56">
        <v>10603313.421689769</v>
      </c>
      <c r="FU26" s="56">
        <v>10603313.421689769</v>
      </c>
      <c r="FV26" s="56">
        <v>10603313.421689769</v>
      </c>
      <c r="FW26" s="56">
        <v>10603313.421689769</v>
      </c>
      <c r="FX26" s="56">
        <v>10603313.421689769</v>
      </c>
      <c r="FY26" s="56">
        <v>10603313.421689769</v>
      </c>
      <c r="FZ26" s="56">
        <v>0</v>
      </c>
      <c r="GA26" s="56">
        <v>0</v>
      </c>
      <c r="GB26" s="56">
        <v>0</v>
      </c>
      <c r="GC26" s="56">
        <v>0</v>
      </c>
      <c r="GD26" s="56">
        <v>0</v>
      </c>
      <c r="GE26" s="56">
        <v>0</v>
      </c>
      <c r="GF26" s="56">
        <v>0</v>
      </c>
      <c r="GG26" s="56">
        <v>0</v>
      </c>
      <c r="GH26" s="56">
        <v>0</v>
      </c>
      <c r="GI26" s="56">
        <v>0</v>
      </c>
      <c r="GJ26" s="56">
        <v>0</v>
      </c>
      <c r="GK26" s="85">
        <v>0</v>
      </c>
      <c r="GL26" s="40"/>
    </row>
    <row r="27" spans="1:194" x14ac:dyDescent="0.4">
      <c r="A27" s="84" t="s">
        <v>264</v>
      </c>
      <c r="B27" s="75" t="s">
        <v>256</v>
      </c>
      <c r="C27" s="70" t="s">
        <v>397</v>
      </c>
      <c r="D27" s="70" t="s">
        <v>209</v>
      </c>
      <c r="E27" s="75" t="s">
        <v>193</v>
      </c>
      <c r="F27" s="75" t="s">
        <v>252</v>
      </c>
      <c r="G27" s="75" t="s">
        <v>198</v>
      </c>
      <c r="H27" s="75">
        <v>0</v>
      </c>
      <c r="I27" s="70">
        <v>0</v>
      </c>
      <c r="J27" s="70" t="s">
        <v>210</v>
      </c>
      <c r="K27" s="70">
        <v>0</v>
      </c>
      <c r="L27" s="70" t="s">
        <v>211</v>
      </c>
      <c r="M27" s="71">
        <f>IFERROR(INDEX('(참조)BL_인건비'!$S$3:$AG$40,MATCH(BL_인건비!$A27,'(참조)BL_인건비'!$S$3:$S$40,0),MATCH('(참조)BL_인건비'!X$2,'(참조)BL_인건비'!$S$2:$AG$2,0)),0)</f>
        <v>2</v>
      </c>
      <c r="N27" s="71">
        <f>IFERROR(INDEX('(참조)BL_인건비'!$S$3:$AG$40,MATCH(BL_인건비!$A27,'(참조)BL_인건비'!$S$3:$S$40,0),MATCH('(참조)BL_인건비'!Y$2,'(참조)BL_인건비'!$S$2:$AG$2,0)),0)</f>
        <v>2</v>
      </c>
      <c r="O27" s="71">
        <f>IFERROR(INDEX('(참조)BL_인건비'!$S$3:$AG$40,MATCH(BL_인건비!$A27,'(참조)BL_인건비'!$S$3:$S$40,0),MATCH('(참조)BL_인건비'!Z$2,'(참조)BL_인건비'!$S$2:$AG$2,0)),0)</f>
        <v>2</v>
      </c>
      <c r="P27" s="71">
        <f>IFERROR(INDEX('(참조)BL_인건비'!$S$3:$AG$40,MATCH(BL_인건비!$A27,'(참조)BL_인건비'!$S$3:$S$40,0),MATCH('(참조)BL_인건비'!AA$2,'(참조)BL_인건비'!$S$2:$AG$2,0)),0)</f>
        <v>2</v>
      </c>
      <c r="Q27" s="71">
        <f>IFERROR(INDEX('(참조)BL_인건비'!$S$3:$AG$40,MATCH(BL_인건비!$A27,'(참조)BL_인건비'!$S$3:$S$40,0),MATCH('(참조)BL_인건비'!AB$2,'(참조)BL_인건비'!$S$2:$AG$2,0)),0)</f>
        <v>2</v>
      </c>
      <c r="R27" s="71">
        <f>IFERROR(INDEX('(참조)BL_인건비'!$S$3:$AG$40,MATCH(BL_인건비!$A27,'(참조)BL_인건비'!$S$3:$S$40,0),MATCH('(참조)BL_인건비'!AC$2,'(참조)BL_인건비'!$S$2:$AG$2,0)),0)</f>
        <v>2</v>
      </c>
      <c r="S27" s="71">
        <f>IFERROR(INDEX('(참조)BL_인건비'!$S$3:$AG$40,MATCH(BL_인건비!$A27,'(참조)BL_인건비'!$S$3:$S$40,0),MATCH('(참조)BL_인건비'!AD$2,'(참조)BL_인건비'!$S$2:$AG$2,0)),0)</f>
        <v>2</v>
      </c>
      <c r="T27" s="71">
        <f>IFERROR(INDEX('(참조)BL_인건비'!$S$3:$AG$40,MATCH(BL_인건비!$A27,'(참조)BL_인건비'!$S$3:$S$40,0),MATCH('(참조)BL_인건비'!AE$2,'(참조)BL_인건비'!$S$2:$AG$2,0)),0)</f>
        <v>2</v>
      </c>
      <c r="U27" s="71">
        <f>IFERROR(INDEX('(참조)BL_인건비'!$S$3:$AG$40,MATCH(BL_인건비!$A27,'(참조)BL_인건비'!$S$3:$S$40,0),MATCH('(참조)BL_인건비'!AF$2,'(참조)BL_인건비'!$S$2:$AG$2,0)),0)</f>
        <v>2</v>
      </c>
      <c r="V27" s="71">
        <f>IFERROR(INDEX('(참조)BL_인건비'!$S$3:$AG$40,MATCH(BL_인건비!$A27,'(참조)BL_인건비'!$S$3:$S$40,0),MATCH('(참조)BL_인건비'!AG$2,'(참조)BL_인건비'!$S$2:$AG$2,0)),0)</f>
        <v>2</v>
      </c>
      <c r="W27" s="71">
        <f>IFERROR(INDEX('(참조)BL_인건비'!$S$3:$AG$40,MATCH(BL_인건비!$A27,'(참조)BL_인건비'!$S$3:$S$40,0),MATCH('(참조)BL_인건비'!AH$2,'(참조)BL_인건비'!$S$2:$AG$2,0)),0)</f>
        <v>0</v>
      </c>
      <c r="X27" s="72">
        <v>0</v>
      </c>
      <c r="Y27" s="72">
        <f>IFERROR(INDEX('(참조)BL_인건비'!$A$3:$O$40,MATCH(BL_인건비!$A27,'(참조)BL_인건비'!$A$3:$A$40,0),MATCH('(참조)BL_인건비'!F$2,'(참조)BL_인건비'!$A$2:$O$2,0)),0)</f>
        <v>2822413.9414824001</v>
      </c>
      <c r="Z27" s="72">
        <f>IFERROR(INDEX('(참조)BL_인건비'!$A$3:$O$40,MATCH(BL_인건비!$A27,'(참조)BL_인건비'!$A$3:$A$40,0),MATCH('(참조)BL_인건비'!G$2,'(참조)BL_인건비'!$A$2:$O$2,0)),0)</f>
        <v>2893851.3833759152</v>
      </c>
      <c r="AA27" s="72">
        <f>IFERROR(INDEX('(참조)BL_인건비'!$A$3:$O$40,MATCH(BL_인건비!$A27,'(참조)BL_인건비'!$A$3:$A$40,0),MATCH('(참조)BL_인건비'!H$2,'(참조)BL_인건비'!$A$2:$O$2,0)),0)</f>
        <v>2967096.9612162109</v>
      </c>
      <c r="AB27" s="72">
        <f>IFERROR(INDEX('(참조)BL_인건비'!$A$3:$O$40,MATCH(BL_인건비!$A27,'(참조)BL_인건비'!$A$3:$A$40,0),MATCH('(참조)BL_인건비'!I$2,'(참조)BL_인건비'!$A$2:$O$2,0)),0)</f>
        <v>3042196.4402982835</v>
      </c>
      <c r="AC27" s="72">
        <f>IFERROR(INDEX('(참조)BL_인건비'!$A$3:$O$40,MATCH(BL_인건비!$A27,'(참조)BL_인건비'!$A$3:$A$40,0),MATCH('(참조)BL_인건비'!J$2,'(참조)BL_인건비'!$A$2:$O$2,0)),0)</f>
        <v>3119196.7442715275</v>
      </c>
      <c r="AD27" s="72">
        <f>IFERROR(INDEX('(참조)BL_인건비'!$A$3:$O$40,MATCH(BL_인건비!$A27,'(참조)BL_인건비'!$A$3:$A$40,0),MATCH('(참조)BL_인건비'!K$2,'(참조)BL_인건비'!$A$2:$O$2,0)),0)</f>
        <v>3198145.9844585657</v>
      </c>
      <c r="AE27" s="72">
        <f>IFERROR(INDEX('(참조)BL_인건비'!$A$3:$O$40,MATCH(BL_인건비!$A27,'(참조)BL_인건비'!$A$3:$A$40,0),MATCH('(참조)BL_인건비'!L$2,'(참조)BL_인건비'!$A$2:$O$2,0)),0)</f>
        <v>3279093.4899161602</v>
      </c>
      <c r="AF27" s="72">
        <f>IFERROR(INDEX('(참조)BL_인건비'!$A$3:$O$40,MATCH(BL_인건비!$A27,'(참조)BL_인건비'!$A$3:$A$40,0),MATCH('(참조)BL_인건비'!M$2,'(참조)BL_인건비'!$A$2:$O$2,0)),0)</f>
        <v>3362089.8382569905</v>
      </c>
      <c r="AG27" s="72">
        <f>IFERROR(INDEX('(참조)BL_인건비'!$A$3:$O$40,MATCH(BL_인건비!$A27,'(참조)BL_인건비'!$A$3:$A$40,0),MATCH('(참조)BL_인건비'!N$2,'(참조)BL_인건비'!$A$2:$O$2,0)),0)</f>
        <v>3447186.8872515522</v>
      </c>
      <c r="AH27" s="72">
        <f>IFERROR(INDEX('(참조)BL_인건비'!$A$3:$O$40,MATCH(BL_인건비!$A27,'(참조)BL_인건비'!$A$3:$A$40,0),MATCH('(참조)BL_인건비'!O$2,'(참조)BL_인건비'!$A$2:$O$2,0)),0)</f>
        <v>3534437.8072299231</v>
      </c>
      <c r="AI27" s="72">
        <f>IFERROR(INDEX('(참조)BL_인건비'!$A$3:$O$40,MATCH(BL_인건비!$A27,'(참조)BL_인건비'!$A$3:$A$40,0),MATCH('(참조)BL_인건비'!P$2,'(참조)BL_인건비'!$A$2:$O$2,0)),0)</f>
        <v>0</v>
      </c>
      <c r="AJ27" s="72">
        <v>12</v>
      </c>
      <c r="AK27" s="72">
        <v>12</v>
      </c>
      <c r="AL27" s="72">
        <v>12</v>
      </c>
      <c r="AM27" s="72">
        <v>12</v>
      </c>
      <c r="AN27" s="72">
        <v>12</v>
      </c>
      <c r="AO27" s="72">
        <v>12</v>
      </c>
      <c r="AP27" s="72">
        <v>12</v>
      </c>
      <c r="AQ27" s="72">
        <v>12</v>
      </c>
      <c r="AR27" s="72">
        <v>12</v>
      </c>
      <c r="AS27" s="72">
        <v>12</v>
      </c>
      <c r="AT27" s="72">
        <v>12</v>
      </c>
      <c r="AU27" s="73">
        <v>1</v>
      </c>
      <c r="AV27" s="70">
        <v>0</v>
      </c>
      <c r="AW27" s="70">
        <v>0</v>
      </c>
      <c r="AX27" s="56">
        <v>759977027.46618056</v>
      </c>
      <c r="AY27" s="56">
        <v>67737934.595577583</v>
      </c>
      <c r="AZ27" s="56">
        <v>69452433.201021984</v>
      </c>
      <c r="BA27" s="56">
        <v>71210327.069189057</v>
      </c>
      <c r="BB27" s="56">
        <v>73012714.567158788</v>
      </c>
      <c r="BC27" s="56">
        <v>74860721.862516657</v>
      </c>
      <c r="BD27" s="56">
        <v>76755503.627005577</v>
      </c>
      <c r="BE27" s="56">
        <v>78698243.757987842</v>
      </c>
      <c r="BF27" s="56">
        <v>80690156.118167803</v>
      </c>
      <c r="BG27" s="56">
        <v>82732485.294037253</v>
      </c>
      <c r="BH27" s="56">
        <v>84826507.373518124</v>
      </c>
      <c r="BI27" s="56">
        <v>0</v>
      </c>
      <c r="BJ27" s="74">
        <v>5644827.8829648001</v>
      </c>
      <c r="BK27" s="56">
        <v>5644827.8829648001</v>
      </c>
      <c r="BL27" s="56">
        <v>5644827.8829648001</v>
      </c>
      <c r="BM27" s="56">
        <v>5644827.8829648001</v>
      </c>
      <c r="BN27" s="56">
        <v>5644827.8829648001</v>
      </c>
      <c r="BO27" s="56">
        <v>5644827.8829648001</v>
      </c>
      <c r="BP27" s="56">
        <v>5644827.8829648001</v>
      </c>
      <c r="BQ27" s="56">
        <v>5644827.8829648001</v>
      </c>
      <c r="BR27" s="56">
        <v>5644827.8829648001</v>
      </c>
      <c r="BS27" s="56">
        <v>5644827.8829648001</v>
      </c>
      <c r="BT27" s="56">
        <v>5644827.8829648001</v>
      </c>
      <c r="BU27" s="56">
        <v>5644827.8829648001</v>
      </c>
      <c r="BV27" s="56">
        <v>5787702.7667518305</v>
      </c>
      <c r="BW27" s="56">
        <v>5787702.7667518305</v>
      </c>
      <c r="BX27" s="56">
        <v>5787702.7667518305</v>
      </c>
      <c r="BY27" s="56">
        <v>5787702.7667518305</v>
      </c>
      <c r="BZ27" s="56">
        <v>5787702.7667518305</v>
      </c>
      <c r="CA27" s="56">
        <v>5787702.7667518305</v>
      </c>
      <c r="CB27" s="56">
        <v>5787702.7667518305</v>
      </c>
      <c r="CC27" s="56">
        <v>5787702.7667518305</v>
      </c>
      <c r="CD27" s="56">
        <v>5787702.7667518305</v>
      </c>
      <c r="CE27" s="56">
        <v>5787702.7667518305</v>
      </c>
      <c r="CF27" s="56">
        <v>5787702.7667518305</v>
      </c>
      <c r="CG27" s="56">
        <v>5787702.7667518305</v>
      </c>
      <c r="CH27" s="56">
        <v>5934193.9224324217</v>
      </c>
      <c r="CI27" s="56">
        <v>5934193.9224324217</v>
      </c>
      <c r="CJ27" s="56">
        <v>5934193.9224324217</v>
      </c>
      <c r="CK27" s="56">
        <v>5934193.9224324217</v>
      </c>
      <c r="CL27" s="56">
        <v>5934193.9224324217</v>
      </c>
      <c r="CM27" s="56">
        <v>5934193.9224324217</v>
      </c>
      <c r="CN27" s="56">
        <v>5934193.9224324217</v>
      </c>
      <c r="CO27" s="56">
        <v>5934193.9224324217</v>
      </c>
      <c r="CP27" s="56">
        <v>5934193.9224324217</v>
      </c>
      <c r="CQ27" s="56">
        <v>5934193.9224324217</v>
      </c>
      <c r="CR27" s="56">
        <v>5934193.9224324217</v>
      </c>
      <c r="CS27" s="56">
        <v>5934193.9224324217</v>
      </c>
      <c r="CT27" s="56">
        <v>6084392.8805965669</v>
      </c>
      <c r="CU27" s="56">
        <v>6084392.8805965669</v>
      </c>
      <c r="CV27" s="56">
        <v>6084392.8805965669</v>
      </c>
      <c r="CW27" s="56">
        <v>6084392.8805965669</v>
      </c>
      <c r="CX27" s="56">
        <v>6084392.8805965669</v>
      </c>
      <c r="CY27" s="56">
        <v>6084392.8805965669</v>
      </c>
      <c r="CZ27" s="56">
        <v>6084392.8805965669</v>
      </c>
      <c r="DA27" s="56">
        <v>6084392.8805965669</v>
      </c>
      <c r="DB27" s="56">
        <v>6084392.8805965669</v>
      </c>
      <c r="DC27" s="56">
        <v>6084392.8805965669</v>
      </c>
      <c r="DD27" s="56">
        <v>6084392.8805965669</v>
      </c>
      <c r="DE27" s="56">
        <v>6084392.8805965669</v>
      </c>
      <c r="DF27" s="56">
        <v>6238393.488543055</v>
      </c>
      <c r="DG27" s="56">
        <v>6238393.488543055</v>
      </c>
      <c r="DH27" s="56">
        <v>6238393.488543055</v>
      </c>
      <c r="DI27" s="56">
        <v>6238393.488543055</v>
      </c>
      <c r="DJ27" s="56">
        <v>6238393.488543055</v>
      </c>
      <c r="DK27" s="56">
        <v>6238393.488543055</v>
      </c>
      <c r="DL27" s="56">
        <v>6238393.488543055</v>
      </c>
      <c r="DM27" s="56">
        <v>6238393.488543055</v>
      </c>
      <c r="DN27" s="56">
        <v>6238393.488543055</v>
      </c>
      <c r="DO27" s="56">
        <v>6238393.488543055</v>
      </c>
      <c r="DP27" s="56">
        <v>6238393.488543055</v>
      </c>
      <c r="DQ27" s="56">
        <v>6238393.488543055</v>
      </c>
      <c r="DR27" s="56">
        <v>6396291.9689171314</v>
      </c>
      <c r="DS27" s="56">
        <v>6396291.9689171314</v>
      </c>
      <c r="DT27" s="56">
        <v>6396291.9689171314</v>
      </c>
      <c r="DU27" s="56">
        <v>6396291.9689171314</v>
      </c>
      <c r="DV27" s="56">
        <v>6396291.9689171314</v>
      </c>
      <c r="DW27" s="56">
        <v>6396291.9689171314</v>
      </c>
      <c r="DX27" s="56">
        <v>6396291.9689171314</v>
      </c>
      <c r="DY27" s="56">
        <v>6396291.9689171314</v>
      </c>
      <c r="DZ27" s="56">
        <v>6396291.9689171314</v>
      </c>
      <c r="EA27" s="56">
        <v>6396291.9689171314</v>
      </c>
      <c r="EB27" s="56">
        <v>6396291.9689171314</v>
      </c>
      <c r="EC27" s="56">
        <v>6396291.9689171314</v>
      </c>
      <c r="ED27" s="56">
        <v>6558186.9798323205</v>
      </c>
      <c r="EE27" s="56">
        <v>6558186.9798323205</v>
      </c>
      <c r="EF27" s="56">
        <v>6558186.9798323205</v>
      </c>
      <c r="EG27" s="56">
        <v>6558186.9798323205</v>
      </c>
      <c r="EH27" s="56">
        <v>6558186.9798323205</v>
      </c>
      <c r="EI27" s="56">
        <v>6558186.9798323205</v>
      </c>
      <c r="EJ27" s="56">
        <v>6558186.9798323205</v>
      </c>
      <c r="EK27" s="56">
        <v>6558186.9798323205</v>
      </c>
      <c r="EL27" s="56">
        <v>6558186.9798323205</v>
      </c>
      <c r="EM27" s="56">
        <v>6558186.9798323205</v>
      </c>
      <c r="EN27" s="56">
        <v>6558186.9798323205</v>
      </c>
      <c r="EO27" s="56">
        <v>6558186.9798323205</v>
      </c>
      <c r="EP27" s="56">
        <v>6724179.6765139811</v>
      </c>
      <c r="EQ27" s="56">
        <v>6724179.6765139811</v>
      </c>
      <c r="ER27" s="56">
        <v>6724179.6765139811</v>
      </c>
      <c r="ES27" s="56">
        <v>6724179.6765139811</v>
      </c>
      <c r="ET27" s="56">
        <v>6724179.6765139811</v>
      </c>
      <c r="EU27" s="56">
        <v>6724179.6765139811</v>
      </c>
      <c r="EV27" s="56">
        <v>6724179.6765139811</v>
      </c>
      <c r="EW27" s="56">
        <v>6724179.6765139811</v>
      </c>
      <c r="EX27" s="56">
        <v>6724179.6765139811</v>
      </c>
      <c r="EY27" s="56">
        <v>6724179.6765139811</v>
      </c>
      <c r="EZ27" s="56">
        <v>6724179.6765139811</v>
      </c>
      <c r="FA27" s="56">
        <v>6724179.6765139811</v>
      </c>
      <c r="FB27" s="56">
        <v>6894373.7745031044</v>
      </c>
      <c r="FC27" s="56">
        <v>6894373.7745031044</v>
      </c>
      <c r="FD27" s="56">
        <v>6894373.7745031044</v>
      </c>
      <c r="FE27" s="56">
        <v>6894373.7745031044</v>
      </c>
      <c r="FF27" s="56">
        <v>6894373.7745031044</v>
      </c>
      <c r="FG27" s="56">
        <v>6894373.7745031044</v>
      </c>
      <c r="FH27" s="56">
        <v>6894373.7745031044</v>
      </c>
      <c r="FI27" s="56">
        <v>6894373.7745031044</v>
      </c>
      <c r="FJ27" s="56">
        <v>6894373.7745031044</v>
      </c>
      <c r="FK27" s="56">
        <v>6894373.7745031044</v>
      </c>
      <c r="FL27" s="56">
        <v>6894373.7745031044</v>
      </c>
      <c r="FM27" s="56">
        <v>6894373.7745031044</v>
      </c>
      <c r="FN27" s="56">
        <v>7068875.6144598462</v>
      </c>
      <c r="FO27" s="56">
        <v>7068875.6144598462</v>
      </c>
      <c r="FP27" s="56">
        <v>7068875.6144598462</v>
      </c>
      <c r="FQ27" s="56">
        <v>7068875.6144598462</v>
      </c>
      <c r="FR27" s="56">
        <v>7068875.6144598462</v>
      </c>
      <c r="FS27" s="56">
        <v>7068875.6144598462</v>
      </c>
      <c r="FT27" s="56">
        <v>7068875.6144598462</v>
      </c>
      <c r="FU27" s="56">
        <v>7068875.6144598462</v>
      </c>
      <c r="FV27" s="56">
        <v>7068875.6144598462</v>
      </c>
      <c r="FW27" s="56">
        <v>7068875.6144598462</v>
      </c>
      <c r="FX27" s="56">
        <v>7068875.6144598462</v>
      </c>
      <c r="FY27" s="56">
        <v>7068875.6144598462</v>
      </c>
      <c r="FZ27" s="56">
        <v>0</v>
      </c>
      <c r="GA27" s="56">
        <v>0</v>
      </c>
      <c r="GB27" s="56">
        <v>0</v>
      </c>
      <c r="GC27" s="56">
        <v>0</v>
      </c>
      <c r="GD27" s="56">
        <v>0</v>
      </c>
      <c r="GE27" s="56">
        <v>0</v>
      </c>
      <c r="GF27" s="56">
        <v>0</v>
      </c>
      <c r="GG27" s="56">
        <v>0</v>
      </c>
      <c r="GH27" s="56">
        <v>0</v>
      </c>
      <c r="GI27" s="56">
        <v>0</v>
      </c>
      <c r="GJ27" s="56">
        <v>0</v>
      </c>
      <c r="GK27" s="85">
        <v>0</v>
      </c>
      <c r="GL27" s="40"/>
    </row>
    <row r="28" spans="1:194" x14ac:dyDescent="0.4">
      <c r="A28" s="84" t="s">
        <v>300</v>
      </c>
      <c r="B28" s="75" t="s">
        <v>316</v>
      </c>
      <c r="C28" s="70" t="s">
        <v>397</v>
      </c>
      <c r="D28" s="70" t="s">
        <v>209</v>
      </c>
      <c r="E28" s="75" t="s">
        <v>193</v>
      </c>
      <c r="F28" s="75" t="s">
        <v>250</v>
      </c>
      <c r="G28" s="75" t="s">
        <v>251</v>
      </c>
      <c r="H28" s="75">
        <v>0</v>
      </c>
      <c r="I28" s="70">
        <v>0</v>
      </c>
      <c r="J28" s="70" t="s">
        <v>210</v>
      </c>
      <c r="K28" s="70">
        <v>0</v>
      </c>
      <c r="L28" s="70" t="s">
        <v>211</v>
      </c>
      <c r="M28" s="71">
        <f>IFERROR(INDEX('(참조)BL_인건비'!$S$3:$AG$40,MATCH(BL_인건비!$A28,'(참조)BL_인건비'!$S$3:$S$40,0),MATCH('(참조)BL_인건비'!X$2,'(참조)BL_인건비'!$S$2:$AG$2,0)),0)</f>
        <v>0</v>
      </c>
      <c r="N28" s="71">
        <f>IFERROR(INDEX('(참조)BL_인건비'!$S$3:$AG$40,MATCH(BL_인건비!$A28,'(참조)BL_인건비'!$S$3:$S$40,0),MATCH('(참조)BL_인건비'!Y$2,'(참조)BL_인건비'!$S$2:$AG$2,0)),0)</f>
        <v>0</v>
      </c>
      <c r="O28" s="71">
        <f>IFERROR(INDEX('(참조)BL_인건비'!$S$3:$AG$40,MATCH(BL_인건비!$A28,'(참조)BL_인건비'!$S$3:$S$40,0),MATCH('(참조)BL_인건비'!Z$2,'(참조)BL_인건비'!$S$2:$AG$2,0)),0)</f>
        <v>0</v>
      </c>
      <c r="P28" s="71">
        <f>IFERROR(INDEX('(참조)BL_인건비'!$S$3:$AG$40,MATCH(BL_인건비!$A28,'(참조)BL_인건비'!$S$3:$S$40,0),MATCH('(참조)BL_인건비'!AA$2,'(참조)BL_인건비'!$S$2:$AG$2,0)),0)</f>
        <v>0</v>
      </c>
      <c r="Q28" s="71">
        <f>IFERROR(INDEX('(참조)BL_인건비'!$S$3:$AG$40,MATCH(BL_인건비!$A28,'(참조)BL_인건비'!$S$3:$S$40,0),MATCH('(참조)BL_인건비'!AB$2,'(참조)BL_인건비'!$S$2:$AG$2,0)),0)</f>
        <v>0</v>
      </c>
      <c r="R28" s="71">
        <f>IFERROR(INDEX('(참조)BL_인건비'!$S$3:$AG$40,MATCH(BL_인건비!$A28,'(참조)BL_인건비'!$S$3:$S$40,0),MATCH('(참조)BL_인건비'!AC$2,'(참조)BL_인건비'!$S$2:$AG$2,0)),0)</f>
        <v>0</v>
      </c>
      <c r="S28" s="71">
        <f>IFERROR(INDEX('(참조)BL_인건비'!$S$3:$AG$40,MATCH(BL_인건비!$A28,'(참조)BL_인건비'!$S$3:$S$40,0),MATCH('(참조)BL_인건비'!AD$2,'(참조)BL_인건비'!$S$2:$AG$2,0)),0)</f>
        <v>0</v>
      </c>
      <c r="T28" s="71">
        <f>IFERROR(INDEX('(참조)BL_인건비'!$S$3:$AG$40,MATCH(BL_인건비!$A28,'(참조)BL_인건비'!$S$3:$S$40,0),MATCH('(참조)BL_인건비'!AE$2,'(참조)BL_인건비'!$S$2:$AG$2,0)),0)</f>
        <v>0</v>
      </c>
      <c r="U28" s="71">
        <f>IFERROR(INDEX('(참조)BL_인건비'!$S$3:$AG$40,MATCH(BL_인건비!$A28,'(참조)BL_인건비'!$S$3:$S$40,0),MATCH('(참조)BL_인건비'!AF$2,'(참조)BL_인건비'!$S$2:$AG$2,0)),0)</f>
        <v>0</v>
      </c>
      <c r="V28" s="71">
        <f>IFERROR(INDEX('(참조)BL_인건비'!$S$3:$AG$40,MATCH(BL_인건비!$A28,'(참조)BL_인건비'!$S$3:$S$40,0),MATCH('(참조)BL_인건비'!AG$2,'(참조)BL_인건비'!$S$2:$AG$2,0)),0)</f>
        <v>0</v>
      </c>
      <c r="W28" s="71">
        <f>IFERROR(INDEX('(참조)BL_인건비'!$S$3:$AG$40,MATCH(BL_인건비!$A28,'(참조)BL_인건비'!$S$3:$S$40,0),MATCH('(참조)BL_인건비'!AH$2,'(참조)BL_인건비'!$S$2:$AG$2,0)),0)</f>
        <v>0</v>
      </c>
      <c r="X28" s="71">
        <v>0</v>
      </c>
      <c r="Y28" s="72">
        <f>IFERROR(INDEX('(참조)BL_인건비'!$A$3:$O$40,MATCH(BL_인건비!$A28,'(참조)BL_인건비'!$A$3:$A$40,0),MATCH('(참조)BL_인건비'!F$2,'(참조)BL_인건비'!$A$2:$O$2,0)),0)</f>
        <v>2839545.85897124</v>
      </c>
      <c r="Z28" s="72">
        <f>IFERROR(INDEX('(참조)BL_인건비'!$A$3:$O$40,MATCH(BL_인건비!$A28,'(참조)BL_인건비'!$A$3:$A$40,0),MATCH('(참조)BL_인건비'!G$2,'(참조)BL_인건비'!$A$2:$O$2,0)),0)</f>
        <v>2911416.9227166548</v>
      </c>
      <c r="AA28" s="72">
        <f>IFERROR(INDEX('(참조)BL_인건비'!$A$3:$O$40,MATCH(BL_인건비!$A28,'(참조)BL_인건비'!$A$3:$A$40,0),MATCH('(참조)BL_인건비'!H$2,'(참조)BL_인건비'!$A$2:$O$2,0)),0)</f>
        <v>2985107.0977074746</v>
      </c>
      <c r="AB28" s="72">
        <f>IFERROR(INDEX('(참조)BL_인건비'!$A$3:$O$40,MATCH(BL_인건비!$A28,'(참조)BL_인건비'!$A$3:$A$40,0),MATCH('(참조)BL_인건비'!I$2,'(참조)BL_인건비'!$A$2:$O$2,0)),0)</f>
        <v>3060662.4270318449</v>
      </c>
      <c r="AC28" s="72">
        <f>IFERROR(INDEX('(참조)BL_인건비'!$A$3:$O$40,MATCH(BL_인건비!$A28,'(참조)BL_인건비'!$A$3:$A$40,0),MATCH('(참조)BL_인건비'!J$2,'(참조)BL_인건비'!$A$2:$O$2,0)),0)</f>
        <v>3138130.1191634652</v>
      </c>
      <c r="AD28" s="72">
        <f>IFERROR(INDEX('(참조)BL_인건비'!$A$3:$O$40,MATCH(BL_인건비!$A28,'(참조)BL_인건비'!$A$3:$A$40,0),MATCH('(참조)BL_인건비'!K$2,'(참조)BL_인건비'!$A$2:$O$2,0)),0)</f>
        <v>3217558.577458383</v>
      </c>
      <c r="AE28" s="72">
        <f>IFERROR(INDEX('(참조)BL_인건비'!$A$3:$O$40,MATCH(BL_인건비!$A28,'(참조)BL_인건비'!$A$3:$A$40,0),MATCH('(참조)BL_인건비'!L$2,'(참조)BL_인건비'!$A$2:$O$2,0)),0)</f>
        <v>3298997.4303983734</v>
      </c>
      <c r="AF28" s="72">
        <f>IFERROR(INDEX('(참조)BL_인건비'!$A$3:$O$40,MATCH(BL_인건비!$A28,'(참조)BL_인건비'!$A$3:$A$40,0),MATCH('(참조)BL_인건비'!M$2,'(참조)BL_인건비'!$A$2:$O$2,0)),0)</f>
        <v>3382497.5625998033</v>
      </c>
      <c r="AG28" s="72">
        <f>IFERROR(INDEX('(참조)BL_인건비'!$A$3:$O$40,MATCH(BL_인건비!$A28,'(참조)BL_인건비'!$A$3:$A$40,0),MATCH('(참조)BL_인건비'!N$2,'(참조)BL_인건비'!$A$2:$O$2,0)),0)</f>
        <v>3468111.146607352</v>
      </c>
      <c r="AH28" s="72">
        <f>IFERROR(INDEX('(참조)BL_인건비'!$A$3:$O$40,MATCH(BL_인건비!$A28,'(참조)BL_인건비'!$A$3:$A$40,0),MATCH('(참조)BL_인건비'!O$2,'(참조)BL_인건비'!$A$2:$O$2,0)),0)</f>
        <v>3555891.6754924553</v>
      </c>
      <c r="AI28" s="72">
        <f>IFERROR(INDEX('(참조)BL_인건비'!$A$3:$O$40,MATCH(BL_인건비!$A28,'(참조)BL_인건비'!$A$3:$A$40,0),MATCH('(참조)BL_인건비'!P$2,'(참조)BL_인건비'!$A$2:$O$2,0)),0)</f>
        <v>0</v>
      </c>
      <c r="AJ28" s="72">
        <v>12</v>
      </c>
      <c r="AK28" s="72">
        <v>12</v>
      </c>
      <c r="AL28" s="72">
        <v>12</v>
      </c>
      <c r="AM28" s="72">
        <v>12</v>
      </c>
      <c r="AN28" s="72">
        <v>12</v>
      </c>
      <c r="AO28" s="72">
        <v>12</v>
      </c>
      <c r="AP28" s="72">
        <v>12</v>
      </c>
      <c r="AQ28" s="72">
        <v>12</v>
      </c>
      <c r="AR28" s="72">
        <v>12</v>
      </c>
      <c r="AS28" s="72">
        <v>12</v>
      </c>
      <c r="AT28" s="72">
        <v>12</v>
      </c>
      <c r="AU28" s="73">
        <v>1</v>
      </c>
      <c r="AV28" s="70">
        <v>0</v>
      </c>
      <c r="AW28" s="70">
        <v>0</v>
      </c>
      <c r="AX28" s="56">
        <v>0</v>
      </c>
      <c r="AY28" s="56">
        <v>0</v>
      </c>
      <c r="AZ28" s="56">
        <v>0</v>
      </c>
      <c r="BA28" s="56">
        <v>0</v>
      </c>
      <c r="BB28" s="56">
        <v>0</v>
      </c>
      <c r="BC28" s="56">
        <v>0</v>
      </c>
      <c r="BD28" s="56">
        <v>0</v>
      </c>
      <c r="BE28" s="56">
        <v>0</v>
      </c>
      <c r="BF28" s="56">
        <v>0</v>
      </c>
      <c r="BG28" s="56">
        <v>0</v>
      </c>
      <c r="BH28" s="56">
        <v>0</v>
      </c>
      <c r="BI28" s="56">
        <v>0</v>
      </c>
      <c r="BJ28" s="74">
        <v>0</v>
      </c>
      <c r="BK28" s="56">
        <v>0</v>
      </c>
      <c r="BL28" s="56">
        <v>0</v>
      </c>
      <c r="BM28" s="56">
        <v>0</v>
      </c>
      <c r="BN28" s="56">
        <v>0</v>
      </c>
      <c r="BO28" s="56">
        <v>0</v>
      </c>
      <c r="BP28" s="56">
        <v>0</v>
      </c>
      <c r="BQ28" s="56">
        <v>0</v>
      </c>
      <c r="BR28" s="56">
        <v>0</v>
      </c>
      <c r="BS28" s="56">
        <v>0</v>
      </c>
      <c r="BT28" s="56">
        <v>0</v>
      </c>
      <c r="BU28" s="56">
        <v>0</v>
      </c>
      <c r="BV28" s="56">
        <v>0</v>
      </c>
      <c r="BW28" s="56">
        <v>0</v>
      </c>
      <c r="BX28" s="56">
        <v>0</v>
      </c>
      <c r="BY28" s="56">
        <v>0</v>
      </c>
      <c r="BZ28" s="56">
        <v>0</v>
      </c>
      <c r="CA28" s="56">
        <v>0</v>
      </c>
      <c r="CB28" s="56">
        <v>0</v>
      </c>
      <c r="CC28" s="56">
        <v>0</v>
      </c>
      <c r="CD28" s="56">
        <v>0</v>
      </c>
      <c r="CE28" s="56">
        <v>0</v>
      </c>
      <c r="CF28" s="56">
        <v>0</v>
      </c>
      <c r="CG28" s="56">
        <v>0</v>
      </c>
      <c r="CH28" s="56">
        <v>0</v>
      </c>
      <c r="CI28" s="56">
        <v>0</v>
      </c>
      <c r="CJ28" s="56">
        <v>0</v>
      </c>
      <c r="CK28" s="56">
        <v>0</v>
      </c>
      <c r="CL28" s="56">
        <v>0</v>
      </c>
      <c r="CM28" s="56">
        <v>0</v>
      </c>
      <c r="CN28" s="56">
        <v>0</v>
      </c>
      <c r="CO28" s="56">
        <v>0</v>
      </c>
      <c r="CP28" s="56">
        <v>0</v>
      </c>
      <c r="CQ28" s="56">
        <v>0</v>
      </c>
      <c r="CR28" s="56">
        <v>0</v>
      </c>
      <c r="CS28" s="56">
        <v>0</v>
      </c>
      <c r="CT28" s="56">
        <v>0</v>
      </c>
      <c r="CU28" s="56">
        <v>0</v>
      </c>
      <c r="CV28" s="56">
        <v>0</v>
      </c>
      <c r="CW28" s="56">
        <v>0</v>
      </c>
      <c r="CX28" s="56">
        <v>0</v>
      </c>
      <c r="CY28" s="56">
        <v>0</v>
      </c>
      <c r="CZ28" s="56">
        <v>0</v>
      </c>
      <c r="DA28" s="56">
        <v>0</v>
      </c>
      <c r="DB28" s="56">
        <v>0</v>
      </c>
      <c r="DC28" s="56">
        <v>0</v>
      </c>
      <c r="DD28" s="56">
        <v>0</v>
      </c>
      <c r="DE28" s="56">
        <v>0</v>
      </c>
      <c r="DF28" s="56">
        <v>0</v>
      </c>
      <c r="DG28" s="56">
        <v>0</v>
      </c>
      <c r="DH28" s="56">
        <v>0</v>
      </c>
      <c r="DI28" s="56">
        <v>0</v>
      </c>
      <c r="DJ28" s="56">
        <v>0</v>
      </c>
      <c r="DK28" s="56">
        <v>0</v>
      </c>
      <c r="DL28" s="56">
        <v>0</v>
      </c>
      <c r="DM28" s="56">
        <v>0</v>
      </c>
      <c r="DN28" s="56">
        <v>0</v>
      </c>
      <c r="DO28" s="56">
        <v>0</v>
      </c>
      <c r="DP28" s="56">
        <v>0</v>
      </c>
      <c r="DQ28" s="56">
        <v>0</v>
      </c>
      <c r="DR28" s="56">
        <v>0</v>
      </c>
      <c r="DS28" s="56">
        <v>0</v>
      </c>
      <c r="DT28" s="56">
        <v>0</v>
      </c>
      <c r="DU28" s="56">
        <v>0</v>
      </c>
      <c r="DV28" s="56">
        <v>0</v>
      </c>
      <c r="DW28" s="56">
        <v>0</v>
      </c>
      <c r="DX28" s="56">
        <v>0</v>
      </c>
      <c r="DY28" s="56">
        <v>0</v>
      </c>
      <c r="DZ28" s="56">
        <v>0</v>
      </c>
      <c r="EA28" s="56">
        <v>0</v>
      </c>
      <c r="EB28" s="56">
        <v>0</v>
      </c>
      <c r="EC28" s="56">
        <v>0</v>
      </c>
      <c r="ED28" s="56">
        <v>0</v>
      </c>
      <c r="EE28" s="56">
        <v>0</v>
      </c>
      <c r="EF28" s="56">
        <v>0</v>
      </c>
      <c r="EG28" s="56">
        <v>0</v>
      </c>
      <c r="EH28" s="56">
        <v>0</v>
      </c>
      <c r="EI28" s="56">
        <v>0</v>
      </c>
      <c r="EJ28" s="56">
        <v>0</v>
      </c>
      <c r="EK28" s="56">
        <v>0</v>
      </c>
      <c r="EL28" s="56">
        <v>0</v>
      </c>
      <c r="EM28" s="56">
        <v>0</v>
      </c>
      <c r="EN28" s="56">
        <v>0</v>
      </c>
      <c r="EO28" s="56">
        <v>0</v>
      </c>
      <c r="EP28" s="56">
        <v>0</v>
      </c>
      <c r="EQ28" s="56">
        <v>0</v>
      </c>
      <c r="ER28" s="56">
        <v>0</v>
      </c>
      <c r="ES28" s="56">
        <v>0</v>
      </c>
      <c r="ET28" s="56">
        <v>0</v>
      </c>
      <c r="EU28" s="56">
        <v>0</v>
      </c>
      <c r="EV28" s="56">
        <v>0</v>
      </c>
      <c r="EW28" s="56">
        <v>0</v>
      </c>
      <c r="EX28" s="56">
        <v>0</v>
      </c>
      <c r="EY28" s="56">
        <v>0</v>
      </c>
      <c r="EZ28" s="56">
        <v>0</v>
      </c>
      <c r="FA28" s="56">
        <v>0</v>
      </c>
      <c r="FB28" s="56">
        <v>0</v>
      </c>
      <c r="FC28" s="56">
        <v>0</v>
      </c>
      <c r="FD28" s="56">
        <v>0</v>
      </c>
      <c r="FE28" s="56">
        <v>0</v>
      </c>
      <c r="FF28" s="56">
        <v>0</v>
      </c>
      <c r="FG28" s="56">
        <v>0</v>
      </c>
      <c r="FH28" s="56">
        <v>0</v>
      </c>
      <c r="FI28" s="56">
        <v>0</v>
      </c>
      <c r="FJ28" s="56">
        <v>0</v>
      </c>
      <c r="FK28" s="56">
        <v>0</v>
      </c>
      <c r="FL28" s="56">
        <v>0</v>
      </c>
      <c r="FM28" s="56">
        <v>0</v>
      </c>
      <c r="FN28" s="56">
        <v>0</v>
      </c>
      <c r="FO28" s="56">
        <v>0</v>
      </c>
      <c r="FP28" s="56">
        <v>0</v>
      </c>
      <c r="FQ28" s="56">
        <v>0</v>
      </c>
      <c r="FR28" s="56">
        <v>0</v>
      </c>
      <c r="FS28" s="56">
        <v>0</v>
      </c>
      <c r="FT28" s="56">
        <v>0</v>
      </c>
      <c r="FU28" s="56">
        <v>0</v>
      </c>
      <c r="FV28" s="56">
        <v>0</v>
      </c>
      <c r="FW28" s="56">
        <v>0</v>
      </c>
      <c r="FX28" s="56">
        <v>0</v>
      </c>
      <c r="FY28" s="56">
        <v>0</v>
      </c>
      <c r="FZ28" s="56">
        <v>0</v>
      </c>
      <c r="GA28" s="56">
        <v>0</v>
      </c>
      <c r="GB28" s="56">
        <v>0</v>
      </c>
      <c r="GC28" s="56">
        <v>0</v>
      </c>
      <c r="GD28" s="56">
        <v>0</v>
      </c>
      <c r="GE28" s="56">
        <v>0</v>
      </c>
      <c r="GF28" s="56">
        <v>0</v>
      </c>
      <c r="GG28" s="56">
        <v>0</v>
      </c>
      <c r="GH28" s="56">
        <v>0</v>
      </c>
      <c r="GI28" s="56">
        <v>0</v>
      </c>
      <c r="GJ28" s="56">
        <v>0</v>
      </c>
      <c r="GK28" s="85">
        <v>0</v>
      </c>
      <c r="GL28" s="40"/>
    </row>
    <row r="29" spans="1:194" x14ac:dyDescent="0.4">
      <c r="A29" s="84" t="s">
        <v>302</v>
      </c>
      <c r="B29" s="75" t="s">
        <v>316</v>
      </c>
      <c r="C29" s="70" t="s">
        <v>397</v>
      </c>
      <c r="D29" s="70" t="s">
        <v>209</v>
      </c>
      <c r="E29" s="75" t="s">
        <v>175</v>
      </c>
      <c r="F29" s="75" t="s">
        <v>250</v>
      </c>
      <c r="G29" s="75" t="s">
        <v>286</v>
      </c>
      <c r="H29" s="75">
        <v>0</v>
      </c>
      <c r="I29" s="70">
        <v>0</v>
      </c>
      <c r="J29" s="70" t="s">
        <v>210</v>
      </c>
      <c r="K29" s="70">
        <v>0</v>
      </c>
      <c r="L29" s="70" t="s">
        <v>211</v>
      </c>
      <c r="M29" s="71">
        <f>IFERROR(INDEX('(참조)BL_인건비'!$S$3:$AG$40,MATCH(BL_인건비!$A29,'(참조)BL_인건비'!$S$3:$S$40,0),MATCH('(참조)BL_인건비'!X$2,'(참조)BL_인건비'!$S$2:$AG$2,0)),0)</f>
        <v>11.25</v>
      </c>
      <c r="N29" s="71">
        <f>IFERROR(INDEX('(참조)BL_인건비'!$S$3:$AG$40,MATCH(BL_인건비!$A29,'(참조)BL_인건비'!$S$3:$S$40,0),MATCH('(참조)BL_인건비'!Y$2,'(참조)BL_인건비'!$S$2:$AG$2,0)),0)</f>
        <v>15</v>
      </c>
      <c r="O29" s="71">
        <f>IFERROR(INDEX('(참조)BL_인건비'!$S$3:$AG$40,MATCH(BL_인건비!$A29,'(참조)BL_인건비'!$S$3:$S$40,0),MATCH('(참조)BL_인건비'!Z$2,'(참조)BL_인건비'!$S$2:$AG$2,0)),0)</f>
        <v>15</v>
      </c>
      <c r="P29" s="71">
        <f>IFERROR(INDEX('(참조)BL_인건비'!$S$3:$AG$40,MATCH(BL_인건비!$A29,'(참조)BL_인건비'!$S$3:$S$40,0),MATCH('(참조)BL_인건비'!AA$2,'(참조)BL_인건비'!$S$2:$AG$2,0)),0)</f>
        <v>15</v>
      </c>
      <c r="Q29" s="71">
        <f>IFERROR(INDEX('(참조)BL_인건비'!$S$3:$AG$40,MATCH(BL_인건비!$A29,'(참조)BL_인건비'!$S$3:$S$40,0),MATCH('(참조)BL_인건비'!AB$2,'(참조)BL_인건비'!$S$2:$AG$2,0)),0)</f>
        <v>15</v>
      </c>
      <c r="R29" s="71">
        <f>IFERROR(INDEX('(참조)BL_인건비'!$S$3:$AG$40,MATCH(BL_인건비!$A29,'(참조)BL_인건비'!$S$3:$S$40,0),MATCH('(참조)BL_인건비'!AC$2,'(참조)BL_인건비'!$S$2:$AG$2,0)),0)</f>
        <v>15</v>
      </c>
      <c r="S29" s="71">
        <f>IFERROR(INDEX('(참조)BL_인건비'!$S$3:$AG$40,MATCH(BL_인건비!$A29,'(참조)BL_인건비'!$S$3:$S$40,0),MATCH('(참조)BL_인건비'!AD$2,'(참조)BL_인건비'!$S$2:$AG$2,0)),0)</f>
        <v>15</v>
      </c>
      <c r="T29" s="71">
        <f>IFERROR(INDEX('(참조)BL_인건비'!$S$3:$AG$40,MATCH(BL_인건비!$A29,'(참조)BL_인건비'!$S$3:$S$40,0),MATCH('(참조)BL_인건비'!AE$2,'(참조)BL_인건비'!$S$2:$AG$2,0)),0)</f>
        <v>15</v>
      </c>
      <c r="U29" s="71">
        <f>IFERROR(INDEX('(참조)BL_인건비'!$S$3:$AG$40,MATCH(BL_인건비!$A29,'(참조)BL_인건비'!$S$3:$S$40,0),MATCH('(참조)BL_인건비'!AF$2,'(참조)BL_인건비'!$S$2:$AG$2,0)),0)</f>
        <v>15</v>
      </c>
      <c r="V29" s="71">
        <f>IFERROR(INDEX('(참조)BL_인건비'!$S$3:$AG$40,MATCH(BL_인건비!$A29,'(참조)BL_인건비'!$S$3:$S$40,0),MATCH('(참조)BL_인건비'!AG$2,'(참조)BL_인건비'!$S$2:$AG$2,0)),0)</f>
        <v>15</v>
      </c>
      <c r="W29" s="71">
        <f>IFERROR(INDEX('(참조)BL_인건비'!$S$3:$AG$40,MATCH(BL_인건비!$A29,'(참조)BL_인건비'!$S$3:$S$40,0),MATCH('(참조)BL_인건비'!AH$2,'(참조)BL_인건비'!$S$2:$AG$2,0)),0)</f>
        <v>0</v>
      </c>
      <c r="X29" s="71">
        <v>0</v>
      </c>
      <c r="Y29" s="72">
        <f>IFERROR(INDEX('(참조)BL_인건비'!$A$3:$O$40,MATCH(BL_인건비!$A29,'(참조)BL_인건비'!$A$3:$A$40,0),MATCH('(참조)BL_인건비'!F$2,'(참조)BL_인건비'!$A$2:$O$2,0)),0)</f>
        <v>2475400.5906926799</v>
      </c>
      <c r="Z29" s="72">
        <f>IFERROR(INDEX('(참조)BL_인건비'!$A$3:$O$40,MATCH(BL_인건비!$A29,'(참조)BL_인건비'!$A$3:$A$40,0),MATCH('(참조)BL_인건비'!G$2,'(참조)BL_인건비'!$A$2:$O$2,0)),0)</f>
        <v>2538054.8609475605</v>
      </c>
      <c r="AA29" s="72">
        <f>IFERROR(INDEX('(참조)BL_인건비'!$A$3:$O$40,MATCH(BL_인건비!$A29,'(참조)BL_인건비'!$A$3:$A$40,0),MATCH('(참조)BL_인건비'!H$2,'(참조)BL_인건비'!$A$2:$O$2,0)),0)</f>
        <v>2602294.9583998374</v>
      </c>
      <c r="AB29" s="72">
        <f>IFERROR(INDEX('(참조)BL_인건비'!$A$3:$O$40,MATCH(BL_인건비!$A29,'(참조)BL_인건비'!$A$3:$A$40,0),MATCH('(참조)BL_인건비'!I$2,'(참조)BL_인건비'!$A$2:$O$2,0)),0)</f>
        <v>2668161.0215411056</v>
      </c>
      <c r="AC29" s="72">
        <f>IFERROR(INDEX('(참조)BL_인건비'!$A$3:$O$40,MATCH(BL_인건비!$A29,'(참조)BL_인건비'!$A$3:$A$40,0),MATCH('(참조)BL_인건비'!J$2,'(참조)BL_인건비'!$A$2:$O$2,0)),0)</f>
        <v>2735694.2047986872</v>
      </c>
      <c r="AD29" s="72">
        <f>IFERROR(INDEX('(참조)BL_인건비'!$A$3:$O$40,MATCH(BL_인건비!$A29,'(참조)BL_인건비'!$A$3:$A$40,0),MATCH('(참조)BL_인건비'!K$2,'(참조)BL_인건비'!$A$2:$O$2,0)),0)</f>
        <v>2804936.7042497378</v>
      </c>
      <c r="AE29" s="72">
        <f>IFERROR(INDEX('(참조)BL_인건비'!$A$3:$O$40,MATCH(BL_인건비!$A29,'(참조)BL_인건비'!$A$3:$A$40,0),MATCH('(참조)BL_인건비'!L$2,'(참조)BL_인건비'!$A$2:$O$2,0)),0)</f>
        <v>2875931.7839861941</v>
      </c>
      <c r="AF29" s="72">
        <f>IFERROR(INDEX('(참조)BL_인건비'!$A$3:$O$40,MATCH(BL_인건비!$A29,'(참조)BL_인건비'!$A$3:$A$40,0),MATCH('(참조)BL_인건비'!M$2,'(참조)BL_인건비'!$A$2:$O$2,0)),0)</f>
        <v>2948723.8031470403</v>
      </c>
      <c r="AG29" s="72">
        <f>IFERROR(INDEX('(참조)BL_인건비'!$A$3:$O$40,MATCH(BL_인건비!$A29,'(참조)BL_인건비'!$A$3:$A$40,0),MATCH('(참조)BL_인건비'!N$2,'(참조)BL_인건비'!$A$2:$O$2,0)),0)</f>
        <v>3023358.2436347823</v>
      </c>
      <c r="AH29" s="72">
        <f>IFERROR(INDEX('(참조)BL_인건비'!$A$3:$O$40,MATCH(BL_인건비!$A29,'(참조)BL_인건비'!$A$3:$A$40,0),MATCH('(참조)BL_인건비'!O$2,'(참조)BL_인건비'!$A$2:$O$2,0)),0)</f>
        <v>3099881.7385334438</v>
      </c>
      <c r="AI29" s="72">
        <f>IFERROR(INDEX('(참조)BL_인건비'!$A$3:$O$40,MATCH(BL_인건비!$A29,'(참조)BL_인건비'!$A$3:$A$40,0),MATCH('(참조)BL_인건비'!P$2,'(참조)BL_인건비'!$A$2:$O$2,0)),0)</f>
        <v>0</v>
      </c>
      <c r="AJ29" s="72">
        <v>12</v>
      </c>
      <c r="AK29" s="72">
        <v>12</v>
      </c>
      <c r="AL29" s="72">
        <v>12</v>
      </c>
      <c r="AM29" s="72">
        <v>12</v>
      </c>
      <c r="AN29" s="72">
        <v>12</v>
      </c>
      <c r="AO29" s="72">
        <v>12</v>
      </c>
      <c r="AP29" s="72">
        <v>12</v>
      </c>
      <c r="AQ29" s="72">
        <v>12</v>
      </c>
      <c r="AR29" s="72">
        <v>12</v>
      </c>
      <c r="AS29" s="72">
        <v>12</v>
      </c>
      <c r="AT29" s="72">
        <v>12</v>
      </c>
      <c r="AU29" s="73">
        <v>1</v>
      </c>
      <c r="AV29" s="70">
        <v>0</v>
      </c>
      <c r="AW29" s="70">
        <v>0</v>
      </c>
      <c r="AX29" s="56">
        <v>4887645797.2064219</v>
      </c>
      <c r="AY29" s="56">
        <v>334179079.74351174</v>
      </c>
      <c r="AZ29" s="56">
        <v>456849874.97056097</v>
      </c>
      <c r="BA29" s="56">
        <v>468413092.51197058</v>
      </c>
      <c r="BB29" s="56">
        <v>480268983.87739915</v>
      </c>
      <c r="BC29" s="56">
        <v>492424956.86376363</v>
      </c>
      <c r="BD29" s="56">
        <v>504888606.7649529</v>
      </c>
      <c r="BE29" s="56">
        <v>517667721.11751503</v>
      </c>
      <c r="BF29" s="56">
        <v>530770284.56646734</v>
      </c>
      <c r="BG29" s="56">
        <v>544204483.85426068</v>
      </c>
      <c r="BH29" s="56">
        <v>557978712.93602002</v>
      </c>
      <c r="BI29" s="56">
        <v>0</v>
      </c>
      <c r="BJ29" s="74">
        <v>27848256.645292647</v>
      </c>
      <c r="BK29" s="56">
        <v>27848256.645292647</v>
      </c>
      <c r="BL29" s="56">
        <v>27848256.645292647</v>
      </c>
      <c r="BM29" s="56">
        <v>27848256.645292647</v>
      </c>
      <c r="BN29" s="56">
        <v>27848256.645292647</v>
      </c>
      <c r="BO29" s="56">
        <v>27848256.645292647</v>
      </c>
      <c r="BP29" s="56">
        <v>27848256.645292647</v>
      </c>
      <c r="BQ29" s="56">
        <v>27848256.645292647</v>
      </c>
      <c r="BR29" s="56">
        <v>27848256.645292647</v>
      </c>
      <c r="BS29" s="56">
        <v>27848256.645292647</v>
      </c>
      <c r="BT29" s="56">
        <v>27848256.645292647</v>
      </c>
      <c r="BU29" s="56">
        <v>27848256.645292647</v>
      </c>
      <c r="BV29" s="56">
        <v>38070822.914213404</v>
      </c>
      <c r="BW29" s="56">
        <v>38070822.914213404</v>
      </c>
      <c r="BX29" s="56">
        <v>38070822.914213404</v>
      </c>
      <c r="BY29" s="56">
        <v>38070822.914213404</v>
      </c>
      <c r="BZ29" s="56">
        <v>38070822.914213404</v>
      </c>
      <c r="CA29" s="56">
        <v>38070822.914213404</v>
      </c>
      <c r="CB29" s="56">
        <v>38070822.914213404</v>
      </c>
      <c r="CC29" s="56">
        <v>38070822.914213404</v>
      </c>
      <c r="CD29" s="56">
        <v>38070822.914213404</v>
      </c>
      <c r="CE29" s="56">
        <v>38070822.914213404</v>
      </c>
      <c r="CF29" s="56">
        <v>38070822.914213404</v>
      </c>
      <c r="CG29" s="56">
        <v>38070822.914213404</v>
      </c>
      <c r="CH29" s="56">
        <v>39034424.375997558</v>
      </c>
      <c r="CI29" s="56">
        <v>39034424.375997558</v>
      </c>
      <c r="CJ29" s="56">
        <v>39034424.375997558</v>
      </c>
      <c r="CK29" s="56">
        <v>39034424.375997558</v>
      </c>
      <c r="CL29" s="56">
        <v>39034424.375997558</v>
      </c>
      <c r="CM29" s="56">
        <v>39034424.375997558</v>
      </c>
      <c r="CN29" s="56">
        <v>39034424.375997558</v>
      </c>
      <c r="CO29" s="56">
        <v>39034424.375997558</v>
      </c>
      <c r="CP29" s="56">
        <v>39034424.375997558</v>
      </c>
      <c r="CQ29" s="56">
        <v>39034424.375997558</v>
      </c>
      <c r="CR29" s="56">
        <v>39034424.375997558</v>
      </c>
      <c r="CS29" s="56">
        <v>39034424.375997558</v>
      </c>
      <c r="CT29" s="56">
        <v>40022415.323116586</v>
      </c>
      <c r="CU29" s="56">
        <v>40022415.323116586</v>
      </c>
      <c r="CV29" s="56">
        <v>40022415.323116586</v>
      </c>
      <c r="CW29" s="56">
        <v>40022415.323116586</v>
      </c>
      <c r="CX29" s="56">
        <v>40022415.323116586</v>
      </c>
      <c r="CY29" s="56">
        <v>40022415.323116586</v>
      </c>
      <c r="CZ29" s="56">
        <v>40022415.323116586</v>
      </c>
      <c r="DA29" s="56">
        <v>40022415.323116586</v>
      </c>
      <c r="DB29" s="56">
        <v>40022415.323116586</v>
      </c>
      <c r="DC29" s="56">
        <v>40022415.323116586</v>
      </c>
      <c r="DD29" s="56">
        <v>40022415.323116586</v>
      </c>
      <c r="DE29" s="56">
        <v>40022415.323116586</v>
      </c>
      <c r="DF29" s="56">
        <v>41035413.071980312</v>
      </c>
      <c r="DG29" s="56">
        <v>41035413.071980312</v>
      </c>
      <c r="DH29" s="56">
        <v>41035413.071980312</v>
      </c>
      <c r="DI29" s="56">
        <v>41035413.071980312</v>
      </c>
      <c r="DJ29" s="56">
        <v>41035413.071980312</v>
      </c>
      <c r="DK29" s="56">
        <v>41035413.071980312</v>
      </c>
      <c r="DL29" s="56">
        <v>41035413.071980312</v>
      </c>
      <c r="DM29" s="56">
        <v>41035413.071980312</v>
      </c>
      <c r="DN29" s="56">
        <v>41035413.071980312</v>
      </c>
      <c r="DO29" s="56">
        <v>41035413.071980312</v>
      </c>
      <c r="DP29" s="56">
        <v>41035413.071980312</v>
      </c>
      <c r="DQ29" s="56">
        <v>41035413.071980312</v>
      </c>
      <c r="DR29" s="56">
        <v>42074050.563746065</v>
      </c>
      <c r="DS29" s="56">
        <v>42074050.563746065</v>
      </c>
      <c r="DT29" s="56">
        <v>42074050.563746065</v>
      </c>
      <c r="DU29" s="56">
        <v>42074050.563746065</v>
      </c>
      <c r="DV29" s="56">
        <v>42074050.563746065</v>
      </c>
      <c r="DW29" s="56">
        <v>42074050.563746065</v>
      </c>
      <c r="DX29" s="56">
        <v>42074050.563746065</v>
      </c>
      <c r="DY29" s="56">
        <v>42074050.563746065</v>
      </c>
      <c r="DZ29" s="56">
        <v>42074050.563746065</v>
      </c>
      <c r="EA29" s="56">
        <v>42074050.563746065</v>
      </c>
      <c r="EB29" s="56">
        <v>42074050.563746065</v>
      </c>
      <c r="EC29" s="56">
        <v>42074050.563746065</v>
      </c>
      <c r="ED29" s="56">
        <v>43138976.759792909</v>
      </c>
      <c r="EE29" s="56">
        <v>43138976.759792909</v>
      </c>
      <c r="EF29" s="56">
        <v>43138976.759792909</v>
      </c>
      <c r="EG29" s="56">
        <v>43138976.759792909</v>
      </c>
      <c r="EH29" s="56">
        <v>43138976.759792909</v>
      </c>
      <c r="EI29" s="56">
        <v>43138976.759792909</v>
      </c>
      <c r="EJ29" s="56">
        <v>43138976.759792909</v>
      </c>
      <c r="EK29" s="56">
        <v>43138976.759792909</v>
      </c>
      <c r="EL29" s="56">
        <v>43138976.759792909</v>
      </c>
      <c r="EM29" s="56">
        <v>43138976.759792909</v>
      </c>
      <c r="EN29" s="56">
        <v>43138976.759792909</v>
      </c>
      <c r="EO29" s="56">
        <v>43138976.759792909</v>
      </c>
      <c r="EP29" s="56">
        <v>44230857.047205605</v>
      </c>
      <c r="EQ29" s="56">
        <v>44230857.047205605</v>
      </c>
      <c r="ER29" s="56">
        <v>44230857.047205605</v>
      </c>
      <c r="ES29" s="56">
        <v>44230857.047205605</v>
      </c>
      <c r="ET29" s="56">
        <v>44230857.047205605</v>
      </c>
      <c r="EU29" s="56">
        <v>44230857.047205605</v>
      </c>
      <c r="EV29" s="56">
        <v>44230857.047205605</v>
      </c>
      <c r="EW29" s="56">
        <v>44230857.047205605</v>
      </c>
      <c r="EX29" s="56">
        <v>44230857.047205605</v>
      </c>
      <c r="EY29" s="56">
        <v>44230857.047205605</v>
      </c>
      <c r="EZ29" s="56">
        <v>44230857.047205605</v>
      </c>
      <c r="FA29" s="56">
        <v>44230857.047205605</v>
      </c>
      <c r="FB29" s="56">
        <v>45350373.654521734</v>
      </c>
      <c r="FC29" s="56">
        <v>45350373.654521734</v>
      </c>
      <c r="FD29" s="56">
        <v>45350373.654521734</v>
      </c>
      <c r="FE29" s="56">
        <v>45350373.654521734</v>
      </c>
      <c r="FF29" s="56">
        <v>45350373.654521734</v>
      </c>
      <c r="FG29" s="56">
        <v>45350373.654521734</v>
      </c>
      <c r="FH29" s="56">
        <v>45350373.654521734</v>
      </c>
      <c r="FI29" s="56">
        <v>45350373.654521734</v>
      </c>
      <c r="FJ29" s="56">
        <v>45350373.654521734</v>
      </c>
      <c r="FK29" s="56">
        <v>45350373.654521734</v>
      </c>
      <c r="FL29" s="56">
        <v>45350373.654521734</v>
      </c>
      <c r="FM29" s="56">
        <v>45350373.654521734</v>
      </c>
      <c r="FN29" s="56">
        <v>46498226.078001656</v>
      </c>
      <c r="FO29" s="56">
        <v>46498226.078001656</v>
      </c>
      <c r="FP29" s="56">
        <v>46498226.078001656</v>
      </c>
      <c r="FQ29" s="56">
        <v>46498226.078001656</v>
      </c>
      <c r="FR29" s="56">
        <v>46498226.078001656</v>
      </c>
      <c r="FS29" s="56">
        <v>46498226.078001656</v>
      </c>
      <c r="FT29" s="56">
        <v>46498226.078001656</v>
      </c>
      <c r="FU29" s="56">
        <v>46498226.078001656</v>
      </c>
      <c r="FV29" s="56">
        <v>46498226.078001656</v>
      </c>
      <c r="FW29" s="56">
        <v>46498226.078001656</v>
      </c>
      <c r="FX29" s="56">
        <v>46498226.078001656</v>
      </c>
      <c r="FY29" s="56">
        <v>46498226.078001656</v>
      </c>
      <c r="FZ29" s="56">
        <v>0</v>
      </c>
      <c r="GA29" s="56">
        <v>0</v>
      </c>
      <c r="GB29" s="56">
        <v>0</v>
      </c>
      <c r="GC29" s="56">
        <v>0</v>
      </c>
      <c r="GD29" s="56">
        <v>0</v>
      </c>
      <c r="GE29" s="56">
        <v>0</v>
      </c>
      <c r="GF29" s="56">
        <v>0</v>
      </c>
      <c r="GG29" s="56">
        <v>0</v>
      </c>
      <c r="GH29" s="56">
        <v>0</v>
      </c>
      <c r="GI29" s="56">
        <v>0</v>
      </c>
      <c r="GJ29" s="56">
        <v>0</v>
      </c>
      <c r="GK29" s="85">
        <v>0</v>
      </c>
      <c r="GL29" s="40"/>
    </row>
    <row r="30" spans="1:194" x14ac:dyDescent="0.4">
      <c r="A30" s="84" t="s">
        <v>303</v>
      </c>
      <c r="B30" s="75" t="s">
        <v>316</v>
      </c>
      <c r="C30" s="70" t="s">
        <v>397</v>
      </c>
      <c r="D30" s="70" t="s">
        <v>209</v>
      </c>
      <c r="E30" s="75" t="s">
        <v>175</v>
      </c>
      <c r="F30" s="75" t="s">
        <v>250</v>
      </c>
      <c r="G30" s="75" t="s">
        <v>287</v>
      </c>
      <c r="H30" s="75">
        <v>0</v>
      </c>
      <c r="I30" s="70">
        <v>0</v>
      </c>
      <c r="J30" s="70" t="s">
        <v>210</v>
      </c>
      <c r="K30" s="70">
        <v>0</v>
      </c>
      <c r="L30" s="70" t="s">
        <v>211</v>
      </c>
      <c r="M30" s="71">
        <f>IFERROR(INDEX('(참조)BL_인건비'!$S$3:$AG$40,MATCH(BL_인건비!$A30,'(참조)BL_인건비'!$S$3:$S$40,0),MATCH('(참조)BL_인건비'!X$2,'(참조)BL_인건비'!$S$2:$AG$2,0)),0)</f>
        <v>2.25</v>
      </c>
      <c r="N30" s="71">
        <f>IFERROR(INDEX('(참조)BL_인건비'!$S$3:$AG$40,MATCH(BL_인건비!$A30,'(참조)BL_인건비'!$S$3:$S$40,0),MATCH('(참조)BL_인건비'!Y$2,'(참조)BL_인건비'!$S$2:$AG$2,0)),0)</f>
        <v>3</v>
      </c>
      <c r="O30" s="71">
        <f>IFERROR(INDEX('(참조)BL_인건비'!$S$3:$AG$40,MATCH(BL_인건비!$A30,'(참조)BL_인건비'!$S$3:$S$40,0),MATCH('(참조)BL_인건비'!Z$2,'(참조)BL_인건비'!$S$2:$AG$2,0)),0)</f>
        <v>3</v>
      </c>
      <c r="P30" s="71">
        <f>IFERROR(INDEX('(참조)BL_인건비'!$S$3:$AG$40,MATCH(BL_인건비!$A30,'(참조)BL_인건비'!$S$3:$S$40,0),MATCH('(참조)BL_인건비'!AA$2,'(참조)BL_인건비'!$S$2:$AG$2,0)),0)</f>
        <v>3</v>
      </c>
      <c r="Q30" s="71">
        <f>IFERROR(INDEX('(참조)BL_인건비'!$S$3:$AG$40,MATCH(BL_인건비!$A30,'(참조)BL_인건비'!$S$3:$S$40,0),MATCH('(참조)BL_인건비'!AB$2,'(참조)BL_인건비'!$S$2:$AG$2,0)),0)</f>
        <v>3</v>
      </c>
      <c r="R30" s="71">
        <f>IFERROR(INDEX('(참조)BL_인건비'!$S$3:$AG$40,MATCH(BL_인건비!$A30,'(참조)BL_인건비'!$S$3:$S$40,0),MATCH('(참조)BL_인건비'!AC$2,'(참조)BL_인건비'!$S$2:$AG$2,0)),0)</f>
        <v>3</v>
      </c>
      <c r="S30" s="71">
        <f>IFERROR(INDEX('(참조)BL_인건비'!$S$3:$AG$40,MATCH(BL_인건비!$A30,'(참조)BL_인건비'!$S$3:$S$40,0),MATCH('(참조)BL_인건비'!AD$2,'(참조)BL_인건비'!$S$2:$AG$2,0)),0)</f>
        <v>3</v>
      </c>
      <c r="T30" s="71">
        <f>IFERROR(INDEX('(참조)BL_인건비'!$S$3:$AG$40,MATCH(BL_인건비!$A30,'(참조)BL_인건비'!$S$3:$S$40,0),MATCH('(참조)BL_인건비'!AE$2,'(참조)BL_인건비'!$S$2:$AG$2,0)),0)</f>
        <v>3</v>
      </c>
      <c r="U30" s="71">
        <f>IFERROR(INDEX('(참조)BL_인건비'!$S$3:$AG$40,MATCH(BL_인건비!$A30,'(참조)BL_인건비'!$S$3:$S$40,0),MATCH('(참조)BL_인건비'!AF$2,'(참조)BL_인건비'!$S$2:$AG$2,0)),0)</f>
        <v>3</v>
      </c>
      <c r="V30" s="71">
        <f>IFERROR(INDEX('(참조)BL_인건비'!$S$3:$AG$40,MATCH(BL_인건비!$A30,'(참조)BL_인건비'!$S$3:$S$40,0),MATCH('(참조)BL_인건비'!AG$2,'(참조)BL_인건비'!$S$2:$AG$2,0)),0)</f>
        <v>3</v>
      </c>
      <c r="W30" s="71">
        <f>IFERROR(INDEX('(참조)BL_인건비'!$S$3:$AG$40,MATCH(BL_인건비!$A30,'(참조)BL_인건비'!$S$3:$S$40,0),MATCH('(참조)BL_인건비'!AH$2,'(참조)BL_인건비'!$S$2:$AG$2,0)),0)</f>
        <v>0</v>
      </c>
      <c r="X30" s="71">
        <v>0</v>
      </c>
      <c r="Y30" s="72">
        <f>IFERROR(INDEX('(참조)BL_인건비'!$A$3:$O$40,MATCH(BL_인건비!$A30,'(참조)BL_인건비'!$A$3:$A$40,0),MATCH('(참조)BL_인건비'!F$2,'(참조)BL_인건비'!$A$2:$O$2,0)),0)</f>
        <v>2475400.5906926799</v>
      </c>
      <c r="Z30" s="72">
        <f>IFERROR(INDEX('(참조)BL_인건비'!$A$3:$O$40,MATCH(BL_인건비!$A30,'(참조)BL_인건비'!$A$3:$A$40,0),MATCH('(참조)BL_인건비'!G$2,'(참조)BL_인건비'!$A$2:$O$2,0)),0)</f>
        <v>2538054.8609475605</v>
      </c>
      <c r="AA30" s="72">
        <f>IFERROR(INDEX('(참조)BL_인건비'!$A$3:$O$40,MATCH(BL_인건비!$A30,'(참조)BL_인건비'!$A$3:$A$40,0),MATCH('(참조)BL_인건비'!H$2,'(참조)BL_인건비'!$A$2:$O$2,0)),0)</f>
        <v>2602294.9583998374</v>
      </c>
      <c r="AB30" s="72">
        <f>IFERROR(INDEX('(참조)BL_인건비'!$A$3:$O$40,MATCH(BL_인건비!$A30,'(참조)BL_인건비'!$A$3:$A$40,0),MATCH('(참조)BL_인건비'!I$2,'(참조)BL_인건비'!$A$2:$O$2,0)),0)</f>
        <v>2668161.0215411056</v>
      </c>
      <c r="AC30" s="72">
        <f>IFERROR(INDEX('(참조)BL_인건비'!$A$3:$O$40,MATCH(BL_인건비!$A30,'(참조)BL_인건비'!$A$3:$A$40,0),MATCH('(참조)BL_인건비'!J$2,'(참조)BL_인건비'!$A$2:$O$2,0)),0)</f>
        <v>2735694.2047986872</v>
      </c>
      <c r="AD30" s="72">
        <f>IFERROR(INDEX('(참조)BL_인건비'!$A$3:$O$40,MATCH(BL_인건비!$A30,'(참조)BL_인건비'!$A$3:$A$40,0),MATCH('(참조)BL_인건비'!K$2,'(참조)BL_인건비'!$A$2:$O$2,0)),0)</f>
        <v>2804936.7042497378</v>
      </c>
      <c r="AE30" s="72">
        <f>IFERROR(INDEX('(참조)BL_인건비'!$A$3:$O$40,MATCH(BL_인건비!$A30,'(참조)BL_인건비'!$A$3:$A$40,0),MATCH('(참조)BL_인건비'!L$2,'(참조)BL_인건비'!$A$2:$O$2,0)),0)</f>
        <v>2875931.7839861941</v>
      </c>
      <c r="AF30" s="72">
        <f>IFERROR(INDEX('(참조)BL_인건비'!$A$3:$O$40,MATCH(BL_인건비!$A30,'(참조)BL_인건비'!$A$3:$A$40,0),MATCH('(참조)BL_인건비'!M$2,'(참조)BL_인건비'!$A$2:$O$2,0)),0)</f>
        <v>2948723.8031470403</v>
      </c>
      <c r="AG30" s="72">
        <f>IFERROR(INDEX('(참조)BL_인건비'!$A$3:$O$40,MATCH(BL_인건비!$A30,'(참조)BL_인건비'!$A$3:$A$40,0),MATCH('(참조)BL_인건비'!N$2,'(참조)BL_인건비'!$A$2:$O$2,0)),0)</f>
        <v>3023358.2436347823</v>
      </c>
      <c r="AH30" s="72">
        <f>IFERROR(INDEX('(참조)BL_인건비'!$A$3:$O$40,MATCH(BL_인건비!$A30,'(참조)BL_인건비'!$A$3:$A$40,0),MATCH('(참조)BL_인건비'!O$2,'(참조)BL_인건비'!$A$2:$O$2,0)),0)</f>
        <v>3099881.7385334438</v>
      </c>
      <c r="AI30" s="72">
        <f>IFERROR(INDEX('(참조)BL_인건비'!$A$3:$O$40,MATCH(BL_인건비!$A30,'(참조)BL_인건비'!$A$3:$A$40,0),MATCH('(참조)BL_인건비'!P$2,'(참조)BL_인건비'!$A$2:$O$2,0)),0)</f>
        <v>0</v>
      </c>
      <c r="AJ30" s="72">
        <v>12</v>
      </c>
      <c r="AK30" s="72">
        <v>12</v>
      </c>
      <c r="AL30" s="72">
        <v>12</v>
      </c>
      <c r="AM30" s="72">
        <v>12</v>
      </c>
      <c r="AN30" s="72">
        <v>12</v>
      </c>
      <c r="AO30" s="72">
        <v>12</v>
      </c>
      <c r="AP30" s="72">
        <v>12</v>
      </c>
      <c r="AQ30" s="72">
        <v>12</v>
      </c>
      <c r="AR30" s="72">
        <v>12</v>
      </c>
      <c r="AS30" s="72">
        <v>12</v>
      </c>
      <c r="AT30" s="72">
        <v>12</v>
      </c>
      <c r="AU30" s="73">
        <v>1</v>
      </c>
      <c r="AV30" s="70">
        <v>0</v>
      </c>
      <c r="AW30" s="70">
        <v>0</v>
      </c>
      <c r="AX30" s="56">
        <v>977529159.44128442</v>
      </c>
      <c r="AY30" s="56">
        <v>66835815.948702343</v>
      </c>
      <c r="AZ30" s="56">
        <v>91369974.994112149</v>
      </c>
      <c r="BA30" s="56">
        <v>93682618.50239414</v>
      </c>
      <c r="BB30" s="56">
        <v>96053796.775479794</v>
      </c>
      <c r="BC30" s="56">
        <v>98484991.372752771</v>
      </c>
      <c r="BD30" s="56">
        <v>100977721.35299058</v>
      </c>
      <c r="BE30" s="56">
        <v>103533544.22350301</v>
      </c>
      <c r="BF30" s="56">
        <v>106154056.91329342</v>
      </c>
      <c r="BG30" s="56">
        <v>108840896.77085213</v>
      </c>
      <c r="BH30" s="56">
        <v>111595742.58720393</v>
      </c>
      <c r="BI30" s="56">
        <v>0</v>
      </c>
      <c r="BJ30" s="74">
        <v>5569651.3290585298</v>
      </c>
      <c r="BK30" s="56">
        <v>5569651.3290585298</v>
      </c>
      <c r="BL30" s="56">
        <v>5569651.3290585298</v>
      </c>
      <c r="BM30" s="56">
        <v>5569651.3290585298</v>
      </c>
      <c r="BN30" s="56">
        <v>5569651.3290585298</v>
      </c>
      <c r="BO30" s="56">
        <v>5569651.3290585298</v>
      </c>
      <c r="BP30" s="56">
        <v>5569651.3290585298</v>
      </c>
      <c r="BQ30" s="56">
        <v>5569651.3290585298</v>
      </c>
      <c r="BR30" s="56">
        <v>5569651.3290585298</v>
      </c>
      <c r="BS30" s="56">
        <v>5569651.3290585298</v>
      </c>
      <c r="BT30" s="56">
        <v>5569651.3290585298</v>
      </c>
      <c r="BU30" s="56">
        <v>5569651.3290585298</v>
      </c>
      <c r="BV30" s="56">
        <v>7614164.5828426816</v>
      </c>
      <c r="BW30" s="56">
        <v>7614164.5828426816</v>
      </c>
      <c r="BX30" s="56">
        <v>7614164.5828426816</v>
      </c>
      <c r="BY30" s="56">
        <v>7614164.5828426816</v>
      </c>
      <c r="BZ30" s="56">
        <v>7614164.5828426816</v>
      </c>
      <c r="CA30" s="56">
        <v>7614164.5828426816</v>
      </c>
      <c r="CB30" s="56">
        <v>7614164.5828426816</v>
      </c>
      <c r="CC30" s="56">
        <v>7614164.5828426816</v>
      </c>
      <c r="CD30" s="56">
        <v>7614164.5828426816</v>
      </c>
      <c r="CE30" s="56">
        <v>7614164.5828426816</v>
      </c>
      <c r="CF30" s="56">
        <v>7614164.5828426816</v>
      </c>
      <c r="CG30" s="56">
        <v>7614164.5828426816</v>
      </c>
      <c r="CH30" s="56">
        <v>7806884.8751995116</v>
      </c>
      <c r="CI30" s="56">
        <v>7806884.8751995116</v>
      </c>
      <c r="CJ30" s="56">
        <v>7806884.8751995116</v>
      </c>
      <c r="CK30" s="56">
        <v>7806884.8751995116</v>
      </c>
      <c r="CL30" s="56">
        <v>7806884.8751995116</v>
      </c>
      <c r="CM30" s="56">
        <v>7806884.8751995116</v>
      </c>
      <c r="CN30" s="56">
        <v>7806884.8751995116</v>
      </c>
      <c r="CO30" s="56">
        <v>7806884.8751995116</v>
      </c>
      <c r="CP30" s="56">
        <v>7806884.8751995116</v>
      </c>
      <c r="CQ30" s="56">
        <v>7806884.8751995116</v>
      </c>
      <c r="CR30" s="56">
        <v>7806884.8751995116</v>
      </c>
      <c r="CS30" s="56">
        <v>7806884.8751995116</v>
      </c>
      <c r="CT30" s="56">
        <v>8004483.0646233167</v>
      </c>
      <c r="CU30" s="56">
        <v>8004483.0646233167</v>
      </c>
      <c r="CV30" s="56">
        <v>8004483.0646233167</v>
      </c>
      <c r="CW30" s="56">
        <v>8004483.0646233167</v>
      </c>
      <c r="CX30" s="56">
        <v>8004483.0646233167</v>
      </c>
      <c r="CY30" s="56">
        <v>8004483.0646233167</v>
      </c>
      <c r="CZ30" s="56">
        <v>8004483.0646233167</v>
      </c>
      <c r="DA30" s="56">
        <v>8004483.0646233167</v>
      </c>
      <c r="DB30" s="56">
        <v>8004483.0646233167</v>
      </c>
      <c r="DC30" s="56">
        <v>8004483.0646233167</v>
      </c>
      <c r="DD30" s="56">
        <v>8004483.0646233167</v>
      </c>
      <c r="DE30" s="56">
        <v>8004483.0646233167</v>
      </c>
      <c r="DF30" s="56">
        <v>8207082.6143960617</v>
      </c>
      <c r="DG30" s="56">
        <v>8207082.6143960617</v>
      </c>
      <c r="DH30" s="56">
        <v>8207082.6143960617</v>
      </c>
      <c r="DI30" s="56">
        <v>8207082.6143960617</v>
      </c>
      <c r="DJ30" s="56">
        <v>8207082.6143960617</v>
      </c>
      <c r="DK30" s="56">
        <v>8207082.6143960617</v>
      </c>
      <c r="DL30" s="56">
        <v>8207082.6143960617</v>
      </c>
      <c r="DM30" s="56">
        <v>8207082.6143960617</v>
      </c>
      <c r="DN30" s="56">
        <v>8207082.6143960617</v>
      </c>
      <c r="DO30" s="56">
        <v>8207082.6143960617</v>
      </c>
      <c r="DP30" s="56">
        <v>8207082.6143960617</v>
      </c>
      <c r="DQ30" s="56">
        <v>8207082.6143960617</v>
      </c>
      <c r="DR30" s="56">
        <v>8414810.1127492134</v>
      </c>
      <c r="DS30" s="56">
        <v>8414810.1127492134</v>
      </c>
      <c r="DT30" s="56">
        <v>8414810.1127492134</v>
      </c>
      <c r="DU30" s="56">
        <v>8414810.1127492134</v>
      </c>
      <c r="DV30" s="56">
        <v>8414810.1127492134</v>
      </c>
      <c r="DW30" s="56">
        <v>8414810.1127492134</v>
      </c>
      <c r="DX30" s="56">
        <v>8414810.1127492134</v>
      </c>
      <c r="DY30" s="56">
        <v>8414810.1127492134</v>
      </c>
      <c r="DZ30" s="56">
        <v>8414810.1127492134</v>
      </c>
      <c r="EA30" s="56">
        <v>8414810.1127492134</v>
      </c>
      <c r="EB30" s="56">
        <v>8414810.1127492134</v>
      </c>
      <c r="EC30" s="56">
        <v>8414810.1127492134</v>
      </c>
      <c r="ED30" s="56">
        <v>8627795.3519585822</v>
      </c>
      <c r="EE30" s="56">
        <v>8627795.3519585822</v>
      </c>
      <c r="EF30" s="56">
        <v>8627795.3519585822</v>
      </c>
      <c r="EG30" s="56">
        <v>8627795.3519585822</v>
      </c>
      <c r="EH30" s="56">
        <v>8627795.3519585822</v>
      </c>
      <c r="EI30" s="56">
        <v>8627795.3519585822</v>
      </c>
      <c r="EJ30" s="56">
        <v>8627795.3519585822</v>
      </c>
      <c r="EK30" s="56">
        <v>8627795.3519585822</v>
      </c>
      <c r="EL30" s="56">
        <v>8627795.3519585822</v>
      </c>
      <c r="EM30" s="56">
        <v>8627795.3519585822</v>
      </c>
      <c r="EN30" s="56">
        <v>8627795.3519585822</v>
      </c>
      <c r="EO30" s="56">
        <v>8627795.3519585822</v>
      </c>
      <c r="EP30" s="56">
        <v>8846171.4094411209</v>
      </c>
      <c r="EQ30" s="56">
        <v>8846171.4094411209</v>
      </c>
      <c r="ER30" s="56">
        <v>8846171.4094411209</v>
      </c>
      <c r="ES30" s="56">
        <v>8846171.4094411209</v>
      </c>
      <c r="ET30" s="56">
        <v>8846171.4094411209</v>
      </c>
      <c r="EU30" s="56">
        <v>8846171.4094411209</v>
      </c>
      <c r="EV30" s="56">
        <v>8846171.4094411209</v>
      </c>
      <c r="EW30" s="56">
        <v>8846171.4094411209</v>
      </c>
      <c r="EX30" s="56">
        <v>8846171.4094411209</v>
      </c>
      <c r="EY30" s="56">
        <v>8846171.4094411209</v>
      </c>
      <c r="EZ30" s="56">
        <v>8846171.4094411209</v>
      </c>
      <c r="FA30" s="56">
        <v>8846171.4094411209</v>
      </c>
      <c r="FB30" s="56">
        <v>9070074.7309043463</v>
      </c>
      <c r="FC30" s="56">
        <v>9070074.7309043463</v>
      </c>
      <c r="FD30" s="56">
        <v>9070074.7309043463</v>
      </c>
      <c r="FE30" s="56">
        <v>9070074.7309043463</v>
      </c>
      <c r="FF30" s="56">
        <v>9070074.7309043463</v>
      </c>
      <c r="FG30" s="56">
        <v>9070074.7309043463</v>
      </c>
      <c r="FH30" s="56">
        <v>9070074.7309043463</v>
      </c>
      <c r="FI30" s="56">
        <v>9070074.7309043463</v>
      </c>
      <c r="FJ30" s="56">
        <v>9070074.7309043463</v>
      </c>
      <c r="FK30" s="56">
        <v>9070074.7309043463</v>
      </c>
      <c r="FL30" s="56">
        <v>9070074.7309043463</v>
      </c>
      <c r="FM30" s="56">
        <v>9070074.7309043463</v>
      </c>
      <c r="FN30" s="56">
        <v>9299645.2156003304</v>
      </c>
      <c r="FO30" s="56">
        <v>9299645.2156003304</v>
      </c>
      <c r="FP30" s="56">
        <v>9299645.2156003304</v>
      </c>
      <c r="FQ30" s="56">
        <v>9299645.2156003304</v>
      </c>
      <c r="FR30" s="56">
        <v>9299645.2156003304</v>
      </c>
      <c r="FS30" s="56">
        <v>9299645.2156003304</v>
      </c>
      <c r="FT30" s="56">
        <v>9299645.2156003304</v>
      </c>
      <c r="FU30" s="56">
        <v>9299645.2156003304</v>
      </c>
      <c r="FV30" s="56">
        <v>9299645.2156003304</v>
      </c>
      <c r="FW30" s="56">
        <v>9299645.2156003304</v>
      </c>
      <c r="FX30" s="56">
        <v>9299645.2156003304</v>
      </c>
      <c r="FY30" s="56">
        <v>9299645.2156003304</v>
      </c>
      <c r="FZ30" s="56">
        <v>0</v>
      </c>
      <c r="GA30" s="56">
        <v>0</v>
      </c>
      <c r="GB30" s="56">
        <v>0</v>
      </c>
      <c r="GC30" s="56">
        <v>0</v>
      </c>
      <c r="GD30" s="56">
        <v>0</v>
      </c>
      <c r="GE30" s="56">
        <v>0</v>
      </c>
      <c r="GF30" s="56">
        <v>0</v>
      </c>
      <c r="GG30" s="56">
        <v>0</v>
      </c>
      <c r="GH30" s="56">
        <v>0</v>
      </c>
      <c r="GI30" s="56">
        <v>0</v>
      </c>
      <c r="GJ30" s="56">
        <v>0</v>
      </c>
      <c r="GK30" s="85">
        <v>0</v>
      </c>
      <c r="GL30" s="40"/>
    </row>
    <row r="31" spans="1:194" x14ac:dyDescent="0.4">
      <c r="A31" s="84" t="s">
        <v>304</v>
      </c>
      <c r="B31" s="70" t="s">
        <v>316</v>
      </c>
      <c r="C31" s="70" t="s">
        <v>397</v>
      </c>
      <c r="D31" s="70" t="s">
        <v>209</v>
      </c>
      <c r="E31" s="70" t="s">
        <v>175</v>
      </c>
      <c r="F31" s="70" t="s">
        <v>250</v>
      </c>
      <c r="G31" s="70" t="s">
        <v>288</v>
      </c>
      <c r="H31" s="70">
        <v>0</v>
      </c>
      <c r="I31" s="70">
        <v>0</v>
      </c>
      <c r="J31" s="70" t="s">
        <v>210</v>
      </c>
      <c r="K31" s="70">
        <v>0</v>
      </c>
      <c r="L31" s="70" t="s">
        <v>211</v>
      </c>
      <c r="M31" s="71">
        <f>IFERROR(INDEX('(참조)BL_인건비'!$S$3:$AG$40,MATCH(BL_인건비!$A31,'(참조)BL_인건비'!$S$3:$S$40,0),MATCH('(참조)BL_인건비'!X$2,'(참조)BL_인건비'!$S$2:$AG$2,0)),0)</f>
        <v>8.25</v>
      </c>
      <c r="N31" s="71">
        <f>IFERROR(INDEX('(참조)BL_인건비'!$S$3:$AG$40,MATCH(BL_인건비!$A31,'(참조)BL_인건비'!$S$3:$S$40,0),MATCH('(참조)BL_인건비'!Y$2,'(참조)BL_인건비'!$S$2:$AG$2,0)),0)</f>
        <v>11</v>
      </c>
      <c r="O31" s="71">
        <f>IFERROR(INDEX('(참조)BL_인건비'!$S$3:$AG$40,MATCH(BL_인건비!$A31,'(참조)BL_인건비'!$S$3:$S$40,0),MATCH('(참조)BL_인건비'!Z$2,'(참조)BL_인건비'!$S$2:$AG$2,0)),0)</f>
        <v>11</v>
      </c>
      <c r="P31" s="71">
        <f>IFERROR(INDEX('(참조)BL_인건비'!$S$3:$AG$40,MATCH(BL_인건비!$A31,'(참조)BL_인건비'!$S$3:$S$40,0),MATCH('(참조)BL_인건비'!AA$2,'(참조)BL_인건비'!$S$2:$AG$2,0)),0)</f>
        <v>11</v>
      </c>
      <c r="Q31" s="71">
        <f>IFERROR(INDEX('(참조)BL_인건비'!$S$3:$AG$40,MATCH(BL_인건비!$A31,'(참조)BL_인건비'!$S$3:$S$40,0),MATCH('(참조)BL_인건비'!AB$2,'(참조)BL_인건비'!$S$2:$AG$2,0)),0)</f>
        <v>11</v>
      </c>
      <c r="R31" s="71">
        <f>IFERROR(INDEX('(참조)BL_인건비'!$S$3:$AG$40,MATCH(BL_인건비!$A31,'(참조)BL_인건비'!$S$3:$S$40,0),MATCH('(참조)BL_인건비'!AC$2,'(참조)BL_인건비'!$S$2:$AG$2,0)),0)</f>
        <v>11</v>
      </c>
      <c r="S31" s="71">
        <f>IFERROR(INDEX('(참조)BL_인건비'!$S$3:$AG$40,MATCH(BL_인건비!$A31,'(참조)BL_인건비'!$S$3:$S$40,0),MATCH('(참조)BL_인건비'!AD$2,'(참조)BL_인건비'!$S$2:$AG$2,0)),0)</f>
        <v>11</v>
      </c>
      <c r="T31" s="71">
        <f>IFERROR(INDEX('(참조)BL_인건비'!$S$3:$AG$40,MATCH(BL_인건비!$A31,'(참조)BL_인건비'!$S$3:$S$40,0),MATCH('(참조)BL_인건비'!AE$2,'(참조)BL_인건비'!$S$2:$AG$2,0)),0)</f>
        <v>11</v>
      </c>
      <c r="U31" s="71">
        <f>IFERROR(INDEX('(참조)BL_인건비'!$S$3:$AG$40,MATCH(BL_인건비!$A31,'(참조)BL_인건비'!$S$3:$S$40,0),MATCH('(참조)BL_인건비'!AF$2,'(참조)BL_인건비'!$S$2:$AG$2,0)),0)</f>
        <v>11</v>
      </c>
      <c r="V31" s="71">
        <f>IFERROR(INDEX('(참조)BL_인건비'!$S$3:$AG$40,MATCH(BL_인건비!$A31,'(참조)BL_인건비'!$S$3:$S$40,0),MATCH('(참조)BL_인건비'!AG$2,'(참조)BL_인건비'!$S$2:$AG$2,0)),0)</f>
        <v>11</v>
      </c>
      <c r="W31" s="71">
        <f>IFERROR(INDEX('(참조)BL_인건비'!$S$3:$AG$40,MATCH(BL_인건비!$A31,'(참조)BL_인건비'!$S$3:$S$40,0),MATCH('(참조)BL_인건비'!AH$2,'(참조)BL_인건비'!$S$2:$AG$2,0)),0)</f>
        <v>0</v>
      </c>
      <c r="X31" s="71">
        <v>0</v>
      </c>
      <c r="Y31" s="72">
        <f>IFERROR(INDEX('(참조)BL_인건비'!$A$3:$O$40,MATCH(BL_인건비!$A31,'(참조)BL_인건비'!$A$3:$A$40,0),MATCH('(참조)BL_인건비'!F$2,'(참조)BL_인건비'!$A$2:$O$2,0)),0)</f>
        <v>1289775.3161913599</v>
      </c>
      <c r="Z31" s="72">
        <f>IFERROR(INDEX('(참조)BL_인건비'!$A$3:$O$40,MATCH(BL_인건비!$A31,'(참조)BL_인건비'!$A$3:$A$40,0),MATCH('(참조)BL_인건비'!G$2,'(참조)BL_인건비'!$A$2:$O$2,0)),0)</f>
        <v>1322420.5096734036</v>
      </c>
      <c r="AA31" s="72">
        <f>IFERROR(INDEX('(참조)BL_인건비'!$A$3:$O$40,MATCH(BL_인건비!$A31,'(참조)BL_인건비'!$A$3:$A$40,0),MATCH('(참조)BL_인건비'!H$2,'(참조)BL_인건비'!$A$2:$O$2,0)),0)</f>
        <v>1355891.9778128248</v>
      </c>
      <c r="AB31" s="72">
        <f>IFERROR(INDEX('(참조)BL_인건비'!$A$3:$O$40,MATCH(BL_인건비!$A31,'(참조)BL_인건비'!$A$3:$A$40,0),MATCH('(참조)BL_인건비'!I$2,'(참조)BL_인건비'!$A$2:$O$2,0)),0)</f>
        <v>1390210.6342491705</v>
      </c>
      <c r="AC31" s="72">
        <f>IFERROR(INDEX('(참조)BL_인건비'!$A$3:$O$40,MATCH(BL_인건비!$A31,'(참조)BL_인건비'!$A$3:$A$40,0),MATCH('(참조)BL_인건비'!J$2,'(참조)BL_인건비'!$A$2:$O$2,0)),0)</f>
        <v>1425397.9219620991</v>
      </c>
      <c r="AD31" s="72">
        <f>IFERROR(INDEX('(참조)BL_인건비'!$A$3:$O$40,MATCH(BL_인건비!$A31,'(참조)BL_인건비'!$A$3:$A$40,0),MATCH('(참조)BL_인건비'!K$2,'(참조)BL_인건비'!$A$2:$O$2,0)),0)</f>
        <v>1461475.8266693805</v>
      </c>
      <c r="AE31" s="72">
        <f>IFERROR(INDEX('(참조)BL_인건비'!$A$3:$O$40,MATCH(BL_인건비!$A31,'(참조)BL_인건비'!$A$3:$A$40,0),MATCH('(참조)BL_인건비'!L$2,'(참조)BL_인건비'!$A$2:$O$2,0)),0)</f>
        <v>1498466.8905640107</v>
      </c>
      <c r="AF31" s="72">
        <f>IFERROR(INDEX('(참조)BL_인건비'!$A$3:$O$40,MATCH(BL_인건비!$A31,'(참조)BL_인건비'!$A$3:$A$40,0),MATCH('(참조)BL_인건비'!M$2,'(참조)BL_인건비'!$A$2:$O$2,0)),0)</f>
        <v>1536394.2263990226</v>
      </c>
      <c r="AG31" s="72">
        <f>IFERROR(INDEX('(참조)BL_인건비'!$A$3:$O$40,MATCH(BL_인건비!$A31,'(참조)BL_인건비'!$A$3:$A$40,0),MATCH('(참조)BL_인건비'!N$2,'(참조)BL_인건비'!$A$2:$O$2,0)),0)</f>
        <v>1575281.531928794</v>
      </c>
      <c r="AH31" s="72">
        <f>IFERROR(INDEX('(참조)BL_인건비'!$A$3:$O$40,MATCH(BL_인건비!$A31,'(참조)BL_인건비'!$A$3:$A$40,0),MATCH('(참조)BL_인건비'!O$2,'(참조)BL_인건비'!$A$2:$O$2,0)),0)</f>
        <v>1615153.104715876</v>
      </c>
      <c r="AI31" s="72">
        <f>IFERROR(INDEX('(참조)BL_인건비'!$A$3:$O$40,MATCH(BL_인건비!$A31,'(참조)BL_인건비'!$A$3:$A$40,0),MATCH('(참조)BL_인건비'!P$2,'(참조)BL_인건비'!$A$2:$O$2,0)),0)</f>
        <v>0</v>
      </c>
      <c r="AJ31" s="72">
        <v>12</v>
      </c>
      <c r="AK31" s="72">
        <v>12</v>
      </c>
      <c r="AL31" s="72">
        <v>12</v>
      </c>
      <c r="AM31" s="72">
        <v>12</v>
      </c>
      <c r="AN31" s="72">
        <v>12</v>
      </c>
      <c r="AO31" s="72">
        <v>12</v>
      </c>
      <c r="AP31" s="72">
        <v>12</v>
      </c>
      <c r="AQ31" s="72">
        <v>12</v>
      </c>
      <c r="AR31" s="72">
        <v>12</v>
      </c>
      <c r="AS31" s="72">
        <v>12</v>
      </c>
      <c r="AT31" s="72">
        <v>12</v>
      </c>
      <c r="AU31" s="73">
        <v>1</v>
      </c>
      <c r="AV31" s="70">
        <v>0</v>
      </c>
      <c r="AW31" s="70">
        <v>0</v>
      </c>
      <c r="AX31" s="56">
        <v>1867539182.6675894</v>
      </c>
      <c r="AY31" s="56">
        <v>127687756.3029446</v>
      </c>
      <c r="AZ31" s="56">
        <v>174559507.27688923</v>
      </c>
      <c r="BA31" s="56">
        <v>178977741.07129285</v>
      </c>
      <c r="BB31" s="56">
        <v>183507803.72089049</v>
      </c>
      <c r="BC31" s="56">
        <v>188152525.69899705</v>
      </c>
      <c r="BD31" s="56">
        <v>192914809.12035826</v>
      </c>
      <c r="BE31" s="56">
        <v>197797629.55444941</v>
      </c>
      <c r="BF31" s="56">
        <v>202804037.88467106</v>
      </c>
      <c r="BG31" s="56">
        <v>207937162.2146008</v>
      </c>
      <c r="BH31" s="56">
        <v>213200209.82249561</v>
      </c>
      <c r="BI31" s="56">
        <v>0</v>
      </c>
      <c r="BJ31" s="74">
        <v>10640646.358578719</v>
      </c>
      <c r="BK31" s="56">
        <v>10640646.358578719</v>
      </c>
      <c r="BL31" s="56">
        <v>10640646.358578719</v>
      </c>
      <c r="BM31" s="56">
        <v>10640646.358578719</v>
      </c>
      <c r="BN31" s="56">
        <v>10640646.358578719</v>
      </c>
      <c r="BO31" s="56">
        <v>10640646.358578719</v>
      </c>
      <c r="BP31" s="56">
        <v>10640646.358578719</v>
      </c>
      <c r="BQ31" s="56">
        <v>10640646.358578719</v>
      </c>
      <c r="BR31" s="56">
        <v>10640646.358578719</v>
      </c>
      <c r="BS31" s="56">
        <v>10640646.358578719</v>
      </c>
      <c r="BT31" s="56">
        <v>10640646.358578719</v>
      </c>
      <c r="BU31" s="56">
        <v>10640646.358578719</v>
      </c>
      <c r="BV31" s="56">
        <v>14546625.606407439</v>
      </c>
      <c r="BW31" s="56">
        <v>14546625.606407439</v>
      </c>
      <c r="BX31" s="56">
        <v>14546625.606407439</v>
      </c>
      <c r="BY31" s="56">
        <v>14546625.606407439</v>
      </c>
      <c r="BZ31" s="56">
        <v>14546625.606407439</v>
      </c>
      <c r="CA31" s="56">
        <v>14546625.606407439</v>
      </c>
      <c r="CB31" s="56">
        <v>14546625.606407439</v>
      </c>
      <c r="CC31" s="56">
        <v>14546625.606407439</v>
      </c>
      <c r="CD31" s="56">
        <v>14546625.606407439</v>
      </c>
      <c r="CE31" s="56">
        <v>14546625.606407439</v>
      </c>
      <c r="CF31" s="56">
        <v>14546625.606407439</v>
      </c>
      <c r="CG31" s="56">
        <v>14546625.606407439</v>
      </c>
      <c r="CH31" s="56">
        <v>14914811.755941072</v>
      </c>
      <c r="CI31" s="56">
        <v>14914811.755941072</v>
      </c>
      <c r="CJ31" s="56">
        <v>14914811.755941072</v>
      </c>
      <c r="CK31" s="56">
        <v>14914811.755941072</v>
      </c>
      <c r="CL31" s="56">
        <v>14914811.755941072</v>
      </c>
      <c r="CM31" s="56">
        <v>14914811.755941072</v>
      </c>
      <c r="CN31" s="56">
        <v>14914811.755941072</v>
      </c>
      <c r="CO31" s="56">
        <v>14914811.755941072</v>
      </c>
      <c r="CP31" s="56">
        <v>14914811.755941072</v>
      </c>
      <c r="CQ31" s="56">
        <v>14914811.755941072</v>
      </c>
      <c r="CR31" s="56">
        <v>14914811.755941072</v>
      </c>
      <c r="CS31" s="56">
        <v>14914811.755941072</v>
      </c>
      <c r="CT31" s="56">
        <v>15292316.976740876</v>
      </c>
      <c r="CU31" s="56">
        <v>15292316.976740876</v>
      </c>
      <c r="CV31" s="56">
        <v>15292316.976740876</v>
      </c>
      <c r="CW31" s="56">
        <v>15292316.976740876</v>
      </c>
      <c r="CX31" s="56">
        <v>15292316.976740876</v>
      </c>
      <c r="CY31" s="56">
        <v>15292316.976740876</v>
      </c>
      <c r="CZ31" s="56">
        <v>15292316.976740876</v>
      </c>
      <c r="DA31" s="56">
        <v>15292316.976740876</v>
      </c>
      <c r="DB31" s="56">
        <v>15292316.976740876</v>
      </c>
      <c r="DC31" s="56">
        <v>15292316.976740876</v>
      </c>
      <c r="DD31" s="56">
        <v>15292316.976740876</v>
      </c>
      <c r="DE31" s="56">
        <v>15292316.976740876</v>
      </c>
      <c r="DF31" s="56">
        <v>15679377.141583091</v>
      </c>
      <c r="DG31" s="56">
        <v>15679377.141583091</v>
      </c>
      <c r="DH31" s="56">
        <v>15679377.141583091</v>
      </c>
      <c r="DI31" s="56">
        <v>15679377.141583091</v>
      </c>
      <c r="DJ31" s="56">
        <v>15679377.141583091</v>
      </c>
      <c r="DK31" s="56">
        <v>15679377.141583091</v>
      </c>
      <c r="DL31" s="56">
        <v>15679377.141583091</v>
      </c>
      <c r="DM31" s="56">
        <v>15679377.141583091</v>
      </c>
      <c r="DN31" s="56">
        <v>15679377.141583091</v>
      </c>
      <c r="DO31" s="56">
        <v>15679377.141583091</v>
      </c>
      <c r="DP31" s="56">
        <v>15679377.141583091</v>
      </c>
      <c r="DQ31" s="56">
        <v>15679377.141583091</v>
      </c>
      <c r="DR31" s="56">
        <v>16076234.093363186</v>
      </c>
      <c r="DS31" s="56">
        <v>16076234.093363186</v>
      </c>
      <c r="DT31" s="56">
        <v>16076234.093363186</v>
      </c>
      <c r="DU31" s="56">
        <v>16076234.093363186</v>
      </c>
      <c r="DV31" s="56">
        <v>16076234.093363186</v>
      </c>
      <c r="DW31" s="56">
        <v>16076234.093363186</v>
      </c>
      <c r="DX31" s="56">
        <v>16076234.093363186</v>
      </c>
      <c r="DY31" s="56">
        <v>16076234.093363186</v>
      </c>
      <c r="DZ31" s="56">
        <v>16076234.093363186</v>
      </c>
      <c r="EA31" s="56">
        <v>16076234.093363186</v>
      </c>
      <c r="EB31" s="56">
        <v>16076234.093363186</v>
      </c>
      <c r="EC31" s="56">
        <v>16076234.093363186</v>
      </c>
      <c r="ED31" s="56">
        <v>16483135.796204118</v>
      </c>
      <c r="EE31" s="56">
        <v>16483135.796204118</v>
      </c>
      <c r="EF31" s="56">
        <v>16483135.796204118</v>
      </c>
      <c r="EG31" s="56">
        <v>16483135.796204118</v>
      </c>
      <c r="EH31" s="56">
        <v>16483135.796204118</v>
      </c>
      <c r="EI31" s="56">
        <v>16483135.796204118</v>
      </c>
      <c r="EJ31" s="56">
        <v>16483135.796204118</v>
      </c>
      <c r="EK31" s="56">
        <v>16483135.796204118</v>
      </c>
      <c r="EL31" s="56">
        <v>16483135.796204118</v>
      </c>
      <c r="EM31" s="56">
        <v>16483135.796204118</v>
      </c>
      <c r="EN31" s="56">
        <v>16483135.796204118</v>
      </c>
      <c r="EO31" s="56">
        <v>16483135.796204118</v>
      </c>
      <c r="EP31" s="56">
        <v>16900336.49038925</v>
      </c>
      <c r="EQ31" s="56">
        <v>16900336.49038925</v>
      </c>
      <c r="ER31" s="56">
        <v>16900336.49038925</v>
      </c>
      <c r="ES31" s="56">
        <v>16900336.49038925</v>
      </c>
      <c r="ET31" s="56">
        <v>16900336.49038925</v>
      </c>
      <c r="EU31" s="56">
        <v>16900336.49038925</v>
      </c>
      <c r="EV31" s="56">
        <v>16900336.49038925</v>
      </c>
      <c r="EW31" s="56">
        <v>16900336.49038925</v>
      </c>
      <c r="EX31" s="56">
        <v>16900336.49038925</v>
      </c>
      <c r="EY31" s="56">
        <v>16900336.49038925</v>
      </c>
      <c r="EZ31" s="56">
        <v>16900336.49038925</v>
      </c>
      <c r="FA31" s="56">
        <v>16900336.49038925</v>
      </c>
      <c r="FB31" s="56">
        <v>17328096.851216733</v>
      </c>
      <c r="FC31" s="56">
        <v>17328096.851216733</v>
      </c>
      <c r="FD31" s="56">
        <v>17328096.851216733</v>
      </c>
      <c r="FE31" s="56">
        <v>17328096.851216733</v>
      </c>
      <c r="FF31" s="56">
        <v>17328096.851216733</v>
      </c>
      <c r="FG31" s="56">
        <v>17328096.851216733</v>
      </c>
      <c r="FH31" s="56">
        <v>17328096.851216733</v>
      </c>
      <c r="FI31" s="56">
        <v>17328096.851216733</v>
      </c>
      <c r="FJ31" s="56">
        <v>17328096.851216733</v>
      </c>
      <c r="FK31" s="56">
        <v>17328096.851216733</v>
      </c>
      <c r="FL31" s="56">
        <v>17328096.851216733</v>
      </c>
      <c r="FM31" s="56">
        <v>17328096.851216733</v>
      </c>
      <c r="FN31" s="56">
        <v>17766684.151874635</v>
      </c>
      <c r="FO31" s="56">
        <v>17766684.151874635</v>
      </c>
      <c r="FP31" s="56">
        <v>17766684.151874635</v>
      </c>
      <c r="FQ31" s="56">
        <v>17766684.151874635</v>
      </c>
      <c r="FR31" s="56">
        <v>17766684.151874635</v>
      </c>
      <c r="FS31" s="56">
        <v>17766684.151874635</v>
      </c>
      <c r="FT31" s="56">
        <v>17766684.151874635</v>
      </c>
      <c r="FU31" s="56">
        <v>17766684.151874635</v>
      </c>
      <c r="FV31" s="56">
        <v>17766684.151874635</v>
      </c>
      <c r="FW31" s="56">
        <v>17766684.151874635</v>
      </c>
      <c r="FX31" s="56">
        <v>17766684.151874635</v>
      </c>
      <c r="FY31" s="56">
        <v>17766684.151874635</v>
      </c>
      <c r="FZ31" s="56">
        <v>0</v>
      </c>
      <c r="GA31" s="56">
        <v>0</v>
      </c>
      <c r="GB31" s="56">
        <v>0</v>
      </c>
      <c r="GC31" s="56">
        <v>0</v>
      </c>
      <c r="GD31" s="56">
        <v>0</v>
      </c>
      <c r="GE31" s="56">
        <v>0</v>
      </c>
      <c r="GF31" s="56">
        <v>0</v>
      </c>
      <c r="GG31" s="56">
        <v>0</v>
      </c>
      <c r="GH31" s="56">
        <v>0</v>
      </c>
      <c r="GI31" s="56">
        <v>0</v>
      </c>
      <c r="GJ31" s="56">
        <v>0</v>
      </c>
      <c r="GK31" s="85">
        <v>0</v>
      </c>
      <c r="GL31" s="40"/>
    </row>
    <row r="32" spans="1:194" x14ac:dyDescent="0.4">
      <c r="A32" s="84" t="s">
        <v>305</v>
      </c>
      <c r="B32" s="70" t="s">
        <v>316</v>
      </c>
      <c r="C32" s="70" t="s">
        <v>397</v>
      </c>
      <c r="D32" s="70" t="s">
        <v>209</v>
      </c>
      <c r="E32" s="70" t="s">
        <v>175</v>
      </c>
      <c r="F32" s="70" t="s">
        <v>252</v>
      </c>
      <c r="G32" s="70" t="s">
        <v>289</v>
      </c>
      <c r="H32" s="70">
        <v>0</v>
      </c>
      <c r="I32" s="70">
        <v>0</v>
      </c>
      <c r="J32" s="70" t="s">
        <v>210</v>
      </c>
      <c r="K32" s="70">
        <v>0</v>
      </c>
      <c r="L32" s="70" t="s">
        <v>211</v>
      </c>
      <c r="M32" s="71">
        <f>IFERROR(INDEX('(참조)BL_인건비'!$S$3:$AG$40,MATCH(BL_인건비!$A32,'(참조)BL_인건비'!$S$3:$S$40,0),MATCH('(참조)BL_인건비'!X$2,'(참조)BL_인건비'!$S$2:$AG$2,0)),0)</f>
        <v>18</v>
      </c>
      <c r="N32" s="71">
        <f>IFERROR(INDEX('(참조)BL_인건비'!$S$3:$AG$40,MATCH(BL_인건비!$A32,'(참조)BL_인건비'!$S$3:$S$40,0),MATCH('(참조)BL_인건비'!Y$2,'(참조)BL_인건비'!$S$2:$AG$2,0)),0)</f>
        <v>24</v>
      </c>
      <c r="O32" s="71">
        <f>IFERROR(INDEX('(참조)BL_인건비'!$S$3:$AG$40,MATCH(BL_인건비!$A32,'(참조)BL_인건비'!$S$3:$S$40,0),MATCH('(참조)BL_인건비'!Z$2,'(참조)BL_인건비'!$S$2:$AG$2,0)),0)</f>
        <v>24</v>
      </c>
      <c r="P32" s="71">
        <f>IFERROR(INDEX('(참조)BL_인건비'!$S$3:$AG$40,MATCH(BL_인건비!$A32,'(참조)BL_인건비'!$S$3:$S$40,0),MATCH('(참조)BL_인건비'!AA$2,'(참조)BL_인건비'!$S$2:$AG$2,0)),0)</f>
        <v>24</v>
      </c>
      <c r="Q32" s="71">
        <f>IFERROR(INDEX('(참조)BL_인건비'!$S$3:$AG$40,MATCH(BL_인건비!$A32,'(참조)BL_인건비'!$S$3:$S$40,0),MATCH('(참조)BL_인건비'!AB$2,'(참조)BL_인건비'!$S$2:$AG$2,0)),0)</f>
        <v>24</v>
      </c>
      <c r="R32" s="71">
        <f>IFERROR(INDEX('(참조)BL_인건비'!$S$3:$AG$40,MATCH(BL_인건비!$A32,'(참조)BL_인건비'!$S$3:$S$40,0),MATCH('(참조)BL_인건비'!AC$2,'(참조)BL_인건비'!$S$2:$AG$2,0)),0)</f>
        <v>24</v>
      </c>
      <c r="S32" s="71">
        <f>IFERROR(INDEX('(참조)BL_인건비'!$S$3:$AG$40,MATCH(BL_인건비!$A32,'(참조)BL_인건비'!$S$3:$S$40,0),MATCH('(참조)BL_인건비'!AD$2,'(참조)BL_인건비'!$S$2:$AG$2,0)),0)</f>
        <v>24</v>
      </c>
      <c r="T32" s="71">
        <f>IFERROR(INDEX('(참조)BL_인건비'!$S$3:$AG$40,MATCH(BL_인건비!$A32,'(참조)BL_인건비'!$S$3:$S$40,0),MATCH('(참조)BL_인건비'!AE$2,'(참조)BL_인건비'!$S$2:$AG$2,0)),0)</f>
        <v>24</v>
      </c>
      <c r="U32" s="71">
        <f>IFERROR(INDEX('(참조)BL_인건비'!$S$3:$AG$40,MATCH(BL_인건비!$A32,'(참조)BL_인건비'!$S$3:$S$40,0),MATCH('(참조)BL_인건비'!AF$2,'(참조)BL_인건비'!$S$2:$AG$2,0)),0)</f>
        <v>24</v>
      </c>
      <c r="V32" s="71">
        <f>IFERROR(INDEX('(참조)BL_인건비'!$S$3:$AG$40,MATCH(BL_인건비!$A32,'(참조)BL_인건비'!$S$3:$S$40,0),MATCH('(참조)BL_인건비'!AG$2,'(참조)BL_인건비'!$S$2:$AG$2,0)),0)</f>
        <v>24</v>
      </c>
      <c r="W32" s="71">
        <f>IFERROR(INDEX('(참조)BL_인건비'!$S$3:$AG$40,MATCH(BL_인건비!$A32,'(참조)BL_인건비'!$S$3:$S$40,0),MATCH('(참조)BL_인건비'!AH$2,'(참조)BL_인건비'!$S$2:$AG$2,0)),0)</f>
        <v>0</v>
      </c>
      <c r="X32" s="71">
        <v>0</v>
      </c>
      <c r="Y32" s="72">
        <f>IFERROR(INDEX('(참조)BL_인건비'!$A$3:$O$40,MATCH(BL_인건비!$A32,'(참조)BL_인건비'!$A$3:$A$40,0),MATCH('(참조)BL_인건비'!F$2,'(참조)BL_인건비'!$A$2:$O$2,0)),0)</f>
        <v>2805282.0239935601</v>
      </c>
      <c r="Z32" s="72">
        <f>IFERROR(INDEX('(참조)BL_인건비'!$A$3:$O$40,MATCH(BL_인건비!$A32,'(참조)BL_인건비'!$A$3:$A$40,0),MATCH('(참조)BL_인건비'!G$2,'(참조)BL_인건비'!$A$2:$O$2,0)),0)</f>
        <v>2876285.8440351752</v>
      </c>
      <c r="AA32" s="72">
        <f>IFERROR(INDEX('(참조)BL_인건비'!$A$3:$O$40,MATCH(BL_인건비!$A32,'(참조)BL_인건비'!$A$3:$A$40,0),MATCH('(참조)BL_인건비'!H$2,'(참조)BL_인건비'!$A$2:$O$2,0)),0)</f>
        <v>2949086.8247249471</v>
      </c>
      <c r="AB32" s="72">
        <f>IFERROR(INDEX('(참조)BL_인건비'!$A$3:$O$40,MATCH(BL_인건비!$A32,'(참조)BL_인건비'!$A$3:$A$40,0),MATCH('(참조)BL_인건비'!I$2,'(참조)BL_인건비'!$A$2:$O$2,0)),0)</f>
        <v>3023730.4535647221</v>
      </c>
      <c r="AC32" s="72">
        <f>IFERROR(INDEX('(참조)BL_인건비'!$A$3:$O$40,MATCH(BL_인건비!$A32,'(참조)BL_인건비'!$A$3:$A$40,0),MATCH('(참조)BL_인건비'!J$2,'(참조)BL_인건비'!$A$2:$O$2,0)),0)</f>
        <v>3100263.3693795898</v>
      </c>
      <c r="AD32" s="72">
        <f>IFERROR(INDEX('(참조)BL_인건비'!$A$3:$O$40,MATCH(BL_인건비!$A32,'(참조)BL_인건비'!$A$3:$A$40,0),MATCH('(참조)BL_인건비'!K$2,'(참조)BL_인건비'!$A$2:$O$2,0)),0)</f>
        <v>3178733.3914587479</v>
      </c>
      <c r="AE32" s="72">
        <f>IFERROR(INDEX('(참조)BL_인건비'!$A$3:$O$40,MATCH(BL_인건비!$A32,'(참조)BL_인건비'!$A$3:$A$40,0),MATCH('(참조)BL_인건비'!L$2,'(참조)BL_인건비'!$A$2:$O$2,0)),0)</f>
        <v>3259189.5494339461</v>
      </c>
      <c r="AF32" s="72">
        <f>IFERROR(INDEX('(참조)BL_인건비'!$A$3:$O$40,MATCH(BL_인건비!$A32,'(참조)BL_인건비'!$A$3:$A$40,0),MATCH('(참조)BL_인건비'!M$2,'(참조)BL_인건비'!$A$2:$O$2,0)),0)</f>
        <v>3341682.1139141768</v>
      </c>
      <c r="AG32" s="72">
        <f>IFERROR(INDEX('(참조)BL_인건비'!$A$3:$O$40,MATCH(BL_인건비!$A32,'(참조)BL_인건비'!$A$3:$A$40,0),MATCH('(참조)BL_인건비'!N$2,'(참조)BL_인건비'!$A$2:$O$2,0)),0)</f>
        <v>3426262.627895751</v>
      </c>
      <c r="AH32" s="72">
        <f>IFERROR(INDEX('(참조)BL_인건비'!$A$3:$O$40,MATCH(BL_인건비!$A32,'(참조)BL_인건비'!$A$3:$A$40,0),MATCH('(참조)BL_인건비'!O$2,'(참조)BL_인건비'!$A$2:$O$2,0)),0)</f>
        <v>3512983.9389673895</v>
      </c>
      <c r="AI32" s="72">
        <f>IFERROR(INDEX('(참조)BL_인건비'!$A$3:$O$40,MATCH(BL_인건비!$A32,'(참조)BL_인건비'!$A$3:$A$40,0),MATCH('(참조)BL_인건비'!P$2,'(참조)BL_인건비'!$A$2:$O$2,0)),0)</f>
        <v>0</v>
      </c>
      <c r="AJ32" s="72">
        <v>12</v>
      </c>
      <c r="AK32" s="72">
        <v>12</v>
      </c>
      <c r="AL32" s="72">
        <v>12</v>
      </c>
      <c r="AM32" s="72">
        <v>12</v>
      </c>
      <c r="AN32" s="72">
        <v>12</v>
      </c>
      <c r="AO32" s="72">
        <v>12</v>
      </c>
      <c r="AP32" s="72">
        <v>12</v>
      </c>
      <c r="AQ32" s="72">
        <v>12</v>
      </c>
      <c r="AR32" s="72">
        <v>12</v>
      </c>
      <c r="AS32" s="72">
        <v>12</v>
      </c>
      <c r="AT32" s="72">
        <v>12</v>
      </c>
      <c r="AU32" s="73">
        <v>1</v>
      </c>
      <c r="AV32" s="70">
        <v>0</v>
      </c>
      <c r="AW32" s="70">
        <v>0</v>
      </c>
      <c r="AX32" s="56">
        <v>8862387733.8344498</v>
      </c>
      <c r="AY32" s="56">
        <v>605940917.18260884</v>
      </c>
      <c r="AZ32" s="56">
        <v>828370323.08213031</v>
      </c>
      <c r="BA32" s="56">
        <v>849337005.52078485</v>
      </c>
      <c r="BB32" s="56">
        <v>870834370.6266402</v>
      </c>
      <c r="BC32" s="56">
        <v>892875850.38132191</v>
      </c>
      <c r="BD32" s="56">
        <v>915475216.74011958</v>
      </c>
      <c r="BE32" s="56">
        <v>938646590.2369765</v>
      </c>
      <c r="BF32" s="56">
        <v>962404448.80728292</v>
      </c>
      <c r="BG32" s="56">
        <v>986763636.83397663</v>
      </c>
      <c r="BH32" s="56">
        <v>1011739374.4226079</v>
      </c>
      <c r="BI32" s="56">
        <v>0</v>
      </c>
      <c r="BJ32" s="74">
        <v>50495076.43188408</v>
      </c>
      <c r="BK32" s="56">
        <v>50495076.43188408</v>
      </c>
      <c r="BL32" s="56">
        <v>50495076.43188408</v>
      </c>
      <c r="BM32" s="56">
        <v>50495076.43188408</v>
      </c>
      <c r="BN32" s="56">
        <v>50495076.43188408</v>
      </c>
      <c r="BO32" s="56">
        <v>50495076.43188408</v>
      </c>
      <c r="BP32" s="56">
        <v>50495076.43188408</v>
      </c>
      <c r="BQ32" s="56">
        <v>50495076.43188408</v>
      </c>
      <c r="BR32" s="56">
        <v>50495076.43188408</v>
      </c>
      <c r="BS32" s="56">
        <v>50495076.43188408</v>
      </c>
      <c r="BT32" s="56">
        <v>50495076.43188408</v>
      </c>
      <c r="BU32" s="56">
        <v>50495076.43188408</v>
      </c>
      <c r="BV32" s="56">
        <v>69030860.256844208</v>
      </c>
      <c r="BW32" s="56">
        <v>69030860.256844208</v>
      </c>
      <c r="BX32" s="56">
        <v>69030860.256844208</v>
      </c>
      <c r="BY32" s="56">
        <v>69030860.256844208</v>
      </c>
      <c r="BZ32" s="56">
        <v>69030860.256844208</v>
      </c>
      <c r="CA32" s="56">
        <v>69030860.256844208</v>
      </c>
      <c r="CB32" s="56">
        <v>69030860.256844208</v>
      </c>
      <c r="CC32" s="56">
        <v>69030860.256844208</v>
      </c>
      <c r="CD32" s="56">
        <v>69030860.256844208</v>
      </c>
      <c r="CE32" s="56">
        <v>69030860.256844208</v>
      </c>
      <c r="CF32" s="56">
        <v>69030860.256844208</v>
      </c>
      <c r="CG32" s="56">
        <v>69030860.256844208</v>
      </c>
      <c r="CH32" s="56">
        <v>70778083.793398738</v>
      </c>
      <c r="CI32" s="56">
        <v>70778083.793398738</v>
      </c>
      <c r="CJ32" s="56">
        <v>70778083.793398738</v>
      </c>
      <c r="CK32" s="56">
        <v>70778083.793398738</v>
      </c>
      <c r="CL32" s="56">
        <v>70778083.793398738</v>
      </c>
      <c r="CM32" s="56">
        <v>70778083.793398738</v>
      </c>
      <c r="CN32" s="56">
        <v>70778083.793398738</v>
      </c>
      <c r="CO32" s="56">
        <v>70778083.793398738</v>
      </c>
      <c r="CP32" s="56">
        <v>70778083.793398738</v>
      </c>
      <c r="CQ32" s="56">
        <v>70778083.793398738</v>
      </c>
      <c r="CR32" s="56">
        <v>70778083.793398738</v>
      </c>
      <c r="CS32" s="56">
        <v>70778083.793398738</v>
      </c>
      <c r="CT32" s="56">
        <v>72569530.88555333</v>
      </c>
      <c r="CU32" s="56">
        <v>72569530.88555333</v>
      </c>
      <c r="CV32" s="56">
        <v>72569530.88555333</v>
      </c>
      <c r="CW32" s="56">
        <v>72569530.88555333</v>
      </c>
      <c r="CX32" s="56">
        <v>72569530.88555333</v>
      </c>
      <c r="CY32" s="56">
        <v>72569530.88555333</v>
      </c>
      <c r="CZ32" s="56">
        <v>72569530.88555333</v>
      </c>
      <c r="DA32" s="56">
        <v>72569530.88555333</v>
      </c>
      <c r="DB32" s="56">
        <v>72569530.88555333</v>
      </c>
      <c r="DC32" s="56">
        <v>72569530.88555333</v>
      </c>
      <c r="DD32" s="56">
        <v>72569530.88555333</v>
      </c>
      <c r="DE32" s="56">
        <v>72569530.88555333</v>
      </c>
      <c r="DF32" s="56">
        <v>74406320.865110159</v>
      </c>
      <c r="DG32" s="56">
        <v>74406320.865110159</v>
      </c>
      <c r="DH32" s="56">
        <v>74406320.865110159</v>
      </c>
      <c r="DI32" s="56">
        <v>74406320.865110159</v>
      </c>
      <c r="DJ32" s="56">
        <v>74406320.865110159</v>
      </c>
      <c r="DK32" s="56">
        <v>74406320.865110159</v>
      </c>
      <c r="DL32" s="56">
        <v>74406320.865110159</v>
      </c>
      <c r="DM32" s="56">
        <v>74406320.865110159</v>
      </c>
      <c r="DN32" s="56">
        <v>74406320.865110159</v>
      </c>
      <c r="DO32" s="56">
        <v>74406320.865110159</v>
      </c>
      <c r="DP32" s="56">
        <v>74406320.865110159</v>
      </c>
      <c r="DQ32" s="56">
        <v>74406320.865110159</v>
      </c>
      <c r="DR32" s="56">
        <v>76289601.39500995</v>
      </c>
      <c r="DS32" s="56">
        <v>76289601.39500995</v>
      </c>
      <c r="DT32" s="56">
        <v>76289601.39500995</v>
      </c>
      <c r="DU32" s="56">
        <v>76289601.39500995</v>
      </c>
      <c r="DV32" s="56">
        <v>76289601.39500995</v>
      </c>
      <c r="DW32" s="56">
        <v>76289601.39500995</v>
      </c>
      <c r="DX32" s="56">
        <v>76289601.39500995</v>
      </c>
      <c r="DY32" s="56">
        <v>76289601.39500995</v>
      </c>
      <c r="DZ32" s="56">
        <v>76289601.39500995</v>
      </c>
      <c r="EA32" s="56">
        <v>76289601.39500995</v>
      </c>
      <c r="EB32" s="56">
        <v>76289601.39500995</v>
      </c>
      <c r="EC32" s="56">
        <v>76289601.39500995</v>
      </c>
      <c r="ED32" s="56">
        <v>78220549.186414704</v>
      </c>
      <c r="EE32" s="56">
        <v>78220549.186414704</v>
      </c>
      <c r="EF32" s="56">
        <v>78220549.186414704</v>
      </c>
      <c r="EG32" s="56">
        <v>78220549.186414704</v>
      </c>
      <c r="EH32" s="56">
        <v>78220549.186414704</v>
      </c>
      <c r="EI32" s="56">
        <v>78220549.186414704</v>
      </c>
      <c r="EJ32" s="56">
        <v>78220549.186414704</v>
      </c>
      <c r="EK32" s="56">
        <v>78220549.186414704</v>
      </c>
      <c r="EL32" s="56">
        <v>78220549.186414704</v>
      </c>
      <c r="EM32" s="56">
        <v>78220549.186414704</v>
      </c>
      <c r="EN32" s="56">
        <v>78220549.186414704</v>
      </c>
      <c r="EO32" s="56">
        <v>78220549.186414704</v>
      </c>
      <c r="EP32" s="56">
        <v>80200370.733940244</v>
      </c>
      <c r="EQ32" s="56">
        <v>80200370.733940244</v>
      </c>
      <c r="ER32" s="56">
        <v>80200370.733940244</v>
      </c>
      <c r="ES32" s="56">
        <v>80200370.733940244</v>
      </c>
      <c r="ET32" s="56">
        <v>80200370.733940244</v>
      </c>
      <c r="EU32" s="56">
        <v>80200370.733940244</v>
      </c>
      <c r="EV32" s="56">
        <v>80200370.733940244</v>
      </c>
      <c r="EW32" s="56">
        <v>80200370.733940244</v>
      </c>
      <c r="EX32" s="56">
        <v>80200370.733940244</v>
      </c>
      <c r="EY32" s="56">
        <v>80200370.733940244</v>
      </c>
      <c r="EZ32" s="56">
        <v>80200370.733940244</v>
      </c>
      <c r="FA32" s="56">
        <v>80200370.733940244</v>
      </c>
      <c r="FB32" s="56">
        <v>82230303.069498032</v>
      </c>
      <c r="FC32" s="56">
        <v>82230303.069498032</v>
      </c>
      <c r="FD32" s="56">
        <v>82230303.069498032</v>
      </c>
      <c r="FE32" s="56">
        <v>82230303.069498032</v>
      </c>
      <c r="FF32" s="56">
        <v>82230303.069498032</v>
      </c>
      <c r="FG32" s="56">
        <v>82230303.069498032</v>
      </c>
      <c r="FH32" s="56">
        <v>82230303.069498032</v>
      </c>
      <c r="FI32" s="56">
        <v>82230303.069498032</v>
      </c>
      <c r="FJ32" s="56">
        <v>82230303.069498032</v>
      </c>
      <c r="FK32" s="56">
        <v>82230303.069498032</v>
      </c>
      <c r="FL32" s="56">
        <v>82230303.069498032</v>
      </c>
      <c r="FM32" s="56">
        <v>82230303.069498032</v>
      </c>
      <c r="FN32" s="56">
        <v>84311614.535217345</v>
      </c>
      <c r="FO32" s="56">
        <v>84311614.535217345</v>
      </c>
      <c r="FP32" s="56">
        <v>84311614.535217345</v>
      </c>
      <c r="FQ32" s="56">
        <v>84311614.535217345</v>
      </c>
      <c r="FR32" s="56">
        <v>84311614.535217345</v>
      </c>
      <c r="FS32" s="56">
        <v>84311614.535217345</v>
      </c>
      <c r="FT32" s="56">
        <v>84311614.535217345</v>
      </c>
      <c r="FU32" s="56">
        <v>84311614.535217345</v>
      </c>
      <c r="FV32" s="56">
        <v>84311614.535217345</v>
      </c>
      <c r="FW32" s="56">
        <v>84311614.535217345</v>
      </c>
      <c r="FX32" s="56">
        <v>84311614.535217345</v>
      </c>
      <c r="FY32" s="56">
        <v>84311614.535217345</v>
      </c>
      <c r="FZ32" s="56">
        <v>0</v>
      </c>
      <c r="GA32" s="56">
        <v>0</v>
      </c>
      <c r="GB32" s="56">
        <v>0</v>
      </c>
      <c r="GC32" s="56">
        <v>0</v>
      </c>
      <c r="GD32" s="56">
        <v>0</v>
      </c>
      <c r="GE32" s="56">
        <v>0</v>
      </c>
      <c r="GF32" s="56">
        <v>0</v>
      </c>
      <c r="GG32" s="56">
        <v>0</v>
      </c>
      <c r="GH32" s="56">
        <v>0</v>
      </c>
      <c r="GI32" s="56">
        <v>0</v>
      </c>
      <c r="GJ32" s="56">
        <v>0</v>
      </c>
      <c r="GK32" s="85">
        <v>0</v>
      </c>
      <c r="GL32" s="40"/>
    </row>
    <row r="33" spans="1:194" x14ac:dyDescent="0.4">
      <c r="A33" s="84" t="s">
        <v>306</v>
      </c>
      <c r="B33" s="70" t="s">
        <v>316</v>
      </c>
      <c r="C33" s="70" t="s">
        <v>397</v>
      </c>
      <c r="D33" s="70" t="s">
        <v>209</v>
      </c>
      <c r="E33" s="70" t="s">
        <v>175</v>
      </c>
      <c r="F33" s="70" t="s">
        <v>252</v>
      </c>
      <c r="G33" s="70" t="s">
        <v>290</v>
      </c>
      <c r="H33" s="70">
        <v>0</v>
      </c>
      <c r="I33" s="70">
        <v>0</v>
      </c>
      <c r="J33" s="70" t="s">
        <v>210</v>
      </c>
      <c r="K33" s="70">
        <v>0</v>
      </c>
      <c r="L33" s="70" t="s">
        <v>211</v>
      </c>
      <c r="M33" s="71">
        <f>IFERROR(INDEX('(참조)BL_인건비'!$S$3:$AG$40,MATCH(BL_인건비!$A33,'(참조)BL_인건비'!$S$3:$S$40,0),MATCH('(참조)BL_인건비'!X$2,'(참조)BL_인건비'!$S$2:$AG$2,0)),0)</f>
        <v>0</v>
      </c>
      <c r="N33" s="71">
        <f>IFERROR(INDEX('(참조)BL_인건비'!$S$3:$AG$40,MATCH(BL_인건비!$A33,'(참조)BL_인건비'!$S$3:$S$40,0),MATCH('(참조)BL_인건비'!Y$2,'(참조)BL_인건비'!$S$2:$AG$2,0)),0)</f>
        <v>0</v>
      </c>
      <c r="O33" s="71">
        <f>IFERROR(INDEX('(참조)BL_인건비'!$S$3:$AG$40,MATCH(BL_인건비!$A33,'(참조)BL_인건비'!$S$3:$S$40,0),MATCH('(참조)BL_인건비'!Z$2,'(참조)BL_인건비'!$S$2:$AG$2,0)),0)</f>
        <v>0</v>
      </c>
      <c r="P33" s="71">
        <f>IFERROR(INDEX('(참조)BL_인건비'!$S$3:$AG$40,MATCH(BL_인건비!$A33,'(참조)BL_인건비'!$S$3:$S$40,0),MATCH('(참조)BL_인건비'!AA$2,'(참조)BL_인건비'!$S$2:$AG$2,0)),0)</f>
        <v>0</v>
      </c>
      <c r="Q33" s="71">
        <f>IFERROR(INDEX('(참조)BL_인건비'!$S$3:$AG$40,MATCH(BL_인건비!$A33,'(참조)BL_인건비'!$S$3:$S$40,0),MATCH('(참조)BL_인건비'!AB$2,'(참조)BL_인건비'!$S$2:$AG$2,0)),0)</f>
        <v>0</v>
      </c>
      <c r="R33" s="71">
        <f>IFERROR(INDEX('(참조)BL_인건비'!$S$3:$AG$40,MATCH(BL_인건비!$A33,'(참조)BL_인건비'!$S$3:$S$40,0),MATCH('(참조)BL_인건비'!AC$2,'(참조)BL_인건비'!$S$2:$AG$2,0)),0)</f>
        <v>0</v>
      </c>
      <c r="S33" s="71">
        <f>IFERROR(INDEX('(참조)BL_인건비'!$S$3:$AG$40,MATCH(BL_인건비!$A33,'(참조)BL_인건비'!$S$3:$S$40,0),MATCH('(참조)BL_인건비'!AD$2,'(참조)BL_인건비'!$S$2:$AG$2,0)),0)</f>
        <v>0</v>
      </c>
      <c r="T33" s="71">
        <f>IFERROR(INDEX('(참조)BL_인건비'!$S$3:$AG$40,MATCH(BL_인건비!$A33,'(참조)BL_인건비'!$S$3:$S$40,0),MATCH('(참조)BL_인건비'!AE$2,'(참조)BL_인건비'!$S$2:$AG$2,0)),0)</f>
        <v>0</v>
      </c>
      <c r="U33" s="71">
        <f>IFERROR(INDEX('(참조)BL_인건비'!$S$3:$AG$40,MATCH(BL_인건비!$A33,'(참조)BL_인건비'!$S$3:$S$40,0),MATCH('(참조)BL_인건비'!AF$2,'(참조)BL_인건비'!$S$2:$AG$2,0)),0)</f>
        <v>0</v>
      </c>
      <c r="V33" s="71">
        <f>IFERROR(INDEX('(참조)BL_인건비'!$S$3:$AG$40,MATCH(BL_인건비!$A33,'(참조)BL_인건비'!$S$3:$S$40,0),MATCH('(참조)BL_인건비'!AG$2,'(참조)BL_인건비'!$S$2:$AG$2,0)),0)</f>
        <v>0</v>
      </c>
      <c r="W33" s="71">
        <f>IFERROR(INDEX('(참조)BL_인건비'!$S$3:$AG$40,MATCH(BL_인건비!$A33,'(참조)BL_인건비'!$S$3:$S$40,0),MATCH('(참조)BL_인건비'!AH$2,'(참조)BL_인건비'!$S$2:$AG$2,0)),0)</f>
        <v>0</v>
      </c>
      <c r="X33" s="71">
        <v>0</v>
      </c>
      <c r="Y33" s="72">
        <f>IFERROR(INDEX('(참조)BL_인건비'!$A$3:$O$40,MATCH(BL_인건비!$A33,'(참조)BL_인건비'!$A$3:$A$40,0),MATCH('(참조)BL_인건비'!F$2,'(참조)BL_인건비'!$A$2:$O$2,0)),0)</f>
        <v>2810805.3730576797</v>
      </c>
      <c r="Z33" s="72">
        <f>IFERROR(INDEX('(참조)BL_인건비'!$A$3:$O$40,MATCH(BL_인건비!$A33,'(참조)BL_인건비'!$A$3:$A$40,0),MATCH('(참조)BL_인건비'!G$2,'(참조)BL_인건비'!$A$2:$O$2,0)),0)</f>
        <v>2881948.9932618532</v>
      </c>
      <c r="AA33" s="72">
        <f>IFERROR(INDEX('(참조)BL_인건비'!$A$3:$O$40,MATCH(BL_인건비!$A33,'(참조)BL_인건비'!$A$3:$A$40,0),MATCH('(참조)BL_인건비'!H$2,'(참조)BL_인건비'!$A$2:$O$2,0)),0)</f>
        <v>2954893.3125625458</v>
      </c>
      <c r="AB33" s="72">
        <f>IFERROR(INDEX('(참조)BL_인건비'!$A$3:$O$40,MATCH(BL_인건비!$A33,'(참조)BL_인건비'!$A$3:$A$40,0),MATCH('(참조)BL_인건비'!I$2,'(참조)BL_인건비'!$A$2:$O$2,0)),0)</f>
        <v>3029683.9080224214</v>
      </c>
      <c r="AC33" s="72">
        <f>IFERROR(INDEX('(참조)BL_인건비'!$A$3:$O$40,MATCH(BL_인건비!$A33,'(참조)BL_인건비'!$A$3:$A$40,0),MATCH('(참조)BL_인건비'!J$2,'(참조)BL_인건비'!$A$2:$O$2,0)),0)</f>
        <v>3106367.510294239</v>
      </c>
      <c r="AD33" s="72">
        <f>IFERROR(INDEX('(참조)BL_인건비'!$A$3:$O$40,MATCH(BL_인건비!$A33,'(참조)BL_인건비'!$A$3:$A$40,0),MATCH('(참조)BL_인건비'!K$2,'(참조)BL_인건비'!$A$2:$O$2,0)),0)</f>
        <v>3184992.0328190941</v>
      </c>
      <c r="AE33" s="72">
        <f>IFERROR(INDEX('(참조)BL_인건비'!$A$3:$O$40,MATCH(BL_인건비!$A33,'(참조)BL_인건비'!$A$3:$A$40,0),MATCH('(참조)BL_인건비'!L$2,'(참조)BL_인건비'!$A$2:$O$2,0)),0)</f>
        <v>3265606.6017636904</v>
      </c>
      <c r="AF33" s="72">
        <f>IFERROR(INDEX('(참조)BL_인건비'!$A$3:$O$40,MATCH(BL_인건비!$A33,'(참조)BL_인건비'!$A$3:$A$40,0),MATCH('(참조)BL_인건비'!M$2,'(참조)BL_인건비'!$A$2:$O$2,0)),0)</f>
        <v>3348261.5867153467</v>
      </c>
      <c r="AG33" s="72">
        <f>IFERROR(INDEX('(참조)BL_인건비'!$A$3:$O$40,MATCH(BL_인건비!$A33,'(참조)BL_인건비'!$A$3:$A$40,0),MATCH('(참조)BL_인건비'!N$2,'(참조)BL_인건비'!$A$2:$O$2,0)),0)</f>
        <v>3433008.632153918</v>
      </c>
      <c r="AH33" s="72">
        <f>IFERROR(INDEX('(참조)BL_인건비'!$A$3:$O$40,MATCH(BL_인건비!$A33,'(참조)BL_인건비'!$A$3:$A$40,0),MATCH('(참조)BL_인건비'!O$2,'(참조)BL_인건비'!$A$2:$O$2,0)),0)</f>
        <v>3519900.689720294</v>
      </c>
      <c r="AI33" s="72">
        <f>IFERROR(INDEX('(참조)BL_인건비'!$A$3:$O$40,MATCH(BL_인건비!$A33,'(참조)BL_인건비'!$A$3:$A$40,0),MATCH('(참조)BL_인건비'!P$2,'(참조)BL_인건비'!$A$2:$O$2,0)),0)</f>
        <v>0</v>
      </c>
      <c r="AJ33" s="72">
        <v>12</v>
      </c>
      <c r="AK33" s="72">
        <v>12</v>
      </c>
      <c r="AL33" s="72">
        <v>12</v>
      </c>
      <c r="AM33" s="72">
        <v>12</v>
      </c>
      <c r="AN33" s="72">
        <v>12</v>
      </c>
      <c r="AO33" s="72">
        <v>12</v>
      </c>
      <c r="AP33" s="72">
        <v>12</v>
      </c>
      <c r="AQ33" s="72">
        <v>12</v>
      </c>
      <c r="AR33" s="72">
        <v>12</v>
      </c>
      <c r="AS33" s="72">
        <v>12</v>
      </c>
      <c r="AT33" s="72">
        <v>12</v>
      </c>
      <c r="AU33" s="73">
        <v>1</v>
      </c>
      <c r="AV33" s="70">
        <v>0</v>
      </c>
      <c r="AW33" s="70">
        <v>0</v>
      </c>
      <c r="AX33" s="56">
        <v>0</v>
      </c>
      <c r="AY33" s="56">
        <v>0</v>
      </c>
      <c r="AZ33" s="56">
        <v>0</v>
      </c>
      <c r="BA33" s="56">
        <v>0</v>
      </c>
      <c r="BB33" s="56">
        <v>0</v>
      </c>
      <c r="BC33" s="56">
        <v>0</v>
      </c>
      <c r="BD33" s="56">
        <v>0</v>
      </c>
      <c r="BE33" s="56">
        <v>0</v>
      </c>
      <c r="BF33" s="56">
        <v>0</v>
      </c>
      <c r="BG33" s="56">
        <v>0</v>
      </c>
      <c r="BH33" s="56">
        <v>0</v>
      </c>
      <c r="BI33" s="56">
        <v>0</v>
      </c>
      <c r="BJ33" s="74">
        <v>0</v>
      </c>
      <c r="BK33" s="56">
        <v>0</v>
      </c>
      <c r="BL33" s="56">
        <v>0</v>
      </c>
      <c r="BM33" s="56">
        <v>0</v>
      </c>
      <c r="BN33" s="56">
        <v>0</v>
      </c>
      <c r="BO33" s="56">
        <v>0</v>
      </c>
      <c r="BP33" s="56">
        <v>0</v>
      </c>
      <c r="BQ33" s="56">
        <v>0</v>
      </c>
      <c r="BR33" s="56">
        <v>0</v>
      </c>
      <c r="BS33" s="56">
        <v>0</v>
      </c>
      <c r="BT33" s="56">
        <v>0</v>
      </c>
      <c r="BU33" s="56">
        <v>0</v>
      </c>
      <c r="BV33" s="56">
        <v>0</v>
      </c>
      <c r="BW33" s="56">
        <v>0</v>
      </c>
      <c r="BX33" s="56">
        <v>0</v>
      </c>
      <c r="BY33" s="56">
        <v>0</v>
      </c>
      <c r="BZ33" s="56">
        <v>0</v>
      </c>
      <c r="CA33" s="56">
        <v>0</v>
      </c>
      <c r="CB33" s="56">
        <v>0</v>
      </c>
      <c r="CC33" s="56">
        <v>0</v>
      </c>
      <c r="CD33" s="56">
        <v>0</v>
      </c>
      <c r="CE33" s="56">
        <v>0</v>
      </c>
      <c r="CF33" s="56">
        <v>0</v>
      </c>
      <c r="CG33" s="56">
        <v>0</v>
      </c>
      <c r="CH33" s="56">
        <v>0</v>
      </c>
      <c r="CI33" s="56">
        <v>0</v>
      </c>
      <c r="CJ33" s="56">
        <v>0</v>
      </c>
      <c r="CK33" s="56">
        <v>0</v>
      </c>
      <c r="CL33" s="56">
        <v>0</v>
      </c>
      <c r="CM33" s="56">
        <v>0</v>
      </c>
      <c r="CN33" s="56">
        <v>0</v>
      </c>
      <c r="CO33" s="56">
        <v>0</v>
      </c>
      <c r="CP33" s="56">
        <v>0</v>
      </c>
      <c r="CQ33" s="56">
        <v>0</v>
      </c>
      <c r="CR33" s="56">
        <v>0</v>
      </c>
      <c r="CS33" s="56">
        <v>0</v>
      </c>
      <c r="CT33" s="56">
        <v>0</v>
      </c>
      <c r="CU33" s="56">
        <v>0</v>
      </c>
      <c r="CV33" s="56">
        <v>0</v>
      </c>
      <c r="CW33" s="56">
        <v>0</v>
      </c>
      <c r="CX33" s="56">
        <v>0</v>
      </c>
      <c r="CY33" s="56">
        <v>0</v>
      </c>
      <c r="CZ33" s="56">
        <v>0</v>
      </c>
      <c r="DA33" s="56">
        <v>0</v>
      </c>
      <c r="DB33" s="56">
        <v>0</v>
      </c>
      <c r="DC33" s="56">
        <v>0</v>
      </c>
      <c r="DD33" s="56">
        <v>0</v>
      </c>
      <c r="DE33" s="56">
        <v>0</v>
      </c>
      <c r="DF33" s="56">
        <v>0</v>
      </c>
      <c r="DG33" s="56">
        <v>0</v>
      </c>
      <c r="DH33" s="56">
        <v>0</v>
      </c>
      <c r="DI33" s="56">
        <v>0</v>
      </c>
      <c r="DJ33" s="56">
        <v>0</v>
      </c>
      <c r="DK33" s="56">
        <v>0</v>
      </c>
      <c r="DL33" s="56">
        <v>0</v>
      </c>
      <c r="DM33" s="56">
        <v>0</v>
      </c>
      <c r="DN33" s="56">
        <v>0</v>
      </c>
      <c r="DO33" s="56">
        <v>0</v>
      </c>
      <c r="DP33" s="56">
        <v>0</v>
      </c>
      <c r="DQ33" s="56">
        <v>0</v>
      </c>
      <c r="DR33" s="56">
        <v>0</v>
      </c>
      <c r="DS33" s="56">
        <v>0</v>
      </c>
      <c r="DT33" s="56">
        <v>0</v>
      </c>
      <c r="DU33" s="56">
        <v>0</v>
      </c>
      <c r="DV33" s="56">
        <v>0</v>
      </c>
      <c r="DW33" s="56">
        <v>0</v>
      </c>
      <c r="DX33" s="56">
        <v>0</v>
      </c>
      <c r="DY33" s="56">
        <v>0</v>
      </c>
      <c r="DZ33" s="56">
        <v>0</v>
      </c>
      <c r="EA33" s="56">
        <v>0</v>
      </c>
      <c r="EB33" s="56">
        <v>0</v>
      </c>
      <c r="EC33" s="56">
        <v>0</v>
      </c>
      <c r="ED33" s="56">
        <v>0</v>
      </c>
      <c r="EE33" s="56">
        <v>0</v>
      </c>
      <c r="EF33" s="56">
        <v>0</v>
      </c>
      <c r="EG33" s="56">
        <v>0</v>
      </c>
      <c r="EH33" s="56">
        <v>0</v>
      </c>
      <c r="EI33" s="56">
        <v>0</v>
      </c>
      <c r="EJ33" s="56">
        <v>0</v>
      </c>
      <c r="EK33" s="56">
        <v>0</v>
      </c>
      <c r="EL33" s="56">
        <v>0</v>
      </c>
      <c r="EM33" s="56">
        <v>0</v>
      </c>
      <c r="EN33" s="56">
        <v>0</v>
      </c>
      <c r="EO33" s="56">
        <v>0</v>
      </c>
      <c r="EP33" s="56">
        <v>0</v>
      </c>
      <c r="EQ33" s="56">
        <v>0</v>
      </c>
      <c r="ER33" s="56">
        <v>0</v>
      </c>
      <c r="ES33" s="56">
        <v>0</v>
      </c>
      <c r="ET33" s="56">
        <v>0</v>
      </c>
      <c r="EU33" s="56">
        <v>0</v>
      </c>
      <c r="EV33" s="56">
        <v>0</v>
      </c>
      <c r="EW33" s="56">
        <v>0</v>
      </c>
      <c r="EX33" s="56">
        <v>0</v>
      </c>
      <c r="EY33" s="56">
        <v>0</v>
      </c>
      <c r="EZ33" s="56">
        <v>0</v>
      </c>
      <c r="FA33" s="56">
        <v>0</v>
      </c>
      <c r="FB33" s="56">
        <v>0</v>
      </c>
      <c r="FC33" s="56">
        <v>0</v>
      </c>
      <c r="FD33" s="56">
        <v>0</v>
      </c>
      <c r="FE33" s="56">
        <v>0</v>
      </c>
      <c r="FF33" s="56">
        <v>0</v>
      </c>
      <c r="FG33" s="56">
        <v>0</v>
      </c>
      <c r="FH33" s="56">
        <v>0</v>
      </c>
      <c r="FI33" s="56">
        <v>0</v>
      </c>
      <c r="FJ33" s="56">
        <v>0</v>
      </c>
      <c r="FK33" s="56">
        <v>0</v>
      </c>
      <c r="FL33" s="56">
        <v>0</v>
      </c>
      <c r="FM33" s="56">
        <v>0</v>
      </c>
      <c r="FN33" s="56">
        <v>0</v>
      </c>
      <c r="FO33" s="56">
        <v>0</v>
      </c>
      <c r="FP33" s="56">
        <v>0</v>
      </c>
      <c r="FQ33" s="56">
        <v>0</v>
      </c>
      <c r="FR33" s="56">
        <v>0</v>
      </c>
      <c r="FS33" s="56">
        <v>0</v>
      </c>
      <c r="FT33" s="56">
        <v>0</v>
      </c>
      <c r="FU33" s="56">
        <v>0</v>
      </c>
      <c r="FV33" s="56">
        <v>0</v>
      </c>
      <c r="FW33" s="56">
        <v>0</v>
      </c>
      <c r="FX33" s="56">
        <v>0</v>
      </c>
      <c r="FY33" s="56">
        <v>0</v>
      </c>
      <c r="FZ33" s="56">
        <v>0</v>
      </c>
      <c r="GA33" s="56">
        <v>0</v>
      </c>
      <c r="GB33" s="56">
        <v>0</v>
      </c>
      <c r="GC33" s="56">
        <v>0</v>
      </c>
      <c r="GD33" s="56">
        <v>0</v>
      </c>
      <c r="GE33" s="56">
        <v>0</v>
      </c>
      <c r="GF33" s="56">
        <v>0</v>
      </c>
      <c r="GG33" s="56">
        <v>0</v>
      </c>
      <c r="GH33" s="56">
        <v>0</v>
      </c>
      <c r="GI33" s="56">
        <v>0</v>
      </c>
      <c r="GJ33" s="56">
        <v>0</v>
      </c>
      <c r="GK33" s="85">
        <v>0</v>
      </c>
      <c r="GL33" s="40"/>
    </row>
    <row r="34" spans="1:194" x14ac:dyDescent="0.4">
      <c r="A34" s="84" t="s">
        <v>307</v>
      </c>
      <c r="B34" s="70" t="s">
        <v>316</v>
      </c>
      <c r="C34" s="70" t="s">
        <v>397</v>
      </c>
      <c r="D34" s="70" t="s">
        <v>209</v>
      </c>
      <c r="E34" s="70" t="s">
        <v>175</v>
      </c>
      <c r="F34" s="70" t="s">
        <v>252</v>
      </c>
      <c r="G34" s="70" t="s">
        <v>291</v>
      </c>
      <c r="H34" s="70">
        <v>0</v>
      </c>
      <c r="I34" s="70">
        <v>0</v>
      </c>
      <c r="J34" s="70" t="s">
        <v>210</v>
      </c>
      <c r="K34" s="70">
        <v>0</v>
      </c>
      <c r="L34" s="70" t="s">
        <v>211</v>
      </c>
      <c r="M34" s="71">
        <f>IFERROR(INDEX('(참조)BL_인건비'!$S$3:$AG$40,MATCH(BL_인건비!$A34,'(참조)BL_인건비'!$S$3:$S$40,0),MATCH('(참조)BL_인건비'!X$2,'(참조)BL_인건비'!$S$2:$AG$2,0)),0)</f>
        <v>0</v>
      </c>
      <c r="N34" s="71">
        <f>IFERROR(INDEX('(참조)BL_인건비'!$S$3:$AG$40,MATCH(BL_인건비!$A34,'(참조)BL_인건비'!$S$3:$S$40,0),MATCH('(참조)BL_인건비'!Y$2,'(참조)BL_인건비'!$S$2:$AG$2,0)),0)</f>
        <v>0</v>
      </c>
      <c r="O34" s="71">
        <f>IFERROR(INDEX('(참조)BL_인건비'!$S$3:$AG$40,MATCH(BL_인건비!$A34,'(참조)BL_인건비'!$S$3:$S$40,0),MATCH('(참조)BL_인건비'!Z$2,'(참조)BL_인건비'!$S$2:$AG$2,0)),0)</f>
        <v>0</v>
      </c>
      <c r="P34" s="71">
        <f>IFERROR(INDEX('(참조)BL_인건비'!$S$3:$AG$40,MATCH(BL_인건비!$A34,'(참조)BL_인건비'!$S$3:$S$40,0),MATCH('(참조)BL_인건비'!AA$2,'(참조)BL_인건비'!$S$2:$AG$2,0)),0)</f>
        <v>0</v>
      </c>
      <c r="Q34" s="71">
        <f>IFERROR(INDEX('(참조)BL_인건비'!$S$3:$AG$40,MATCH(BL_인건비!$A34,'(참조)BL_인건비'!$S$3:$S$40,0),MATCH('(참조)BL_인건비'!AB$2,'(참조)BL_인건비'!$S$2:$AG$2,0)),0)</f>
        <v>0</v>
      </c>
      <c r="R34" s="71">
        <f>IFERROR(INDEX('(참조)BL_인건비'!$S$3:$AG$40,MATCH(BL_인건비!$A34,'(참조)BL_인건비'!$S$3:$S$40,0),MATCH('(참조)BL_인건비'!AC$2,'(참조)BL_인건비'!$S$2:$AG$2,0)),0)</f>
        <v>0</v>
      </c>
      <c r="S34" s="71">
        <f>IFERROR(INDEX('(참조)BL_인건비'!$S$3:$AG$40,MATCH(BL_인건비!$A34,'(참조)BL_인건비'!$S$3:$S$40,0),MATCH('(참조)BL_인건비'!AD$2,'(참조)BL_인건비'!$S$2:$AG$2,0)),0)</f>
        <v>0</v>
      </c>
      <c r="T34" s="71">
        <f>IFERROR(INDEX('(참조)BL_인건비'!$S$3:$AG$40,MATCH(BL_인건비!$A34,'(참조)BL_인건비'!$S$3:$S$40,0),MATCH('(참조)BL_인건비'!AE$2,'(참조)BL_인건비'!$S$2:$AG$2,0)),0)</f>
        <v>0</v>
      </c>
      <c r="U34" s="71">
        <f>IFERROR(INDEX('(참조)BL_인건비'!$S$3:$AG$40,MATCH(BL_인건비!$A34,'(참조)BL_인건비'!$S$3:$S$40,0),MATCH('(참조)BL_인건비'!AF$2,'(참조)BL_인건비'!$S$2:$AG$2,0)),0)</f>
        <v>0</v>
      </c>
      <c r="V34" s="71">
        <f>IFERROR(INDEX('(참조)BL_인건비'!$S$3:$AG$40,MATCH(BL_인건비!$A34,'(참조)BL_인건비'!$S$3:$S$40,0),MATCH('(참조)BL_인건비'!AG$2,'(참조)BL_인건비'!$S$2:$AG$2,0)),0)</f>
        <v>0</v>
      </c>
      <c r="W34" s="71">
        <f>IFERROR(INDEX('(참조)BL_인건비'!$S$3:$AG$40,MATCH(BL_인건비!$A34,'(참조)BL_인건비'!$S$3:$S$40,0),MATCH('(참조)BL_인건비'!AH$2,'(참조)BL_인건비'!$S$2:$AG$2,0)),0)</f>
        <v>0</v>
      </c>
      <c r="X34" s="71">
        <v>0</v>
      </c>
      <c r="Y34" s="72">
        <f>IFERROR(INDEX('(참조)BL_인건비'!$A$3:$O$40,MATCH(BL_인건비!$A34,'(참조)BL_인건비'!$A$3:$A$40,0),MATCH('(참조)BL_인건비'!F$2,'(참조)BL_인건비'!$A$2:$O$2,0)),0)</f>
        <v>2268632.3215880399</v>
      </c>
      <c r="Z34" s="72">
        <f>IFERROR(INDEX('(참조)BL_인건비'!$A$3:$O$40,MATCH(BL_인건비!$A34,'(참조)BL_인건비'!$A$3:$A$40,0),MATCH('(참조)BL_인건비'!G$2,'(참조)BL_인건비'!$A$2:$O$2,0)),0)</f>
        <v>2326053.1298079975</v>
      </c>
      <c r="AA34" s="72">
        <f>IFERROR(INDEX('(참조)BL_인건비'!$A$3:$O$40,MATCH(BL_인건비!$A34,'(참조)BL_인건비'!$A$3:$A$40,0),MATCH('(참조)BL_인건비'!H$2,'(참조)BL_인건비'!$A$2:$O$2,0)),0)</f>
        <v>2384927.3023238163</v>
      </c>
      <c r="AB34" s="72">
        <f>IFERROR(INDEX('(참조)BL_인건비'!$A$3:$O$40,MATCH(BL_인건비!$A34,'(참조)BL_인건비'!$A$3:$A$40,0),MATCH('(참조)BL_인건비'!I$2,'(참조)BL_인건비'!$A$2:$O$2,0)),0)</f>
        <v>2445291.6248903819</v>
      </c>
      <c r="AC34" s="72">
        <f>IFERROR(INDEX('(참조)BL_인건비'!$A$3:$O$40,MATCH(BL_인건비!$A34,'(참조)BL_인건비'!$A$3:$A$40,0),MATCH('(참조)BL_인건비'!J$2,'(참조)BL_인건비'!$A$2:$O$2,0)),0)</f>
        <v>2507183.8143379926</v>
      </c>
      <c r="AD34" s="72">
        <f>IFERROR(INDEX('(참조)BL_인건비'!$A$3:$O$40,MATCH(BL_인건비!$A34,'(참조)BL_인건비'!$A$3:$A$40,0),MATCH('(참조)BL_인건비'!K$2,'(참조)BL_인건비'!$A$2:$O$2,0)),0)</f>
        <v>2570642.5421385858</v>
      </c>
      <c r="AE34" s="72">
        <f>IFERROR(INDEX('(참조)BL_인건비'!$A$3:$O$40,MATCH(BL_인건비!$A34,'(참조)BL_인건비'!$A$3:$A$40,0),MATCH('(참조)BL_인건비'!L$2,'(참조)BL_인건비'!$A$2:$O$2,0)),0)</f>
        <v>2635707.4585684454</v>
      </c>
      <c r="AF34" s="72">
        <f>IFERROR(INDEX('(참조)BL_인건비'!$A$3:$O$40,MATCH(BL_인건비!$A34,'(참조)BL_인건비'!$A$3:$A$40,0),MATCH('(참조)BL_인건비'!M$2,'(참조)BL_인건비'!$A$2:$O$2,0)),0)</f>
        <v>2702419.2174824812</v>
      </c>
      <c r="AG34" s="72">
        <f>IFERROR(INDEX('(참조)BL_인건비'!$A$3:$O$40,MATCH(BL_인건비!$A34,'(참조)BL_인건비'!$A$3:$A$40,0),MATCH('(참조)BL_인건비'!N$2,'(참조)BL_인건비'!$A$2:$O$2,0)),0)</f>
        <v>2770819.5017155679</v>
      </c>
      <c r="AH34" s="72">
        <f>IFERROR(INDEX('(참조)BL_인건비'!$A$3:$O$40,MATCH(BL_인건비!$A34,'(참조)BL_인건비'!$A$3:$A$40,0),MATCH('(참조)BL_인건비'!O$2,'(참조)BL_인건비'!$A$2:$O$2,0)),0)</f>
        <v>2840951.0491268104</v>
      </c>
      <c r="AI34" s="72">
        <f>IFERROR(INDEX('(참조)BL_인건비'!$A$3:$O$40,MATCH(BL_인건비!$A34,'(참조)BL_인건비'!$A$3:$A$40,0),MATCH('(참조)BL_인건비'!P$2,'(참조)BL_인건비'!$A$2:$O$2,0)),0)</f>
        <v>0</v>
      </c>
      <c r="AJ34" s="72">
        <v>12</v>
      </c>
      <c r="AK34" s="72">
        <v>12</v>
      </c>
      <c r="AL34" s="72">
        <v>12</v>
      </c>
      <c r="AM34" s="72">
        <v>12</v>
      </c>
      <c r="AN34" s="72">
        <v>12</v>
      </c>
      <c r="AO34" s="72">
        <v>12</v>
      </c>
      <c r="AP34" s="72">
        <v>12</v>
      </c>
      <c r="AQ34" s="72">
        <v>12</v>
      </c>
      <c r="AR34" s="72">
        <v>12</v>
      </c>
      <c r="AS34" s="72">
        <v>12</v>
      </c>
      <c r="AT34" s="72">
        <v>12</v>
      </c>
      <c r="AU34" s="73">
        <v>1</v>
      </c>
      <c r="AV34" s="70">
        <v>0</v>
      </c>
      <c r="AW34" s="70">
        <v>0</v>
      </c>
      <c r="AX34" s="56">
        <v>0</v>
      </c>
      <c r="AY34" s="56">
        <v>0</v>
      </c>
      <c r="AZ34" s="56">
        <v>0</v>
      </c>
      <c r="BA34" s="56">
        <v>0</v>
      </c>
      <c r="BB34" s="56">
        <v>0</v>
      </c>
      <c r="BC34" s="56">
        <v>0</v>
      </c>
      <c r="BD34" s="56">
        <v>0</v>
      </c>
      <c r="BE34" s="56">
        <v>0</v>
      </c>
      <c r="BF34" s="56">
        <v>0</v>
      </c>
      <c r="BG34" s="56">
        <v>0</v>
      </c>
      <c r="BH34" s="56">
        <v>0</v>
      </c>
      <c r="BI34" s="56">
        <v>0</v>
      </c>
      <c r="BJ34" s="74">
        <v>0</v>
      </c>
      <c r="BK34" s="56">
        <v>0</v>
      </c>
      <c r="BL34" s="56">
        <v>0</v>
      </c>
      <c r="BM34" s="56">
        <v>0</v>
      </c>
      <c r="BN34" s="56">
        <v>0</v>
      </c>
      <c r="BO34" s="56">
        <v>0</v>
      </c>
      <c r="BP34" s="56">
        <v>0</v>
      </c>
      <c r="BQ34" s="56">
        <v>0</v>
      </c>
      <c r="BR34" s="56">
        <v>0</v>
      </c>
      <c r="BS34" s="56">
        <v>0</v>
      </c>
      <c r="BT34" s="56">
        <v>0</v>
      </c>
      <c r="BU34" s="56">
        <v>0</v>
      </c>
      <c r="BV34" s="56">
        <v>0</v>
      </c>
      <c r="BW34" s="56">
        <v>0</v>
      </c>
      <c r="BX34" s="56">
        <v>0</v>
      </c>
      <c r="BY34" s="56">
        <v>0</v>
      </c>
      <c r="BZ34" s="56">
        <v>0</v>
      </c>
      <c r="CA34" s="56">
        <v>0</v>
      </c>
      <c r="CB34" s="56">
        <v>0</v>
      </c>
      <c r="CC34" s="56">
        <v>0</v>
      </c>
      <c r="CD34" s="56">
        <v>0</v>
      </c>
      <c r="CE34" s="56">
        <v>0</v>
      </c>
      <c r="CF34" s="56">
        <v>0</v>
      </c>
      <c r="CG34" s="56">
        <v>0</v>
      </c>
      <c r="CH34" s="56">
        <v>0</v>
      </c>
      <c r="CI34" s="56">
        <v>0</v>
      </c>
      <c r="CJ34" s="56">
        <v>0</v>
      </c>
      <c r="CK34" s="56">
        <v>0</v>
      </c>
      <c r="CL34" s="56">
        <v>0</v>
      </c>
      <c r="CM34" s="56">
        <v>0</v>
      </c>
      <c r="CN34" s="56">
        <v>0</v>
      </c>
      <c r="CO34" s="56">
        <v>0</v>
      </c>
      <c r="CP34" s="56">
        <v>0</v>
      </c>
      <c r="CQ34" s="56">
        <v>0</v>
      </c>
      <c r="CR34" s="56">
        <v>0</v>
      </c>
      <c r="CS34" s="56">
        <v>0</v>
      </c>
      <c r="CT34" s="56">
        <v>0</v>
      </c>
      <c r="CU34" s="56">
        <v>0</v>
      </c>
      <c r="CV34" s="56">
        <v>0</v>
      </c>
      <c r="CW34" s="56">
        <v>0</v>
      </c>
      <c r="CX34" s="56">
        <v>0</v>
      </c>
      <c r="CY34" s="56">
        <v>0</v>
      </c>
      <c r="CZ34" s="56">
        <v>0</v>
      </c>
      <c r="DA34" s="56">
        <v>0</v>
      </c>
      <c r="DB34" s="56">
        <v>0</v>
      </c>
      <c r="DC34" s="56">
        <v>0</v>
      </c>
      <c r="DD34" s="56">
        <v>0</v>
      </c>
      <c r="DE34" s="56">
        <v>0</v>
      </c>
      <c r="DF34" s="56">
        <v>0</v>
      </c>
      <c r="DG34" s="56">
        <v>0</v>
      </c>
      <c r="DH34" s="56">
        <v>0</v>
      </c>
      <c r="DI34" s="56">
        <v>0</v>
      </c>
      <c r="DJ34" s="56">
        <v>0</v>
      </c>
      <c r="DK34" s="56">
        <v>0</v>
      </c>
      <c r="DL34" s="56">
        <v>0</v>
      </c>
      <c r="DM34" s="56">
        <v>0</v>
      </c>
      <c r="DN34" s="56">
        <v>0</v>
      </c>
      <c r="DO34" s="56">
        <v>0</v>
      </c>
      <c r="DP34" s="56">
        <v>0</v>
      </c>
      <c r="DQ34" s="56">
        <v>0</v>
      </c>
      <c r="DR34" s="56">
        <v>0</v>
      </c>
      <c r="DS34" s="56">
        <v>0</v>
      </c>
      <c r="DT34" s="56">
        <v>0</v>
      </c>
      <c r="DU34" s="56">
        <v>0</v>
      </c>
      <c r="DV34" s="56">
        <v>0</v>
      </c>
      <c r="DW34" s="56">
        <v>0</v>
      </c>
      <c r="DX34" s="56">
        <v>0</v>
      </c>
      <c r="DY34" s="56">
        <v>0</v>
      </c>
      <c r="DZ34" s="56">
        <v>0</v>
      </c>
      <c r="EA34" s="56">
        <v>0</v>
      </c>
      <c r="EB34" s="56">
        <v>0</v>
      </c>
      <c r="EC34" s="56">
        <v>0</v>
      </c>
      <c r="ED34" s="56">
        <v>0</v>
      </c>
      <c r="EE34" s="56">
        <v>0</v>
      </c>
      <c r="EF34" s="56">
        <v>0</v>
      </c>
      <c r="EG34" s="56">
        <v>0</v>
      </c>
      <c r="EH34" s="56">
        <v>0</v>
      </c>
      <c r="EI34" s="56">
        <v>0</v>
      </c>
      <c r="EJ34" s="56">
        <v>0</v>
      </c>
      <c r="EK34" s="56">
        <v>0</v>
      </c>
      <c r="EL34" s="56">
        <v>0</v>
      </c>
      <c r="EM34" s="56">
        <v>0</v>
      </c>
      <c r="EN34" s="56">
        <v>0</v>
      </c>
      <c r="EO34" s="56">
        <v>0</v>
      </c>
      <c r="EP34" s="56">
        <v>0</v>
      </c>
      <c r="EQ34" s="56">
        <v>0</v>
      </c>
      <c r="ER34" s="56">
        <v>0</v>
      </c>
      <c r="ES34" s="56">
        <v>0</v>
      </c>
      <c r="ET34" s="56">
        <v>0</v>
      </c>
      <c r="EU34" s="56">
        <v>0</v>
      </c>
      <c r="EV34" s="56">
        <v>0</v>
      </c>
      <c r="EW34" s="56">
        <v>0</v>
      </c>
      <c r="EX34" s="56">
        <v>0</v>
      </c>
      <c r="EY34" s="56">
        <v>0</v>
      </c>
      <c r="EZ34" s="56">
        <v>0</v>
      </c>
      <c r="FA34" s="56">
        <v>0</v>
      </c>
      <c r="FB34" s="56">
        <v>0</v>
      </c>
      <c r="FC34" s="56">
        <v>0</v>
      </c>
      <c r="FD34" s="56">
        <v>0</v>
      </c>
      <c r="FE34" s="56">
        <v>0</v>
      </c>
      <c r="FF34" s="56">
        <v>0</v>
      </c>
      <c r="FG34" s="56">
        <v>0</v>
      </c>
      <c r="FH34" s="56">
        <v>0</v>
      </c>
      <c r="FI34" s="56">
        <v>0</v>
      </c>
      <c r="FJ34" s="56">
        <v>0</v>
      </c>
      <c r="FK34" s="56">
        <v>0</v>
      </c>
      <c r="FL34" s="56">
        <v>0</v>
      </c>
      <c r="FM34" s="56">
        <v>0</v>
      </c>
      <c r="FN34" s="56">
        <v>0</v>
      </c>
      <c r="FO34" s="56">
        <v>0</v>
      </c>
      <c r="FP34" s="56">
        <v>0</v>
      </c>
      <c r="FQ34" s="56">
        <v>0</v>
      </c>
      <c r="FR34" s="56">
        <v>0</v>
      </c>
      <c r="FS34" s="56">
        <v>0</v>
      </c>
      <c r="FT34" s="56">
        <v>0</v>
      </c>
      <c r="FU34" s="56">
        <v>0</v>
      </c>
      <c r="FV34" s="56">
        <v>0</v>
      </c>
      <c r="FW34" s="56">
        <v>0</v>
      </c>
      <c r="FX34" s="56">
        <v>0</v>
      </c>
      <c r="FY34" s="56">
        <v>0</v>
      </c>
      <c r="FZ34" s="56">
        <v>0</v>
      </c>
      <c r="GA34" s="56">
        <v>0</v>
      </c>
      <c r="GB34" s="56">
        <v>0</v>
      </c>
      <c r="GC34" s="56">
        <v>0</v>
      </c>
      <c r="GD34" s="56">
        <v>0</v>
      </c>
      <c r="GE34" s="56">
        <v>0</v>
      </c>
      <c r="GF34" s="56">
        <v>0</v>
      </c>
      <c r="GG34" s="56">
        <v>0</v>
      </c>
      <c r="GH34" s="56">
        <v>0</v>
      </c>
      <c r="GI34" s="56">
        <v>0</v>
      </c>
      <c r="GJ34" s="56">
        <v>0</v>
      </c>
      <c r="GK34" s="85">
        <v>0</v>
      </c>
      <c r="GL34" s="40"/>
    </row>
    <row r="35" spans="1:194" x14ac:dyDescent="0.4">
      <c r="A35" s="84" t="s">
        <v>308</v>
      </c>
      <c r="B35" s="70" t="s">
        <v>316</v>
      </c>
      <c r="C35" s="70" t="s">
        <v>397</v>
      </c>
      <c r="D35" s="70" t="s">
        <v>209</v>
      </c>
      <c r="E35" s="70" t="s">
        <v>193</v>
      </c>
      <c r="F35" s="70" t="s">
        <v>194</v>
      </c>
      <c r="G35" s="70" t="s">
        <v>292</v>
      </c>
      <c r="H35" s="70">
        <v>0</v>
      </c>
      <c r="I35" s="70">
        <v>0</v>
      </c>
      <c r="J35" s="70" t="s">
        <v>210</v>
      </c>
      <c r="K35" s="70">
        <v>0</v>
      </c>
      <c r="L35" s="70" t="s">
        <v>211</v>
      </c>
      <c r="M35" s="71">
        <f>IFERROR(INDEX('(참조)BL_인건비'!$S$3:$AG$40,MATCH(BL_인건비!$A35,'(참조)BL_인건비'!$S$3:$S$40,0),MATCH('(참조)BL_인건비'!X$2,'(참조)BL_인건비'!$S$2:$AG$2,0)),0)</f>
        <v>0.75</v>
      </c>
      <c r="N35" s="71">
        <f>IFERROR(INDEX('(참조)BL_인건비'!$S$3:$AG$40,MATCH(BL_인건비!$A35,'(참조)BL_인건비'!$S$3:$S$40,0),MATCH('(참조)BL_인건비'!Y$2,'(참조)BL_인건비'!$S$2:$AG$2,0)),0)</f>
        <v>1</v>
      </c>
      <c r="O35" s="71">
        <f>IFERROR(INDEX('(참조)BL_인건비'!$S$3:$AG$40,MATCH(BL_인건비!$A35,'(참조)BL_인건비'!$S$3:$S$40,0),MATCH('(참조)BL_인건비'!Z$2,'(참조)BL_인건비'!$S$2:$AG$2,0)),0)</f>
        <v>1</v>
      </c>
      <c r="P35" s="71">
        <f>IFERROR(INDEX('(참조)BL_인건비'!$S$3:$AG$40,MATCH(BL_인건비!$A35,'(참조)BL_인건비'!$S$3:$S$40,0),MATCH('(참조)BL_인건비'!AA$2,'(참조)BL_인건비'!$S$2:$AG$2,0)),0)</f>
        <v>1</v>
      </c>
      <c r="Q35" s="71">
        <f>IFERROR(INDEX('(참조)BL_인건비'!$S$3:$AG$40,MATCH(BL_인건비!$A35,'(참조)BL_인건비'!$S$3:$S$40,0),MATCH('(참조)BL_인건비'!AB$2,'(참조)BL_인건비'!$S$2:$AG$2,0)),0)</f>
        <v>1</v>
      </c>
      <c r="R35" s="71">
        <f>IFERROR(INDEX('(참조)BL_인건비'!$S$3:$AG$40,MATCH(BL_인건비!$A35,'(참조)BL_인건비'!$S$3:$S$40,0),MATCH('(참조)BL_인건비'!AC$2,'(참조)BL_인건비'!$S$2:$AG$2,0)),0)</f>
        <v>1</v>
      </c>
      <c r="S35" s="71">
        <f>IFERROR(INDEX('(참조)BL_인건비'!$S$3:$AG$40,MATCH(BL_인건비!$A35,'(참조)BL_인건비'!$S$3:$S$40,0),MATCH('(참조)BL_인건비'!AD$2,'(참조)BL_인건비'!$S$2:$AG$2,0)),0)</f>
        <v>1</v>
      </c>
      <c r="T35" s="71">
        <f>IFERROR(INDEX('(참조)BL_인건비'!$S$3:$AG$40,MATCH(BL_인건비!$A35,'(참조)BL_인건비'!$S$3:$S$40,0),MATCH('(참조)BL_인건비'!AE$2,'(참조)BL_인건비'!$S$2:$AG$2,0)),0)</f>
        <v>1</v>
      </c>
      <c r="U35" s="71">
        <f>IFERROR(INDEX('(참조)BL_인건비'!$S$3:$AG$40,MATCH(BL_인건비!$A35,'(참조)BL_인건비'!$S$3:$S$40,0),MATCH('(참조)BL_인건비'!AF$2,'(참조)BL_인건비'!$S$2:$AG$2,0)),0)</f>
        <v>1</v>
      </c>
      <c r="V35" s="71">
        <f>IFERROR(INDEX('(참조)BL_인건비'!$S$3:$AG$40,MATCH(BL_인건비!$A35,'(참조)BL_인건비'!$S$3:$S$40,0),MATCH('(참조)BL_인건비'!AG$2,'(참조)BL_인건비'!$S$2:$AG$2,0)),0)</f>
        <v>1</v>
      </c>
      <c r="W35" s="71">
        <f>IFERROR(INDEX('(참조)BL_인건비'!$S$3:$AG$40,MATCH(BL_인건비!$A35,'(참조)BL_인건비'!$S$3:$S$40,0),MATCH('(참조)BL_인건비'!AH$2,'(참조)BL_인건비'!$S$2:$AG$2,0)),0)</f>
        <v>0</v>
      </c>
      <c r="X35" s="71">
        <v>0</v>
      </c>
      <c r="Y35" s="72">
        <f>IFERROR(INDEX('(참조)BL_인건비'!$A$3:$O$40,MATCH(BL_인건비!$A35,'(참조)BL_인건비'!$A$3:$A$40,0),MATCH('(참조)BL_인건비'!F$2,'(참조)BL_인건비'!$A$2:$O$2,0)),0)</f>
        <v>2822413.9414824001</v>
      </c>
      <c r="Z35" s="72">
        <f>IFERROR(INDEX('(참조)BL_인건비'!$A$3:$O$40,MATCH(BL_인건비!$A35,'(참조)BL_인건비'!$A$3:$A$40,0),MATCH('(참조)BL_인건비'!G$2,'(참조)BL_인건비'!$A$2:$O$2,0)),0)</f>
        <v>2893851.3833759152</v>
      </c>
      <c r="AA35" s="72">
        <f>IFERROR(INDEX('(참조)BL_인건비'!$A$3:$O$40,MATCH(BL_인건비!$A35,'(참조)BL_인건비'!$A$3:$A$40,0),MATCH('(참조)BL_인건비'!H$2,'(참조)BL_인건비'!$A$2:$O$2,0)),0)</f>
        <v>2967096.9612162109</v>
      </c>
      <c r="AB35" s="72">
        <f>IFERROR(INDEX('(참조)BL_인건비'!$A$3:$O$40,MATCH(BL_인건비!$A35,'(참조)BL_인건비'!$A$3:$A$40,0),MATCH('(참조)BL_인건비'!I$2,'(참조)BL_인건비'!$A$2:$O$2,0)),0)</f>
        <v>3042196.4402982835</v>
      </c>
      <c r="AC35" s="72">
        <f>IFERROR(INDEX('(참조)BL_인건비'!$A$3:$O$40,MATCH(BL_인건비!$A35,'(참조)BL_인건비'!$A$3:$A$40,0),MATCH('(참조)BL_인건비'!J$2,'(참조)BL_인건비'!$A$2:$O$2,0)),0)</f>
        <v>3119196.7442715275</v>
      </c>
      <c r="AD35" s="72">
        <f>IFERROR(INDEX('(참조)BL_인건비'!$A$3:$O$40,MATCH(BL_인건비!$A35,'(참조)BL_인건비'!$A$3:$A$40,0),MATCH('(참조)BL_인건비'!K$2,'(참조)BL_인건비'!$A$2:$O$2,0)),0)</f>
        <v>3198145.9844585657</v>
      </c>
      <c r="AE35" s="72">
        <f>IFERROR(INDEX('(참조)BL_인건비'!$A$3:$O$40,MATCH(BL_인건비!$A35,'(참조)BL_인건비'!$A$3:$A$40,0),MATCH('(참조)BL_인건비'!L$2,'(참조)BL_인건비'!$A$2:$O$2,0)),0)</f>
        <v>3279093.4899161602</v>
      </c>
      <c r="AF35" s="72">
        <f>IFERROR(INDEX('(참조)BL_인건비'!$A$3:$O$40,MATCH(BL_인건비!$A35,'(참조)BL_인건비'!$A$3:$A$40,0),MATCH('(참조)BL_인건비'!M$2,'(참조)BL_인건비'!$A$2:$O$2,0)),0)</f>
        <v>3362089.8382569905</v>
      </c>
      <c r="AG35" s="72">
        <f>IFERROR(INDEX('(참조)BL_인건비'!$A$3:$O$40,MATCH(BL_인건비!$A35,'(참조)BL_인건비'!$A$3:$A$40,0),MATCH('(참조)BL_인건비'!N$2,'(참조)BL_인건비'!$A$2:$O$2,0)),0)</f>
        <v>3447186.8872515522</v>
      </c>
      <c r="AH35" s="72">
        <f>IFERROR(INDEX('(참조)BL_인건비'!$A$3:$O$40,MATCH(BL_인건비!$A35,'(참조)BL_인건비'!$A$3:$A$40,0),MATCH('(참조)BL_인건비'!O$2,'(참조)BL_인건비'!$A$2:$O$2,0)),0)</f>
        <v>3534437.8072299231</v>
      </c>
      <c r="AI35" s="72">
        <f>IFERROR(INDEX('(참조)BL_인건비'!$A$3:$O$40,MATCH(BL_인건비!$A35,'(참조)BL_인건비'!$A$3:$A$40,0),MATCH('(참조)BL_인건비'!P$2,'(참조)BL_인건비'!$A$2:$O$2,0)),0)</f>
        <v>0</v>
      </c>
      <c r="AJ35" s="72">
        <v>12</v>
      </c>
      <c r="AK35" s="72">
        <v>12</v>
      </c>
      <c r="AL35" s="72">
        <v>12</v>
      </c>
      <c r="AM35" s="72">
        <v>12</v>
      </c>
      <c r="AN35" s="72">
        <v>12</v>
      </c>
      <c r="AO35" s="72">
        <v>12</v>
      </c>
      <c r="AP35" s="72">
        <v>12</v>
      </c>
      <c r="AQ35" s="72">
        <v>12</v>
      </c>
      <c r="AR35" s="72">
        <v>12</v>
      </c>
      <c r="AS35" s="72">
        <v>12</v>
      </c>
      <c r="AT35" s="72">
        <v>12</v>
      </c>
      <c r="AU35" s="73">
        <v>1</v>
      </c>
      <c r="AV35" s="70">
        <v>0</v>
      </c>
      <c r="AW35" s="70">
        <v>0</v>
      </c>
      <c r="AX35" s="56">
        <v>371521271.90864313</v>
      </c>
      <c r="AY35" s="56">
        <v>25401725.473341599</v>
      </c>
      <c r="AZ35" s="56">
        <v>34726216.600510992</v>
      </c>
      <c r="BA35" s="56">
        <v>35605163.534594528</v>
      </c>
      <c r="BB35" s="56">
        <v>36506357.283579394</v>
      </c>
      <c r="BC35" s="56">
        <v>37430360.931258328</v>
      </c>
      <c r="BD35" s="56">
        <v>38377751.813502789</v>
      </c>
      <c r="BE35" s="56">
        <v>39349121.878993921</v>
      </c>
      <c r="BF35" s="56">
        <v>40345078.059083901</v>
      </c>
      <c r="BG35" s="56">
        <v>41366242.647018626</v>
      </c>
      <c r="BH35" s="56">
        <v>42413253.686759062</v>
      </c>
      <c r="BI35" s="56">
        <v>0</v>
      </c>
      <c r="BJ35" s="74">
        <v>2116810.4561117999</v>
      </c>
      <c r="BK35" s="56">
        <v>2116810.4561117999</v>
      </c>
      <c r="BL35" s="56">
        <v>2116810.4561117999</v>
      </c>
      <c r="BM35" s="56">
        <v>2116810.4561117999</v>
      </c>
      <c r="BN35" s="56">
        <v>2116810.4561117999</v>
      </c>
      <c r="BO35" s="56">
        <v>2116810.4561117999</v>
      </c>
      <c r="BP35" s="56">
        <v>2116810.4561117999</v>
      </c>
      <c r="BQ35" s="56">
        <v>2116810.4561117999</v>
      </c>
      <c r="BR35" s="56">
        <v>2116810.4561117999</v>
      </c>
      <c r="BS35" s="56">
        <v>2116810.4561117999</v>
      </c>
      <c r="BT35" s="56">
        <v>2116810.4561117999</v>
      </c>
      <c r="BU35" s="56">
        <v>2116810.4561117999</v>
      </c>
      <c r="BV35" s="56">
        <v>2893851.3833759152</v>
      </c>
      <c r="BW35" s="56">
        <v>2893851.3833759152</v>
      </c>
      <c r="BX35" s="56">
        <v>2893851.3833759152</v>
      </c>
      <c r="BY35" s="56">
        <v>2893851.3833759152</v>
      </c>
      <c r="BZ35" s="56">
        <v>2893851.3833759152</v>
      </c>
      <c r="CA35" s="56">
        <v>2893851.3833759152</v>
      </c>
      <c r="CB35" s="56">
        <v>2893851.3833759152</v>
      </c>
      <c r="CC35" s="56">
        <v>2893851.3833759152</v>
      </c>
      <c r="CD35" s="56">
        <v>2893851.3833759152</v>
      </c>
      <c r="CE35" s="56">
        <v>2893851.3833759152</v>
      </c>
      <c r="CF35" s="56">
        <v>2893851.3833759152</v>
      </c>
      <c r="CG35" s="56">
        <v>2893851.3833759152</v>
      </c>
      <c r="CH35" s="56">
        <v>2967096.9612162109</v>
      </c>
      <c r="CI35" s="56">
        <v>2967096.9612162109</v>
      </c>
      <c r="CJ35" s="56">
        <v>2967096.9612162109</v>
      </c>
      <c r="CK35" s="56">
        <v>2967096.9612162109</v>
      </c>
      <c r="CL35" s="56">
        <v>2967096.9612162109</v>
      </c>
      <c r="CM35" s="56">
        <v>2967096.9612162109</v>
      </c>
      <c r="CN35" s="56">
        <v>2967096.9612162109</v>
      </c>
      <c r="CO35" s="56">
        <v>2967096.9612162109</v>
      </c>
      <c r="CP35" s="56">
        <v>2967096.9612162109</v>
      </c>
      <c r="CQ35" s="56">
        <v>2967096.9612162109</v>
      </c>
      <c r="CR35" s="56">
        <v>2967096.9612162109</v>
      </c>
      <c r="CS35" s="56">
        <v>2967096.9612162109</v>
      </c>
      <c r="CT35" s="56">
        <v>3042196.4402982835</v>
      </c>
      <c r="CU35" s="56">
        <v>3042196.4402982835</v>
      </c>
      <c r="CV35" s="56">
        <v>3042196.4402982835</v>
      </c>
      <c r="CW35" s="56">
        <v>3042196.4402982835</v>
      </c>
      <c r="CX35" s="56">
        <v>3042196.4402982835</v>
      </c>
      <c r="CY35" s="56">
        <v>3042196.4402982835</v>
      </c>
      <c r="CZ35" s="56">
        <v>3042196.4402982835</v>
      </c>
      <c r="DA35" s="56">
        <v>3042196.4402982835</v>
      </c>
      <c r="DB35" s="56">
        <v>3042196.4402982835</v>
      </c>
      <c r="DC35" s="56">
        <v>3042196.4402982835</v>
      </c>
      <c r="DD35" s="56">
        <v>3042196.4402982835</v>
      </c>
      <c r="DE35" s="56">
        <v>3042196.4402982835</v>
      </c>
      <c r="DF35" s="56">
        <v>3119196.7442715275</v>
      </c>
      <c r="DG35" s="56">
        <v>3119196.7442715275</v>
      </c>
      <c r="DH35" s="56">
        <v>3119196.7442715275</v>
      </c>
      <c r="DI35" s="56">
        <v>3119196.7442715275</v>
      </c>
      <c r="DJ35" s="56">
        <v>3119196.7442715275</v>
      </c>
      <c r="DK35" s="56">
        <v>3119196.7442715275</v>
      </c>
      <c r="DL35" s="56">
        <v>3119196.7442715275</v>
      </c>
      <c r="DM35" s="56">
        <v>3119196.7442715275</v>
      </c>
      <c r="DN35" s="56">
        <v>3119196.7442715275</v>
      </c>
      <c r="DO35" s="56">
        <v>3119196.7442715275</v>
      </c>
      <c r="DP35" s="56">
        <v>3119196.7442715275</v>
      </c>
      <c r="DQ35" s="56">
        <v>3119196.7442715275</v>
      </c>
      <c r="DR35" s="56">
        <v>3198145.9844585657</v>
      </c>
      <c r="DS35" s="56">
        <v>3198145.9844585657</v>
      </c>
      <c r="DT35" s="56">
        <v>3198145.9844585657</v>
      </c>
      <c r="DU35" s="56">
        <v>3198145.9844585657</v>
      </c>
      <c r="DV35" s="56">
        <v>3198145.9844585657</v>
      </c>
      <c r="DW35" s="56">
        <v>3198145.9844585657</v>
      </c>
      <c r="DX35" s="56">
        <v>3198145.9844585657</v>
      </c>
      <c r="DY35" s="56">
        <v>3198145.9844585657</v>
      </c>
      <c r="DZ35" s="56">
        <v>3198145.9844585657</v>
      </c>
      <c r="EA35" s="56">
        <v>3198145.9844585657</v>
      </c>
      <c r="EB35" s="56">
        <v>3198145.9844585657</v>
      </c>
      <c r="EC35" s="56">
        <v>3198145.9844585657</v>
      </c>
      <c r="ED35" s="56">
        <v>3279093.4899161602</v>
      </c>
      <c r="EE35" s="56">
        <v>3279093.4899161602</v>
      </c>
      <c r="EF35" s="56">
        <v>3279093.4899161602</v>
      </c>
      <c r="EG35" s="56">
        <v>3279093.4899161602</v>
      </c>
      <c r="EH35" s="56">
        <v>3279093.4899161602</v>
      </c>
      <c r="EI35" s="56">
        <v>3279093.4899161602</v>
      </c>
      <c r="EJ35" s="56">
        <v>3279093.4899161602</v>
      </c>
      <c r="EK35" s="56">
        <v>3279093.4899161602</v>
      </c>
      <c r="EL35" s="56">
        <v>3279093.4899161602</v>
      </c>
      <c r="EM35" s="56">
        <v>3279093.4899161602</v>
      </c>
      <c r="EN35" s="56">
        <v>3279093.4899161602</v>
      </c>
      <c r="EO35" s="56">
        <v>3279093.4899161602</v>
      </c>
      <c r="EP35" s="56">
        <v>3362089.8382569905</v>
      </c>
      <c r="EQ35" s="56">
        <v>3362089.8382569905</v>
      </c>
      <c r="ER35" s="56">
        <v>3362089.8382569905</v>
      </c>
      <c r="ES35" s="56">
        <v>3362089.8382569905</v>
      </c>
      <c r="ET35" s="56">
        <v>3362089.8382569905</v>
      </c>
      <c r="EU35" s="56">
        <v>3362089.8382569905</v>
      </c>
      <c r="EV35" s="56">
        <v>3362089.8382569905</v>
      </c>
      <c r="EW35" s="56">
        <v>3362089.8382569905</v>
      </c>
      <c r="EX35" s="56">
        <v>3362089.8382569905</v>
      </c>
      <c r="EY35" s="56">
        <v>3362089.8382569905</v>
      </c>
      <c r="EZ35" s="56">
        <v>3362089.8382569905</v>
      </c>
      <c r="FA35" s="56">
        <v>3362089.8382569905</v>
      </c>
      <c r="FB35" s="56">
        <v>3447186.8872515522</v>
      </c>
      <c r="FC35" s="56">
        <v>3447186.8872515522</v>
      </c>
      <c r="FD35" s="56">
        <v>3447186.8872515522</v>
      </c>
      <c r="FE35" s="56">
        <v>3447186.8872515522</v>
      </c>
      <c r="FF35" s="56">
        <v>3447186.8872515522</v>
      </c>
      <c r="FG35" s="56">
        <v>3447186.8872515522</v>
      </c>
      <c r="FH35" s="56">
        <v>3447186.8872515522</v>
      </c>
      <c r="FI35" s="56">
        <v>3447186.8872515522</v>
      </c>
      <c r="FJ35" s="56">
        <v>3447186.8872515522</v>
      </c>
      <c r="FK35" s="56">
        <v>3447186.8872515522</v>
      </c>
      <c r="FL35" s="56">
        <v>3447186.8872515522</v>
      </c>
      <c r="FM35" s="56">
        <v>3447186.8872515522</v>
      </c>
      <c r="FN35" s="56">
        <v>3534437.8072299231</v>
      </c>
      <c r="FO35" s="56">
        <v>3534437.8072299231</v>
      </c>
      <c r="FP35" s="56">
        <v>3534437.8072299231</v>
      </c>
      <c r="FQ35" s="56">
        <v>3534437.8072299231</v>
      </c>
      <c r="FR35" s="56">
        <v>3534437.8072299231</v>
      </c>
      <c r="FS35" s="56">
        <v>3534437.8072299231</v>
      </c>
      <c r="FT35" s="56">
        <v>3534437.8072299231</v>
      </c>
      <c r="FU35" s="56">
        <v>3534437.8072299231</v>
      </c>
      <c r="FV35" s="56">
        <v>3534437.8072299231</v>
      </c>
      <c r="FW35" s="56">
        <v>3534437.8072299231</v>
      </c>
      <c r="FX35" s="56">
        <v>3534437.8072299231</v>
      </c>
      <c r="FY35" s="56">
        <v>3534437.8072299231</v>
      </c>
      <c r="FZ35" s="56">
        <v>0</v>
      </c>
      <c r="GA35" s="56">
        <v>0</v>
      </c>
      <c r="GB35" s="56">
        <v>0</v>
      </c>
      <c r="GC35" s="56">
        <v>0</v>
      </c>
      <c r="GD35" s="56">
        <v>0</v>
      </c>
      <c r="GE35" s="56">
        <v>0</v>
      </c>
      <c r="GF35" s="56">
        <v>0</v>
      </c>
      <c r="GG35" s="56">
        <v>0</v>
      </c>
      <c r="GH35" s="56">
        <v>0</v>
      </c>
      <c r="GI35" s="56">
        <v>0</v>
      </c>
      <c r="GJ35" s="56">
        <v>0</v>
      </c>
      <c r="GK35" s="85">
        <v>0</v>
      </c>
      <c r="GL35" s="40"/>
    </row>
    <row r="36" spans="1:194" x14ac:dyDescent="0.4">
      <c r="A36" s="84" t="s">
        <v>309</v>
      </c>
      <c r="B36" s="70" t="s">
        <v>316</v>
      </c>
      <c r="C36" s="70" t="s">
        <v>397</v>
      </c>
      <c r="D36" s="70" t="s">
        <v>209</v>
      </c>
      <c r="E36" s="70" t="s">
        <v>193</v>
      </c>
      <c r="F36" s="70" t="s">
        <v>194</v>
      </c>
      <c r="G36" s="70" t="s">
        <v>293</v>
      </c>
      <c r="H36" s="70">
        <v>0</v>
      </c>
      <c r="I36" s="70">
        <v>0</v>
      </c>
      <c r="J36" s="70" t="s">
        <v>210</v>
      </c>
      <c r="K36" s="70">
        <v>0</v>
      </c>
      <c r="L36" s="70" t="s">
        <v>211</v>
      </c>
      <c r="M36" s="71">
        <f>IFERROR(INDEX('(참조)BL_인건비'!$S$3:$AG$40,MATCH(BL_인건비!$A36,'(참조)BL_인건비'!$S$3:$S$40,0),MATCH('(참조)BL_인건비'!X$2,'(참조)BL_인건비'!$S$2:$AG$2,0)),0)</f>
        <v>0.75</v>
      </c>
      <c r="N36" s="71">
        <f>IFERROR(INDEX('(참조)BL_인건비'!$S$3:$AG$40,MATCH(BL_인건비!$A36,'(참조)BL_인건비'!$S$3:$S$40,0),MATCH('(참조)BL_인건비'!Y$2,'(참조)BL_인건비'!$S$2:$AG$2,0)),0)</f>
        <v>1</v>
      </c>
      <c r="O36" s="71">
        <f>IFERROR(INDEX('(참조)BL_인건비'!$S$3:$AG$40,MATCH(BL_인건비!$A36,'(참조)BL_인건비'!$S$3:$S$40,0),MATCH('(참조)BL_인건비'!Z$2,'(참조)BL_인건비'!$S$2:$AG$2,0)),0)</f>
        <v>1</v>
      </c>
      <c r="P36" s="71">
        <f>IFERROR(INDEX('(참조)BL_인건비'!$S$3:$AG$40,MATCH(BL_인건비!$A36,'(참조)BL_인건비'!$S$3:$S$40,0),MATCH('(참조)BL_인건비'!AA$2,'(참조)BL_인건비'!$S$2:$AG$2,0)),0)</f>
        <v>1</v>
      </c>
      <c r="Q36" s="71">
        <f>IFERROR(INDEX('(참조)BL_인건비'!$S$3:$AG$40,MATCH(BL_인건비!$A36,'(참조)BL_인건비'!$S$3:$S$40,0),MATCH('(참조)BL_인건비'!AB$2,'(참조)BL_인건비'!$S$2:$AG$2,0)),0)</f>
        <v>1</v>
      </c>
      <c r="R36" s="71">
        <f>IFERROR(INDEX('(참조)BL_인건비'!$S$3:$AG$40,MATCH(BL_인건비!$A36,'(참조)BL_인건비'!$S$3:$S$40,0),MATCH('(참조)BL_인건비'!AC$2,'(참조)BL_인건비'!$S$2:$AG$2,0)),0)</f>
        <v>1</v>
      </c>
      <c r="S36" s="71">
        <f>IFERROR(INDEX('(참조)BL_인건비'!$S$3:$AG$40,MATCH(BL_인건비!$A36,'(참조)BL_인건비'!$S$3:$S$40,0),MATCH('(참조)BL_인건비'!AD$2,'(참조)BL_인건비'!$S$2:$AG$2,0)),0)</f>
        <v>1</v>
      </c>
      <c r="T36" s="71">
        <f>IFERROR(INDEX('(참조)BL_인건비'!$S$3:$AG$40,MATCH(BL_인건비!$A36,'(참조)BL_인건비'!$S$3:$S$40,0),MATCH('(참조)BL_인건비'!AE$2,'(참조)BL_인건비'!$S$2:$AG$2,0)),0)</f>
        <v>1</v>
      </c>
      <c r="U36" s="71">
        <f>IFERROR(INDEX('(참조)BL_인건비'!$S$3:$AG$40,MATCH(BL_인건비!$A36,'(참조)BL_인건비'!$S$3:$S$40,0),MATCH('(참조)BL_인건비'!AF$2,'(참조)BL_인건비'!$S$2:$AG$2,0)),0)</f>
        <v>1</v>
      </c>
      <c r="V36" s="71">
        <f>IFERROR(INDEX('(참조)BL_인건비'!$S$3:$AG$40,MATCH(BL_인건비!$A36,'(참조)BL_인건비'!$S$3:$S$40,0),MATCH('(참조)BL_인건비'!AG$2,'(참조)BL_인건비'!$S$2:$AG$2,0)),0)</f>
        <v>1</v>
      </c>
      <c r="W36" s="71">
        <f>IFERROR(INDEX('(참조)BL_인건비'!$S$3:$AG$40,MATCH(BL_인건비!$A36,'(참조)BL_인건비'!$S$3:$S$40,0),MATCH('(참조)BL_인건비'!AH$2,'(참조)BL_인건비'!$S$2:$AG$2,0)),0)</f>
        <v>0</v>
      </c>
      <c r="X36" s="71">
        <v>0</v>
      </c>
      <c r="Y36" s="72">
        <f>IFERROR(INDEX('(참조)BL_인건비'!$A$3:$O$40,MATCH(BL_인건비!$A36,'(참조)BL_인건비'!$A$3:$A$40,0),MATCH('(참조)BL_인건비'!F$2,'(참조)BL_인건비'!$A$2:$O$2,0)),0)</f>
        <v>2822413.9414824001</v>
      </c>
      <c r="Z36" s="72">
        <f>IFERROR(INDEX('(참조)BL_인건비'!$A$3:$O$40,MATCH(BL_인건비!$A36,'(참조)BL_인건비'!$A$3:$A$40,0),MATCH('(참조)BL_인건비'!G$2,'(참조)BL_인건비'!$A$2:$O$2,0)),0)</f>
        <v>2893851.3833759152</v>
      </c>
      <c r="AA36" s="72">
        <f>IFERROR(INDEX('(참조)BL_인건비'!$A$3:$O$40,MATCH(BL_인건비!$A36,'(참조)BL_인건비'!$A$3:$A$40,0),MATCH('(참조)BL_인건비'!H$2,'(참조)BL_인건비'!$A$2:$O$2,0)),0)</f>
        <v>2967096.9612162109</v>
      </c>
      <c r="AB36" s="72">
        <f>IFERROR(INDEX('(참조)BL_인건비'!$A$3:$O$40,MATCH(BL_인건비!$A36,'(참조)BL_인건비'!$A$3:$A$40,0),MATCH('(참조)BL_인건비'!I$2,'(참조)BL_인건비'!$A$2:$O$2,0)),0)</f>
        <v>3042196.4402982835</v>
      </c>
      <c r="AC36" s="72">
        <f>IFERROR(INDEX('(참조)BL_인건비'!$A$3:$O$40,MATCH(BL_인건비!$A36,'(참조)BL_인건비'!$A$3:$A$40,0),MATCH('(참조)BL_인건비'!J$2,'(참조)BL_인건비'!$A$2:$O$2,0)),0)</f>
        <v>3119196.7442715275</v>
      </c>
      <c r="AD36" s="72">
        <f>IFERROR(INDEX('(참조)BL_인건비'!$A$3:$O$40,MATCH(BL_인건비!$A36,'(참조)BL_인건비'!$A$3:$A$40,0),MATCH('(참조)BL_인건비'!K$2,'(참조)BL_인건비'!$A$2:$O$2,0)),0)</f>
        <v>3198145.9844585657</v>
      </c>
      <c r="AE36" s="72">
        <f>IFERROR(INDEX('(참조)BL_인건비'!$A$3:$O$40,MATCH(BL_인건비!$A36,'(참조)BL_인건비'!$A$3:$A$40,0),MATCH('(참조)BL_인건비'!L$2,'(참조)BL_인건비'!$A$2:$O$2,0)),0)</f>
        <v>3279093.4899161602</v>
      </c>
      <c r="AF36" s="72">
        <f>IFERROR(INDEX('(참조)BL_인건비'!$A$3:$O$40,MATCH(BL_인건비!$A36,'(참조)BL_인건비'!$A$3:$A$40,0),MATCH('(참조)BL_인건비'!M$2,'(참조)BL_인건비'!$A$2:$O$2,0)),0)</f>
        <v>3362089.8382569905</v>
      </c>
      <c r="AG36" s="72">
        <f>IFERROR(INDEX('(참조)BL_인건비'!$A$3:$O$40,MATCH(BL_인건비!$A36,'(참조)BL_인건비'!$A$3:$A$40,0),MATCH('(참조)BL_인건비'!N$2,'(참조)BL_인건비'!$A$2:$O$2,0)),0)</f>
        <v>3447186.8872515522</v>
      </c>
      <c r="AH36" s="72">
        <f>IFERROR(INDEX('(참조)BL_인건비'!$A$3:$O$40,MATCH(BL_인건비!$A36,'(참조)BL_인건비'!$A$3:$A$40,0),MATCH('(참조)BL_인건비'!O$2,'(참조)BL_인건비'!$A$2:$O$2,0)),0)</f>
        <v>3534437.8072299231</v>
      </c>
      <c r="AI36" s="72">
        <f>IFERROR(INDEX('(참조)BL_인건비'!$A$3:$O$40,MATCH(BL_인건비!$A36,'(참조)BL_인건비'!$A$3:$A$40,0),MATCH('(참조)BL_인건비'!P$2,'(참조)BL_인건비'!$A$2:$O$2,0)),0)</f>
        <v>0</v>
      </c>
      <c r="AJ36" s="72">
        <v>12</v>
      </c>
      <c r="AK36" s="72">
        <v>12</v>
      </c>
      <c r="AL36" s="72">
        <v>12</v>
      </c>
      <c r="AM36" s="72">
        <v>12</v>
      </c>
      <c r="AN36" s="72">
        <v>12</v>
      </c>
      <c r="AO36" s="72">
        <v>12</v>
      </c>
      <c r="AP36" s="72">
        <v>12</v>
      </c>
      <c r="AQ36" s="72">
        <v>12</v>
      </c>
      <c r="AR36" s="72">
        <v>12</v>
      </c>
      <c r="AS36" s="72">
        <v>12</v>
      </c>
      <c r="AT36" s="72">
        <v>12</v>
      </c>
      <c r="AU36" s="73">
        <v>1</v>
      </c>
      <c r="AV36" s="70">
        <v>0</v>
      </c>
      <c r="AW36" s="70">
        <v>0</v>
      </c>
      <c r="AX36" s="56">
        <v>371521271.90864313</v>
      </c>
      <c r="AY36" s="56">
        <v>25401725.473341599</v>
      </c>
      <c r="AZ36" s="56">
        <v>34726216.600510992</v>
      </c>
      <c r="BA36" s="56">
        <v>35605163.534594528</v>
      </c>
      <c r="BB36" s="56">
        <v>36506357.283579394</v>
      </c>
      <c r="BC36" s="56">
        <v>37430360.931258328</v>
      </c>
      <c r="BD36" s="56">
        <v>38377751.813502789</v>
      </c>
      <c r="BE36" s="56">
        <v>39349121.878993921</v>
      </c>
      <c r="BF36" s="56">
        <v>40345078.059083901</v>
      </c>
      <c r="BG36" s="56">
        <v>41366242.647018626</v>
      </c>
      <c r="BH36" s="56">
        <v>42413253.686759062</v>
      </c>
      <c r="BI36" s="56">
        <v>0</v>
      </c>
      <c r="BJ36" s="74">
        <v>2116810.4561117999</v>
      </c>
      <c r="BK36" s="56">
        <v>2116810.4561117999</v>
      </c>
      <c r="BL36" s="56">
        <v>2116810.4561117999</v>
      </c>
      <c r="BM36" s="56">
        <v>2116810.4561117999</v>
      </c>
      <c r="BN36" s="56">
        <v>2116810.4561117999</v>
      </c>
      <c r="BO36" s="56">
        <v>2116810.4561117999</v>
      </c>
      <c r="BP36" s="56">
        <v>2116810.4561117999</v>
      </c>
      <c r="BQ36" s="56">
        <v>2116810.4561117999</v>
      </c>
      <c r="BR36" s="56">
        <v>2116810.4561117999</v>
      </c>
      <c r="BS36" s="56">
        <v>2116810.4561117999</v>
      </c>
      <c r="BT36" s="56">
        <v>2116810.4561117999</v>
      </c>
      <c r="BU36" s="56">
        <v>2116810.4561117999</v>
      </c>
      <c r="BV36" s="56">
        <v>2893851.3833759152</v>
      </c>
      <c r="BW36" s="56">
        <v>2893851.3833759152</v>
      </c>
      <c r="BX36" s="56">
        <v>2893851.3833759152</v>
      </c>
      <c r="BY36" s="56">
        <v>2893851.3833759152</v>
      </c>
      <c r="BZ36" s="56">
        <v>2893851.3833759152</v>
      </c>
      <c r="CA36" s="56">
        <v>2893851.3833759152</v>
      </c>
      <c r="CB36" s="56">
        <v>2893851.3833759152</v>
      </c>
      <c r="CC36" s="56">
        <v>2893851.3833759152</v>
      </c>
      <c r="CD36" s="56">
        <v>2893851.3833759152</v>
      </c>
      <c r="CE36" s="56">
        <v>2893851.3833759152</v>
      </c>
      <c r="CF36" s="56">
        <v>2893851.3833759152</v>
      </c>
      <c r="CG36" s="56">
        <v>2893851.3833759152</v>
      </c>
      <c r="CH36" s="56">
        <v>2967096.9612162109</v>
      </c>
      <c r="CI36" s="56">
        <v>2967096.9612162109</v>
      </c>
      <c r="CJ36" s="56">
        <v>2967096.9612162109</v>
      </c>
      <c r="CK36" s="56">
        <v>2967096.9612162109</v>
      </c>
      <c r="CL36" s="56">
        <v>2967096.9612162109</v>
      </c>
      <c r="CM36" s="56">
        <v>2967096.9612162109</v>
      </c>
      <c r="CN36" s="56">
        <v>2967096.9612162109</v>
      </c>
      <c r="CO36" s="56">
        <v>2967096.9612162109</v>
      </c>
      <c r="CP36" s="56">
        <v>2967096.9612162109</v>
      </c>
      <c r="CQ36" s="56">
        <v>2967096.9612162109</v>
      </c>
      <c r="CR36" s="56">
        <v>2967096.9612162109</v>
      </c>
      <c r="CS36" s="56">
        <v>2967096.9612162109</v>
      </c>
      <c r="CT36" s="56">
        <v>3042196.4402982835</v>
      </c>
      <c r="CU36" s="56">
        <v>3042196.4402982835</v>
      </c>
      <c r="CV36" s="56">
        <v>3042196.4402982835</v>
      </c>
      <c r="CW36" s="56">
        <v>3042196.4402982835</v>
      </c>
      <c r="CX36" s="56">
        <v>3042196.4402982835</v>
      </c>
      <c r="CY36" s="56">
        <v>3042196.4402982835</v>
      </c>
      <c r="CZ36" s="56">
        <v>3042196.4402982835</v>
      </c>
      <c r="DA36" s="56">
        <v>3042196.4402982835</v>
      </c>
      <c r="DB36" s="56">
        <v>3042196.4402982835</v>
      </c>
      <c r="DC36" s="56">
        <v>3042196.4402982835</v>
      </c>
      <c r="DD36" s="56">
        <v>3042196.4402982835</v>
      </c>
      <c r="DE36" s="56">
        <v>3042196.4402982835</v>
      </c>
      <c r="DF36" s="56">
        <v>3119196.7442715275</v>
      </c>
      <c r="DG36" s="56">
        <v>3119196.7442715275</v>
      </c>
      <c r="DH36" s="56">
        <v>3119196.7442715275</v>
      </c>
      <c r="DI36" s="56">
        <v>3119196.7442715275</v>
      </c>
      <c r="DJ36" s="56">
        <v>3119196.7442715275</v>
      </c>
      <c r="DK36" s="56">
        <v>3119196.7442715275</v>
      </c>
      <c r="DL36" s="56">
        <v>3119196.7442715275</v>
      </c>
      <c r="DM36" s="56">
        <v>3119196.7442715275</v>
      </c>
      <c r="DN36" s="56">
        <v>3119196.7442715275</v>
      </c>
      <c r="DO36" s="56">
        <v>3119196.7442715275</v>
      </c>
      <c r="DP36" s="56">
        <v>3119196.7442715275</v>
      </c>
      <c r="DQ36" s="56">
        <v>3119196.7442715275</v>
      </c>
      <c r="DR36" s="56">
        <v>3198145.9844585657</v>
      </c>
      <c r="DS36" s="56">
        <v>3198145.9844585657</v>
      </c>
      <c r="DT36" s="56">
        <v>3198145.9844585657</v>
      </c>
      <c r="DU36" s="56">
        <v>3198145.9844585657</v>
      </c>
      <c r="DV36" s="56">
        <v>3198145.9844585657</v>
      </c>
      <c r="DW36" s="56">
        <v>3198145.9844585657</v>
      </c>
      <c r="DX36" s="56">
        <v>3198145.9844585657</v>
      </c>
      <c r="DY36" s="56">
        <v>3198145.9844585657</v>
      </c>
      <c r="DZ36" s="56">
        <v>3198145.9844585657</v>
      </c>
      <c r="EA36" s="56">
        <v>3198145.9844585657</v>
      </c>
      <c r="EB36" s="56">
        <v>3198145.9844585657</v>
      </c>
      <c r="EC36" s="56">
        <v>3198145.9844585657</v>
      </c>
      <c r="ED36" s="56">
        <v>3279093.4899161602</v>
      </c>
      <c r="EE36" s="56">
        <v>3279093.4899161602</v>
      </c>
      <c r="EF36" s="56">
        <v>3279093.4899161602</v>
      </c>
      <c r="EG36" s="56">
        <v>3279093.4899161602</v>
      </c>
      <c r="EH36" s="56">
        <v>3279093.4899161602</v>
      </c>
      <c r="EI36" s="56">
        <v>3279093.4899161602</v>
      </c>
      <c r="EJ36" s="56">
        <v>3279093.4899161602</v>
      </c>
      <c r="EK36" s="56">
        <v>3279093.4899161602</v>
      </c>
      <c r="EL36" s="56">
        <v>3279093.4899161602</v>
      </c>
      <c r="EM36" s="56">
        <v>3279093.4899161602</v>
      </c>
      <c r="EN36" s="56">
        <v>3279093.4899161602</v>
      </c>
      <c r="EO36" s="56">
        <v>3279093.4899161602</v>
      </c>
      <c r="EP36" s="56">
        <v>3362089.8382569905</v>
      </c>
      <c r="EQ36" s="56">
        <v>3362089.8382569905</v>
      </c>
      <c r="ER36" s="56">
        <v>3362089.8382569905</v>
      </c>
      <c r="ES36" s="56">
        <v>3362089.8382569905</v>
      </c>
      <c r="ET36" s="56">
        <v>3362089.8382569905</v>
      </c>
      <c r="EU36" s="56">
        <v>3362089.8382569905</v>
      </c>
      <c r="EV36" s="56">
        <v>3362089.8382569905</v>
      </c>
      <c r="EW36" s="56">
        <v>3362089.8382569905</v>
      </c>
      <c r="EX36" s="56">
        <v>3362089.8382569905</v>
      </c>
      <c r="EY36" s="56">
        <v>3362089.8382569905</v>
      </c>
      <c r="EZ36" s="56">
        <v>3362089.8382569905</v>
      </c>
      <c r="FA36" s="56">
        <v>3362089.8382569905</v>
      </c>
      <c r="FB36" s="56">
        <v>3447186.8872515522</v>
      </c>
      <c r="FC36" s="56">
        <v>3447186.8872515522</v>
      </c>
      <c r="FD36" s="56">
        <v>3447186.8872515522</v>
      </c>
      <c r="FE36" s="56">
        <v>3447186.8872515522</v>
      </c>
      <c r="FF36" s="56">
        <v>3447186.8872515522</v>
      </c>
      <c r="FG36" s="56">
        <v>3447186.8872515522</v>
      </c>
      <c r="FH36" s="56">
        <v>3447186.8872515522</v>
      </c>
      <c r="FI36" s="56">
        <v>3447186.8872515522</v>
      </c>
      <c r="FJ36" s="56">
        <v>3447186.8872515522</v>
      </c>
      <c r="FK36" s="56">
        <v>3447186.8872515522</v>
      </c>
      <c r="FL36" s="56">
        <v>3447186.8872515522</v>
      </c>
      <c r="FM36" s="56">
        <v>3447186.8872515522</v>
      </c>
      <c r="FN36" s="56">
        <v>3534437.8072299231</v>
      </c>
      <c r="FO36" s="56">
        <v>3534437.8072299231</v>
      </c>
      <c r="FP36" s="56">
        <v>3534437.8072299231</v>
      </c>
      <c r="FQ36" s="56">
        <v>3534437.8072299231</v>
      </c>
      <c r="FR36" s="56">
        <v>3534437.8072299231</v>
      </c>
      <c r="FS36" s="56">
        <v>3534437.8072299231</v>
      </c>
      <c r="FT36" s="56">
        <v>3534437.8072299231</v>
      </c>
      <c r="FU36" s="56">
        <v>3534437.8072299231</v>
      </c>
      <c r="FV36" s="56">
        <v>3534437.8072299231</v>
      </c>
      <c r="FW36" s="56">
        <v>3534437.8072299231</v>
      </c>
      <c r="FX36" s="56">
        <v>3534437.8072299231</v>
      </c>
      <c r="FY36" s="56">
        <v>3534437.8072299231</v>
      </c>
      <c r="FZ36" s="56">
        <v>0</v>
      </c>
      <c r="GA36" s="56">
        <v>0</v>
      </c>
      <c r="GB36" s="56">
        <v>0</v>
      </c>
      <c r="GC36" s="56">
        <v>0</v>
      </c>
      <c r="GD36" s="56">
        <v>0</v>
      </c>
      <c r="GE36" s="56">
        <v>0</v>
      </c>
      <c r="GF36" s="56">
        <v>0</v>
      </c>
      <c r="GG36" s="56">
        <v>0</v>
      </c>
      <c r="GH36" s="56">
        <v>0</v>
      </c>
      <c r="GI36" s="56">
        <v>0</v>
      </c>
      <c r="GJ36" s="56">
        <v>0</v>
      </c>
      <c r="GK36" s="85">
        <v>0</v>
      </c>
      <c r="GL36" s="40"/>
    </row>
    <row r="37" spans="1:194" x14ac:dyDescent="0.4">
      <c r="A37" s="84" t="s">
        <v>310</v>
      </c>
      <c r="B37" s="70" t="s">
        <v>316</v>
      </c>
      <c r="C37" s="70" t="s">
        <v>397</v>
      </c>
      <c r="D37" s="70" t="s">
        <v>209</v>
      </c>
      <c r="E37" s="70" t="s">
        <v>193</v>
      </c>
      <c r="F37" s="70" t="s">
        <v>250</v>
      </c>
      <c r="G37" s="70" t="s">
        <v>294</v>
      </c>
      <c r="H37" s="70">
        <v>0</v>
      </c>
      <c r="I37" s="70">
        <v>0</v>
      </c>
      <c r="J37" s="70" t="s">
        <v>210</v>
      </c>
      <c r="K37" s="70">
        <v>0</v>
      </c>
      <c r="L37" s="70" t="s">
        <v>211</v>
      </c>
      <c r="M37" s="71">
        <f>IFERROR(INDEX('(참조)BL_인건비'!$S$3:$AG$40,MATCH(BL_인건비!$A37,'(참조)BL_인건비'!$S$3:$S$40,0),MATCH('(참조)BL_인건비'!X$2,'(참조)BL_인건비'!$S$2:$AG$2,0)),0)</f>
        <v>1.5</v>
      </c>
      <c r="N37" s="71">
        <f>IFERROR(INDEX('(참조)BL_인건비'!$S$3:$AG$40,MATCH(BL_인건비!$A37,'(참조)BL_인건비'!$S$3:$S$40,0),MATCH('(참조)BL_인건비'!Y$2,'(참조)BL_인건비'!$S$2:$AG$2,0)),0)</f>
        <v>2</v>
      </c>
      <c r="O37" s="71">
        <f>IFERROR(INDEX('(참조)BL_인건비'!$S$3:$AG$40,MATCH(BL_인건비!$A37,'(참조)BL_인건비'!$S$3:$S$40,0),MATCH('(참조)BL_인건비'!Z$2,'(참조)BL_인건비'!$S$2:$AG$2,0)),0)</f>
        <v>2</v>
      </c>
      <c r="P37" s="71">
        <f>IFERROR(INDEX('(참조)BL_인건비'!$S$3:$AG$40,MATCH(BL_인건비!$A37,'(참조)BL_인건비'!$S$3:$S$40,0),MATCH('(참조)BL_인건비'!AA$2,'(참조)BL_인건비'!$S$2:$AG$2,0)),0)</f>
        <v>2</v>
      </c>
      <c r="Q37" s="71">
        <f>IFERROR(INDEX('(참조)BL_인건비'!$S$3:$AG$40,MATCH(BL_인건비!$A37,'(참조)BL_인건비'!$S$3:$S$40,0),MATCH('(참조)BL_인건비'!AB$2,'(참조)BL_인건비'!$S$2:$AG$2,0)),0)</f>
        <v>2</v>
      </c>
      <c r="R37" s="71">
        <f>IFERROR(INDEX('(참조)BL_인건비'!$S$3:$AG$40,MATCH(BL_인건비!$A37,'(참조)BL_인건비'!$S$3:$S$40,0),MATCH('(참조)BL_인건비'!AC$2,'(참조)BL_인건비'!$S$2:$AG$2,0)),0)</f>
        <v>2</v>
      </c>
      <c r="S37" s="71">
        <f>IFERROR(INDEX('(참조)BL_인건비'!$S$3:$AG$40,MATCH(BL_인건비!$A37,'(참조)BL_인건비'!$S$3:$S$40,0),MATCH('(참조)BL_인건비'!AD$2,'(참조)BL_인건비'!$S$2:$AG$2,0)),0)</f>
        <v>2</v>
      </c>
      <c r="T37" s="71">
        <f>IFERROR(INDEX('(참조)BL_인건비'!$S$3:$AG$40,MATCH(BL_인건비!$A37,'(참조)BL_인건비'!$S$3:$S$40,0),MATCH('(참조)BL_인건비'!AE$2,'(참조)BL_인건비'!$S$2:$AG$2,0)),0)</f>
        <v>2</v>
      </c>
      <c r="U37" s="71">
        <f>IFERROR(INDEX('(참조)BL_인건비'!$S$3:$AG$40,MATCH(BL_인건비!$A37,'(참조)BL_인건비'!$S$3:$S$40,0),MATCH('(참조)BL_인건비'!AF$2,'(참조)BL_인건비'!$S$2:$AG$2,0)),0)</f>
        <v>2</v>
      </c>
      <c r="V37" s="71">
        <f>IFERROR(INDEX('(참조)BL_인건비'!$S$3:$AG$40,MATCH(BL_인건비!$A37,'(참조)BL_인건비'!$S$3:$S$40,0),MATCH('(참조)BL_인건비'!AG$2,'(참조)BL_인건비'!$S$2:$AG$2,0)),0)</f>
        <v>2</v>
      </c>
      <c r="W37" s="71">
        <f>IFERROR(INDEX('(참조)BL_인건비'!$S$3:$AG$40,MATCH(BL_인건비!$A37,'(참조)BL_인건비'!$S$3:$S$40,0),MATCH('(참조)BL_인건비'!AH$2,'(참조)BL_인건비'!$S$2:$AG$2,0)),0)</f>
        <v>0</v>
      </c>
      <c r="X37" s="71">
        <v>0</v>
      </c>
      <c r="Y37" s="72">
        <f>IFERROR(INDEX('(참조)BL_인건비'!$A$3:$O$40,MATCH(BL_인건비!$A37,'(참조)BL_인건비'!$A$3:$A$40,0),MATCH('(참조)BL_인건비'!F$2,'(참조)BL_인건비'!$A$2:$O$2,0)),0)</f>
        <v>2822413.9414824001</v>
      </c>
      <c r="Z37" s="72">
        <f>IFERROR(INDEX('(참조)BL_인건비'!$A$3:$O$40,MATCH(BL_인건비!$A37,'(참조)BL_인건비'!$A$3:$A$40,0),MATCH('(참조)BL_인건비'!G$2,'(참조)BL_인건비'!$A$2:$O$2,0)),0)</f>
        <v>2893851.3833759152</v>
      </c>
      <c r="AA37" s="72">
        <f>IFERROR(INDEX('(참조)BL_인건비'!$A$3:$O$40,MATCH(BL_인건비!$A37,'(참조)BL_인건비'!$A$3:$A$40,0),MATCH('(참조)BL_인건비'!H$2,'(참조)BL_인건비'!$A$2:$O$2,0)),0)</f>
        <v>2967096.9612162109</v>
      </c>
      <c r="AB37" s="72">
        <f>IFERROR(INDEX('(참조)BL_인건비'!$A$3:$O$40,MATCH(BL_인건비!$A37,'(참조)BL_인건비'!$A$3:$A$40,0),MATCH('(참조)BL_인건비'!I$2,'(참조)BL_인건비'!$A$2:$O$2,0)),0)</f>
        <v>3042196.4402982835</v>
      </c>
      <c r="AC37" s="72">
        <f>IFERROR(INDEX('(참조)BL_인건비'!$A$3:$O$40,MATCH(BL_인건비!$A37,'(참조)BL_인건비'!$A$3:$A$40,0),MATCH('(참조)BL_인건비'!J$2,'(참조)BL_인건비'!$A$2:$O$2,0)),0)</f>
        <v>3119196.7442715275</v>
      </c>
      <c r="AD37" s="72">
        <f>IFERROR(INDEX('(참조)BL_인건비'!$A$3:$O$40,MATCH(BL_인건비!$A37,'(참조)BL_인건비'!$A$3:$A$40,0),MATCH('(참조)BL_인건비'!K$2,'(참조)BL_인건비'!$A$2:$O$2,0)),0)</f>
        <v>3198145.9844585657</v>
      </c>
      <c r="AE37" s="72">
        <f>IFERROR(INDEX('(참조)BL_인건비'!$A$3:$O$40,MATCH(BL_인건비!$A37,'(참조)BL_인건비'!$A$3:$A$40,0),MATCH('(참조)BL_인건비'!L$2,'(참조)BL_인건비'!$A$2:$O$2,0)),0)</f>
        <v>3279093.4899161602</v>
      </c>
      <c r="AF37" s="72">
        <f>IFERROR(INDEX('(참조)BL_인건비'!$A$3:$O$40,MATCH(BL_인건비!$A37,'(참조)BL_인건비'!$A$3:$A$40,0),MATCH('(참조)BL_인건비'!M$2,'(참조)BL_인건비'!$A$2:$O$2,0)),0)</f>
        <v>3362089.8382569905</v>
      </c>
      <c r="AG37" s="72">
        <f>IFERROR(INDEX('(참조)BL_인건비'!$A$3:$O$40,MATCH(BL_인건비!$A37,'(참조)BL_인건비'!$A$3:$A$40,0),MATCH('(참조)BL_인건비'!N$2,'(참조)BL_인건비'!$A$2:$O$2,0)),0)</f>
        <v>3447186.8872515522</v>
      </c>
      <c r="AH37" s="72">
        <f>IFERROR(INDEX('(참조)BL_인건비'!$A$3:$O$40,MATCH(BL_인건비!$A37,'(참조)BL_인건비'!$A$3:$A$40,0),MATCH('(참조)BL_인건비'!O$2,'(참조)BL_인건비'!$A$2:$O$2,0)),0)</f>
        <v>3534437.8072299231</v>
      </c>
      <c r="AI37" s="72">
        <f>IFERROR(INDEX('(참조)BL_인건비'!$A$3:$O$40,MATCH(BL_인건비!$A37,'(참조)BL_인건비'!$A$3:$A$40,0),MATCH('(참조)BL_인건비'!P$2,'(참조)BL_인건비'!$A$2:$O$2,0)),0)</f>
        <v>0</v>
      </c>
      <c r="AJ37" s="72">
        <v>12</v>
      </c>
      <c r="AK37" s="72">
        <v>12</v>
      </c>
      <c r="AL37" s="72">
        <v>12</v>
      </c>
      <c r="AM37" s="72">
        <v>12</v>
      </c>
      <c r="AN37" s="72">
        <v>12</v>
      </c>
      <c r="AO37" s="72">
        <v>12</v>
      </c>
      <c r="AP37" s="72">
        <v>12</v>
      </c>
      <c r="AQ37" s="72">
        <v>12</v>
      </c>
      <c r="AR37" s="72">
        <v>12</v>
      </c>
      <c r="AS37" s="72">
        <v>12</v>
      </c>
      <c r="AT37" s="72">
        <v>12</v>
      </c>
      <c r="AU37" s="73">
        <v>1</v>
      </c>
      <c r="AV37" s="70">
        <v>0</v>
      </c>
      <c r="AW37" s="70">
        <v>0</v>
      </c>
      <c r="AX37" s="56">
        <v>743042543.81728625</v>
      </c>
      <c r="AY37" s="56">
        <v>50803450.946683198</v>
      </c>
      <c r="AZ37" s="56">
        <v>69452433.201021984</v>
      </c>
      <c r="BA37" s="56">
        <v>71210327.069189057</v>
      </c>
      <c r="BB37" s="56">
        <v>73012714.567158788</v>
      </c>
      <c r="BC37" s="56">
        <v>74860721.862516657</v>
      </c>
      <c r="BD37" s="56">
        <v>76755503.627005577</v>
      </c>
      <c r="BE37" s="56">
        <v>78698243.757987842</v>
      </c>
      <c r="BF37" s="56">
        <v>80690156.118167803</v>
      </c>
      <c r="BG37" s="56">
        <v>82732485.294037253</v>
      </c>
      <c r="BH37" s="56">
        <v>84826507.373518124</v>
      </c>
      <c r="BI37" s="56">
        <v>0</v>
      </c>
      <c r="BJ37" s="74">
        <v>4233620.9122235999</v>
      </c>
      <c r="BK37" s="56">
        <v>4233620.9122235999</v>
      </c>
      <c r="BL37" s="56">
        <v>4233620.9122235999</v>
      </c>
      <c r="BM37" s="56">
        <v>4233620.9122235999</v>
      </c>
      <c r="BN37" s="56">
        <v>4233620.9122235999</v>
      </c>
      <c r="BO37" s="56">
        <v>4233620.9122235999</v>
      </c>
      <c r="BP37" s="56">
        <v>4233620.9122235999</v>
      </c>
      <c r="BQ37" s="56">
        <v>4233620.9122235999</v>
      </c>
      <c r="BR37" s="56">
        <v>4233620.9122235999</v>
      </c>
      <c r="BS37" s="56">
        <v>4233620.9122235999</v>
      </c>
      <c r="BT37" s="56">
        <v>4233620.9122235999</v>
      </c>
      <c r="BU37" s="56">
        <v>4233620.9122235999</v>
      </c>
      <c r="BV37" s="56">
        <v>5787702.7667518305</v>
      </c>
      <c r="BW37" s="56">
        <v>5787702.7667518305</v>
      </c>
      <c r="BX37" s="56">
        <v>5787702.7667518305</v>
      </c>
      <c r="BY37" s="56">
        <v>5787702.7667518305</v>
      </c>
      <c r="BZ37" s="56">
        <v>5787702.7667518305</v>
      </c>
      <c r="CA37" s="56">
        <v>5787702.7667518305</v>
      </c>
      <c r="CB37" s="56">
        <v>5787702.7667518305</v>
      </c>
      <c r="CC37" s="56">
        <v>5787702.7667518305</v>
      </c>
      <c r="CD37" s="56">
        <v>5787702.7667518305</v>
      </c>
      <c r="CE37" s="56">
        <v>5787702.7667518305</v>
      </c>
      <c r="CF37" s="56">
        <v>5787702.7667518305</v>
      </c>
      <c r="CG37" s="56">
        <v>5787702.7667518305</v>
      </c>
      <c r="CH37" s="56">
        <v>5934193.9224324217</v>
      </c>
      <c r="CI37" s="56">
        <v>5934193.9224324217</v>
      </c>
      <c r="CJ37" s="56">
        <v>5934193.9224324217</v>
      </c>
      <c r="CK37" s="56">
        <v>5934193.9224324217</v>
      </c>
      <c r="CL37" s="56">
        <v>5934193.9224324217</v>
      </c>
      <c r="CM37" s="56">
        <v>5934193.9224324217</v>
      </c>
      <c r="CN37" s="56">
        <v>5934193.9224324217</v>
      </c>
      <c r="CO37" s="56">
        <v>5934193.9224324217</v>
      </c>
      <c r="CP37" s="56">
        <v>5934193.9224324217</v>
      </c>
      <c r="CQ37" s="56">
        <v>5934193.9224324217</v>
      </c>
      <c r="CR37" s="56">
        <v>5934193.9224324217</v>
      </c>
      <c r="CS37" s="56">
        <v>5934193.9224324217</v>
      </c>
      <c r="CT37" s="56">
        <v>6084392.8805965669</v>
      </c>
      <c r="CU37" s="56">
        <v>6084392.8805965669</v>
      </c>
      <c r="CV37" s="56">
        <v>6084392.8805965669</v>
      </c>
      <c r="CW37" s="56">
        <v>6084392.8805965669</v>
      </c>
      <c r="CX37" s="56">
        <v>6084392.8805965669</v>
      </c>
      <c r="CY37" s="56">
        <v>6084392.8805965669</v>
      </c>
      <c r="CZ37" s="56">
        <v>6084392.8805965669</v>
      </c>
      <c r="DA37" s="56">
        <v>6084392.8805965669</v>
      </c>
      <c r="DB37" s="56">
        <v>6084392.8805965669</v>
      </c>
      <c r="DC37" s="56">
        <v>6084392.8805965669</v>
      </c>
      <c r="DD37" s="56">
        <v>6084392.8805965669</v>
      </c>
      <c r="DE37" s="56">
        <v>6084392.8805965669</v>
      </c>
      <c r="DF37" s="56">
        <v>6238393.488543055</v>
      </c>
      <c r="DG37" s="56">
        <v>6238393.488543055</v>
      </c>
      <c r="DH37" s="56">
        <v>6238393.488543055</v>
      </c>
      <c r="DI37" s="56">
        <v>6238393.488543055</v>
      </c>
      <c r="DJ37" s="56">
        <v>6238393.488543055</v>
      </c>
      <c r="DK37" s="56">
        <v>6238393.488543055</v>
      </c>
      <c r="DL37" s="56">
        <v>6238393.488543055</v>
      </c>
      <c r="DM37" s="56">
        <v>6238393.488543055</v>
      </c>
      <c r="DN37" s="56">
        <v>6238393.488543055</v>
      </c>
      <c r="DO37" s="56">
        <v>6238393.488543055</v>
      </c>
      <c r="DP37" s="56">
        <v>6238393.488543055</v>
      </c>
      <c r="DQ37" s="56">
        <v>6238393.488543055</v>
      </c>
      <c r="DR37" s="56">
        <v>6396291.9689171314</v>
      </c>
      <c r="DS37" s="56">
        <v>6396291.9689171314</v>
      </c>
      <c r="DT37" s="56">
        <v>6396291.9689171314</v>
      </c>
      <c r="DU37" s="56">
        <v>6396291.9689171314</v>
      </c>
      <c r="DV37" s="56">
        <v>6396291.9689171314</v>
      </c>
      <c r="DW37" s="56">
        <v>6396291.9689171314</v>
      </c>
      <c r="DX37" s="56">
        <v>6396291.9689171314</v>
      </c>
      <c r="DY37" s="56">
        <v>6396291.9689171314</v>
      </c>
      <c r="DZ37" s="56">
        <v>6396291.9689171314</v>
      </c>
      <c r="EA37" s="56">
        <v>6396291.9689171314</v>
      </c>
      <c r="EB37" s="56">
        <v>6396291.9689171314</v>
      </c>
      <c r="EC37" s="56">
        <v>6396291.9689171314</v>
      </c>
      <c r="ED37" s="56">
        <v>6558186.9798323205</v>
      </c>
      <c r="EE37" s="56">
        <v>6558186.9798323205</v>
      </c>
      <c r="EF37" s="56">
        <v>6558186.9798323205</v>
      </c>
      <c r="EG37" s="56">
        <v>6558186.9798323205</v>
      </c>
      <c r="EH37" s="56">
        <v>6558186.9798323205</v>
      </c>
      <c r="EI37" s="56">
        <v>6558186.9798323205</v>
      </c>
      <c r="EJ37" s="56">
        <v>6558186.9798323205</v>
      </c>
      <c r="EK37" s="56">
        <v>6558186.9798323205</v>
      </c>
      <c r="EL37" s="56">
        <v>6558186.9798323205</v>
      </c>
      <c r="EM37" s="56">
        <v>6558186.9798323205</v>
      </c>
      <c r="EN37" s="56">
        <v>6558186.9798323205</v>
      </c>
      <c r="EO37" s="56">
        <v>6558186.9798323205</v>
      </c>
      <c r="EP37" s="56">
        <v>6724179.6765139811</v>
      </c>
      <c r="EQ37" s="56">
        <v>6724179.6765139811</v>
      </c>
      <c r="ER37" s="56">
        <v>6724179.6765139811</v>
      </c>
      <c r="ES37" s="56">
        <v>6724179.6765139811</v>
      </c>
      <c r="ET37" s="56">
        <v>6724179.6765139811</v>
      </c>
      <c r="EU37" s="56">
        <v>6724179.6765139811</v>
      </c>
      <c r="EV37" s="56">
        <v>6724179.6765139811</v>
      </c>
      <c r="EW37" s="56">
        <v>6724179.6765139811</v>
      </c>
      <c r="EX37" s="56">
        <v>6724179.6765139811</v>
      </c>
      <c r="EY37" s="56">
        <v>6724179.6765139811</v>
      </c>
      <c r="EZ37" s="56">
        <v>6724179.6765139811</v>
      </c>
      <c r="FA37" s="56">
        <v>6724179.6765139811</v>
      </c>
      <c r="FB37" s="56">
        <v>6894373.7745031044</v>
      </c>
      <c r="FC37" s="56">
        <v>6894373.7745031044</v>
      </c>
      <c r="FD37" s="56">
        <v>6894373.7745031044</v>
      </c>
      <c r="FE37" s="56">
        <v>6894373.7745031044</v>
      </c>
      <c r="FF37" s="56">
        <v>6894373.7745031044</v>
      </c>
      <c r="FG37" s="56">
        <v>6894373.7745031044</v>
      </c>
      <c r="FH37" s="56">
        <v>6894373.7745031044</v>
      </c>
      <c r="FI37" s="56">
        <v>6894373.7745031044</v>
      </c>
      <c r="FJ37" s="56">
        <v>6894373.7745031044</v>
      </c>
      <c r="FK37" s="56">
        <v>6894373.7745031044</v>
      </c>
      <c r="FL37" s="56">
        <v>6894373.7745031044</v>
      </c>
      <c r="FM37" s="56">
        <v>6894373.7745031044</v>
      </c>
      <c r="FN37" s="56">
        <v>7068875.6144598462</v>
      </c>
      <c r="FO37" s="56">
        <v>7068875.6144598462</v>
      </c>
      <c r="FP37" s="56">
        <v>7068875.6144598462</v>
      </c>
      <c r="FQ37" s="56">
        <v>7068875.6144598462</v>
      </c>
      <c r="FR37" s="56">
        <v>7068875.6144598462</v>
      </c>
      <c r="FS37" s="56">
        <v>7068875.6144598462</v>
      </c>
      <c r="FT37" s="56">
        <v>7068875.6144598462</v>
      </c>
      <c r="FU37" s="56">
        <v>7068875.6144598462</v>
      </c>
      <c r="FV37" s="56">
        <v>7068875.6144598462</v>
      </c>
      <c r="FW37" s="56">
        <v>7068875.6144598462</v>
      </c>
      <c r="FX37" s="56">
        <v>7068875.6144598462</v>
      </c>
      <c r="FY37" s="56">
        <v>7068875.6144598462</v>
      </c>
      <c r="FZ37" s="56">
        <v>0</v>
      </c>
      <c r="GA37" s="56">
        <v>0</v>
      </c>
      <c r="GB37" s="56">
        <v>0</v>
      </c>
      <c r="GC37" s="56">
        <v>0</v>
      </c>
      <c r="GD37" s="56">
        <v>0</v>
      </c>
      <c r="GE37" s="56">
        <v>0</v>
      </c>
      <c r="GF37" s="56">
        <v>0</v>
      </c>
      <c r="GG37" s="56">
        <v>0</v>
      </c>
      <c r="GH37" s="56">
        <v>0</v>
      </c>
      <c r="GI37" s="56">
        <v>0</v>
      </c>
      <c r="GJ37" s="56">
        <v>0</v>
      </c>
      <c r="GK37" s="85">
        <v>0</v>
      </c>
      <c r="GL37" s="40"/>
    </row>
    <row r="38" spans="1:194" x14ac:dyDescent="0.4">
      <c r="A38" s="84" t="s">
        <v>311</v>
      </c>
      <c r="B38" s="70" t="s">
        <v>316</v>
      </c>
      <c r="C38" s="70" t="s">
        <v>397</v>
      </c>
      <c r="D38" s="70" t="s">
        <v>209</v>
      </c>
      <c r="E38" s="70" t="s">
        <v>193</v>
      </c>
      <c r="F38" s="70" t="s">
        <v>252</v>
      </c>
      <c r="G38" s="70" t="s">
        <v>295</v>
      </c>
      <c r="H38" s="70">
        <v>0</v>
      </c>
      <c r="I38" s="70">
        <v>0</v>
      </c>
      <c r="J38" s="70" t="s">
        <v>210</v>
      </c>
      <c r="K38" s="70">
        <v>0</v>
      </c>
      <c r="L38" s="70" t="s">
        <v>211</v>
      </c>
      <c r="M38" s="71">
        <f>IFERROR(INDEX('(참조)BL_인건비'!$S$3:$AG$40,MATCH(BL_인건비!$A38,'(참조)BL_인건비'!$S$3:$S$40,0),MATCH('(참조)BL_인건비'!X$2,'(참조)BL_인건비'!$S$2:$AG$2,0)),0)</f>
        <v>2.25</v>
      </c>
      <c r="N38" s="71">
        <f>IFERROR(INDEX('(참조)BL_인건비'!$S$3:$AG$40,MATCH(BL_인건비!$A38,'(참조)BL_인건비'!$S$3:$S$40,0),MATCH('(참조)BL_인건비'!Y$2,'(참조)BL_인건비'!$S$2:$AG$2,0)),0)</f>
        <v>3</v>
      </c>
      <c r="O38" s="71">
        <f>IFERROR(INDEX('(참조)BL_인건비'!$S$3:$AG$40,MATCH(BL_인건비!$A38,'(참조)BL_인건비'!$S$3:$S$40,0),MATCH('(참조)BL_인건비'!Z$2,'(참조)BL_인건비'!$S$2:$AG$2,0)),0)</f>
        <v>3</v>
      </c>
      <c r="P38" s="71">
        <f>IFERROR(INDEX('(참조)BL_인건비'!$S$3:$AG$40,MATCH(BL_인건비!$A38,'(참조)BL_인건비'!$S$3:$S$40,0),MATCH('(참조)BL_인건비'!AA$2,'(참조)BL_인건비'!$S$2:$AG$2,0)),0)</f>
        <v>3</v>
      </c>
      <c r="Q38" s="71">
        <f>IFERROR(INDEX('(참조)BL_인건비'!$S$3:$AG$40,MATCH(BL_인건비!$A38,'(참조)BL_인건비'!$S$3:$S$40,0),MATCH('(참조)BL_인건비'!AB$2,'(참조)BL_인건비'!$S$2:$AG$2,0)),0)</f>
        <v>3</v>
      </c>
      <c r="R38" s="71">
        <f>IFERROR(INDEX('(참조)BL_인건비'!$S$3:$AG$40,MATCH(BL_인건비!$A38,'(참조)BL_인건비'!$S$3:$S$40,0),MATCH('(참조)BL_인건비'!AC$2,'(참조)BL_인건비'!$S$2:$AG$2,0)),0)</f>
        <v>3</v>
      </c>
      <c r="S38" s="71">
        <f>IFERROR(INDEX('(참조)BL_인건비'!$S$3:$AG$40,MATCH(BL_인건비!$A38,'(참조)BL_인건비'!$S$3:$S$40,0),MATCH('(참조)BL_인건비'!AD$2,'(참조)BL_인건비'!$S$2:$AG$2,0)),0)</f>
        <v>3</v>
      </c>
      <c r="T38" s="71">
        <f>IFERROR(INDEX('(참조)BL_인건비'!$S$3:$AG$40,MATCH(BL_인건비!$A38,'(참조)BL_인건비'!$S$3:$S$40,0),MATCH('(참조)BL_인건비'!AE$2,'(참조)BL_인건비'!$S$2:$AG$2,0)),0)</f>
        <v>3</v>
      </c>
      <c r="U38" s="71">
        <f>IFERROR(INDEX('(참조)BL_인건비'!$S$3:$AG$40,MATCH(BL_인건비!$A38,'(참조)BL_인건비'!$S$3:$S$40,0),MATCH('(참조)BL_인건비'!AF$2,'(참조)BL_인건비'!$S$2:$AG$2,0)),0)</f>
        <v>3</v>
      </c>
      <c r="V38" s="71">
        <f>IFERROR(INDEX('(참조)BL_인건비'!$S$3:$AG$40,MATCH(BL_인건비!$A38,'(참조)BL_인건비'!$S$3:$S$40,0),MATCH('(참조)BL_인건비'!AG$2,'(참조)BL_인건비'!$S$2:$AG$2,0)),0)</f>
        <v>3</v>
      </c>
      <c r="W38" s="71">
        <f>IFERROR(INDEX('(참조)BL_인건비'!$S$3:$AG$40,MATCH(BL_인건비!$A38,'(참조)BL_인건비'!$S$3:$S$40,0),MATCH('(참조)BL_인건비'!AH$2,'(참조)BL_인건비'!$S$2:$AG$2,0)),0)</f>
        <v>0</v>
      </c>
      <c r="X38" s="71">
        <v>0</v>
      </c>
      <c r="Y38" s="72">
        <f>IFERROR(INDEX('(참조)BL_인건비'!$A$3:$O$40,MATCH(BL_인건비!$A38,'(참조)BL_인건비'!$A$3:$A$40,0),MATCH('(참조)BL_인건비'!F$2,'(참조)BL_인건비'!$A$2:$O$2,0)),0)</f>
        <v>2810805.3730576797</v>
      </c>
      <c r="Z38" s="72">
        <f>IFERROR(INDEX('(참조)BL_인건비'!$A$3:$O$40,MATCH(BL_인건비!$A38,'(참조)BL_인건비'!$A$3:$A$40,0),MATCH('(참조)BL_인건비'!G$2,'(참조)BL_인건비'!$A$2:$O$2,0)),0)</f>
        <v>2881948.9932618532</v>
      </c>
      <c r="AA38" s="72">
        <f>IFERROR(INDEX('(참조)BL_인건비'!$A$3:$O$40,MATCH(BL_인건비!$A38,'(참조)BL_인건비'!$A$3:$A$40,0),MATCH('(참조)BL_인건비'!H$2,'(참조)BL_인건비'!$A$2:$O$2,0)),0)</f>
        <v>2954893.3125625458</v>
      </c>
      <c r="AB38" s="72">
        <f>IFERROR(INDEX('(참조)BL_인건비'!$A$3:$O$40,MATCH(BL_인건비!$A38,'(참조)BL_인건비'!$A$3:$A$40,0),MATCH('(참조)BL_인건비'!I$2,'(참조)BL_인건비'!$A$2:$O$2,0)),0)</f>
        <v>3029683.9080224214</v>
      </c>
      <c r="AC38" s="72">
        <f>IFERROR(INDEX('(참조)BL_인건비'!$A$3:$O$40,MATCH(BL_인건비!$A38,'(참조)BL_인건비'!$A$3:$A$40,0),MATCH('(참조)BL_인건비'!J$2,'(참조)BL_인건비'!$A$2:$O$2,0)),0)</f>
        <v>3106367.510294239</v>
      </c>
      <c r="AD38" s="72">
        <f>IFERROR(INDEX('(참조)BL_인건비'!$A$3:$O$40,MATCH(BL_인건비!$A38,'(참조)BL_인건비'!$A$3:$A$40,0),MATCH('(참조)BL_인건비'!K$2,'(참조)BL_인건비'!$A$2:$O$2,0)),0)</f>
        <v>3184992.0328190941</v>
      </c>
      <c r="AE38" s="72">
        <f>IFERROR(INDEX('(참조)BL_인건비'!$A$3:$O$40,MATCH(BL_인건비!$A38,'(참조)BL_인건비'!$A$3:$A$40,0),MATCH('(참조)BL_인건비'!L$2,'(참조)BL_인건비'!$A$2:$O$2,0)),0)</f>
        <v>3265606.6017636904</v>
      </c>
      <c r="AF38" s="72">
        <f>IFERROR(INDEX('(참조)BL_인건비'!$A$3:$O$40,MATCH(BL_인건비!$A38,'(참조)BL_인건비'!$A$3:$A$40,0),MATCH('(참조)BL_인건비'!M$2,'(참조)BL_인건비'!$A$2:$O$2,0)),0)</f>
        <v>3348261.5867153467</v>
      </c>
      <c r="AG38" s="72">
        <f>IFERROR(INDEX('(참조)BL_인건비'!$A$3:$O$40,MATCH(BL_인건비!$A38,'(참조)BL_인건비'!$A$3:$A$40,0),MATCH('(참조)BL_인건비'!N$2,'(참조)BL_인건비'!$A$2:$O$2,0)),0)</f>
        <v>3433008.632153918</v>
      </c>
      <c r="AH38" s="72">
        <f>IFERROR(INDEX('(참조)BL_인건비'!$A$3:$O$40,MATCH(BL_인건비!$A38,'(참조)BL_인건비'!$A$3:$A$40,0),MATCH('(참조)BL_인건비'!O$2,'(참조)BL_인건비'!$A$2:$O$2,0)),0)</f>
        <v>3519900.689720294</v>
      </c>
      <c r="AI38" s="72">
        <f>IFERROR(INDEX('(참조)BL_인건비'!$A$3:$O$40,MATCH(BL_인건비!$A38,'(참조)BL_인건비'!$A$3:$A$40,0),MATCH('(참조)BL_인건비'!P$2,'(참조)BL_인건비'!$A$2:$O$2,0)),0)</f>
        <v>0</v>
      </c>
      <c r="AJ38" s="72">
        <v>12</v>
      </c>
      <c r="AK38" s="72">
        <v>12</v>
      </c>
      <c r="AL38" s="72">
        <v>12</v>
      </c>
      <c r="AM38" s="72">
        <v>12</v>
      </c>
      <c r="AN38" s="72">
        <v>12</v>
      </c>
      <c r="AO38" s="72">
        <v>12</v>
      </c>
      <c r="AP38" s="72">
        <v>12</v>
      </c>
      <c r="AQ38" s="72">
        <v>12</v>
      </c>
      <c r="AR38" s="72">
        <v>12</v>
      </c>
      <c r="AS38" s="72">
        <v>12</v>
      </c>
      <c r="AT38" s="72">
        <v>12</v>
      </c>
      <c r="AU38" s="73">
        <v>1</v>
      </c>
      <c r="AV38" s="70">
        <v>0</v>
      </c>
      <c r="AW38" s="70">
        <v>0</v>
      </c>
      <c r="AX38" s="56">
        <v>1109979622.6958399</v>
      </c>
      <c r="AY38" s="56">
        <v>75891745.072557345</v>
      </c>
      <c r="AZ38" s="56">
        <v>103750163.75742672</v>
      </c>
      <c r="BA38" s="56">
        <v>106376159.25225164</v>
      </c>
      <c r="BB38" s="56">
        <v>109068620.68880719</v>
      </c>
      <c r="BC38" s="56">
        <v>111829230.37059259</v>
      </c>
      <c r="BD38" s="56">
        <v>114659713.18148737</v>
      </c>
      <c r="BE38" s="56">
        <v>117561837.66349286</v>
      </c>
      <c r="BF38" s="56">
        <v>120537417.12175246</v>
      </c>
      <c r="BG38" s="56">
        <v>123588310.75754106</v>
      </c>
      <c r="BH38" s="56">
        <v>126716424.82993056</v>
      </c>
      <c r="BI38" s="56">
        <v>0</v>
      </c>
      <c r="BJ38" s="74">
        <v>6324312.0893797791</v>
      </c>
      <c r="BK38" s="56">
        <v>6324312.0893797791</v>
      </c>
      <c r="BL38" s="56">
        <v>6324312.0893797791</v>
      </c>
      <c r="BM38" s="56">
        <v>6324312.0893797791</v>
      </c>
      <c r="BN38" s="56">
        <v>6324312.0893797791</v>
      </c>
      <c r="BO38" s="56">
        <v>6324312.0893797791</v>
      </c>
      <c r="BP38" s="56">
        <v>6324312.0893797791</v>
      </c>
      <c r="BQ38" s="56">
        <v>6324312.0893797791</v>
      </c>
      <c r="BR38" s="56">
        <v>6324312.0893797791</v>
      </c>
      <c r="BS38" s="56">
        <v>6324312.0893797791</v>
      </c>
      <c r="BT38" s="56">
        <v>6324312.0893797791</v>
      </c>
      <c r="BU38" s="56">
        <v>6324312.0893797791</v>
      </c>
      <c r="BV38" s="56">
        <v>8645846.9797855597</v>
      </c>
      <c r="BW38" s="56">
        <v>8645846.9797855597</v>
      </c>
      <c r="BX38" s="56">
        <v>8645846.9797855597</v>
      </c>
      <c r="BY38" s="56">
        <v>8645846.9797855597</v>
      </c>
      <c r="BZ38" s="56">
        <v>8645846.9797855597</v>
      </c>
      <c r="CA38" s="56">
        <v>8645846.9797855597</v>
      </c>
      <c r="CB38" s="56">
        <v>8645846.9797855597</v>
      </c>
      <c r="CC38" s="56">
        <v>8645846.9797855597</v>
      </c>
      <c r="CD38" s="56">
        <v>8645846.9797855597</v>
      </c>
      <c r="CE38" s="56">
        <v>8645846.9797855597</v>
      </c>
      <c r="CF38" s="56">
        <v>8645846.9797855597</v>
      </c>
      <c r="CG38" s="56">
        <v>8645846.9797855597</v>
      </c>
      <c r="CH38" s="56">
        <v>8864679.9376876373</v>
      </c>
      <c r="CI38" s="56">
        <v>8864679.9376876373</v>
      </c>
      <c r="CJ38" s="56">
        <v>8864679.9376876373</v>
      </c>
      <c r="CK38" s="56">
        <v>8864679.9376876373</v>
      </c>
      <c r="CL38" s="56">
        <v>8864679.9376876373</v>
      </c>
      <c r="CM38" s="56">
        <v>8864679.9376876373</v>
      </c>
      <c r="CN38" s="56">
        <v>8864679.9376876373</v>
      </c>
      <c r="CO38" s="56">
        <v>8864679.9376876373</v>
      </c>
      <c r="CP38" s="56">
        <v>8864679.9376876373</v>
      </c>
      <c r="CQ38" s="56">
        <v>8864679.9376876373</v>
      </c>
      <c r="CR38" s="56">
        <v>8864679.9376876373</v>
      </c>
      <c r="CS38" s="56">
        <v>8864679.9376876373</v>
      </c>
      <c r="CT38" s="56">
        <v>9089051.7240672633</v>
      </c>
      <c r="CU38" s="56">
        <v>9089051.7240672633</v>
      </c>
      <c r="CV38" s="56">
        <v>9089051.7240672633</v>
      </c>
      <c r="CW38" s="56">
        <v>9089051.7240672633</v>
      </c>
      <c r="CX38" s="56">
        <v>9089051.7240672633</v>
      </c>
      <c r="CY38" s="56">
        <v>9089051.7240672633</v>
      </c>
      <c r="CZ38" s="56">
        <v>9089051.7240672633</v>
      </c>
      <c r="DA38" s="56">
        <v>9089051.7240672633</v>
      </c>
      <c r="DB38" s="56">
        <v>9089051.7240672633</v>
      </c>
      <c r="DC38" s="56">
        <v>9089051.7240672633</v>
      </c>
      <c r="DD38" s="56">
        <v>9089051.7240672633</v>
      </c>
      <c r="DE38" s="56">
        <v>9089051.7240672633</v>
      </c>
      <c r="DF38" s="56">
        <v>9319102.5308827162</v>
      </c>
      <c r="DG38" s="56">
        <v>9319102.5308827162</v>
      </c>
      <c r="DH38" s="56">
        <v>9319102.5308827162</v>
      </c>
      <c r="DI38" s="56">
        <v>9319102.5308827162</v>
      </c>
      <c r="DJ38" s="56">
        <v>9319102.5308827162</v>
      </c>
      <c r="DK38" s="56">
        <v>9319102.5308827162</v>
      </c>
      <c r="DL38" s="56">
        <v>9319102.5308827162</v>
      </c>
      <c r="DM38" s="56">
        <v>9319102.5308827162</v>
      </c>
      <c r="DN38" s="56">
        <v>9319102.5308827162</v>
      </c>
      <c r="DO38" s="56">
        <v>9319102.5308827162</v>
      </c>
      <c r="DP38" s="56">
        <v>9319102.5308827162</v>
      </c>
      <c r="DQ38" s="56">
        <v>9319102.5308827162</v>
      </c>
      <c r="DR38" s="56">
        <v>9554976.0984572824</v>
      </c>
      <c r="DS38" s="56">
        <v>9554976.0984572824</v>
      </c>
      <c r="DT38" s="56">
        <v>9554976.0984572824</v>
      </c>
      <c r="DU38" s="56">
        <v>9554976.0984572824</v>
      </c>
      <c r="DV38" s="56">
        <v>9554976.0984572824</v>
      </c>
      <c r="DW38" s="56">
        <v>9554976.0984572824</v>
      </c>
      <c r="DX38" s="56">
        <v>9554976.0984572824</v>
      </c>
      <c r="DY38" s="56">
        <v>9554976.0984572824</v>
      </c>
      <c r="DZ38" s="56">
        <v>9554976.0984572824</v>
      </c>
      <c r="EA38" s="56">
        <v>9554976.0984572824</v>
      </c>
      <c r="EB38" s="56">
        <v>9554976.0984572824</v>
      </c>
      <c r="EC38" s="56">
        <v>9554976.0984572824</v>
      </c>
      <c r="ED38" s="56">
        <v>9796819.8052910715</v>
      </c>
      <c r="EE38" s="56">
        <v>9796819.8052910715</v>
      </c>
      <c r="EF38" s="56">
        <v>9796819.8052910715</v>
      </c>
      <c r="EG38" s="56">
        <v>9796819.8052910715</v>
      </c>
      <c r="EH38" s="56">
        <v>9796819.8052910715</v>
      </c>
      <c r="EI38" s="56">
        <v>9796819.8052910715</v>
      </c>
      <c r="EJ38" s="56">
        <v>9796819.8052910715</v>
      </c>
      <c r="EK38" s="56">
        <v>9796819.8052910715</v>
      </c>
      <c r="EL38" s="56">
        <v>9796819.8052910715</v>
      </c>
      <c r="EM38" s="56">
        <v>9796819.8052910715</v>
      </c>
      <c r="EN38" s="56">
        <v>9796819.8052910715</v>
      </c>
      <c r="EO38" s="56">
        <v>9796819.8052910715</v>
      </c>
      <c r="EP38" s="56">
        <v>10044784.76014604</v>
      </c>
      <c r="EQ38" s="56">
        <v>10044784.76014604</v>
      </c>
      <c r="ER38" s="56">
        <v>10044784.76014604</v>
      </c>
      <c r="ES38" s="56">
        <v>10044784.76014604</v>
      </c>
      <c r="ET38" s="56">
        <v>10044784.76014604</v>
      </c>
      <c r="EU38" s="56">
        <v>10044784.76014604</v>
      </c>
      <c r="EV38" s="56">
        <v>10044784.76014604</v>
      </c>
      <c r="EW38" s="56">
        <v>10044784.76014604</v>
      </c>
      <c r="EX38" s="56">
        <v>10044784.76014604</v>
      </c>
      <c r="EY38" s="56">
        <v>10044784.76014604</v>
      </c>
      <c r="EZ38" s="56">
        <v>10044784.76014604</v>
      </c>
      <c r="FA38" s="56">
        <v>10044784.76014604</v>
      </c>
      <c r="FB38" s="56">
        <v>10299025.896461755</v>
      </c>
      <c r="FC38" s="56">
        <v>10299025.896461755</v>
      </c>
      <c r="FD38" s="56">
        <v>10299025.896461755</v>
      </c>
      <c r="FE38" s="56">
        <v>10299025.896461755</v>
      </c>
      <c r="FF38" s="56">
        <v>10299025.896461755</v>
      </c>
      <c r="FG38" s="56">
        <v>10299025.896461755</v>
      </c>
      <c r="FH38" s="56">
        <v>10299025.896461755</v>
      </c>
      <c r="FI38" s="56">
        <v>10299025.896461755</v>
      </c>
      <c r="FJ38" s="56">
        <v>10299025.896461755</v>
      </c>
      <c r="FK38" s="56">
        <v>10299025.896461755</v>
      </c>
      <c r="FL38" s="56">
        <v>10299025.896461755</v>
      </c>
      <c r="FM38" s="56">
        <v>10299025.896461755</v>
      </c>
      <c r="FN38" s="56">
        <v>10559702.069160882</v>
      </c>
      <c r="FO38" s="56">
        <v>10559702.069160882</v>
      </c>
      <c r="FP38" s="56">
        <v>10559702.069160882</v>
      </c>
      <c r="FQ38" s="56">
        <v>10559702.069160882</v>
      </c>
      <c r="FR38" s="56">
        <v>10559702.069160882</v>
      </c>
      <c r="FS38" s="56">
        <v>10559702.069160882</v>
      </c>
      <c r="FT38" s="56">
        <v>10559702.069160882</v>
      </c>
      <c r="FU38" s="56">
        <v>10559702.069160882</v>
      </c>
      <c r="FV38" s="56">
        <v>10559702.069160882</v>
      </c>
      <c r="FW38" s="56">
        <v>10559702.069160882</v>
      </c>
      <c r="FX38" s="56">
        <v>10559702.069160882</v>
      </c>
      <c r="FY38" s="56">
        <v>10559702.069160882</v>
      </c>
      <c r="FZ38" s="56">
        <v>0</v>
      </c>
      <c r="GA38" s="56">
        <v>0</v>
      </c>
      <c r="GB38" s="56">
        <v>0</v>
      </c>
      <c r="GC38" s="56">
        <v>0</v>
      </c>
      <c r="GD38" s="56">
        <v>0</v>
      </c>
      <c r="GE38" s="56">
        <v>0</v>
      </c>
      <c r="GF38" s="56">
        <v>0</v>
      </c>
      <c r="GG38" s="56">
        <v>0</v>
      </c>
      <c r="GH38" s="56">
        <v>0</v>
      </c>
      <c r="GI38" s="56">
        <v>0</v>
      </c>
      <c r="GJ38" s="56">
        <v>0</v>
      </c>
      <c r="GK38" s="85">
        <v>0</v>
      </c>
      <c r="GL38" s="40"/>
    </row>
    <row r="39" spans="1:194" x14ac:dyDescent="0.4">
      <c r="A39" s="84" t="s">
        <v>312</v>
      </c>
      <c r="B39" s="70" t="s">
        <v>316</v>
      </c>
      <c r="C39" s="70" t="s">
        <v>397</v>
      </c>
      <c r="D39" s="70" t="s">
        <v>209</v>
      </c>
      <c r="E39" s="70" t="s">
        <v>193</v>
      </c>
      <c r="F39" s="70" t="s">
        <v>296</v>
      </c>
      <c r="G39" s="70" t="s">
        <v>297</v>
      </c>
      <c r="H39" s="70">
        <v>0</v>
      </c>
      <c r="I39" s="70">
        <v>0</v>
      </c>
      <c r="J39" s="70" t="s">
        <v>210</v>
      </c>
      <c r="K39" s="70">
        <v>0</v>
      </c>
      <c r="L39" s="70" t="s">
        <v>211</v>
      </c>
      <c r="M39" s="71">
        <f>IFERROR(INDEX('(참조)BL_인건비'!$S$3:$AG$40,MATCH(BL_인건비!$A39,'(참조)BL_인건비'!$S$3:$S$40,0),MATCH('(참조)BL_인건비'!X$2,'(참조)BL_인건비'!$S$2:$AG$2,0)),0)</f>
        <v>1.5</v>
      </c>
      <c r="N39" s="71">
        <f>IFERROR(INDEX('(참조)BL_인건비'!$S$3:$AG$40,MATCH(BL_인건비!$A39,'(참조)BL_인건비'!$S$3:$S$40,0),MATCH('(참조)BL_인건비'!Y$2,'(참조)BL_인건비'!$S$2:$AG$2,0)),0)</f>
        <v>2</v>
      </c>
      <c r="O39" s="71">
        <f>IFERROR(INDEX('(참조)BL_인건비'!$S$3:$AG$40,MATCH(BL_인건비!$A39,'(참조)BL_인건비'!$S$3:$S$40,0),MATCH('(참조)BL_인건비'!Z$2,'(참조)BL_인건비'!$S$2:$AG$2,0)),0)</f>
        <v>2</v>
      </c>
      <c r="P39" s="71">
        <f>IFERROR(INDEX('(참조)BL_인건비'!$S$3:$AG$40,MATCH(BL_인건비!$A39,'(참조)BL_인건비'!$S$3:$S$40,0),MATCH('(참조)BL_인건비'!AA$2,'(참조)BL_인건비'!$S$2:$AG$2,0)),0)</f>
        <v>2</v>
      </c>
      <c r="Q39" s="71">
        <f>IFERROR(INDEX('(참조)BL_인건비'!$S$3:$AG$40,MATCH(BL_인건비!$A39,'(참조)BL_인건비'!$S$3:$S$40,0),MATCH('(참조)BL_인건비'!AB$2,'(참조)BL_인건비'!$S$2:$AG$2,0)),0)</f>
        <v>2</v>
      </c>
      <c r="R39" s="71">
        <f>IFERROR(INDEX('(참조)BL_인건비'!$S$3:$AG$40,MATCH(BL_인건비!$A39,'(참조)BL_인건비'!$S$3:$S$40,0),MATCH('(참조)BL_인건비'!AC$2,'(참조)BL_인건비'!$S$2:$AG$2,0)),0)</f>
        <v>2</v>
      </c>
      <c r="S39" s="71">
        <f>IFERROR(INDEX('(참조)BL_인건비'!$S$3:$AG$40,MATCH(BL_인건비!$A39,'(참조)BL_인건비'!$S$3:$S$40,0),MATCH('(참조)BL_인건비'!AD$2,'(참조)BL_인건비'!$S$2:$AG$2,0)),0)</f>
        <v>2</v>
      </c>
      <c r="T39" s="71">
        <f>IFERROR(INDEX('(참조)BL_인건비'!$S$3:$AG$40,MATCH(BL_인건비!$A39,'(참조)BL_인건비'!$S$3:$S$40,0),MATCH('(참조)BL_인건비'!AE$2,'(참조)BL_인건비'!$S$2:$AG$2,0)),0)</f>
        <v>2</v>
      </c>
      <c r="U39" s="71">
        <f>IFERROR(INDEX('(참조)BL_인건비'!$S$3:$AG$40,MATCH(BL_인건비!$A39,'(참조)BL_인건비'!$S$3:$S$40,0),MATCH('(참조)BL_인건비'!AF$2,'(참조)BL_인건비'!$S$2:$AG$2,0)),0)</f>
        <v>2</v>
      </c>
      <c r="V39" s="71">
        <f>IFERROR(INDEX('(참조)BL_인건비'!$S$3:$AG$40,MATCH(BL_인건비!$A39,'(참조)BL_인건비'!$S$3:$S$40,0),MATCH('(참조)BL_인건비'!AG$2,'(참조)BL_인건비'!$S$2:$AG$2,0)),0)</f>
        <v>2</v>
      </c>
      <c r="W39" s="71">
        <f>IFERROR(INDEX('(참조)BL_인건비'!$S$3:$AG$40,MATCH(BL_인건비!$A39,'(참조)BL_인건비'!$S$3:$S$40,0),MATCH('(참조)BL_인건비'!AH$2,'(참조)BL_인건비'!$S$2:$AG$2,0)),0)</f>
        <v>0</v>
      </c>
      <c r="X39" s="71">
        <v>0</v>
      </c>
      <c r="Y39" s="72">
        <f>IFERROR(INDEX('(참조)BL_인건비'!$A$3:$O$40,MATCH(BL_인건비!$A39,'(참조)BL_인건비'!$A$3:$A$40,0),MATCH('(참조)BL_인건비'!F$2,'(참조)BL_인건비'!$A$2:$O$2,0)),0)</f>
        <v>2839545.85897124</v>
      </c>
      <c r="Z39" s="72">
        <f>IFERROR(INDEX('(참조)BL_인건비'!$A$3:$O$40,MATCH(BL_인건비!$A39,'(참조)BL_인건비'!$A$3:$A$40,0),MATCH('(참조)BL_인건비'!G$2,'(참조)BL_인건비'!$A$2:$O$2,0)),0)</f>
        <v>2911416.9227166548</v>
      </c>
      <c r="AA39" s="72">
        <f>IFERROR(INDEX('(참조)BL_인건비'!$A$3:$O$40,MATCH(BL_인건비!$A39,'(참조)BL_인건비'!$A$3:$A$40,0),MATCH('(참조)BL_인건비'!H$2,'(참조)BL_인건비'!$A$2:$O$2,0)),0)</f>
        <v>2985107.0977074746</v>
      </c>
      <c r="AB39" s="72">
        <f>IFERROR(INDEX('(참조)BL_인건비'!$A$3:$O$40,MATCH(BL_인건비!$A39,'(참조)BL_인건비'!$A$3:$A$40,0),MATCH('(참조)BL_인건비'!I$2,'(참조)BL_인건비'!$A$2:$O$2,0)),0)</f>
        <v>3060662.4270318449</v>
      </c>
      <c r="AC39" s="72">
        <f>IFERROR(INDEX('(참조)BL_인건비'!$A$3:$O$40,MATCH(BL_인건비!$A39,'(참조)BL_인건비'!$A$3:$A$40,0),MATCH('(참조)BL_인건비'!J$2,'(참조)BL_인건비'!$A$2:$O$2,0)),0)</f>
        <v>3138130.1191634652</v>
      </c>
      <c r="AD39" s="72">
        <f>IFERROR(INDEX('(참조)BL_인건비'!$A$3:$O$40,MATCH(BL_인건비!$A39,'(참조)BL_인건비'!$A$3:$A$40,0),MATCH('(참조)BL_인건비'!K$2,'(참조)BL_인건비'!$A$2:$O$2,0)),0)</f>
        <v>3217558.577458383</v>
      </c>
      <c r="AE39" s="72">
        <f>IFERROR(INDEX('(참조)BL_인건비'!$A$3:$O$40,MATCH(BL_인건비!$A39,'(참조)BL_인건비'!$A$3:$A$40,0),MATCH('(참조)BL_인건비'!L$2,'(참조)BL_인건비'!$A$2:$O$2,0)),0)</f>
        <v>3298997.4303983734</v>
      </c>
      <c r="AF39" s="72">
        <f>IFERROR(INDEX('(참조)BL_인건비'!$A$3:$O$40,MATCH(BL_인건비!$A39,'(참조)BL_인건비'!$A$3:$A$40,0),MATCH('(참조)BL_인건비'!M$2,'(참조)BL_인건비'!$A$2:$O$2,0)),0)</f>
        <v>3382497.5625998033</v>
      </c>
      <c r="AG39" s="72">
        <f>IFERROR(INDEX('(참조)BL_인건비'!$A$3:$O$40,MATCH(BL_인건비!$A39,'(참조)BL_인건비'!$A$3:$A$40,0),MATCH('(참조)BL_인건비'!N$2,'(참조)BL_인건비'!$A$2:$O$2,0)),0)</f>
        <v>3468111.146607352</v>
      </c>
      <c r="AH39" s="72">
        <f>IFERROR(INDEX('(참조)BL_인건비'!$A$3:$O$40,MATCH(BL_인건비!$A39,'(참조)BL_인건비'!$A$3:$A$40,0),MATCH('(참조)BL_인건비'!O$2,'(참조)BL_인건비'!$A$2:$O$2,0)),0)</f>
        <v>3555891.6754924553</v>
      </c>
      <c r="AI39" s="72">
        <f>IFERROR(INDEX('(참조)BL_인건비'!$A$3:$O$40,MATCH(BL_인건비!$A39,'(참조)BL_인건비'!$A$3:$A$40,0),MATCH('(참조)BL_인건비'!P$2,'(참조)BL_인건비'!$A$2:$O$2,0)),0)</f>
        <v>0</v>
      </c>
      <c r="AJ39" s="72">
        <v>12</v>
      </c>
      <c r="AK39" s="72">
        <v>12</v>
      </c>
      <c r="AL39" s="72">
        <v>12</v>
      </c>
      <c r="AM39" s="72">
        <v>12</v>
      </c>
      <c r="AN39" s="72">
        <v>12</v>
      </c>
      <c r="AO39" s="72">
        <v>12</v>
      </c>
      <c r="AP39" s="72">
        <v>12</v>
      </c>
      <c r="AQ39" s="72">
        <v>12</v>
      </c>
      <c r="AR39" s="72">
        <v>12</v>
      </c>
      <c r="AS39" s="72">
        <v>12</v>
      </c>
      <c r="AT39" s="72">
        <v>12</v>
      </c>
      <c r="AU39" s="73">
        <v>1</v>
      </c>
      <c r="AV39" s="70">
        <v>0</v>
      </c>
      <c r="AW39" s="70">
        <v>0</v>
      </c>
      <c r="AX39" s="56">
        <v>747552776.48170161</v>
      </c>
      <c r="AY39" s="56">
        <v>51111825.461482309</v>
      </c>
      <c r="AZ39" s="56">
        <v>69874006.145199716</v>
      </c>
      <c r="BA39" s="56">
        <v>71642570.344979376</v>
      </c>
      <c r="BB39" s="56">
        <v>73455898.248764277</v>
      </c>
      <c r="BC39" s="56">
        <v>75315122.859923169</v>
      </c>
      <c r="BD39" s="56">
        <v>77221405.859001175</v>
      </c>
      <c r="BE39" s="56">
        <v>79175938.32956098</v>
      </c>
      <c r="BF39" s="56">
        <v>81179941.502395272</v>
      </c>
      <c r="BG39" s="56">
        <v>83234667.518576443</v>
      </c>
      <c r="BH39" s="56">
        <v>85341400.211818933</v>
      </c>
      <c r="BI39" s="56">
        <v>0</v>
      </c>
      <c r="BJ39" s="74">
        <v>4259318.78845686</v>
      </c>
      <c r="BK39" s="56">
        <v>4259318.78845686</v>
      </c>
      <c r="BL39" s="56">
        <v>4259318.78845686</v>
      </c>
      <c r="BM39" s="56">
        <v>4259318.78845686</v>
      </c>
      <c r="BN39" s="56">
        <v>4259318.78845686</v>
      </c>
      <c r="BO39" s="56">
        <v>4259318.78845686</v>
      </c>
      <c r="BP39" s="56">
        <v>4259318.78845686</v>
      </c>
      <c r="BQ39" s="56">
        <v>4259318.78845686</v>
      </c>
      <c r="BR39" s="56">
        <v>4259318.78845686</v>
      </c>
      <c r="BS39" s="56">
        <v>4259318.78845686</v>
      </c>
      <c r="BT39" s="56">
        <v>4259318.78845686</v>
      </c>
      <c r="BU39" s="56">
        <v>4259318.78845686</v>
      </c>
      <c r="BV39" s="56">
        <v>5822833.8454333097</v>
      </c>
      <c r="BW39" s="56">
        <v>5822833.8454333097</v>
      </c>
      <c r="BX39" s="56">
        <v>5822833.8454333097</v>
      </c>
      <c r="BY39" s="56">
        <v>5822833.8454333097</v>
      </c>
      <c r="BZ39" s="56">
        <v>5822833.8454333097</v>
      </c>
      <c r="CA39" s="56">
        <v>5822833.8454333097</v>
      </c>
      <c r="CB39" s="56">
        <v>5822833.8454333097</v>
      </c>
      <c r="CC39" s="56">
        <v>5822833.8454333097</v>
      </c>
      <c r="CD39" s="56">
        <v>5822833.8454333097</v>
      </c>
      <c r="CE39" s="56">
        <v>5822833.8454333097</v>
      </c>
      <c r="CF39" s="56">
        <v>5822833.8454333097</v>
      </c>
      <c r="CG39" s="56">
        <v>5822833.8454333097</v>
      </c>
      <c r="CH39" s="56">
        <v>5970214.1954149492</v>
      </c>
      <c r="CI39" s="56">
        <v>5970214.1954149492</v>
      </c>
      <c r="CJ39" s="56">
        <v>5970214.1954149492</v>
      </c>
      <c r="CK39" s="56">
        <v>5970214.1954149492</v>
      </c>
      <c r="CL39" s="56">
        <v>5970214.1954149492</v>
      </c>
      <c r="CM39" s="56">
        <v>5970214.1954149492</v>
      </c>
      <c r="CN39" s="56">
        <v>5970214.1954149492</v>
      </c>
      <c r="CO39" s="56">
        <v>5970214.1954149492</v>
      </c>
      <c r="CP39" s="56">
        <v>5970214.1954149492</v>
      </c>
      <c r="CQ39" s="56">
        <v>5970214.1954149492</v>
      </c>
      <c r="CR39" s="56">
        <v>5970214.1954149492</v>
      </c>
      <c r="CS39" s="56">
        <v>5970214.1954149492</v>
      </c>
      <c r="CT39" s="56">
        <v>6121324.8540636897</v>
      </c>
      <c r="CU39" s="56">
        <v>6121324.8540636897</v>
      </c>
      <c r="CV39" s="56">
        <v>6121324.8540636897</v>
      </c>
      <c r="CW39" s="56">
        <v>6121324.8540636897</v>
      </c>
      <c r="CX39" s="56">
        <v>6121324.8540636897</v>
      </c>
      <c r="CY39" s="56">
        <v>6121324.8540636897</v>
      </c>
      <c r="CZ39" s="56">
        <v>6121324.8540636897</v>
      </c>
      <c r="DA39" s="56">
        <v>6121324.8540636897</v>
      </c>
      <c r="DB39" s="56">
        <v>6121324.8540636897</v>
      </c>
      <c r="DC39" s="56">
        <v>6121324.8540636897</v>
      </c>
      <c r="DD39" s="56">
        <v>6121324.8540636897</v>
      </c>
      <c r="DE39" s="56">
        <v>6121324.8540636897</v>
      </c>
      <c r="DF39" s="56">
        <v>6276260.2383269304</v>
      </c>
      <c r="DG39" s="56">
        <v>6276260.2383269304</v>
      </c>
      <c r="DH39" s="56">
        <v>6276260.2383269304</v>
      </c>
      <c r="DI39" s="56">
        <v>6276260.2383269304</v>
      </c>
      <c r="DJ39" s="56">
        <v>6276260.2383269304</v>
      </c>
      <c r="DK39" s="56">
        <v>6276260.2383269304</v>
      </c>
      <c r="DL39" s="56">
        <v>6276260.2383269304</v>
      </c>
      <c r="DM39" s="56">
        <v>6276260.2383269304</v>
      </c>
      <c r="DN39" s="56">
        <v>6276260.2383269304</v>
      </c>
      <c r="DO39" s="56">
        <v>6276260.2383269304</v>
      </c>
      <c r="DP39" s="56">
        <v>6276260.2383269304</v>
      </c>
      <c r="DQ39" s="56">
        <v>6276260.2383269304</v>
      </c>
      <c r="DR39" s="56">
        <v>6435117.1549167661</v>
      </c>
      <c r="DS39" s="56">
        <v>6435117.1549167661</v>
      </c>
      <c r="DT39" s="56">
        <v>6435117.1549167661</v>
      </c>
      <c r="DU39" s="56">
        <v>6435117.1549167661</v>
      </c>
      <c r="DV39" s="56">
        <v>6435117.1549167661</v>
      </c>
      <c r="DW39" s="56">
        <v>6435117.1549167661</v>
      </c>
      <c r="DX39" s="56">
        <v>6435117.1549167661</v>
      </c>
      <c r="DY39" s="56">
        <v>6435117.1549167661</v>
      </c>
      <c r="DZ39" s="56">
        <v>6435117.1549167661</v>
      </c>
      <c r="EA39" s="56">
        <v>6435117.1549167661</v>
      </c>
      <c r="EB39" s="56">
        <v>6435117.1549167661</v>
      </c>
      <c r="EC39" s="56">
        <v>6435117.1549167661</v>
      </c>
      <c r="ED39" s="56">
        <v>6597994.8607967468</v>
      </c>
      <c r="EE39" s="56">
        <v>6597994.8607967468</v>
      </c>
      <c r="EF39" s="56">
        <v>6597994.8607967468</v>
      </c>
      <c r="EG39" s="56">
        <v>6597994.8607967468</v>
      </c>
      <c r="EH39" s="56">
        <v>6597994.8607967468</v>
      </c>
      <c r="EI39" s="56">
        <v>6597994.8607967468</v>
      </c>
      <c r="EJ39" s="56">
        <v>6597994.8607967468</v>
      </c>
      <c r="EK39" s="56">
        <v>6597994.8607967468</v>
      </c>
      <c r="EL39" s="56">
        <v>6597994.8607967468</v>
      </c>
      <c r="EM39" s="56">
        <v>6597994.8607967468</v>
      </c>
      <c r="EN39" s="56">
        <v>6597994.8607967468</v>
      </c>
      <c r="EO39" s="56">
        <v>6597994.8607967468</v>
      </c>
      <c r="EP39" s="56">
        <v>6764995.1251996066</v>
      </c>
      <c r="EQ39" s="56">
        <v>6764995.1251996066</v>
      </c>
      <c r="ER39" s="56">
        <v>6764995.1251996066</v>
      </c>
      <c r="ES39" s="56">
        <v>6764995.1251996066</v>
      </c>
      <c r="ET39" s="56">
        <v>6764995.1251996066</v>
      </c>
      <c r="EU39" s="56">
        <v>6764995.1251996066</v>
      </c>
      <c r="EV39" s="56">
        <v>6764995.1251996066</v>
      </c>
      <c r="EW39" s="56">
        <v>6764995.1251996066</v>
      </c>
      <c r="EX39" s="56">
        <v>6764995.1251996066</v>
      </c>
      <c r="EY39" s="56">
        <v>6764995.1251996066</v>
      </c>
      <c r="EZ39" s="56">
        <v>6764995.1251996066</v>
      </c>
      <c r="FA39" s="56">
        <v>6764995.1251996066</v>
      </c>
      <c r="FB39" s="56">
        <v>6936222.2932147039</v>
      </c>
      <c r="FC39" s="56">
        <v>6936222.2932147039</v>
      </c>
      <c r="FD39" s="56">
        <v>6936222.2932147039</v>
      </c>
      <c r="FE39" s="56">
        <v>6936222.2932147039</v>
      </c>
      <c r="FF39" s="56">
        <v>6936222.2932147039</v>
      </c>
      <c r="FG39" s="56">
        <v>6936222.2932147039</v>
      </c>
      <c r="FH39" s="56">
        <v>6936222.2932147039</v>
      </c>
      <c r="FI39" s="56">
        <v>6936222.2932147039</v>
      </c>
      <c r="FJ39" s="56">
        <v>6936222.2932147039</v>
      </c>
      <c r="FK39" s="56">
        <v>6936222.2932147039</v>
      </c>
      <c r="FL39" s="56">
        <v>6936222.2932147039</v>
      </c>
      <c r="FM39" s="56">
        <v>6936222.2932147039</v>
      </c>
      <c r="FN39" s="56">
        <v>7111783.3509849105</v>
      </c>
      <c r="FO39" s="56">
        <v>7111783.3509849105</v>
      </c>
      <c r="FP39" s="56">
        <v>7111783.3509849105</v>
      </c>
      <c r="FQ39" s="56">
        <v>7111783.3509849105</v>
      </c>
      <c r="FR39" s="56">
        <v>7111783.3509849105</v>
      </c>
      <c r="FS39" s="56">
        <v>7111783.3509849105</v>
      </c>
      <c r="FT39" s="56">
        <v>7111783.3509849105</v>
      </c>
      <c r="FU39" s="56">
        <v>7111783.3509849105</v>
      </c>
      <c r="FV39" s="56">
        <v>7111783.3509849105</v>
      </c>
      <c r="FW39" s="56">
        <v>7111783.3509849105</v>
      </c>
      <c r="FX39" s="56">
        <v>7111783.3509849105</v>
      </c>
      <c r="FY39" s="56">
        <v>7111783.3509849105</v>
      </c>
      <c r="FZ39" s="56">
        <v>0</v>
      </c>
      <c r="GA39" s="56">
        <v>0</v>
      </c>
      <c r="GB39" s="56">
        <v>0</v>
      </c>
      <c r="GC39" s="56">
        <v>0</v>
      </c>
      <c r="GD39" s="56">
        <v>0</v>
      </c>
      <c r="GE39" s="56">
        <v>0</v>
      </c>
      <c r="GF39" s="56">
        <v>0</v>
      </c>
      <c r="GG39" s="56">
        <v>0</v>
      </c>
      <c r="GH39" s="56">
        <v>0</v>
      </c>
      <c r="GI39" s="56">
        <v>0</v>
      </c>
      <c r="GJ39" s="56">
        <v>0</v>
      </c>
      <c r="GK39" s="85">
        <v>0</v>
      </c>
      <c r="GL39" s="40"/>
    </row>
    <row r="40" spans="1:194" x14ac:dyDescent="0.4">
      <c r="A40" s="84" t="s">
        <v>313</v>
      </c>
      <c r="B40" s="70" t="s">
        <v>316</v>
      </c>
      <c r="C40" s="70" t="s">
        <v>397</v>
      </c>
      <c r="D40" s="70" t="s">
        <v>209</v>
      </c>
      <c r="E40" s="70" t="s">
        <v>175</v>
      </c>
      <c r="F40" s="70" t="s">
        <v>296</v>
      </c>
      <c r="G40" s="70" t="s">
        <v>298</v>
      </c>
      <c r="H40" s="70">
        <v>0</v>
      </c>
      <c r="I40" s="70">
        <v>0</v>
      </c>
      <c r="J40" s="70" t="s">
        <v>210</v>
      </c>
      <c r="K40" s="70">
        <v>0</v>
      </c>
      <c r="L40" s="70" t="s">
        <v>211</v>
      </c>
      <c r="M40" s="71">
        <f>IFERROR(INDEX('(참조)BL_인건비'!$S$3:$AG$40,MATCH(BL_인건비!$A40,'(참조)BL_인건비'!$S$3:$S$40,0),MATCH('(참조)BL_인건비'!X$2,'(참조)BL_인건비'!$S$2:$AG$2,0)),0)</f>
        <v>7.5</v>
      </c>
      <c r="N40" s="71">
        <f>IFERROR(INDEX('(참조)BL_인건비'!$S$3:$AG$40,MATCH(BL_인건비!$A40,'(참조)BL_인건비'!$S$3:$S$40,0),MATCH('(참조)BL_인건비'!Y$2,'(참조)BL_인건비'!$S$2:$AG$2,0)),0)</f>
        <v>10</v>
      </c>
      <c r="O40" s="71">
        <f>IFERROR(INDEX('(참조)BL_인건비'!$S$3:$AG$40,MATCH(BL_인건비!$A40,'(참조)BL_인건비'!$S$3:$S$40,0),MATCH('(참조)BL_인건비'!Z$2,'(참조)BL_인건비'!$S$2:$AG$2,0)),0)</f>
        <v>10</v>
      </c>
      <c r="P40" s="71">
        <f>IFERROR(INDEX('(참조)BL_인건비'!$S$3:$AG$40,MATCH(BL_인건비!$A40,'(참조)BL_인건비'!$S$3:$S$40,0),MATCH('(참조)BL_인건비'!AA$2,'(참조)BL_인건비'!$S$2:$AG$2,0)),0)</f>
        <v>10</v>
      </c>
      <c r="Q40" s="71">
        <f>IFERROR(INDEX('(참조)BL_인건비'!$S$3:$AG$40,MATCH(BL_인건비!$A40,'(참조)BL_인건비'!$S$3:$S$40,0),MATCH('(참조)BL_인건비'!AB$2,'(참조)BL_인건비'!$S$2:$AG$2,0)),0)</f>
        <v>10</v>
      </c>
      <c r="R40" s="71">
        <f>IFERROR(INDEX('(참조)BL_인건비'!$S$3:$AG$40,MATCH(BL_인건비!$A40,'(참조)BL_인건비'!$S$3:$S$40,0),MATCH('(참조)BL_인건비'!AC$2,'(참조)BL_인건비'!$S$2:$AG$2,0)),0)</f>
        <v>10</v>
      </c>
      <c r="S40" s="71">
        <f>IFERROR(INDEX('(참조)BL_인건비'!$S$3:$AG$40,MATCH(BL_인건비!$A40,'(참조)BL_인건비'!$S$3:$S$40,0),MATCH('(참조)BL_인건비'!AD$2,'(참조)BL_인건비'!$S$2:$AG$2,0)),0)</f>
        <v>10</v>
      </c>
      <c r="T40" s="71">
        <f>IFERROR(INDEX('(참조)BL_인건비'!$S$3:$AG$40,MATCH(BL_인건비!$A40,'(참조)BL_인건비'!$S$3:$S$40,0),MATCH('(참조)BL_인건비'!AE$2,'(참조)BL_인건비'!$S$2:$AG$2,0)),0)</f>
        <v>10</v>
      </c>
      <c r="U40" s="71">
        <f>IFERROR(INDEX('(참조)BL_인건비'!$S$3:$AG$40,MATCH(BL_인건비!$A40,'(참조)BL_인건비'!$S$3:$S$40,0),MATCH('(참조)BL_인건비'!AF$2,'(참조)BL_인건비'!$S$2:$AG$2,0)),0)</f>
        <v>10</v>
      </c>
      <c r="V40" s="71">
        <f>IFERROR(INDEX('(참조)BL_인건비'!$S$3:$AG$40,MATCH(BL_인건비!$A40,'(참조)BL_인건비'!$S$3:$S$40,0),MATCH('(참조)BL_인건비'!AG$2,'(참조)BL_인건비'!$S$2:$AG$2,0)),0)</f>
        <v>10</v>
      </c>
      <c r="W40" s="71">
        <f>IFERROR(INDEX('(참조)BL_인건비'!$S$3:$AG$40,MATCH(BL_인건비!$A40,'(참조)BL_인건비'!$S$3:$S$40,0),MATCH('(참조)BL_인건비'!AH$2,'(참조)BL_인건비'!$S$2:$AG$2,0)),0)</f>
        <v>0</v>
      </c>
      <c r="X40" s="71">
        <v>0</v>
      </c>
      <c r="Y40" s="72">
        <f>IFERROR(INDEX('(참조)BL_인건비'!$A$3:$O$40,MATCH(BL_인건비!$A40,'(참조)BL_인건비'!$A$3:$A$40,0),MATCH('(참조)BL_인건비'!F$2,'(참조)BL_인건비'!$A$2:$O$2,0)),0)</f>
        <v>2475400.5906926799</v>
      </c>
      <c r="Z40" s="72">
        <f>IFERROR(INDEX('(참조)BL_인건비'!$A$3:$O$40,MATCH(BL_인건비!$A40,'(참조)BL_인건비'!$A$3:$A$40,0),MATCH('(참조)BL_인건비'!G$2,'(참조)BL_인건비'!$A$2:$O$2,0)),0)</f>
        <v>2538054.8609475605</v>
      </c>
      <c r="AA40" s="72">
        <f>IFERROR(INDEX('(참조)BL_인건비'!$A$3:$O$40,MATCH(BL_인건비!$A40,'(참조)BL_인건비'!$A$3:$A$40,0),MATCH('(참조)BL_인건비'!H$2,'(참조)BL_인건비'!$A$2:$O$2,0)),0)</f>
        <v>2602294.9583998374</v>
      </c>
      <c r="AB40" s="72">
        <f>IFERROR(INDEX('(참조)BL_인건비'!$A$3:$O$40,MATCH(BL_인건비!$A40,'(참조)BL_인건비'!$A$3:$A$40,0),MATCH('(참조)BL_인건비'!I$2,'(참조)BL_인건비'!$A$2:$O$2,0)),0)</f>
        <v>2668161.0215411056</v>
      </c>
      <c r="AC40" s="72">
        <f>IFERROR(INDEX('(참조)BL_인건비'!$A$3:$O$40,MATCH(BL_인건비!$A40,'(참조)BL_인건비'!$A$3:$A$40,0),MATCH('(참조)BL_인건비'!J$2,'(참조)BL_인건비'!$A$2:$O$2,0)),0)</f>
        <v>2735694.2047986872</v>
      </c>
      <c r="AD40" s="72">
        <f>IFERROR(INDEX('(참조)BL_인건비'!$A$3:$O$40,MATCH(BL_인건비!$A40,'(참조)BL_인건비'!$A$3:$A$40,0),MATCH('(참조)BL_인건비'!K$2,'(참조)BL_인건비'!$A$2:$O$2,0)),0)</f>
        <v>2804936.7042497378</v>
      </c>
      <c r="AE40" s="72">
        <f>IFERROR(INDEX('(참조)BL_인건비'!$A$3:$O$40,MATCH(BL_인건비!$A40,'(참조)BL_인건비'!$A$3:$A$40,0),MATCH('(참조)BL_인건비'!L$2,'(참조)BL_인건비'!$A$2:$O$2,0)),0)</f>
        <v>2875931.7839861941</v>
      </c>
      <c r="AF40" s="72">
        <f>IFERROR(INDEX('(참조)BL_인건비'!$A$3:$O$40,MATCH(BL_인건비!$A40,'(참조)BL_인건비'!$A$3:$A$40,0),MATCH('(참조)BL_인건비'!M$2,'(참조)BL_인건비'!$A$2:$O$2,0)),0)</f>
        <v>2948723.8031470403</v>
      </c>
      <c r="AG40" s="72">
        <f>IFERROR(INDEX('(참조)BL_인건비'!$A$3:$O$40,MATCH(BL_인건비!$A40,'(참조)BL_인건비'!$A$3:$A$40,0),MATCH('(참조)BL_인건비'!N$2,'(참조)BL_인건비'!$A$2:$O$2,0)),0)</f>
        <v>3023358.2436347823</v>
      </c>
      <c r="AH40" s="72">
        <f>IFERROR(INDEX('(참조)BL_인건비'!$A$3:$O$40,MATCH(BL_인건비!$A40,'(참조)BL_인건비'!$A$3:$A$40,0),MATCH('(참조)BL_인건비'!O$2,'(참조)BL_인건비'!$A$2:$O$2,0)),0)</f>
        <v>3099881.7385334438</v>
      </c>
      <c r="AI40" s="72">
        <f>IFERROR(INDEX('(참조)BL_인건비'!$A$3:$O$40,MATCH(BL_인건비!$A40,'(참조)BL_인건비'!$A$3:$A$40,0),MATCH('(참조)BL_인건비'!P$2,'(참조)BL_인건비'!$A$2:$O$2,0)),0)</f>
        <v>0</v>
      </c>
      <c r="AJ40" s="72">
        <v>12</v>
      </c>
      <c r="AK40" s="72">
        <v>12</v>
      </c>
      <c r="AL40" s="72">
        <v>12</v>
      </c>
      <c r="AM40" s="72">
        <v>12</v>
      </c>
      <c r="AN40" s="72">
        <v>12</v>
      </c>
      <c r="AO40" s="72">
        <v>12</v>
      </c>
      <c r="AP40" s="72">
        <v>12</v>
      </c>
      <c r="AQ40" s="72">
        <v>12</v>
      </c>
      <c r="AR40" s="72">
        <v>12</v>
      </c>
      <c r="AS40" s="72">
        <v>12</v>
      </c>
      <c r="AT40" s="72">
        <v>12</v>
      </c>
      <c r="AU40" s="73">
        <v>1</v>
      </c>
      <c r="AV40" s="70">
        <v>0</v>
      </c>
      <c r="AW40" s="70">
        <v>0</v>
      </c>
      <c r="AX40" s="56">
        <v>3258430531.4709487</v>
      </c>
      <c r="AY40" s="56">
        <v>222786053.16234115</v>
      </c>
      <c r="AZ40" s="56">
        <v>304566583.31370729</v>
      </c>
      <c r="BA40" s="56">
        <v>312275395.00798053</v>
      </c>
      <c r="BB40" s="56">
        <v>320179322.58493274</v>
      </c>
      <c r="BC40" s="56">
        <v>328283304.57584244</v>
      </c>
      <c r="BD40" s="56">
        <v>336592404.50996852</v>
      </c>
      <c r="BE40" s="56">
        <v>345111814.07834321</v>
      </c>
      <c r="BF40" s="56">
        <v>353846856.37764496</v>
      </c>
      <c r="BG40" s="56">
        <v>362802989.23617393</v>
      </c>
      <c r="BH40" s="56">
        <v>371985808.62401325</v>
      </c>
      <c r="BI40" s="56">
        <v>0</v>
      </c>
      <c r="BJ40" s="74">
        <v>18565504.430195101</v>
      </c>
      <c r="BK40" s="56">
        <v>18565504.430195101</v>
      </c>
      <c r="BL40" s="56">
        <v>18565504.430195101</v>
      </c>
      <c r="BM40" s="56">
        <v>18565504.430195101</v>
      </c>
      <c r="BN40" s="56">
        <v>18565504.430195101</v>
      </c>
      <c r="BO40" s="56">
        <v>18565504.430195101</v>
      </c>
      <c r="BP40" s="56">
        <v>18565504.430195101</v>
      </c>
      <c r="BQ40" s="56">
        <v>18565504.430195101</v>
      </c>
      <c r="BR40" s="56">
        <v>18565504.430195101</v>
      </c>
      <c r="BS40" s="56">
        <v>18565504.430195101</v>
      </c>
      <c r="BT40" s="56">
        <v>18565504.430195101</v>
      </c>
      <c r="BU40" s="56">
        <v>18565504.430195101</v>
      </c>
      <c r="BV40" s="56">
        <v>25380548.609475605</v>
      </c>
      <c r="BW40" s="56">
        <v>25380548.609475605</v>
      </c>
      <c r="BX40" s="56">
        <v>25380548.609475605</v>
      </c>
      <c r="BY40" s="56">
        <v>25380548.609475605</v>
      </c>
      <c r="BZ40" s="56">
        <v>25380548.609475605</v>
      </c>
      <c r="CA40" s="56">
        <v>25380548.609475605</v>
      </c>
      <c r="CB40" s="56">
        <v>25380548.609475605</v>
      </c>
      <c r="CC40" s="56">
        <v>25380548.609475605</v>
      </c>
      <c r="CD40" s="56">
        <v>25380548.609475605</v>
      </c>
      <c r="CE40" s="56">
        <v>25380548.609475605</v>
      </c>
      <c r="CF40" s="56">
        <v>25380548.609475605</v>
      </c>
      <c r="CG40" s="56">
        <v>25380548.609475605</v>
      </c>
      <c r="CH40" s="56">
        <v>26022949.583998375</v>
      </c>
      <c r="CI40" s="56">
        <v>26022949.583998375</v>
      </c>
      <c r="CJ40" s="56">
        <v>26022949.583998375</v>
      </c>
      <c r="CK40" s="56">
        <v>26022949.583998375</v>
      </c>
      <c r="CL40" s="56">
        <v>26022949.583998375</v>
      </c>
      <c r="CM40" s="56">
        <v>26022949.583998375</v>
      </c>
      <c r="CN40" s="56">
        <v>26022949.583998375</v>
      </c>
      <c r="CO40" s="56">
        <v>26022949.583998375</v>
      </c>
      <c r="CP40" s="56">
        <v>26022949.583998375</v>
      </c>
      <c r="CQ40" s="56">
        <v>26022949.583998375</v>
      </c>
      <c r="CR40" s="56">
        <v>26022949.583998375</v>
      </c>
      <c r="CS40" s="56">
        <v>26022949.583998375</v>
      </c>
      <c r="CT40" s="56">
        <v>26681610.215411056</v>
      </c>
      <c r="CU40" s="56">
        <v>26681610.215411056</v>
      </c>
      <c r="CV40" s="56">
        <v>26681610.215411056</v>
      </c>
      <c r="CW40" s="56">
        <v>26681610.215411056</v>
      </c>
      <c r="CX40" s="56">
        <v>26681610.215411056</v>
      </c>
      <c r="CY40" s="56">
        <v>26681610.215411056</v>
      </c>
      <c r="CZ40" s="56">
        <v>26681610.215411056</v>
      </c>
      <c r="DA40" s="56">
        <v>26681610.215411056</v>
      </c>
      <c r="DB40" s="56">
        <v>26681610.215411056</v>
      </c>
      <c r="DC40" s="56">
        <v>26681610.215411056</v>
      </c>
      <c r="DD40" s="56">
        <v>26681610.215411056</v>
      </c>
      <c r="DE40" s="56">
        <v>26681610.215411056</v>
      </c>
      <c r="DF40" s="56">
        <v>27356942.047986872</v>
      </c>
      <c r="DG40" s="56">
        <v>27356942.047986872</v>
      </c>
      <c r="DH40" s="56">
        <v>27356942.047986872</v>
      </c>
      <c r="DI40" s="56">
        <v>27356942.047986872</v>
      </c>
      <c r="DJ40" s="56">
        <v>27356942.047986872</v>
      </c>
      <c r="DK40" s="56">
        <v>27356942.047986872</v>
      </c>
      <c r="DL40" s="56">
        <v>27356942.047986872</v>
      </c>
      <c r="DM40" s="56">
        <v>27356942.047986872</v>
      </c>
      <c r="DN40" s="56">
        <v>27356942.047986872</v>
      </c>
      <c r="DO40" s="56">
        <v>27356942.047986872</v>
      </c>
      <c r="DP40" s="56">
        <v>27356942.047986872</v>
      </c>
      <c r="DQ40" s="56">
        <v>27356942.047986872</v>
      </c>
      <c r="DR40" s="56">
        <v>28049367.042497378</v>
      </c>
      <c r="DS40" s="56">
        <v>28049367.042497378</v>
      </c>
      <c r="DT40" s="56">
        <v>28049367.042497378</v>
      </c>
      <c r="DU40" s="56">
        <v>28049367.042497378</v>
      </c>
      <c r="DV40" s="56">
        <v>28049367.042497378</v>
      </c>
      <c r="DW40" s="56">
        <v>28049367.042497378</v>
      </c>
      <c r="DX40" s="56">
        <v>28049367.042497378</v>
      </c>
      <c r="DY40" s="56">
        <v>28049367.042497378</v>
      </c>
      <c r="DZ40" s="56">
        <v>28049367.042497378</v>
      </c>
      <c r="EA40" s="56">
        <v>28049367.042497378</v>
      </c>
      <c r="EB40" s="56">
        <v>28049367.042497378</v>
      </c>
      <c r="EC40" s="56">
        <v>28049367.042497378</v>
      </c>
      <c r="ED40" s="56">
        <v>28759317.839861941</v>
      </c>
      <c r="EE40" s="56">
        <v>28759317.839861941</v>
      </c>
      <c r="EF40" s="56">
        <v>28759317.839861941</v>
      </c>
      <c r="EG40" s="56">
        <v>28759317.839861941</v>
      </c>
      <c r="EH40" s="56">
        <v>28759317.839861941</v>
      </c>
      <c r="EI40" s="56">
        <v>28759317.839861941</v>
      </c>
      <c r="EJ40" s="56">
        <v>28759317.839861941</v>
      </c>
      <c r="EK40" s="56">
        <v>28759317.839861941</v>
      </c>
      <c r="EL40" s="56">
        <v>28759317.839861941</v>
      </c>
      <c r="EM40" s="56">
        <v>28759317.839861941</v>
      </c>
      <c r="EN40" s="56">
        <v>28759317.839861941</v>
      </c>
      <c r="EO40" s="56">
        <v>28759317.839861941</v>
      </c>
      <c r="EP40" s="56">
        <v>29487238.031470403</v>
      </c>
      <c r="EQ40" s="56">
        <v>29487238.031470403</v>
      </c>
      <c r="ER40" s="56">
        <v>29487238.031470403</v>
      </c>
      <c r="ES40" s="56">
        <v>29487238.031470403</v>
      </c>
      <c r="ET40" s="56">
        <v>29487238.031470403</v>
      </c>
      <c r="EU40" s="56">
        <v>29487238.031470403</v>
      </c>
      <c r="EV40" s="56">
        <v>29487238.031470403</v>
      </c>
      <c r="EW40" s="56">
        <v>29487238.031470403</v>
      </c>
      <c r="EX40" s="56">
        <v>29487238.031470403</v>
      </c>
      <c r="EY40" s="56">
        <v>29487238.031470403</v>
      </c>
      <c r="EZ40" s="56">
        <v>29487238.031470403</v>
      </c>
      <c r="FA40" s="56">
        <v>29487238.031470403</v>
      </c>
      <c r="FB40" s="56">
        <v>30233582.436347824</v>
      </c>
      <c r="FC40" s="56">
        <v>30233582.436347824</v>
      </c>
      <c r="FD40" s="56">
        <v>30233582.436347824</v>
      </c>
      <c r="FE40" s="56">
        <v>30233582.436347824</v>
      </c>
      <c r="FF40" s="56">
        <v>30233582.436347824</v>
      </c>
      <c r="FG40" s="56">
        <v>30233582.436347824</v>
      </c>
      <c r="FH40" s="56">
        <v>30233582.436347824</v>
      </c>
      <c r="FI40" s="56">
        <v>30233582.436347824</v>
      </c>
      <c r="FJ40" s="56">
        <v>30233582.436347824</v>
      </c>
      <c r="FK40" s="56">
        <v>30233582.436347824</v>
      </c>
      <c r="FL40" s="56">
        <v>30233582.436347824</v>
      </c>
      <c r="FM40" s="56">
        <v>30233582.436347824</v>
      </c>
      <c r="FN40" s="56">
        <v>30998817.38533444</v>
      </c>
      <c r="FO40" s="56">
        <v>30998817.38533444</v>
      </c>
      <c r="FP40" s="56">
        <v>30998817.38533444</v>
      </c>
      <c r="FQ40" s="56">
        <v>30998817.38533444</v>
      </c>
      <c r="FR40" s="56">
        <v>30998817.38533444</v>
      </c>
      <c r="FS40" s="56">
        <v>30998817.38533444</v>
      </c>
      <c r="FT40" s="56">
        <v>30998817.38533444</v>
      </c>
      <c r="FU40" s="56">
        <v>30998817.38533444</v>
      </c>
      <c r="FV40" s="56">
        <v>30998817.38533444</v>
      </c>
      <c r="FW40" s="56">
        <v>30998817.38533444</v>
      </c>
      <c r="FX40" s="56">
        <v>30998817.38533444</v>
      </c>
      <c r="FY40" s="56">
        <v>30998817.38533444</v>
      </c>
      <c r="FZ40" s="56">
        <v>0</v>
      </c>
      <c r="GA40" s="56">
        <v>0</v>
      </c>
      <c r="GB40" s="56">
        <v>0</v>
      </c>
      <c r="GC40" s="56">
        <v>0</v>
      </c>
      <c r="GD40" s="56">
        <v>0</v>
      </c>
      <c r="GE40" s="56">
        <v>0</v>
      </c>
      <c r="GF40" s="56">
        <v>0</v>
      </c>
      <c r="GG40" s="56">
        <v>0</v>
      </c>
      <c r="GH40" s="56">
        <v>0</v>
      </c>
      <c r="GI40" s="56">
        <v>0</v>
      </c>
      <c r="GJ40" s="56">
        <v>0</v>
      </c>
      <c r="GK40" s="85">
        <v>0</v>
      </c>
      <c r="GL40" s="40"/>
    </row>
    <row r="41" spans="1:194" x14ac:dyDescent="0.4">
      <c r="A41" s="84" t="s">
        <v>314</v>
      </c>
      <c r="B41" s="70" t="s">
        <v>316</v>
      </c>
      <c r="C41" s="70" t="s">
        <v>397</v>
      </c>
      <c r="D41" s="70" t="s">
        <v>209</v>
      </c>
      <c r="E41" s="70" t="s">
        <v>193</v>
      </c>
      <c r="F41" s="70" t="s">
        <v>194</v>
      </c>
      <c r="G41" s="70" t="s">
        <v>152</v>
      </c>
      <c r="H41" s="70">
        <v>0</v>
      </c>
      <c r="I41" s="70">
        <v>0</v>
      </c>
      <c r="J41" s="70" t="s">
        <v>210</v>
      </c>
      <c r="K41" s="70">
        <v>0</v>
      </c>
      <c r="L41" s="70" t="s">
        <v>211</v>
      </c>
      <c r="M41" s="71">
        <f>IFERROR(INDEX('(참조)BL_인건비'!$S$3:$AG$40,MATCH(BL_인건비!$A41,'(참조)BL_인건비'!$S$3:$S$40,0),MATCH('(참조)BL_인건비'!X$2,'(참조)BL_인건비'!$S$2:$AG$2,0)),0)</f>
        <v>0.75</v>
      </c>
      <c r="N41" s="71">
        <f>IFERROR(INDEX('(참조)BL_인건비'!$S$3:$AG$40,MATCH(BL_인건비!$A41,'(참조)BL_인건비'!$S$3:$S$40,0),MATCH('(참조)BL_인건비'!Y$2,'(참조)BL_인건비'!$S$2:$AG$2,0)),0)</f>
        <v>1</v>
      </c>
      <c r="O41" s="71">
        <f>IFERROR(INDEX('(참조)BL_인건비'!$S$3:$AG$40,MATCH(BL_인건비!$A41,'(참조)BL_인건비'!$S$3:$S$40,0),MATCH('(참조)BL_인건비'!Z$2,'(참조)BL_인건비'!$S$2:$AG$2,0)),0)</f>
        <v>1</v>
      </c>
      <c r="P41" s="71">
        <f>IFERROR(INDEX('(참조)BL_인건비'!$S$3:$AG$40,MATCH(BL_인건비!$A41,'(참조)BL_인건비'!$S$3:$S$40,0),MATCH('(참조)BL_인건비'!AA$2,'(참조)BL_인건비'!$S$2:$AG$2,0)),0)</f>
        <v>1</v>
      </c>
      <c r="Q41" s="71">
        <f>IFERROR(INDEX('(참조)BL_인건비'!$S$3:$AG$40,MATCH(BL_인건비!$A41,'(참조)BL_인건비'!$S$3:$S$40,0),MATCH('(참조)BL_인건비'!AB$2,'(참조)BL_인건비'!$S$2:$AG$2,0)),0)</f>
        <v>1</v>
      </c>
      <c r="R41" s="71">
        <f>IFERROR(INDEX('(참조)BL_인건비'!$S$3:$AG$40,MATCH(BL_인건비!$A41,'(참조)BL_인건비'!$S$3:$S$40,0),MATCH('(참조)BL_인건비'!AC$2,'(참조)BL_인건비'!$S$2:$AG$2,0)),0)</f>
        <v>1</v>
      </c>
      <c r="S41" s="71">
        <f>IFERROR(INDEX('(참조)BL_인건비'!$S$3:$AG$40,MATCH(BL_인건비!$A41,'(참조)BL_인건비'!$S$3:$S$40,0),MATCH('(참조)BL_인건비'!AD$2,'(참조)BL_인건비'!$S$2:$AG$2,0)),0)</f>
        <v>1</v>
      </c>
      <c r="T41" s="71">
        <f>IFERROR(INDEX('(참조)BL_인건비'!$S$3:$AG$40,MATCH(BL_인건비!$A41,'(참조)BL_인건비'!$S$3:$S$40,0),MATCH('(참조)BL_인건비'!AE$2,'(참조)BL_인건비'!$S$2:$AG$2,0)),0)</f>
        <v>1</v>
      </c>
      <c r="U41" s="71">
        <f>IFERROR(INDEX('(참조)BL_인건비'!$S$3:$AG$40,MATCH(BL_인건비!$A41,'(참조)BL_인건비'!$S$3:$S$40,0),MATCH('(참조)BL_인건비'!AF$2,'(참조)BL_인건비'!$S$2:$AG$2,0)),0)</f>
        <v>1</v>
      </c>
      <c r="V41" s="71">
        <f>IFERROR(INDEX('(참조)BL_인건비'!$S$3:$AG$40,MATCH(BL_인건비!$A41,'(참조)BL_인건비'!$S$3:$S$40,0),MATCH('(참조)BL_인건비'!AG$2,'(참조)BL_인건비'!$S$2:$AG$2,0)),0)</f>
        <v>1</v>
      </c>
      <c r="W41" s="71">
        <f>IFERROR(INDEX('(참조)BL_인건비'!$S$3:$AG$40,MATCH(BL_인건비!$A41,'(참조)BL_인건비'!$S$3:$S$40,0),MATCH('(참조)BL_인건비'!AH$2,'(참조)BL_인건비'!$S$2:$AG$2,0)),0)</f>
        <v>0</v>
      </c>
      <c r="X41" s="71">
        <v>0</v>
      </c>
      <c r="Y41" s="72">
        <f>IFERROR(INDEX('(참조)BL_인건비'!$A$3:$O$40,MATCH(BL_인건비!$A41,'(참조)BL_인건비'!$A$3:$A$40,0),MATCH('(참조)BL_인건비'!F$2,'(참조)BL_인건비'!$A$2:$O$2,0)),0)</f>
        <v>2822413.9414824001</v>
      </c>
      <c r="Z41" s="72">
        <f>IFERROR(INDEX('(참조)BL_인건비'!$A$3:$O$40,MATCH(BL_인건비!$A41,'(참조)BL_인건비'!$A$3:$A$40,0),MATCH('(참조)BL_인건비'!G$2,'(참조)BL_인건비'!$A$2:$O$2,0)),0)</f>
        <v>2893851.3833759152</v>
      </c>
      <c r="AA41" s="72">
        <f>IFERROR(INDEX('(참조)BL_인건비'!$A$3:$O$40,MATCH(BL_인건비!$A41,'(참조)BL_인건비'!$A$3:$A$40,0),MATCH('(참조)BL_인건비'!H$2,'(참조)BL_인건비'!$A$2:$O$2,0)),0)</f>
        <v>2967096.9612162109</v>
      </c>
      <c r="AB41" s="72">
        <f>IFERROR(INDEX('(참조)BL_인건비'!$A$3:$O$40,MATCH(BL_인건비!$A41,'(참조)BL_인건비'!$A$3:$A$40,0),MATCH('(참조)BL_인건비'!I$2,'(참조)BL_인건비'!$A$2:$O$2,0)),0)</f>
        <v>3042196.4402982835</v>
      </c>
      <c r="AC41" s="72">
        <f>IFERROR(INDEX('(참조)BL_인건비'!$A$3:$O$40,MATCH(BL_인건비!$A41,'(참조)BL_인건비'!$A$3:$A$40,0),MATCH('(참조)BL_인건비'!J$2,'(참조)BL_인건비'!$A$2:$O$2,0)),0)</f>
        <v>3119196.7442715275</v>
      </c>
      <c r="AD41" s="72">
        <f>IFERROR(INDEX('(참조)BL_인건비'!$A$3:$O$40,MATCH(BL_인건비!$A41,'(참조)BL_인건비'!$A$3:$A$40,0),MATCH('(참조)BL_인건비'!K$2,'(참조)BL_인건비'!$A$2:$O$2,0)),0)</f>
        <v>3198145.9844585657</v>
      </c>
      <c r="AE41" s="72">
        <f>IFERROR(INDEX('(참조)BL_인건비'!$A$3:$O$40,MATCH(BL_인건비!$A41,'(참조)BL_인건비'!$A$3:$A$40,0),MATCH('(참조)BL_인건비'!L$2,'(참조)BL_인건비'!$A$2:$O$2,0)),0)</f>
        <v>3279093.4899161602</v>
      </c>
      <c r="AF41" s="72">
        <f>IFERROR(INDEX('(참조)BL_인건비'!$A$3:$O$40,MATCH(BL_인건비!$A41,'(참조)BL_인건비'!$A$3:$A$40,0),MATCH('(참조)BL_인건비'!M$2,'(참조)BL_인건비'!$A$2:$O$2,0)),0)</f>
        <v>3362089.8382569905</v>
      </c>
      <c r="AG41" s="72">
        <f>IFERROR(INDEX('(참조)BL_인건비'!$A$3:$O$40,MATCH(BL_인건비!$A41,'(참조)BL_인건비'!$A$3:$A$40,0),MATCH('(참조)BL_인건비'!N$2,'(참조)BL_인건비'!$A$2:$O$2,0)),0)</f>
        <v>3447186.8872515522</v>
      </c>
      <c r="AH41" s="72">
        <f>IFERROR(INDEX('(참조)BL_인건비'!$A$3:$O$40,MATCH(BL_인건비!$A41,'(참조)BL_인건비'!$A$3:$A$40,0),MATCH('(참조)BL_인건비'!O$2,'(참조)BL_인건비'!$A$2:$O$2,0)),0)</f>
        <v>3534437.8072299231</v>
      </c>
      <c r="AI41" s="72">
        <f>IFERROR(INDEX('(참조)BL_인건비'!$A$3:$O$40,MATCH(BL_인건비!$A41,'(참조)BL_인건비'!$A$3:$A$40,0),MATCH('(참조)BL_인건비'!P$2,'(참조)BL_인건비'!$A$2:$O$2,0)),0)</f>
        <v>0</v>
      </c>
      <c r="AJ41" s="72">
        <v>12</v>
      </c>
      <c r="AK41" s="72">
        <v>12</v>
      </c>
      <c r="AL41" s="72">
        <v>12</v>
      </c>
      <c r="AM41" s="72">
        <v>12</v>
      </c>
      <c r="AN41" s="72">
        <v>12</v>
      </c>
      <c r="AO41" s="72">
        <v>12</v>
      </c>
      <c r="AP41" s="72">
        <v>12</v>
      </c>
      <c r="AQ41" s="72">
        <v>12</v>
      </c>
      <c r="AR41" s="72">
        <v>12</v>
      </c>
      <c r="AS41" s="72">
        <v>12</v>
      </c>
      <c r="AT41" s="72">
        <v>12</v>
      </c>
      <c r="AU41" s="73">
        <v>1</v>
      </c>
      <c r="AV41" s="70">
        <v>0</v>
      </c>
      <c r="AW41" s="70">
        <v>0</v>
      </c>
      <c r="AX41" s="56">
        <v>371521271.90864313</v>
      </c>
      <c r="AY41" s="56">
        <v>25401725.473341599</v>
      </c>
      <c r="AZ41" s="56">
        <v>34726216.600510992</v>
      </c>
      <c r="BA41" s="56">
        <v>35605163.534594528</v>
      </c>
      <c r="BB41" s="56">
        <v>36506357.283579394</v>
      </c>
      <c r="BC41" s="56">
        <v>37430360.931258328</v>
      </c>
      <c r="BD41" s="56">
        <v>38377751.813502789</v>
      </c>
      <c r="BE41" s="56">
        <v>39349121.878993921</v>
      </c>
      <c r="BF41" s="56">
        <v>40345078.059083901</v>
      </c>
      <c r="BG41" s="56">
        <v>41366242.647018626</v>
      </c>
      <c r="BH41" s="56">
        <v>42413253.686759062</v>
      </c>
      <c r="BI41" s="56">
        <v>0</v>
      </c>
      <c r="BJ41" s="74">
        <v>2116810.4561117999</v>
      </c>
      <c r="BK41" s="56">
        <v>2116810.4561117999</v>
      </c>
      <c r="BL41" s="56">
        <v>2116810.4561117999</v>
      </c>
      <c r="BM41" s="56">
        <v>2116810.4561117999</v>
      </c>
      <c r="BN41" s="56">
        <v>2116810.4561117999</v>
      </c>
      <c r="BO41" s="56">
        <v>2116810.4561117999</v>
      </c>
      <c r="BP41" s="56">
        <v>2116810.4561117999</v>
      </c>
      <c r="BQ41" s="56">
        <v>2116810.4561117999</v>
      </c>
      <c r="BR41" s="56">
        <v>2116810.4561117999</v>
      </c>
      <c r="BS41" s="56">
        <v>2116810.4561117999</v>
      </c>
      <c r="BT41" s="56">
        <v>2116810.4561117999</v>
      </c>
      <c r="BU41" s="56">
        <v>2116810.4561117999</v>
      </c>
      <c r="BV41" s="56">
        <v>2893851.3833759152</v>
      </c>
      <c r="BW41" s="56">
        <v>2893851.3833759152</v>
      </c>
      <c r="BX41" s="56">
        <v>2893851.3833759152</v>
      </c>
      <c r="BY41" s="56">
        <v>2893851.3833759152</v>
      </c>
      <c r="BZ41" s="56">
        <v>2893851.3833759152</v>
      </c>
      <c r="CA41" s="56">
        <v>2893851.3833759152</v>
      </c>
      <c r="CB41" s="56">
        <v>2893851.3833759152</v>
      </c>
      <c r="CC41" s="56">
        <v>2893851.3833759152</v>
      </c>
      <c r="CD41" s="56">
        <v>2893851.3833759152</v>
      </c>
      <c r="CE41" s="56">
        <v>2893851.3833759152</v>
      </c>
      <c r="CF41" s="56">
        <v>2893851.3833759152</v>
      </c>
      <c r="CG41" s="56">
        <v>2893851.3833759152</v>
      </c>
      <c r="CH41" s="56">
        <v>2967096.9612162109</v>
      </c>
      <c r="CI41" s="56">
        <v>2967096.9612162109</v>
      </c>
      <c r="CJ41" s="56">
        <v>2967096.9612162109</v>
      </c>
      <c r="CK41" s="56">
        <v>2967096.9612162109</v>
      </c>
      <c r="CL41" s="56">
        <v>2967096.9612162109</v>
      </c>
      <c r="CM41" s="56">
        <v>2967096.9612162109</v>
      </c>
      <c r="CN41" s="56">
        <v>2967096.9612162109</v>
      </c>
      <c r="CO41" s="56">
        <v>2967096.9612162109</v>
      </c>
      <c r="CP41" s="56">
        <v>2967096.9612162109</v>
      </c>
      <c r="CQ41" s="56">
        <v>2967096.9612162109</v>
      </c>
      <c r="CR41" s="56">
        <v>2967096.9612162109</v>
      </c>
      <c r="CS41" s="56">
        <v>2967096.9612162109</v>
      </c>
      <c r="CT41" s="56">
        <v>3042196.4402982835</v>
      </c>
      <c r="CU41" s="56">
        <v>3042196.4402982835</v>
      </c>
      <c r="CV41" s="56">
        <v>3042196.4402982835</v>
      </c>
      <c r="CW41" s="56">
        <v>3042196.4402982835</v>
      </c>
      <c r="CX41" s="56">
        <v>3042196.4402982835</v>
      </c>
      <c r="CY41" s="56">
        <v>3042196.4402982835</v>
      </c>
      <c r="CZ41" s="56">
        <v>3042196.4402982835</v>
      </c>
      <c r="DA41" s="56">
        <v>3042196.4402982835</v>
      </c>
      <c r="DB41" s="56">
        <v>3042196.4402982835</v>
      </c>
      <c r="DC41" s="56">
        <v>3042196.4402982835</v>
      </c>
      <c r="DD41" s="56">
        <v>3042196.4402982835</v>
      </c>
      <c r="DE41" s="56">
        <v>3042196.4402982835</v>
      </c>
      <c r="DF41" s="56">
        <v>3119196.7442715275</v>
      </c>
      <c r="DG41" s="56">
        <v>3119196.7442715275</v>
      </c>
      <c r="DH41" s="56">
        <v>3119196.7442715275</v>
      </c>
      <c r="DI41" s="56">
        <v>3119196.7442715275</v>
      </c>
      <c r="DJ41" s="56">
        <v>3119196.7442715275</v>
      </c>
      <c r="DK41" s="56">
        <v>3119196.7442715275</v>
      </c>
      <c r="DL41" s="56">
        <v>3119196.7442715275</v>
      </c>
      <c r="DM41" s="56">
        <v>3119196.7442715275</v>
      </c>
      <c r="DN41" s="56">
        <v>3119196.7442715275</v>
      </c>
      <c r="DO41" s="56">
        <v>3119196.7442715275</v>
      </c>
      <c r="DP41" s="56">
        <v>3119196.7442715275</v>
      </c>
      <c r="DQ41" s="56">
        <v>3119196.7442715275</v>
      </c>
      <c r="DR41" s="56">
        <v>3198145.9844585657</v>
      </c>
      <c r="DS41" s="56">
        <v>3198145.9844585657</v>
      </c>
      <c r="DT41" s="56">
        <v>3198145.9844585657</v>
      </c>
      <c r="DU41" s="56">
        <v>3198145.9844585657</v>
      </c>
      <c r="DV41" s="56">
        <v>3198145.9844585657</v>
      </c>
      <c r="DW41" s="56">
        <v>3198145.9844585657</v>
      </c>
      <c r="DX41" s="56">
        <v>3198145.9844585657</v>
      </c>
      <c r="DY41" s="56">
        <v>3198145.9844585657</v>
      </c>
      <c r="DZ41" s="56">
        <v>3198145.9844585657</v>
      </c>
      <c r="EA41" s="56">
        <v>3198145.9844585657</v>
      </c>
      <c r="EB41" s="56">
        <v>3198145.9844585657</v>
      </c>
      <c r="EC41" s="56">
        <v>3198145.9844585657</v>
      </c>
      <c r="ED41" s="56">
        <v>3279093.4899161602</v>
      </c>
      <c r="EE41" s="56">
        <v>3279093.4899161602</v>
      </c>
      <c r="EF41" s="56">
        <v>3279093.4899161602</v>
      </c>
      <c r="EG41" s="56">
        <v>3279093.4899161602</v>
      </c>
      <c r="EH41" s="56">
        <v>3279093.4899161602</v>
      </c>
      <c r="EI41" s="56">
        <v>3279093.4899161602</v>
      </c>
      <c r="EJ41" s="56">
        <v>3279093.4899161602</v>
      </c>
      <c r="EK41" s="56">
        <v>3279093.4899161602</v>
      </c>
      <c r="EL41" s="56">
        <v>3279093.4899161602</v>
      </c>
      <c r="EM41" s="56">
        <v>3279093.4899161602</v>
      </c>
      <c r="EN41" s="56">
        <v>3279093.4899161602</v>
      </c>
      <c r="EO41" s="56">
        <v>3279093.4899161602</v>
      </c>
      <c r="EP41" s="56">
        <v>3362089.8382569905</v>
      </c>
      <c r="EQ41" s="56">
        <v>3362089.8382569905</v>
      </c>
      <c r="ER41" s="56">
        <v>3362089.8382569905</v>
      </c>
      <c r="ES41" s="56">
        <v>3362089.8382569905</v>
      </c>
      <c r="ET41" s="56">
        <v>3362089.8382569905</v>
      </c>
      <c r="EU41" s="56">
        <v>3362089.8382569905</v>
      </c>
      <c r="EV41" s="56">
        <v>3362089.8382569905</v>
      </c>
      <c r="EW41" s="56">
        <v>3362089.8382569905</v>
      </c>
      <c r="EX41" s="56">
        <v>3362089.8382569905</v>
      </c>
      <c r="EY41" s="56">
        <v>3362089.8382569905</v>
      </c>
      <c r="EZ41" s="56">
        <v>3362089.8382569905</v>
      </c>
      <c r="FA41" s="56">
        <v>3362089.8382569905</v>
      </c>
      <c r="FB41" s="56">
        <v>3447186.8872515522</v>
      </c>
      <c r="FC41" s="56">
        <v>3447186.8872515522</v>
      </c>
      <c r="FD41" s="56">
        <v>3447186.8872515522</v>
      </c>
      <c r="FE41" s="56">
        <v>3447186.8872515522</v>
      </c>
      <c r="FF41" s="56">
        <v>3447186.8872515522</v>
      </c>
      <c r="FG41" s="56">
        <v>3447186.8872515522</v>
      </c>
      <c r="FH41" s="56">
        <v>3447186.8872515522</v>
      </c>
      <c r="FI41" s="56">
        <v>3447186.8872515522</v>
      </c>
      <c r="FJ41" s="56">
        <v>3447186.8872515522</v>
      </c>
      <c r="FK41" s="56">
        <v>3447186.8872515522</v>
      </c>
      <c r="FL41" s="56">
        <v>3447186.8872515522</v>
      </c>
      <c r="FM41" s="56">
        <v>3447186.8872515522</v>
      </c>
      <c r="FN41" s="56">
        <v>3534437.8072299231</v>
      </c>
      <c r="FO41" s="56">
        <v>3534437.8072299231</v>
      </c>
      <c r="FP41" s="56">
        <v>3534437.8072299231</v>
      </c>
      <c r="FQ41" s="56">
        <v>3534437.8072299231</v>
      </c>
      <c r="FR41" s="56">
        <v>3534437.8072299231</v>
      </c>
      <c r="FS41" s="56">
        <v>3534437.8072299231</v>
      </c>
      <c r="FT41" s="56">
        <v>3534437.8072299231</v>
      </c>
      <c r="FU41" s="56">
        <v>3534437.8072299231</v>
      </c>
      <c r="FV41" s="56">
        <v>3534437.8072299231</v>
      </c>
      <c r="FW41" s="56">
        <v>3534437.8072299231</v>
      </c>
      <c r="FX41" s="56">
        <v>3534437.8072299231</v>
      </c>
      <c r="FY41" s="56">
        <v>3534437.8072299231</v>
      </c>
      <c r="FZ41" s="56">
        <v>0</v>
      </c>
      <c r="GA41" s="56">
        <v>0</v>
      </c>
      <c r="GB41" s="56">
        <v>0</v>
      </c>
      <c r="GC41" s="56">
        <v>0</v>
      </c>
      <c r="GD41" s="56">
        <v>0</v>
      </c>
      <c r="GE41" s="56">
        <v>0</v>
      </c>
      <c r="GF41" s="56">
        <v>0</v>
      </c>
      <c r="GG41" s="56">
        <v>0</v>
      </c>
      <c r="GH41" s="56">
        <v>0</v>
      </c>
      <c r="GI41" s="56">
        <v>0</v>
      </c>
      <c r="GJ41" s="56">
        <v>0</v>
      </c>
      <c r="GK41" s="85">
        <v>0</v>
      </c>
      <c r="GL41" s="40"/>
    </row>
    <row r="42" spans="1:194" ht="18" thickBot="1" x14ac:dyDescent="0.45">
      <c r="A42" s="62" t="s">
        <v>315</v>
      </c>
      <c r="B42" s="63" t="s">
        <v>316</v>
      </c>
      <c r="C42" s="63" t="s">
        <v>397</v>
      </c>
      <c r="D42" s="63" t="s">
        <v>209</v>
      </c>
      <c r="E42" s="63" t="s">
        <v>193</v>
      </c>
      <c r="F42" s="63" t="s">
        <v>194</v>
      </c>
      <c r="G42" s="63" t="s">
        <v>299</v>
      </c>
      <c r="H42" s="63">
        <v>0</v>
      </c>
      <c r="I42" s="63">
        <v>0</v>
      </c>
      <c r="J42" s="63" t="s">
        <v>210</v>
      </c>
      <c r="K42" s="63">
        <v>0</v>
      </c>
      <c r="L42" s="63" t="s">
        <v>211</v>
      </c>
      <c r="M42" s="64">
        <f>IFERROR(INDEX('(참조)BL_인건비'!$S$3:$AG$40,MATCH(BL_인건비!$A42,'(참조)BL_인건비'!$S$3:$S$40,0),MATCH('(참조)BL_인건비'!X$2,'(참조)BL_인건비'!$S$2:$AG$2,0)),0)</f>
        <v>0.75</v>
      </c>
      <c r="N42" s="64">
        <f>IFERROR(INDEX('(참조)BL_인건비'!$S$3:$AG$40,MATCH(BL_인건비!$A42,'(참조)BL_인건비'!$S$3:$S$40,0),MATCH('(참조)BL_인건비'!Y$2,'(참조)BL_인건비'!$S$2:$AG$2,0)),0)</f>
        <v>1</v>
      </c>
      <c r="O42" s="64">
        <f>IFERROR(INDEX('(참조)BL_인건비'!$S$3:$AG$40,MATCH(BL_인건비!$A42,'(참조)BL_인건비'!$S$3:$S$40,0),MATCH('(참조)BL_인건비'!Z$2,'(참조)BL_인건비'!$S$2:$AG$2,0)),0)</f>
        <v>1</v>
      </c>
      <c r="P42" s="64">
        <f>IFERROR(INDEX('(참조)BL_인건비'!$S$3:$AG$40,MATCH(BL_인건비!$A42,'(참조)BL_인건비'!$S$3:$S$40,0),MATCH('(참조)BL_인건비'!AA$2,'(참조)BL_인건비'!$S$2:$AG$2,0)),0)</f>
        <v>1</v>
      </c>
      <c r="Q42" s="64">
        <f>IFERROR(INDEX('(참조)BL_인건비'!$S$3:$AG$40,MATCH(BL_인건비!$A42,'(참조)BL_인건비'!$S$3:$S$40,0),MATCH('(참조)BL_인건비'!AB$2,'(참조)BL_인건비'!$S$2:$AG$2,0)),0)</f>
        <v>1</v>
      </c>
      <c r="R42" s="64">
        <f>IFERROR(INDEX('(참조)BL_인건비'!$S$3:$AG$40,MATCH(BL_인건비!$A42,'(참조)BL_인건비'!$S$3:$S$40,0),MATCH('(참조)BL_인건비'!AC$2,'(참조)BL_인건비'!$S$2:$AG$2,0)),0)</f>
        <v>1</v>
      </c>
      <c r="S42" s="64">
        <f>IFERROR(INDEX('(참조)BL_인건비'!$S$3:$AG$40,MATCH(BL_인건비!$A42,'(참조)BL_인건비'!$S$3:$S$40,0),MATCH('(참조)BL_인건비'!AD$2,'(참조)BL_인건비'!$S$2:$AG$2,0)),0)</f>
        <v>1</v>
      </c>
      <c r="T42" s="64">
        <f>IFERROR(INDEX('(참조)BL_인건비'!$S$3:$AG$40,MATCH(BL_인건비!$A42,'(참조)BL_인건비'!$S$3:$S$40,0),MATCH('(참조)BL_인건비'!AE$2,'(참조)BL_인건비'!$S$2:$AG$2,0)),0)</f>
        <v>1</v>
      </c>
      <c r="U42" s="64">
        <f>IFERROR(INDEX('(참조)BL_인건비'!$S$3:$AG$40,MATCH(BL_인건비!$A42,'(참조)BL_인건비'!$S$3:$S$40,0),MATCH('(참조)BL_인건비'!AF$2,'(참조)BL_인건비'!$S$2:$AG$2,0)),0)</f>
        <v>1</v>
      </c>
      <c r="V42" s="64">
        <f>IFERROR(INDEX('(참조)BL_인건비'!$S$3:$AG$40,MATCH(BL_인건비!$A42,'(참조)BL_인건비'!$S$3:$S$40,0),MATCH('(참조)BL_인건비'!AG$2,'(참조)BL_인건비'!$S$2:$AG$2,0)),0)</f>
        <v>1</v>
      </c>
      <c r="W42" s="64">
        <f>IFERROR(INDEX('(참조)BL_인건비'!$S$3:$AG$40,MATCH(BL_인건비!$A42,'(참조)BL_인건비'!$S$3:$S$40,0),MATCH('(참조)BL_인건비'!AH$2,'(참조)BL_인건비'!$S$2:$AG$2,0)),0)</f>
        <v>0</v>
      </c>
      <c r="X42" s="64">
        <v>0</v>
      </c>
      <c r="Y42" s="65">
        <f>IFERROR(INDEX('(참조)BL_인건비'!$A$3:$O$40,MATCH(BL_인건비!$A42,'(참조)BL_인건비'!$A$3:$A$40,0),MATCH('(참조)BL_인건비'!F$2,'(참조)BL_인건비'!$A$2:$O$2,0)),0)</f>
        <v>3934599.2821772001</v>
      </c>
      <c r="Z42" s="65">
        <f>IFERROR(INDEX('(참조)BL_인건비'!$A$3:$O$40,MATCH(BL_인건비!$A42,'(참조)BL_인건비'!$A$3:$A$40,0),MATCH('(참조)BL_인건비'!G$2,'(참조)BL_인건비'!$A$2:$O$2,0)),0)</f>
        <v>4034186.9803045592</v>
      </c>
      <c r="AA42" s="65">
        <f>IFERROR(INDEX('(참조)BL_인건비'!$A$3:$O$40,MATCH(BL_인건비!$A42,'(참조)BL_인건비'!$A$3:$A$40,0),MATCH('(참조)BL_인건비'!H$2,'(참조)BL_인건비'!$A$2:$O$2,0)),0)</f>
        <v>4136295.3187581724</v>
      </c>
      <c r="AB42" s="65">
        <f>IFERROR(INDEX('(참조)BL_인건비'!$A$3:$O$40,MATCH(BL_인건비!$A42,'(참조)BL_인건비'!$A$3:$A$40,0),MATCH('(참조)BL_인건비'!I$2,'(참조)BL_인건비'!$A$2:$O$2,0)),0)</f>
        <v>4240988.0968603836</v>
      </c>
      <c r="AC42" s="65">
        <f>IFERROR(INDEX('(참조)BL_인건비'!$A$3:$O$40,MATCH(BL_인건비!$A42,'(참조)BL_인건비'!$A$3:$A$40,0),MATCH('(참조)BL_인건비'!J$2,'(참조)BL_인건비'!$A$2:$O$2,0)),0)</f>
        <v>4348330.7287428733</v>
      </c>
      <c r="AD42" s="65">
        <f>IFERROR(INDEX('(참조)BL_인건비'!$A$3:$O$40,MATCH(BL_인건비!$A42,'(참조)BL_인건비'!$A$3:$A$40,0),MATCH('(참조)BL_인건비'!K$2,'(참조)BL_인건비'!$A$2:$O$2,0)),0)</f>
        <v>4458390.284218709</v>
      </c>
      <c r="AE42" s="65">
        <f>IFERROR(INDEX('(참조)BL_인건비'!$A$3:$O$40,MATCH(BL_인건비!$A42,'(참조)BL_인건비'!$A$3:$A$40,0),MATCH('(참조)BL_인건비'!L$2,'(참조)BL_인건비'!$A$2:$O$2,0)),0)</f>
        <v>4571235.5306889005</v>
      </c>
      <c r="AF42" s="65">
        <f>IFERROR(INDEX('(참조)BL_인건비'!$A$3:$O$40,MATCH(BL_인건비!$A42,'(참조)BL_인건비'!$A$3:$A$40,0),MATCH('(참조)BL_인건비'!M$2,'(참조)BL_인건비'!$A$2:$O$2,0)),0)</f>
        <v>4686936.9761096397</v>
      </c>
      <c r="AG42" s="65">
        <f>IFERROR(INDEX('(참조)BL_인건비'!$A$3:$O$40,MATCH(BL_인건비!$A42,'(참조)BL_인건비'!$A$3:$A$40,0),MATCH('(참조)BL_인건비'!N$2,'(참조)BL_인건비'!$A$2:$O$2,0)),0)</f>
        <v>4805566.9130470762</v>
      </c>
      <c r="AH42" s="65">
        <f>IFERROR(INDEX('(참조)BL_인건비'!$A$3:$O$40,MATCH(BL_인건비!$A42,'(참조)BL_인건비'!$A$3:$A$40,0),MATCH('(참조)BL_인건비'!O$2,'(참조)BL_인건비'!$A$2:$O$2,0)),0)</f>
        <v>4927199.463847152</v>
      </c>
      <c r="AI42" s="65">
        <f>IFERROR(INDEX('(참조)BL_인건비'!$A$3:$O$40,MATCH(BL_인건비!$A42,'(참조)BL_인건비'!$A$3:$A$40,0),MATCH('(참조)BL_인건비'!P$2,'(참조)BL_인건비'!$A$2:$O$2,0)),0)</f>
        <v>0</v>
      </c>
      <c r="AJ42" s="65">
        <v>12</v>
      </c>
      <c r="AK42" s="65">
        <v>12</v>
      </c>
      <c r="AL42" s="65">
        <v>12</v>
      </c>
      <c r="AM42" s="65">
        <v>12</v>
      </c>
      <c r="AN42" s="65">
        <v>12</v>
      </c>
      <c r="AO42" s="65">
        <v>12</v>
      </c>
      <c r="AP42" s="65">
        <v>12</v>
      </c>
      <c r="AQ42" s="65">
        <v>12</v>
      </c>
      <c r="AR42" s="65">
        <v>12</v>
      </c>
      <c r="AS42" s="65">
        <v>12</v>
      </c>
      <c r="AT42" s="65">
        <v>12</v>
      </c>
      <c r="AU42" s="66">
        <v>1</v>
      </c>
      <c r="AV42" s="63">
        <v>0</v>
      </c>
      <c r="AW42" s="63">
        <v>0</v>
      </c>
      <c r="AX42" s="67">
        <v>517920957.05052429</v>
      </c>
      <c r="AY42" s="67">
        <v>35411393.539594799</v>
      </c>
      <c r="AZ42" s="67">
        <v>48410243.763654716</v>
      </c>
      <c r="BA42" s="67">
        <v>49635543.825098075</v>
      </c>
      <c r="BB42" s="67">
        <v>50891857.162324615</v>
      </c>
      <c r="BC42" s="67">
        <v>52179968.744914494</v>
      </c>
      <c r="BD42" s="67">
        <v>53500683.410624497</v>
      </c>
      <c r="BE42" s="67">
        <v>54854826.368266791</v>
      </c>
      <c r="BF42" s="67">
        <v>56243243.713315673</v>
      </c>
      <c r="BG42" s="67">
        <v>57666802.956564911</v>
      </c>
      <c r="BH42" s="67">
        <v>59126393.566165827</v>
      </c>
      <c r="BI42" s="67">
        <v>0</v>
      </c>
      <c r="BJ42" s="68">
        <v>2950949.4616328999</v>
      </c>
      <c r="BK42" s="67">
        <v>2950949.4616328999</v>
      </c>
      <c r="BL42" s="67">
        <v>2950949.4616328999</v>
      </c>
      <c r="BM42" s="67">
        <v>2950949.4616328999</v>
      </c>
      <c r="BN42" s="67">
        <v>2950949.4616328999</v>
      </c>
      <c r="BO42" s="67">
        <v>2950949.4616328999</v>
      </c>
      <c r="BP42" s="67">
        <v>2950949.4616328999</v>
      </c>
      <c r="BQ42" s="67">
        <v>2950949.4616328999</v>
      </c>
      <c r="BR42" s="67">
        <v>2950949.4616328999</v>
      </c>
      <c r="BS42" s="67">
        <v>2950949.4616328999</v>
      </c>
      <c r="BT42" s="67">
        <v>2950949.4616328999</v>
      </c>
      <c r="BU42" s="67">
        <v>2950949.4616328999</v>
      </c>
      <c r="BV42" s="67">
        <v>4034186.9803045592</v>
      </c>
      <c r="BW42" s="67">
        <v>4034186.9803045592</v>
      </c>
      <c r="BX42" s="67">
        <v>4034186.9803045592</v>
      </c>
      <c r="BY42" s="67">
        <v>4034186.9803045592</v>
      </c>
      <c r="BZ42" s="67">
        <v>4034186.9803045592</v>
      </c>
      <c r="CA42" s="67">
        <v>4034186.9803045592</v>
      </c>
      <c r="CB42" s="67">
        <v>4034186.9803045592</v>
      </c>
      <c r="CC42" s="67">
        <v>4034186.9803045592</v>
      </c>
      <c r="CD42" s="67">
        <v>4034186.9803045592</v>
      </c>
      <c r="CE42" s="67">
        <v>4034186.9803045592</v>
      </c>
      <c r="CF42" s="67">
        <v>4034186.9803045592</v>
      </c>
      <c r="CG42" s="67">
        <v>4034186.9803045592</v>
      </c>
      <c r="CH42" s="67">
        <v>4136295.3187581724</v>
      </c>
      <c r="CI42" s="67">
        <v>4136295.3187581724</v>
      </c>
      <c r="CJ42" s="67">
        <v>4136295.3187581724</v>
      </c>
      <c r="CK42" s="67">
        <v>4136295.3187581724</v>
      </c>
      <c r="CL42" s="67">
        <v>4136295.3187581724</v>
      </c>
      <c r="CM42" s="67">
        <v>4136295.3187581724</v>
      </c>
      <c r="CN42" s="67">
        <v>4136295.3187581724</v>
      </c>
      <c r="CO42" s="67">
        <v>4136295.3187581724</v>
      </c>
      <c r="CP42" s="67">
        <v>4136295.3187581724</v>
      </c>
      <c r="CQ42" s="67">
        <v>4136295.3187581724</v>
      </c>
      <c r="CR42" s="67">
        <v>4136295.3187581724</v>
      </c>
      <c r="CS42" s="67">
        <v>4136295.3187581724</v>
      </c>
      <c r="CT42" s="67">
        <v>4240988.0968603836</v>
      </c>
      <c r="CU42" s="67">
        <v>4240988.0968603836</v>
      </c>
      <c r="CV42" s="67">
        <v>4240988.0968603836</v>
      </c>
      <c r="CW42" s="67">
        <v>4240988.0968603836</v>
      </c>
      <c r="CX42" s="67">
        <v>4240988.0968603836</v>
      </c>
      <c r="CY42" s="67">
        <v>4240988.0968603836</v>
      </c>
      <c r="CZ42" s="67">
        <v>4240988.0968603836</v>
      </c>
      <c r="DA42" s="67">
        <v>4240988.0968603836</v>
      </c>
      <c r="DB42" s="67">
        <v>4240988.0968603836</v>
      </c>
      <c r="DC42" s="67">
        <v>4240988.0968603836</v>
      </c>
      <c r="DD42" s="67">
        <v>4240988.0968603836</v>
      </c>
      <c r="DE42" s="67">
        <v>4240988.0968603836</v>
      </c>
      <c r="DF42" s="67">
        <v>4348330.7287428733</v>
      </c>
      <c r="DG42" s="67">
        <v>4348330.7287428733</v>
      </c>
      <c r="DH42" s="67">
        <v>4348330.7287428733</v>
      </c>
      <c r="DI42" s="67">
        <v>4348330.7287428733</v>
      </c>
      <c r="DJ42" s="67">
        <v>4348330.7287428733</v>
      </c>
      <c r="DK42" s="67">
        <v>4348330.7287428733</v>
      </c>
      <c r="DL42" s="67">
        <v>4348330.7287428733</v>
      </c>
      <c r="DM42" s="67">
        <v>4348330.7287428733</v>
      </c>
      <c r="DN42" s="67">
        <v>4348330.7287428733</v>
      </c>
      <c r="DO42" s="67">
        <v>4348330.7287428733</v>
      </c>
      <c r="DP42" s="67">
        <v>4348330.7287428733</v>
      </c>
      <c r="DQ42" s="67">
        <v>4348330.7287428733</v>
      </c>
      <c r="DR42" s="67">
        <v>4458390.284218709</v>
      </c>
      <c r="DS42" s="67">
        <v>4458390.284218709</v>
      </c>
      <c r="DT42" s="67">
        <v>4458390.284218709</v>
      </c>
      <c r="DU42" s="67">
        <v>4458390.284218709</v>
      </c>
      <c r="DV42" s="67">
        <v>4458390.284218709</v>
      </c>
      <c r="DW42" s="67">
        <v>4458390.284218709</v>
      </c>
      <c r="DX42" s="67">
        <v>4458390.284218709</v>
      </c>
      <c r="DY42" s="67">
        <v>4458390.284218709</v>
      </c>
      <c r="DZ42" s="67">
        <v>4458390.284218709</v>
      </c>
      <c r="EA42" s="67">
        <v>4458390.284218709</v>
      </c>
      <c r="EB42" s="67">
        <v>4458390.284218709</v>
      </c>
      <c r="EC42" s="67">
        <v>4458390.284218709</v>
      </c>
      <c r="ED42" s="67">
        <v>4571235.5306889005</v>
      </c>
      <c r="EE42" s="67">
        <v>4571235.5306889005</v>
      </c>
      <c r="EF42" s="67">
        <v>4571235.5306889005</v>
      </c>
      <c r="EG42" s="67">
        <v>4571235.5306889005</v>
      </c>
      <c r="EH42" s="67">
        <v>4571235.5306889005</v>
      </c>
      <c r="EI42" s="67">
        <v>4571235.5306889005</v>
      </c>
      <c r="EJ42" s="67">
        <v>4571235.5306889005</v>
      </c>
      <c r="EK42" s="67">
        <v>4571235.5306889005</v>
      </c>
      <c r="EL42" s="67">
        <v>4571235.5306889005</v>
      </c>
      <c r="EM42" s="67">
        <v>4571235.5306889005</v>
      </c>
      <c r="EN42" s="67">
        <v>4571235.5306889005</v>
      </c>
      <c r="EO42" s="67">
        <v>4571235.5306889005</v>
      </c>
      <c r="EP42" s="67">
        <v>4686936.9761096397</v>
      </c>
      <c r="EQ42" s="67">
        <v>4686936.9761096397</v>
      </c>
      <c r="ER42" s="67">
        <v>4686936.9761096397</v>
      </c>
      <c r="ES42" s="67">
        <v>4686936.9761096397</v>
      </c>
      <c r="ET42" s="67">
        <v>4686936.9761096397</v>
      </c>
      <c r="EU42" s="67">
        <v>4686936.9761096397</v>
      </c>
      <c r="EV42" s="67">
        <v>4686936.9761096397</v>
      </c>
      <c r="EW42" s="67">
        <v>4686936.9761096397</v>
      </c>
      <c r="EX42" s="67">
        <v>4686936.9761096397</v>
      </c>
      <c r="EY42" s="67">
        <v>4686936.9761096397</v>
      </c>
      <c r="EZ42" s="67">
        <v>4686936.9761096397</v>
      </c>
      <c r="FA42" s="67">
        <v>4686936.9761096397</v>
      </c>
      <c r="FB42" s="67">
        <v>4805566.9130470762</v>
      </c>
      <c r="FC42" s="67">
        <v>4805566.9130470762</v>
      </c>
      <c r="FD42" s="67">
        <v>4805566.9130470762</v>
      </c>
      <c r="FE42" s="67">
        <v>4805566.9130470762</v>
      </c>
      <c r="FF42" s="67">
        <v>4805566.9130470762</v>
      </c>
      <c r="FG42" s="67">
        <v>4805566.9130470762</v>
      </c>
      <c r="FH42" s="67">
        <v>4805566.9130470762</v>
      </c>
      <c r="FI42" s="67">
        <v>4805566.9130470762</v>
      </c>
      <c r="FJ42" s="67">
        <v>4805566.9130470762</v>
      </c>
      <c r="FK42" s="67">
        <v>4805566.9130470762</v>
      </c>
      <c r="FL42" s="67">
        <v>4805566.9130470762</v>
      </c>
      <c r="FM42" s="67">
        <v>4805566.9130470762</v>
      </c>
      <c r="FN42" s="67">
        <v>4927199.463847152</v>
      </c>
      <c r="FO42" s="67">
        <v>4927199.463847152</v>
      </c>
      <c r="FP42" s="67">
        <v>4927199.463847152</v>
      </c>
      <c r="FQ42" s="67">
        <v>4927199.463847152</v>
      </c>
      <c r="FR42" s="67">
        <v>4927199.463847152</v>
      </c>
      <c r="FS42" s="67">
        <v>4927199.463847152</v>
      </c>
      <c r="FT42" s="67">
        <v>4927199.463847152</v>
      </c>
      <c r="FU42" s="67">
        <v>4927199.463847152</v>
      </c>
      <c r="FV42" s="67">
        <v>4927199.463847152</v>
      </c>
      <c r="FW42" s="67">
        <v>4927199.463847152</v>
      </c>
      <c r="FX42" s="67">
        <v>4927199.463847152</v>
      </c>
      <c r="FY42" s="67">
        <v>4927199.463847152</v>
      </c>
      <c r="FZ42" s="67">
        <v>0</v>
      </c>
      <c r="GA42" s="67">
        <v>0</v>
      </c>
      <c r="GB42" s="67">
        <v>0</v>
      </c>
      <c r="GC42" s="67">
        <v>0</v>
      </c>
      <c r="GD42" s="67">
        <v>0</v>
      </c>
      <c r="GE42" s="67">
        <v>0</v>
      </c>
      <c r="GF42" s="67">
        <v>0</v>
      </c>
      <c r="GG42" s="67">
        <v>0</v>
      </c>
      <c r="GH42" s="67">
        <v>0</v>
      </c>
      <c r="GI42" s="67">
        <v>0</v>
      </c>
      <c r="GJ42" s="67">
        <v>0</v>
      </c>
      <c r="GK42" s="69">
        <v>0</v>
      </c>
      <c r="GL42" s="40"/>
    </row>
  </sheetData>
  <phoneticPr fontId="1" type="noConversion"/>
  <conditionalFormatting sqref="AV5:AW42 A5:X42">
    <cfRule type="expression" dxfId="8" priority="10">
      <formula>OR($D5="MA",$D5="운영")</formula>
    </cfRule>
  </conditionalFormatting>
  <conditionalFormatting sqref="AJ5:AT42">
    <cfRule type="expression" dxfId="7" priority="7">
      <formula>OR($D5="MA",$D5="운영")</formula>
    </cfRule>
  </conditionalFormatting>
  <conditionalFormatting sqref="Y5:AI42">
    <cfRule type="expression" dxfId="6" priority="4">
      <formula>OR($D5="MA",$D5="운영")</formula>
    </cfRule>
  </conditionalFormatting>
  <dataValidations count="1">
    <dataValidation type="list" allowBlank="1" showInputMessage="1" showErrorMessage="1" sqref="E5" xr:uid="{5532F1EB-1813-40E9-928C-D4B85F9CA4F1}">
      <formula1>INDIRECT($D$5)</formula1>
    </dataValidation>
  </dataValidations>
  <hyperlinks>
    <hyperlink ref="A1" location="HOME!A1" display="HOME" xr:uid="{D7D1E6B9-EA3D-4AE7-87C8-D9AA0B73B761}"/>
  </hyperlinks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9699" r:id="rId4" name="OptionButton2">
          <controlPr defaultSize="0" autoFill="0" autoLine="0" autoPict="0" r:id="rId5">
            <anchor moveWithCells="1">
              <from>
                <xdr:col>6</xdr:col>
                <xdr:colOff>1059180</xdr:colOff>
                <xdr:row>0</xdr:row>
                <xdr:rowOff>0</xdr:rowOff>
              </from>
              <to>
                <xdr:col>7</xdr:col>
                <xdr:colOff>830580</xdr:colOff>
                <xdr:row>1</xdr:row>
                <xdr:rowOff>121920</xdr:rowOff>
              </to>
            </anchor>
          </controlPr>
        </control>
      </mc:Choice>
      <mc:Fallback>
        <control shapeId="29699" r:id="rId4" name="OptionButton2"/>
      </mc:Fallback>
    </mc:AlternateContent>
    <mc:AlternateContent xmlns:mc="http://schemas.openxmlformats.org/markup-compatibility/2006">
      <mc:Choice Requires="x14">
        <control shapeId="29698" r:id="rId6" name="OptionButton1">
          <controlPr defaultSize="0" disabled="1" autoFill="0" autoLine="0" r:id="rId7">
            <anchor moveWithCells="1">
              <from>
                <xdr:col>5</xdr:col>
                <xdr:colOff>236220</xdr:colOff>
                <xdr:row>0</xdr:row>
                <xdr:rowOff>22860</xdr:rowOff>
              </from>
              <to>
                <xdr:col>6</xdr:col>
                <xdr:colOff>45720</xdr:colOff>
                <xdr:row>1</xdr:row>
                <xdr:rowOff>83820</xdr:rowOff>
              </to>
            </anchor>
          </controlPr>
        </control>
      </mc:Choice>
      <mc:Fallback>
        <control shapeId="29698" r:id="rId6" name="OptionButton1"/>
      </mc:Fallback>
    </mc:AlternateContent>
    <mc:AlternateContent xmlns:mc="http://schemas.openxmlformats.org/markup-compatibility/2006">
      <mc:Choice Requires="x14">
        <control shapeId="29697" r:id="rId8" name="cmd_BL인건비">
          <controlPr defaultSize="0" autoFill="0" autoLine="0" r:id="rId9">
            <anchor moveWithCells="1">
              <from>
                <xdr:col>3</xdr:col>
                <xdr:colOff>175260</xdr:colOff>
                <xdr:row>0</xdr:row>
                <xdr:rowOff>0</xdr:rowOff>
              </from>
              <to>
                <xdr:col>4</xdr:col>
                <xdr:colOff>487680</xdr:colOff>
                <xdr:row>1</xdr:row>
                <xdr:rowOff>83820</xdr:rowOff>
              </to>
            </anchor>
          </controlPr>
        </control>
      </mc:Choice>
      <mc:Fallback>
        <control shapeId="29697" r:id="rId8" name="cmd_BL인건비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CD35E6-19A3-48A2-B955-6CF57AE695FB}">
  <sheetPr codeName="B2_Sheet">
    <tabColor theme="4" tint="0.59999389629810485"/>
  </sheetPr>
  <dimension ref="A1:GL42"/>
  <sheetViews>
    <sheetView showGridLines="0" zoomScale="70" zoomScaleNormal="70" workbookViewId="0">
      <selection activeCell="E13" sqref="E13"/>
    </sheetView>
  </sheetViews>
  <sheetFormatPr defaultRowHeight="17.399999999999999" x14ac:dyDescent="0.4"/>
  <cols>
    <col min="1" max="1" width="12" bestFit="1" customWidth="1"/>
    <col min="2" max="2" width="9.09765625" bestFit="1" customWidth="1"/>
    <col min="3" max="5" width="7.59765625" customWidth="1"/>
    <col min="6" max="6" width="7.19921875" bestFit="1" customWidth="1"/>
    <col min="7" max="7" width="17.69921875" bestFit="1" customWidth="1"/>
    <col min="8" max="8" width="16.09765625" bestFit="1" customWidth="1"/>
    <col min="9" max="9" width="5.8984375" hidden="1" customWidth="1"/>
    <col min="10" max="10" width="7.59765625" customWidth="1"/>
    <col min="11" max="11" width="6.8984375" hidden="1" customWidth="1"/>
    <col min="12" max="12" width="5.8984375" customWidth="1"/>
    <col min="13" max="21" width="9.5" customWidth="1"/>
    <col min="22" max="23" width="10.5" customWidth="1"/>
    <col min="24" max="24" width="11.19921875" customWidth="1"/>
    <col min="25" max="34" width="13.19921875" bestFit="1" customWidth="1"/>
    <col min="35" max="35" width="10.5" customWidth="1"/>
    <col min="36" max="44" width="7.796875" customWidth="1"/>
    <col min="45" max="46" width="8.796875" customWidth="1"/>
    <col min="47" max="47" width="6.19921875" bestFit="1" customWidth="1"/>
    <col min="48" max="48" width="7.59765625" customWidth="1"/>
    <col min="49" max="49" width="5.8984375" customWidth="1"/>
    <col min="50" max="50" width="16.09765625" bestFit="1" customWidth="1"/>
    <col min="51" max="60" width="15" bestFit="1" customWidth="1"/>
    <col min="61" max="61" width="5.5" customWidth="1"/>
    <col min="62" max="181" width="13.19921875" bestFit="1" customWidth="1"/>
    <col min="182" max="190" width="8.796875" customWidth="1"/>
    <col min="191" max="193" width="9.796875" customWidth="1"/>
  </cols>
  <sheetData>
    <row r="1" spans="1:194" ht="30" customHeight="1" thickBot="1" x14ac:dyDescent="0.45">
      <c r="A1" s="183" t="s">
        <v>540</v>
      </c>
    </row>
    <row r="2" spans="1:194" ht="30" customHeight="1" x14ac:dyDescent="0.4">
      <c r="A2" s="184" t="s">
        <v>561</v>
      </c>
      <c r="M2" s="88">
        <v>146.5</v>
      </c>
      <c r="N2" s="88">
        <v>169.5</v>
      </c>
      <c r="O2" s="88">
        <v>169.5</v>
      </c>
      <c r="P2" s="88">
        <v>169.5</v>
      </c>
      <c r="Q2" s="88">
        <v>169.5</v>
      </c>
      <c r="R2" s="88">
        <v>169.5</v>
      </c>
      <c r="S2" s="88">
        <v>169.5</v>
      </c>
      <c r="T2" s="88">
        <v>169.5</v>
      </c>
      <c r="U2" s="88">
        <v>169.5</v>
      </c>
      <c r="V2" s="88">
        <v>169.5</v>
      </c>
      <c r="W2" s="88">
        <v>0</v>
      </c>
      <c r="Y2" s="89">
        <v>105263599</v>
      </c>
      <c r="Z2" s="89">
        <v>107927900.69102523</v>
      </c>
      <c r="AA2" s="89">
        <v>110659637.88271961</v>
      </c>
      <c r="AB2" s="89">
        <v>113460517.41885598</v>
      </c>
      <c r="AC2" s="89">
        <v>116332289.34472054</v>
      </c>
      <c r="AD2" s="89">
        <v>119276748.00057532</v>
      </c>
      <c r="AE2" s="89">
        <v>122295733.1427983</v>
      </c>
      <c r="AF2" s="89">
        <v>125391131.09339973</v>
      </c>
      <c r="AG2" s="89">
        <v>128564875.91863336</v>
      </c>
      <c r="AH2" s="89">
        <v>131818950.63743958</v>
      </c>
      <c r="AI2" s="89">
        <v>0</v>
      </c>
      <c r="AX2" s="90">
        <v>56953219850.403648</v>
      </c>
      <c r="AY2" s="90">
        <v>4438621253</v>
      </c>
      <c r="AZ2" s="90">
        <v>5268796126.5522242</v>
      </c>
      <c r="BA2" s="90">
        <v>5402153360.8003168</v>
      </c>
      <c r="BB2" s="90">
        <v>5538885967.9987268</v>
      </c>
      <c r="BC2" s="90">
        <v>5679079381.402113</v>
      </c>
      <c r="BD2" s="90">
        <v>5822821196.64573</v>
      </c>
      <c r="BE2" s="90">
        <v>5970201226.4769411</v>
      </c>
      <c r="BF2" s="90">
        <v>6121311556.8720045</v>
      </c>
      <c r="BG2" s="90">
        <v>6276246604.5732174</v>
      </c>
      <c r="BH2" s="90">
        <v>6435103176.082386</v>
      </c>
      <c r="BI2" s="90">
        <v>0</v>
      </c>
      <c r="BJ2" s="91">
        <v>369885104.41666663</v>
      </c>
      <c r="BK2" s="91">
        <v>369885104.41666663</v>
      </c>
      <c r="BL2" s="91">
        <v>369885104.41666663</v>
      </c>
      <c r="BM2" s="91">
        <v>369885104.41666663</v>
      </c>
      <c r="BN2" s="91">
        <v>369885104.41666663</v>
      </c>
      <c r="BO2" s="91">
        <v>369885104.41666663</v>
      </c>
      <c r="BP2" s="91">
        <v>369885104.41666663</v>
      </c>
      <c r="BQ2" s="91">
        <v>369885104.41666663</v>
      </c>
      <c r="BR2" s="91">
        <v>369885104.41666663</v>
      </c>
      <c r="BS2" s="91">
        <v>369885104.41666663</v>
      </c>
      <c r="BT2" s="91">
        <v>369885104.41666663</v>
      </c>
      <c r="BU2" s="91">
        <v>369885104.41666663</v>
      </c>
      <c r="BV2" s="90">
        <v>439066343.87935203</v>
      </c>
      <c r="BW2" s="90">
        <v>439066343.87935203</v>
      </c>
      <c r="BX2" s="90">
        <v>439066343.87935203</v>
      </c>
      <c r="BY2" s="90">
        <v>439066343.87935203</v>
      </c>
      <c r="BZ2" s="90">
        <v>439066343.87935203</v>
      </c>
      <c r="CA2" s="90">
        <v>439066343.87935203</v>
      </c>
      <c r="CB2" s="90">
        <v>439066343.87935203</v>
      </c>
      <c r="CC2" s="90">
        <v>439066343.87935203</v>
      </c>
      <c r="CD2" s="90">
        <v>439066343.87935203</v>
      </c>
      <c r="CE2" s="90">
        <v>439066343.87935203</v>
      </c>
      <c r="CF2" s="90">
        <v>439066343.87935203</v>
      </c>
      <c r="CG2" s="90">
        <v>439066343.87935203</v>
      </c>
      <c r="CH2" s="91">
        <v>450179446.73335981</v>
      </c>
      <c r="CI2" s="91">
        <v>450179446.73335981</v>
      </c>
      <c r="CJ2" s="91">
        <v>450179446.73335981</v>
      </c>
      <c r="CK2" s="91">
        <v>450179446.73335981</v>
      </c>
      <c r="CL2" s="91">
        <v>450179446.73335981</v>
      </c>
      <c r="CM2" s="91">
        <v>450179446.73335981</v>
      </c>
      <c r="CN2" s="91">
        <v>450179446.73335981</v>
      </c>
      <c r="CO2" s="91">
        <v>450179446.73335981</v>
      </c>
      <c r="CP2" s="91">
        <v>6192134865.6666632</v>
      </c>
      <c r="CQ2" s="91">
        <v>6192134865.6666632</v>
      </c>
      <c r="CR2" s="91">
        <v>6192134865.6666632</v>
      </c>
      <c r="CS2" s="91">
        <v>6192134865.6666632</v>
      </c>
      <c r="CT2" s="90">
        <v>6348862505.1392136</v>
      </c>
      <c r="CU2" s="90">
        <v>6348862505.1392136</v>
      </c>
      <c r="CV2" s="90">
        <v>6348862505.1392136</v>
      </c>
      <c r="CW2" s="90">
        <v>6348862505.1392136</v>
      </c>
      <c r="CX2" s="90">
        <v>6348862505.1392136</v>
      </c>
      <c r="CY2" s="90">
        <v>6348862505.1392136</v>
      </c>
      <c r="CZ2" s="90">
        <v>6348862505.1392136</v>
      </c>
      <c r="DA2" s="90">
        <v>6348862505.1392136</v>
      </c>
      <c r="DB2" s="90">
        <v>6348862505.1392136</v>
      </c>
      <c r="DC2" s="90">
        <v>6348862505.1392136</v>
      </c>
      <c r="DD2" s="90">
        <v>6348862505.1392136</v>
      </c>
      <c r="DE2" s="90">
        <v>6348862505.1392136</v>
      </c>
      <c r="DF2" s="91">
        <v>6509557040.27981</v>
      </c>
      <c r="DG2" s="91">
        <v>6509557040.27981</v>
      </c>
      <c r="DH2" s="91">
        <v>6509557040.27981</v>
      </c>
      <c r="DI2" s="91">
        <v>6509557040.27981</v>
      </c>
      <c r="DJ2" s="91">
        <v>6509557040.27981</v>
      </c>
      <c r="DK2" s="91">
        <v>6509557040.27981</v>
      </c>
      <c r="DL2" s="91">
        <v>6509557040.27981</v>
      </c>
      <c r="DM2" s="91">
        <v>6509557040.27981</v>
      </c>
      <c r="DN2" s="91">
        <v>6509557040.27981</v>
      </c>
      <c r="DO2" s="91">
        <v>6509557040.27981</v>
      </c>
      <c r="DP2" s="91">
        <v>6509557040.27981</v>
      </c>
      <c r="DQ2" s="91">
        <v>6509557040.27981</v>
      </c>
      <c r="DR2" s="90">
        <v>6674318876.2326069</v>
      </c>
      <c r="DS2" s="90">
        <v>6674318876.2326069</v>
      </c>
      <c r="DT2" s="90">
        <v>6674318876.2326069</v>
      </c>
      <c r="DU2" s="90">
        <v>6674318876.2326069</v>
      </c>
      <c r="DV2" s="90">
        <v>6674318876.2326069</v>
      </c>
      <c r="DW2" s="90">
        <v>6674318876.2326069</v>
      </c>
      <c r="DX2" s="90">
        <v>6674318876.2326069</v>
      </c>
      <c r="DY2" s="90">
        <v>6674318876.2326069</v>
      </c>
      <c r="DZ2" s="90">
        <v>6674318876.2326069</v>
      </c>
      <c r="EA2" s="90">
        <v>6674318876.2326069</v>
      </c>
      <c r="EB2" s="90">
        <v>6674318876.2326069</v>
      </c>
      <c r="EC2" s="90">
        <v>6674318876.2326069</v>
      </c>
      <c r="ED2" s="91">
        <v>6843250959.4724226</v>
      </c>
      <c r="EE2" s="91">
        <v>6843250959.4724226</v>
      </c>
      <c r="EF2" s="91">
        <v>6843250959.4724226</v>
      </c>
      <c r="EG2" s="91">
        <v>6843250959.4724226</v>
      </c>
      <c r="EH2" s="91">
        <v>6843250959.4724226</v>
      </c>
      <c r="EI2" s="91">
        <v>6843250959.4724226</v>
      </c>
      <c r="EJ2" s="91">
        <v>6843250959.4724226</v>
      </c>
      <c r="EK2" s="91">
        <v>6843250959.4724226</v>
      </c>
      <c r="EL2" s="91">
        <v>6843250959.4724226</v>
      </c>
      <c r="EM2" s="91">
        <v>6843250959.4724226</v>
      </c>
      <c r="EN2" s="91">
        <v>6843250959.4724226</v>
      </c>
      <c r="EO2" s="91">
        <v>6843250959.4724226</v>
      </c>
      <c r="EP2" s="90">
        <v>7016458842.1273699</v>
      </c>
      <c r="EQ2" s="90">
        <v>7016458842.1273699</v>
      </c>
      <c r="ER2" s="90">
        <v>7016458842.1273699</v>
      </c>
      <c r="ES2" s="90">
        <v>7016458842.1273699</v>
      </c>
      <c r="ET2" s="90">
        <v>7016458842.1273699</v>
      </c>
      <c r="EU2" s="90">
        <v>7016458842.1273699</v>
      </c>
      <c r="EV2" s="90">
        <v>7016458842.1273699</v>
      </c>
      <c r="EW2" s="90">
        <v>7016458842.1273699</v>
      </c>
      <c r="EX2" s="90">
        <v>7016458842.1273699</v>
      </c>
      <c r="EY2" s="90">
        <v>7016458842.1273699</v>
      </c>
      <c r="EZ2" s="90">
        <v>7016458842.1273699</v>
      </c>
      <c r="FA2" s="90">
        <v>7016458842.1273699</v>
      </c>
      <c r="FB2" s="91">
        <v>7194050747.9303608</v>
      </c>
      <c r="FC2" s="91">
        <v>7194050747.9303608</v>
      </c>
      <c r="FD2" s="91">
        <v>7194050747.9303608</v>
      </c>
      <c r="FE2" s="91">
        <v>7194050747.9303608</v>
      </c>
      <c r="FF2" s="91">
        <v>7194050747.9303608</v>
      </c>
      <c r="FG2" s="91">
        <v>7194050747.9303608</v>
      </c>
      <c r="FH2" s="91">
        <v>7194050747.9303608</v>
      </c>
      <c r="FI2" s="91">
        <v>7194050747.9303608</v>
      </c>
      <c r="FJ2" s="91">
        <v>7194050747.9303608</v>
      </c>
      <c r="FK2" s="91">
        <v>7194050747.9303608</v>
      </c>
      <c r="FL2" s="91">
        <v>7194050747.9303608</v>
      </c>
      <c r="FM2" s="91">
        <v>7194050747.9303608</v>
      </c>
      <c r="FN2" s="90">
        <v>7376137639.8390474</v>
      </c>
      <c r="FO2" s="90">
        <v>7376137639.8390474</v>
      </c>
      <c r="FP2" s="90">
        <v>7376137639.8390474</v>
      </c>
      <c r="FQ2" s="90">
        <v>7376137639.8390474</v>
      </c>
      <c r="FR2" s="90">
        <v>7376137639.8390474</v>
      </c>
      <c r="FS2" s="90">
        <v>7376137639.8390474</v>
      </c>
      <c r="FT2" s="90">
        <v>7376137639.8390474</v>
      </c>
      <c r="FU2" s="90">
        <v>7376137639.8390474</v>
      </c>
      <c r="FV2" s="90">
        <v>7376137639.8390474</v>
      </c>
      <c r="FW2" s="90">
        <v>7376137639.8390474</v>
      </c>
      <c r="FX2" s="90">
        <v>7376137639.8390474</v>
      </c>
      <c r="FY2" s="90">
        <v>7376137639.8390474</v>
      </c>
      <c r="FZ2" s="91">
        <v>0</v>
      </c>
      <c r="GA2" s="91">
        <v>0</v>
      </c>
      <c r="GB2" s="91">
        <v>0</v>
      </c>
      <c r="GC2" s="91">
        <v>0</v>
      </c>
      <c r="GD2" s="91">
        <v>0</v>
      </c>
      <c r="GE2" s="91">
        <v>0</v>
      </c>
      <c r="GF2" s="91">
        <v>0</v>
      </c>
      <c r="GG2" s="91">
        <v>0</v>
      </c>
      <c r="GH2" s="91">
        <v>0</v>
      </c>
      <c r="GI2" s="91">
        <v>0</v>
      </c>
      <c r="GJ2" s="91">
        <v>0</v>
      </c>
      <c r="GK2" s="92">
        <v>0</v>
      </c>
    </row>
    <row r="3" spans="1:194" ht="18" thickBot="1" x14ac:dyDescent="0.45"/>
    <row r="4" spans="1:194" s="1" customFormat="1" ht="23.25" customHeight="1" x14ac:dyDescent="0.4">
      <c r="A4" s="53" t="s">
        <v>0</v>
      </c>
      <c r="B4" s="54" t="s">
        <v>1</v>
      </c>
      <c r="C4" s="54" t="s">
        <v>2</v>
      </c>
      <c r="D4" s="54" t="s">
        <v>3</v>
      </c>
      <c r="E4" s="54" t="s">
        <v>4</v>
      </c>
      <c r="F4" s="55" t="s">
        <v>148</v>
      </c>
      <c r="G4" s="55" t="s">
        <v>149</v>
      </c>
      <c r="H4" s="55" t="s">
        <v>150</v>
      </c>
      <c r="I4" s="61" t="s">
        <v>151</v>
      </c>
      <c r="J4" s="55" t="s">
        <v>5</v>
      </c>
      <c r="K4" s="61" t="s">
        <v>157</v>
      </c>
      <c r="L4" s="55" t="s">
        <v>6</v>
      </c>
      <c r="M4" s="58" t="s">
        <v>223</v>
      </c>
      <c r="N4" s="58" t="s">
        <v>224</v>
      </c>
      <c r="O4" s="58" t="s">
        <v>225</v>
      </c>
      <c r="P4" s="58" t="s">
        <v>226</v>
      </c>
      <c r="Q4" s="58" t="s">
        <v>227</v>
      </c>
      <c r="R4" s="58" t="s">
        <v>228</v>
      </c>
      <c r="S4" s="58" t="s">
        <v>229</v>
      </c>
      <c r="T4" s="58" t="s">
        <v>230</v>
      </c>
      <c r="U4" s="58" t="s">
        <v>231</v>
      </c>
      <c r="V4" s="58" t="s">
        <v>232</v>
      </c>
      <c r="W4" s="58" t="s">
        <v>233</v>
      </c>
      <c r="X4" s="55" t="s">
        <v>190</v>
      </c>
      <c r="Y4" s="54" t="s">
        <v>212</v>
      </c>
      <c r="Z4" s="54" t="s">
        <v>213</v>
      </c>
      <c r="AA4" s="54" t="s">
        <v>214</v>
      </c>
      <c r="AB4" s="54" t="s">
        <v>215</v>
      </c>
      <c r="AC4" s="54" t="s">
        <v>216</v>
      </c>
      <c r="AD4" s="54" t="s">
        <v>217</v>
      </c>
      <c r="AE4" s="54" t="s">
        <v>218</v>
      </c>
      <c r="AF4" s="54" t="s">
        <v>219</v>
      </c>
      <c r="AG4" s="54" t="s">
        <v>220</v>
      </c>
      <c r="AH4" s="54" t="s">
        <v>221</v>
      </c>
      <c r="AI4" s="54" t="s">
        <v>222</v>
      </c>
      <c r="AJ4" s="58" t="s">
        <v>163</v>
      </c>
      <c r="AK4" s="58" t="s">
        <v>164</v>
      </c>
      <c r="AL4" s="58" t="s">
        <v>165</v>
      </c>
      <c r="AM4" s="58" t="s">
        <v>166</v>
      </c>
      <c r="AN4" s="58" t="s">
        <v>167</v>
      </c>
      <c r="AO4" s="58" t="s">
        <v>168</v>
      </c>
      <c r="AP4" s="58" t="s">
        <v>169</v>
      </c>
      <c r="AQ4" s="58" t="s">
        <v>170</v>
      </c>
      <c r="AR4" s="58" t="s">
        <v>171</v>
      </c>
      <c r="AS4" s="58" t="s">
        <v>172</v>
      </c>
      <c r="AT4" s="58" t="s">
        <v>173</v>
      </c>
      <c r="AU4" s="55" t="s">
        <v>158</v>
      </c>
      <c r="AV4" s="55" t="s">
        <v>159</v>
      </c>
      <c r="AW4" s="55" t="s">
        <v>16</v>
      </c>
      <c r="AX4" s="55" t="s">
        <v>523</v>
      </c>
      <c r="AY4" s="55" t="s">
        <v>41</v>
      </c>
      <c r="AZ4" s="55" t="s">
        <v>139</v>
      </c>
      <c r="BA4" s="55" t="s">
        <v>140</v>
      </c>
      <c r="BB4" s="55" t="s">
        <v>141</v>
      </c>
      <c r="BC4" s="55" t="s">
        <v>142</v>
      </c>
      <c r="BD4" s="55" t="s">
        <v>143</v>
      </c>
      <c r="BE4" s="55" t="s">
        <v>144</v>
      </c>
      <c r="BF4" s="55" t="s">
        <v>145</v>
      </c>
      <c r="BG4" s="55" t="s">
        <v>146</v>
      </c>
      <c r="BH4" s="55" t="s">
        <v>147</v>
      </c>
      <c r="BI4" s="55" t="s">
        <v>188</v>
      </c>
      <c r="BJ4" s="58" t="s">
        <v>17</v>
      </c>
      <c r="BK4" s="58" t="s">
        <v>18</v>
      </c>
      <c r="BL4" s="58" t="s">
        <v>19</v>
      </c>
      <c r="BM4" s="58" t="s">
        <v>20</v>
      </c>
      <c r="BN4" s="58" t="s">
        <v>21</v>
      </c>
      <c r="BO4" s="58" t="s">
        <v>22</v>
      </c>
      <c r="BP4" s="58" t="s">
        <v>23</v>
      </c>
      <c r="BQ4" s="58" t="s">
        <v>24</v>
      </c>
      <c r="BR4" s="58" t="s">
        <v>25</v>
      </c>
      <c r="BS4" s="58" t="s">
        <v>26</v>
      </c>
      <c r="BT4" s="58" t="s">
        <v>27</v>
      </c>
      <c r="BU4" s="58" t="s">
        <v>28</v>
      </c>
      <c r="BV4" s="55" t="s">
        <v>29</v>
      </c>
      <c r="BW4" s="55" t="s">
        <v>30</v>
      </c>
      <c r="BX4" s="55" t="s">
        <v>31</v>
      </c>
      <c r="BY4" s="55" t="s">
        <v>32</v>
      </c>
      <c r="BZ4" s="55" t="s">
        <v>33</v>
      </c>
      <c r="CA4" s="55" t="s">
        <v>34</v>
      </c>
      <c r="CB4" s="55" t="s">
        <v>35</v>
      </c>
      <c r="CC4" s="55" t="s">
        <v>36</v>
      </c>
      <c r="CD4" s="55" t="s">
        <v>37</v>
      </c>
      <c r="CE4" s="55" t="s">
        <v>38</v>
      </c>
      <c r="CF4" s="55" t="s">
        <v>39</v>
      </c>
      <c r="CG4" s="55" t="s">
        <v>40</v>
      </c>
      <c r="CH4" s="58" t="s">
        <v>43</v>
      </c>
      <c r="CI4" s="58" t="s">
        <v>44</v>
      </c>
      <c r="CJ4" s="58" t="s">
        <v>45</v>
      </c>
      <c r="CK4" s="58" t="s">
        <v>46</v>
      </c>
      <c r="CL4" s="58" t="s">
        <v>47</v>
      </c>
      <c r="CM4" s="58" t="s">
        <v>48</v>
      </c>
      <c r="CN4" s="58" t="s">
        <v>49</v>
      </c>
      <c r="CO4" s="58" t="s">
        <v>50</v>
      </c>
      <c r="CP4" s="58" t="s">
        <v>51</v>
      </c>
      <c r="CQ4" s="58" t="s">
        <v>52</v>
      </c>
      <c r="CR4" s="58" t="s">
        <v>53</v>
      </c>
      <c r="CS4" s="58" t="s">
        <v>54</v>
      </c>
      <c r="CT4" s="55" t="s">
        <v>55</v>
      </c>
      <c r="CU4" s="55" t="s">
        <v>56</v>
      </c>
      <c r="CV4" s="55" t="s">
        <v>57</v>
      </c>
      <c r="CW4" s="55" t="s">
        <v>58</v>
      </c>
      <c r="CX4" s="55" t="s">
        <v>59</v>
      </c>
      <c r="CY4" s="55" t="s">
        <v>60</v>
      </c>
      <c r="CZ4" s="55" t="s">
        <v>61</v>
      </c>
      <c r="DA4" s="55" t="s">
        <v>62</v>
      </c>
      <c r="DB4" s="55" t="s">
        <v>63</v>
      </c>
      <c r="DC4" s="55" t="s">
        <v>64</v>
      </c>
      <c r="DD4" s="55" t="s">
        <v>65</v>
      </c>
      <c r="DE4" s="55" t="s">
        <v>66</v>
      </c>
      <c r="DF4" s="58" t="s">
        <v>67</v>
      </c>
      <c r="DG4" s="58" t="s">
        <v>68</v>
      </c>
      <c r="DH4" s="58" t="s">
        <v>69</v>
      </c>
      <c r="DI4" s="58" t="s">
        <v>70</v>
      </c>
      <c r="DJ4" s="58" t="s">
        <v>71</v>
      </c>
      <c r="DK4" s="58" t="s">
        <v>72</v>
      </c>
      <c r="DL4" s="58" t="s">
        <v>73</v>
      </c>
      <c r="DM4" s="58" t="s">
        <v>74</v>
      </c>
      <c r="DN4" s="58" t="s">
        <v>75</v>
      </c>
      <c r="DO4" s="58" t="s">
        <v>76</v>
      </c>
      <c r="DP4" s="58" t="s">
        <v>77</v>
      </c>
      <c r="DQ4" s="58" t="s">
        <v>78</v>
      </c>
      <c r="DR4" s="55" t="s">
        <v>79</v>
      </c>
      <c r="DS4" s="55" t="s">
        <v>80</v>
      </c>
      <c r="DT4" s="55" t="s">
        <v>81</v>
      </c>
      <c r="DU4" s="55" t="s">
        <v>82</v>
      </c>
      <c r="DV4" s="55" t="s">
        <v>83</v>
      </c>
      <c r="DW4" s="55" t="s">
        <v>84</v>
      </c>
      <c r="DX4" s="55" t="s">
        <v>85</v>
      </c>
      <c r="DY4" s="55" t="s">
        <v>86</v>
      </c>
      <c r="DZ4" s="55" t="s">
        <v>87</v>
      </c>
      <c r="EA4" s="55" t="s">
        <v>88</v>
      </c>
      <c r="EB4" s="55" t="s">
        <v>89</v>
      </c>
      <c r="EC4" s="55" t="s">
        <v>90</v>
      </c>
      <c r="ED4" s="58" t="s">
        <v>91</v>
      </c>
      <c r="EE4" s="58" t="s">
        <v>92</v>
      </c>
      <c r="EF4" s="58" t="s">
        <v>93</v>
      </c>
      <c r="EG4" s="58" t="s">
        <v>94</v>
      </c>
      <c r="EH4" s="58" t="s">
        <v>95</v>
      </c>
      <c r="EI4" s="58" t="s">
        <v>96</v>
      </c>
      <c r="EJ4" s="58" t="s">
        <v>97</v>
      </c>
      <c r="EK4" s="58" t="s">
        <v>98</v>
      </c>
      <c r="EL4" s="58" t="s">
        <v>99</v>
      </c>
      <c r="EM4" s="58" t="s">
        <v>100</v>
      </c>
      <c r="EN4" s="58" t="s">
        <v>101</v>
      </c>
      <c r="EO4" s="58" t="s">
        <v>102</v>
      </c>
      <c r="EP4" s="55" t="s">
        <v>103</v>
      </c>
      <c r="EQ4" s="55" t="s">
        <v>104</v>
      </c>
      <c r="ER4" s="55" t="s">
        <v>105</v>
      </c>
      <c r="ES4" s="55" t="s">
        <v>106</v>
      </c>
      <c r="ET4" s="55" t="s">
        <v>107</v>
      </c>
      <c r="EU4" s="55" t="s">
        <v>108</v>
      </c>
      <c r="EV4" s="55" t="s">
        <v>109</v>
      </c>
      <c r="EW4" s="55" t="s">
        <v>110</v>
      </c>
      <c r="EX4" s="55" t="s">
        <v>111</v>
      </c>
      <c r="EY4" s="55" t="s">
        <v>112</v>
      </c>
      <c r="EZ4" s="55" t="s">
        <v>113</v>
      </c>
      <c r="FA4" s="55" t="s">
        <v>114</v>
      </c>
      <c r="FB4" s="58" t="s">
        <v>115</v>
      </c>
      <c r="FC4" s="58" t="s">
        <v>116</v>
      </c>
      <c r="FD4" s="58" t="s">
        <v>117</v>
      </c>
      <c r="FE4" s="58" t="s">
        <v>118</v>
      </c>
      <c r="FF4" s="58" t="s">
        <v>119</v>
      </c>
      <c r="FG4" s="58" t="s">
        <v>120</v>
      </c>
      <c r="FH4" s="58" t="s">
        <v>121</v>
      </c>
      <c r="FI4" s="58" t="s">
        <v>122</v>
      </c>
      <c r="FJ4" s="58" t="s">
        <v>123</v>
      </c>
      <c r="FK4" s="58" t="s">
        <v>124</v>
      </c>
      <c r="FL4" s="58" t="s">
        <v>125</v>
      </c>
      <c r="FM4" s="58" t="s">
        <v>126</v>
      </c>
      <c r="FN4" s="55" t="s">
        <v>127</v>
      </c>
      <c r="FO4" s="55" t="s">
        <v>128</v>
      </c>
      <c r="FP4" s="55" t="s">
        <v>129</v>
      </c>
      <c r="FQ4" s="55" t="s">
        <v>130</v>
      </c>
      <c r="FR4" s="55" t="s">
        <v>131</v>
      </c>
      <c r="FS4" s="55" t="s">
        <v>132</v>
      </c>
      <c r="FT4" s="55" t="s">
        <v>133</v>
      </c>
      <c r="FU4" s="55" t="s">
        <v>134</v>
      </c>
      <c r="FV4" s="55" t="s">
        <v>135</v>
      </c>
      <c r="FW4" s="55" t="s">
        <v>136</v>
      </c>
      <c r="FX4" s="55" t="s">
        <v>137</v>
      </c>
      <c r="FY4" s="55" t="s">
        <v>138</v>
      </c>
      <c r="FZ4" s="58" t="s">
        <v>176</v>
      </c>
      <c r="GA4" s="58" t="s">
        <v>177</v>
      </c>
      <c r="GB4" s="58" t="s">
        <v>178</v>
      </c>
      <c r="GC4" s="58" t="s">
        <v>179</v>
      </c>
      <c r="GD4" s="58" t="s">
        <v>180</v>
      </c>
      <c r="GE4" s="58" t="s">
        <v>181</v>
      </c>
      <c r="GF4" s="58" t="s">
        <v>182</v>
      </c>
      <c r="GG4" s="58" t="s">
        <v>183</v>
      </c>
      <c r="GH4" s="58" t="s">
        <v>184</v>
      </c>
      <c r="GI4" s="58" t="s">
        <v>185</v>
      </c>
      <c r="GJ4" s="58" t="s">
        <v>186</v>
      </c>
      <c r="GK4" s="59" t="s">
        <v>187</v>
      </c>
    </row>
    <row r="5" spans="1:194" x14ac:dyDescent="0.4">
      <c r="A5" s="82" t="s">
        <v>234</v>
      </c>
      <c r="B5" s="76" t="s">
        <v>174</v>
      </c>
      <c r="C5" s="76" t="s">
        <v>398</v>
      </c>
      <c r="D5" s="76" t="s">
        <v>209</v>
      </c>
      <c r="E5" s="76" t="s">
        <v>175</v>
      </c>
      <c r="F5" s="76" t="s">
        <v>161</v>
      </c>
      <c r="G5" s="76" t="s">
        <v>162</v>
      </c>
      <c r="H5" s="76">
        <v>0</v>
      </c>
      <c r="I5" s="76">
        <v>0</v>
      </c>
      <c r="J5" s="76" t="s">
        <v>210</v>
      </c>
      <c r="K5" s="76">
        <v>0</v>
      </c>
      <c r="L5" s="76" t="s">
        <v>211</v>
      </c>
      <c r="M5" s="77">
        <f>IFERROR(INDEX('(참조)CS_인건비'!$S$3:$AG$40,MATCH(CS_인건비!$A5,'(참조)CS_인건비'!$S$3:$S$40,0),MATCH('(참조)CS_인건비'!X$2,'(참조)CS_인건비'!$S$2:$AG$2,0)),0)</f>
        <v>1</v>
      </c>
      <c r="N5" s="77">
        <f>IFERROR(INDEX('(참조)CS_인건비'!$S$3:$AG$40,MATCH(CS_인건비!$A5,'(참조)CS_인건비'!$S$3:$S$40,0),MATCH('(참조)CS_인건비'!Y$2,'(참조)CS_인건비'!$S$2:$AG$2,0)),0)</f>
        <v>1</v>
      </c>
      <c r="O5" s="77">
        <f>IFERROR(INDEX('(참조)CS_인건비'!$S$3:$AG$40,MATCH(CS_인건비!$A5,'(참조)CS_인건비'!$S$3:$S$40,0),MATCH('(참조)CS_인건비'!Z$2,'(참조)CS_인건비'!$S$2:$AG$2,0)),0)</f>
        <v>1</v>
      </c>
      <c r="P5" s="77">
        <f>IFERROR(INDEX('(참조)CS_인건비'!$S$3:$AG$40,MATCH(CS_인건비!$A5,'(참조)CS_인건비'!$S$3:$S$40,0),MATCH('(참조)CS_인건비'!AA$2,'(참조)CS_인건비'!$S$2:$AG$2,0)),0)</f>
        <v>1</v>
      </c>
      <c r="Q5" s="77">
        <f>IFERROR(INDEX('(참조)CS_인건비'!$S$3:$AG$40,MATCH(CS_인건비!$A5,'(참조)CS_인건비'!$S$3:$S$40,0),MATCH('(참조)CS_인건비'!AB$2,'(참조)CS_인건비'!$S$2:$AG$2,0)),0)</f>
        <v>1</v>
      </c>
      <c r="R5" s="77">
        <f>IFERROR(INDEX('(참조)CS_인건비'!$S$3:$AG$40,MATCH(CS_인건비!$A5,'(참조)CS_인건비'!$S$3:$S$40,0),MATCH('(참조)CS_인건비'!AC$2,'(참조)CS_인건비'!$S$2:$AG$2,0)),0)</f>
        <v>1</v>
      </c>
      <c r="S5" s="77">
        <f>IFERROR(INDEX('(참조)CS_인건비'!$S$3:$AG$40,MATCH(CS_인건비!$A5,'(참조)CS_인건비'!$S$3:$S$40,0),MATCH('(참조)CS_인건비'!AD$2,'(참조)CS_인건비'!$S$2:$AG$2,0)),0)</f>
        <v>1</v>
      </c>
      <c r="T5" s="77">
        <f>IFERROR(INDEX('(참조)CS_인건비'!$S$3:$AG$40,MATCH(CS_인건비!$A5,'(참조)CS_인건비'!$S$3:$S$40,0),MATCH('(참조)CS_인건비'!AE$2,'(참조)CS_인건비'!$S$2:$AG$2,0)),0)</f>
        <v>1</v>
      </c>
      <c r="U5" s="77">
        <f>IFERROR(INDEX('(참조)CS_인건비'!$S$3:$AG$40,MATCH(CS_인건비!$A5,'(참조)CS_인건비'!$S$3:$S$40,0),MATCH('(참조)CS_인건비'!AF$2,'(참조)CS_인건비'!$S$2:$AG$2,0)),0)</f>
        <v>1</v>
      </c>
      <c r="V5" s="77">
        <f>IFERROR(INDEX('(참조)CS_인건비'!$S$3:$AG$40,MATCH(CS_인건비!$A5,'(참조)CS_인건비'!$S$3:$S$40,0),MATCH('(참조)CS_인건비'!AG$2,'(참조)CS_인건비'!$S$2:$AG$2,0)),0)</f>
        <v>1</v>
      </c>
      <c r="W5" s="77">
        <f>IFERROR(INDEX('(참조)CS_인건비'!$S$3:$AG$40,MATCH(CS_인건비!$A5,'(참조)CS_인건비'!$S$3:$S$40,0),MATCH('(참조)CS_인건비'!AH$2,'(참조)CS_인건비'!$S$2:$AG$2,0)),0)</f>
        <v>0</v>
      </c>
      <c r="X5" s="78">
        <v>0</v>
      </c>
      <c r="Y5" s="78">
        <f>IFERROR(INDEX('(참조)CS_인건비'!$A$3:$O$40,MATCH(CS_인건비!$A5,'(참조)CS_인건비'!$A$3:$A$40,0),MATCH('(참조)CS_인건비'!F$2,'(참조)CS_인건비'!$A$2:$O$2,0)),0)</f>
        <v>3198645</v>
      </c>
      <c r="Z5" s="78">
        <f>IFERROR(INDEX('(참조)CS_인건비'!$A$3:$O$40,MATCH(CS_인건비!$A5,'(참조)CS_인건비'!$A$3:$A$40,0),MATCH('(참조)CS_인건비'!G$2,'(참조)CS_인건비'!$A$2:$O$2,0)),0)</f>
        <v>3279605.1359202</v>
      </c>
      <c r="AA5" s="78">
        <f>IFERROR(INDEX('(참조)CS_인건비'!$A$3:$O$40,MATCH(CS_인건비!$A5,'(참조)CS_인건비'!$A$3:$A$40,0),MATCH('(참조)CS_인건비'!H$2,'(참조)CS_인건비'!$A$2:$O$2,0)),0)</f>
        <v>3362614.4344102438</v>
      </c>
      <c r="AB5" s="78">
        <f>IFERROR(INDEX('(참조)CS_인건비'!$A$3:$O$40,MATCH(CS_인건비!$A5,'(참조)CS_인건비'!$A$3:$A$40,0),MATCH('(참조)CS_인건비'!I$2,'(참조)CS_인건비'!$A$2:$O$2,0)),0)</f>
        <v>3447724.761332137</v>
      </c>
      <c r="AC5" s="78">
        <f>IFERROR(INDEX('(참조)CS_인건비'!$A$3:$O$40,MATCH(CS_인건비!$A5,'(참조)CS_인건비'!$A$3:$A$40,0),MATCH('(참조)CS_인건비'!J$2,'(참조)CS_인건비'!$A$2:$O$2,0)),0)</f>
        <v>3534989.2953122719</v>
      </c>
      <c r="AD5" s="78">
        <f>IFERROR(INDEX('(참조)CS_인건비'!$A$3:$O$40,MATCH(CS_인건비!$A5,'(참조)CS_인건비'!$A$3:$A$40,0),MATCH('(참조)CS_인건비'!K$2,'(참조)CS_인건비'!$A$2:$O$2,0)),0)</f>
        <v>3624462.5609684899</v>
      </c>
      <c r="AE5" s="78">
        <f>IFERROR(INDEX('(참조)CS_인건비'!$A$3:$O$40,MATCH(CS_인건비!$A5,'(참조)CS_인건비'!$A$3:$A$40,0),MATCH('(참조)CS_인건비'!L$2,'(참조)CS_인건비'!$A$2:$O$2,0)),0)</f>
        <v>3716200.4629781488</v>
      </c>
      <c r="AF5" s="78">
        <f>IFERROR(INDEX('(참조)CS_인건비'!$A$3:$O$40,MATCH(CS_인건비!$A5,'(참조)CS_인건비'!$A$3:$A$40,0),MATCH('(참조)CS_인건비'!M$2,'(참조)CS_인건비'!$A$2:$O$2,0)),0)</f>
        <v>3810260.3210084778</v>
      </c>
      <c r="AG5" s="78">
        <f>IFERROR(INDEX('(참조)CS_인건비'!$A$3:$O$40,MATCH(CS_인건비!$A5,'(참조)CS_인건비'!$A$3:$A$40,0),MATCH('(참조)CS_인건비'!N$2,'(참조)CS_인건비'!$A$2:$O$2,0)),0)</f>
        <v>3906700.9055310464</v>
      </c>
      <c r="AH5" s="78">
        <f>IFERROR(INDEX('(참조)CS_인건비'!$A$3:$O$40,MATCH(CS_인건비!$A5,'(참조)CS_인건비'!$A$3:$A$40,0),MATCH('(참조)CS_인건비'!O$2,'(참조)CS_인건비'!$A$2:$O$2,0)),0)</f>
        <v>4005582.4745427254</v>
      </c>
      <c r="AI5" s="78">
        <f>IFERROR(INDEX('(참조)CS_인건비'!$A$3:$O$40,MATCH(CS_인건비!$A5,'(참조)CS_인건비'!$A$3:$A$40,0),MATCH('(참조)CS_인건비'!P$2,'(참조)CS_인건비'!$A$2:$O$2,0)),0)</f>
        <v>0</v>
      </c>
      <c r="AJ5" s="78">
        <v>12</v>
      </c>
      <c r="AK5" s="78">
        <v>12</v>
      </c>
      <c r="AL5" s="78">
        <v>12</v>
      </c>
      <c r="AM5" s="78">
        <v>12</v>
      </c>
      <c r="AN5" s="78">
        <v>12</v>
      </c>
      <c r="AO5" s="78">
        <v>12</v>
      </c>
      <c r="AP5" s="78">
        <v>12</v>
      </c>
      <c r="AQ5" s="78">
        <v>12</v>
      </c>
      <c r="AR5" s="78">
        <v>12</v>
      </c>
      <c r="AS5" s="78">
        <v>12</v>
      </c>
      <c r="AT5" s="78">
        <v>12</v>
      </c>
      <c r="AU5" s="79">
        <v>1</v>
      </c>
      <c r="AV5" s="80">
        <v>1.02531076</v>
      </c>
      <c r="AW5" s="76">
        <v>0</v>
      </c>
      <c r="AX5" s="57">
        <v>430641424.22404492</v>
      </c>
      <c r="AY5" s="57">
        <v>38383740</v>
      </c>
      <c r="AZ5" s="57">
        <v>39355261.631042399</v>
      </c>
      <c r="BA5" s="57">
        <v>40351373.212922923</v>
      </c>
      <c r="BB5" s="57">
        <v>41372697.135985643</v>
      </c>
      <c r="BC5" s="57">
        <v>42419871.543747254</v>
      </c>
      <c r="BD5" s="57">
        <v>43493550.731621869</v>
      </c>
      <c r="BE5" s="57">
        <v>44594405.555737771</v>
      </c>
      <c r="BF5" s="57">
        <v>45723123.852101743</v>
      </c>
      <c r="BG5" s="57">
        <v>46880410.866372563</v>
      </c>
      <c r="BH5" s="57">
        <v>48066989.694512695</v>
      </c>
      <c r="BI5" s="57">
        <v>0</v>
      </c>
      <c r="BJ5" s="81">
        <v>3198645</v>
      </c>
      <c r="BK5" s="57">
        <v>3198645</v>
      </c>
      <c r="BL5" s="57">
        <v>3198645</v>
      </c>
      <c r="BM5" s="57">
        <v>3198645</v>
      </c>
      <c r="BN5" s="57">
        <v>3198645</v>
      </c>
      <c r="BO5" s="57">
        <v>3198645</v>
      </c>
      <c r="BP5" s="57">
        <v>3198645</v>
      </c>
      <c r="BQ5" s="57">
        <v>3198645</v>
      </c>
      <c r="BR5" s="57">
        <v>3198645</v>
      </c>
      <c r="BS5" s="57">
        <v>3198645</v>
      </c>
      <c r="BT5" s="57">
        <v>3198645</v>
      </c>
      <c r="BU5" s="57">
        <v>3198645</v>
      </c>
      <c r="BV5" s="57">
        <v>3279605.1359202</v>
      </c>
      <c r="BW5" s="57">
        <v>3279605.1359202</v>
      </c>
      <c r="BX5" s="57">
        <v>3279605.1359202</v>
      </c>
      <c r="BY5" s="57">
        <v>3279605.1359202</v>
      </c>
      <c r="BZ5" s="57">
        <v>3279605.1359202</v>
      </c>
      <c r="CA5" s="57">
        <v>3279605.1359202</v>
      </c>
      <c r="CB5" s="57">
        <v>3279605.1359202</v>
      </c>
      <c r="CC5" s="57">
        <v>3279605.1359202</v>
      </c>
      <c r="CD5" s="57">
        <v>3279605.1359202</v>
      </c>
      <c r="CE5" s="57">
        <v>3279605.1359202</v>
      </c>
      <c r="CF5" s="57">
        <v>3279605.1359202</v>
      </c>
      <c r="CG5" s="57">
        <v>3279605.1359202</v>
      </c>
      <c r="CH5" s="57">
        <v>3362614.4344102438</v>
      </c>
      <c r="CI5" s="57">
        <v>3362614.4344102438</v>
      </c>
      <c r="CJ5" s="57">
        <v>3362614.4344102438</v>
      </c>
      <c r="CK5" s="57">
        <v>3362614.4344102438</v>
      </c>
      <c r="CL5" s="57">
        <v>3362614.4344102438</v>
      </c>
      <c r="CM5" s="57">
        <v>3362614.4344102438</v>
      </c>
      <c r="CN5" s="57">
        <v>3362614.4344102438</v>
      </c>
      <c r="CO5" s="57">
        <v>3362614.4344102438</v>
      </c>
      <c r="CP5" s="57">
        <v>3362614.4344102438</v>
      </c>
      <c r="CQ5" s="57">
        <v>3362614.4344102438</v>
      </c>
      <c r="CR5" s="57">
        <v>3362614.4344102438</v>
      </c>
      <c r="CS5" s="57">
        <v>3362614.4344102438</v>
      </c>
      <c r="CT5" s="57">
        <v>3447724.761332137</v>
      </c>
      <c r="CU5" s="57">
        <v>3447724.761332137</v>
      </c>
      <c r="CV5" s="57">
        <v>3447724.761332137</v>
      </c>
      <c r="CW5" s="57">
        <v>3447724.761332137</v>
      </c>
      <c r="CX5" s="57">
        <v>3447724.761332137</v>
      </c>
      <c r="CY5" s="57">
        <v>3447724.761332137</v>
      </c>
      <c r="CZ5" s="57">
        <v>3447724.761332137</v>
      </c>
      <c r="DA5" s="57">
        <v>3447724.761332137</v>
      </c>
      <c r="DB5" s="57">
        <v>3447724.761332137</v>
      </c>
      <c r="DC5" s="57">
        <v>3447724.761332137</v>
      </c>
      <c r="DD5" s="57">
        <v>3447724.761332137</v>
      </c>
      <c r="DE5" s="57">
        <v>3447724.761332137</v>
      </c>
      <c r="DF5" s="57">
        <v>3534989.2953122719</v>
      </c>
      <c r="DG5" s="57">
        <v>3534989.2953122719</v>
      </c>
      <c r="DH5" s="57">
        <v>3534989.2953122719</v>
      </c>
      <c r="DI5" s="57">
        <v>3534989.2953122719</v>
      </c>
      <c r="DJ5" s="57">
        <v>3534989.2953122719</v>
      </c>
      <c r="DK5" s="57">
        <v>3534989.2953122719</v>
      </c>
      <c r="DL5" s="57">
        <v>3534989.2953122719</v>
      </c>
      <c r="DM5" s="57">
        <v>3534989.2953122719</v>
      </c>
      <c r="DN5" s="57">
        <v>3534989.2953122719</v>
      </c>
      <c r="DO5" s="57">
        <v>3534989.2953122719</v>
      </c>
      <c r="DP5" s="57">
        <v>3534989.2953122719</v>
      </c>
      <c r="DQ5" s="57">
        <v>3534989.2953122719</v>
      </c>
      <c r="DR5" s="57">
        <v>3624462.5609684899</v>
      </c>
      <c r="DS5" s="57">
        <v>3624462.5609684899</v>
      </c>
      <c r="DT5" s="57">
        <v>3624462.5609684899</v>
      </c>
      <c r="DU5" s="57">
        <v>3624462.5609684899</v>
      </c>
      <c r="DV5" s="57">
        <v>3624462.5609684899</v>
      </c>
      <c r="DW5" s="57">
        <v>3624462.5609684899</v>
      </c>
      <c r="DX5" s="57">
        <v>3624462.5609684899</v>
      </c>
      <c r="DY5" s="57">
        <v>3624462.5609684899</v>
      </c>
      <c r="DZ5" s="57">
        <v>3624462.5609684899</v>
      </c>
      <c r="EA5" s="57">
        <v>3624462.5609684899</v>
      </c>
      <c r="EB5" s="57">
        <v>3624462.5609684899</v>
      </c>
      <c r="EC5" s="57">
        <v>3624462.5609684899</v>
      </c>
      <c r="ED5" s="57">
        <v>3716200.4629781488</v>
      </c>
      <c r="EE5" s="57">
        <v>3716200.4629781488</v>
      </c>
      <c r="EF5" s="57">
        <v>3716200.4629781488</v>
      </c>
      <c r="EG5" s="57">
        <v>3716200.4629781488</v>
      </c>
      <c r="EH5" s="57">
        <v>3716200.4629781488</v>
      </c>
      <c r="EI5" s="57">
        <v>3716200.4629781488</v>
      </c>
      <c r="EJ5" s="57">
        <v>3716200.4629781488</v>
      </c>
      <c r="EK5" s="57">
        <v>3716200.4629781488</v>
      </c>
      <c r="EL5" s="57">
        <v>3716200.4629781488</v>
      </c>
      <c r="EM5" s="57">
        <v>3716200.4629781488</v>
      </c>
      <c r="EN5" s="57">
        <v>3716200.4629781488</v>
      </c>
      <c r="EO5" s="57">
        <v>3716200.4629781488</v>
      </c>
      <c r="EP5" s="57">
        <v>3810260.3210084778</v>
      </c>
      <c r="EQ5" s="57">
        <v>3810260.3210084778</v>
      </c>
      <c r="ER5" s="57">
        <v>3810260.3210084778</v>
      </c>
      <c r="ES5" s="57">
        <v>3810260.3210084778</v>
      </c>
      <c r="ET5" s="57">
        <v>3810260.3210084778</v>
      </c>
      <c r="EU5" s="57">
        <v>3810260.3210084778</v>
      </c>
      <c r="EV5" s="57">
        <v>3810260.3210084778</v>
      </c>
      <c r="EW5" s="57">
        <v>3810260.3210084778</v>
      </c>
      <c r="EX5" s="57">
        <v>3810260.3210084778</v>
      </c>
      <c r="EY5" s="57">
        <v>3810260.3210084778</v>
      </c>
      <c r="EZ5" s="57">
        <v>3810260.3210084778</v>
      </c>
      <c r="FA5" s="57">
        <v>3810260.3210084778</v>
      </c>
      <c r="FB5" s="57">
        <v>3906700.9055310464</v>
      </c>
      <c r="FC5" s="57">
        <v>3906700.9055310464</v>
      </c>
      <c r="FD5" s="57">
        <v>3906700.9055310464</v>
      </c>
      <c r="FE5" s="57">
        <v>3906700.9055310464</v>
      </c>
      <c r="FF5" s="57">
        <v>3906700.9055310464</v>
      </c>
      <c r="FG5" s="57">
        <v>3906700.9055310464</v>
      </c>
      <c r="FH5" s="57">
        <v>3906700.9055310464</v>
      </c>
      <c r="FI5" s="57">
        <v>3906700.9055310464</v>
      </c>
      <c r="FJ5" s="57">
        <v>3906700.9055310464</v>
      </c>
      <c r="FK5" s="57">
        <v>3906700.9055310464</v>
      </c>
      <c r="FL5" s="57">
        <v>3906700.9055310464</v>
      </c>
      <c r="FM5" s="57">
        <v>3906700.9055310464</v>
      </c>
      <c r="FN5" s="57">
        <v>4005582.4745427254</v>
      </c>
      <c r="FO5" s="57">
        <v>4005582.4745427254</v>
      </c>
      <c r="FP5" s="57">
        <v>4005582.4745427254</v>
      </c>
      <c r="FQ5" s="57">
        <v>4005582.4745427254</v>
      </c>
      <c r="FR5" s="57">
        <v>4005582.4745427254</v>
      </c>
      <c r="FS5" s="57">
        <v>4005582.4745427254</v>
      </c>
      <c r="FT5" s="57">
        <v>4005582.4745427254</v>
      </c>
      <c r="FU5" s="57">
        <v>4005582.4745427254</v>
      </c>
      <c r="FV5" s="57">
        <v>4005582.4745427254</v>
      </c>
      <c r="FW5" s="57">
        <v>4005582.4745427254</v>
      </c>
      <c r="FX5" s="57">
        <v>4005582.4745427254</v>
      </c>
      <c r="FY5" s="57">
        <v>4005582.4745427254</v>
      </c>
      <c r="FZ5" s="57">
        <v>0</v>
      </c>
      <c r="GA5" s="57">
        <v>0</v>
      </c>
      <c r="GB5" s="57">
        <v>0</v>
      </c>
      <c r="GC5" s="57">
        <v>0</v>
      </c>
      <c r="GD5" s="57">
        <v>0</v>
      </c>
      <c r="GE5" s="57">
        <v>0</v>
      </c>
      <c r="GF5" s="57">
        <v>0</v>
      </c>
      <c r="GG5" s="57">
        <v>0</v>
      </c>
      <c r="GH5" s="57">
        <v>0</v>
      </c>
      <c r="GI5" s="57">
        <v>0</v>
      </c>
      <c r="GJ5" s="57">
        <v>0</v>
      </c>
      <c r="GK5" s="83">
        <v>0</v>
      </c>
      <c r="GL5" s="40"/>
    </row>
    <row r="6" spans="1:194" x14ac:dyDescent="0.4">
      <c r="A6" s="84" t="s">
        <v>236</v>
      </c>
      <c r="B6" s="70" t="s">
        <v>174</v>
      </c>
      <c r="C6" s="70" t="s">
        <v>398</v>
      </c>
      <c r="D6" s="70" t="s">
        <v>209</v>
      </c>
      <c r="E6" s="70" t="s">
        <v>175</v>
      </c>
      <c r="F6" s="70" t="s">
        <v>161</v>
      </c>
      <c r="G6" s="70" t="s">
        <v>175</v>
      </c>
      <c r="H6" s="70">
        <v>0</v>
      </c>
      <c r="I6" s="70">
        <v>0</v>
      </c>
      <c r="J6" s="70" t="s">
        <v>210</v>
      </c>
      <c r="K6" s="70">
        <v>0</v>
      </c>
      <c r="L6" s="70" t="s">
        <v>211</v>
      </c>
      <c r="M6" s="71">
        <f>IFERROR(INDEX('(참조)CS_인건비'!$S$3:$AG$40,MATCH(CS_인건비!$A6,'(참조)CS_인건비'!$S$3:$S$40,0),MATCH('(참조)CS_인건비'!X$2,'(참조)CS_인건비'!$S$2:$AG$2,0)),0)</f>
        <v>5</v>
      </c>
      <c r="N6" s="71">
        <f>IFERROR(INDEX('(참조)CS_인건비'!$S$3:$AG$40,MATCH(CS_인건비!$A6,'(참조)CS_인건비'!$S$3:$S$40,0),MATCH('(참조)CS_인건비'!Y$2,'(참조)CS_인건비'!$S$2:$AG$2,0)),0)</f>
        <v>5</v>
      </c>
      <c r="O6" s="71">
        <f>IFERROR(INDEX('(참조)CS_인건비'!$S$3:$AG$40,MATCH(CS_인건비!$A6,'(참조)CS_인건비'!$S$3:$S$40,0),MATCH('(참조)CS_인건비'!Z$2,'(참조)CS_인건비'!$S$2:$AG$2,0)),0)</f>
        <v>5</v>
      </c>
      <c r="P6" s="71">
        <f>IFERROR(INDEX('(참조)CS_인건비'!$S$3:$AG$40,MATCH(CS_인건비!$A6,'(참조)CS_인건비'!$S$3:$S$40,0),MATCH('(참조)CS_인건비'!AA$2,'(참조)CS_인건비'!$S$2:$AG$2,0)),0)</f>
        <v>5</v>
      </c>
      <c r="Q6" s="71">
        <f>IFERROR(INDEX('(참조)CS_인건비'!$S$3:$AG$40,MATCH(CS_인건비!$A6,'(참조)CS_인건비'!$S$3:$S$40,0),MATCH('(참조)CS_인건비'!AB$2,'(참조)CS_인건비'!$S$2:$AG$2,0)),0)</f>
        <v>5</v>
      </c>
      <c r="R6" s="71">
        <f>IFERROR(INDEX('(참조)CS_인건비'!$S$3:$AG$40,MATCH(CS_인건비!$A6,'(참조)CS_인건비'!$S$3:$S$40,0),MATCH('(참조)CS_인건비'!AC$2,'(참조)CS_인건비'!$S$2:$AG$2,0)),0)</f>
        <v>5</v>
      </c>
      <c r="S6" s="71">
        <f>IFERROR(INDEX('(참조)CS_인건비'!$S$3:$AG$40,MATCH(CS_인건비!$A6,'(참조)CS_인건비'!$S$3:$S$40,0),MATCH('(참조)CS_인건비'!AD$2,'(참조)CS_인건비'!$S$2:$AG$2,0)),0)</f>
        <v>5</v>
      </c>
      <c r="T6" s="71">
        <f>IFERROR(INDEX('(참조)CS_인건비'!$S$3:$AG$40,MATCH(CS_인건비!$A6,'(참조)CS_인건비'!$S$3:$S$40,0),MATCH('(참조)CS_인건비'!AE$2,'(참조)CS_인건비'!$S$2:$AG$2,0)),0)</f>
        <v>5</v>
      </c>
      <c r="U6" s="71">
        <f>IFERROR(INDEX('(참조)CS_인건비'!$S$3:$AG$40,MATCH(CS_인건비!$A6,'(참조)CS_인건비'!$S$3:$S$40,0),MATCH('(참조)CS_인건비'!AF$2,'(참조)CS_인건비'!$S$2:$AG$2,0)),0)</f>
        <v>5</v>
      </c>
      <c r="V6" s="71">
        <f>IFERROR(INDEX('(참조)CS_인건비'!$S$3:$AG$40,MATCH(CS_인건비!$A6,'(참조)CS_인건비'!$S$3:$S$40,0),MATCH('(참조)CS_인건비'!AG$2,'(참조)CS_인건비'!$S$2:$AG$2,0)),0)</f>
        <v>5</v>
      </c>
      <c r="W6" s="71">
        <f>IFERROR(INDEX('(참조)CS_인건비'!$S$3:$AG$40,MATCH(CS_인건비!$A6,'(참조)CS_인건비'!$S$3:$S$40,0),MATCH('(참조)CS_인건비'!AH$2,'(참조)CS_인건비'!$S$2:$AG$2,0)),0)</f>
        <v>0</v>
      </c>
      <c r="X6" s="72">
        <v>0</v>
      </c>
      <c r="Y6" s="72">
        <f>IFERROR(INDEX('(참조)CS_인건비'!$A$3:$O$40,MATCH(CS_인건비!$A6,'(참조)CS_인건비'!$A$3:$A$40,0),MATCH('(참조)CS_인건비'!F$2,'(참조)CS_인건비'!$A$2:$O$2,0)),0)</f>
        <v>2416907</v>
      </c>
      <c r="Z6" s="72">
        <f>IFERROR(INDEX('(참조)CS_인건비'!$A$3:$O$40,MATCH(CS_인건비!$A6,'(참조)CS_인건비'!$A$3:$A$40,0),MATCH('(참조)CS_인건비'!G$2,'(참조)CS_인건비'!$A$2:$O$2,0)),0)</f>
        <v>2478080.7530193198</v>
      </c>
      <c r="AA6" s="72">
        <f>IFERROR(INDEX('(참조)CS_인건비'!$A$3:$O$40,MATCH(CS_인건비!$A6,'(참조)CS_인건비'!$A$3:$A$40,0),MATCH('(참조)CS_인건비'!H$2,'(참조)CS_인건비'!$A$2:$O$2,0)),0)</f>
        <v>2540802.8602196113</v>
      </c>
      <c r="AB6" s="72">
        <f>IFERROR(INDEX('(참조)CS_인건비'!$A$3:$O$40,MATCH(CS_인건비!$A6,'(참조)CS_인건비'!$A$3:$A$40,0),MATCH('(참조)CS_인건비'!I$2,'(참조)CS_인건비'!$A$2:$O$2,0)),0)</f>
        <v>2605112.5116219432</v>
      </c>
      <c r="AC6" s="72">
        <f>IFERROR(INDEX('(참조)CS_인건비'!$A$3:$O$40,MATCH(CS_인건비!$A6,'(참조)CS_인건비'!$A$3:$A$40,0),MATCH('(참조)CS_인건비'!J$2,'(참조)CS_인건비'!$A$2:$O$2,0)),0)</f>
        <v>2671049.8891766034</v>
      </c>
      <c r="AD6" s="72">
        <f>IFERROR(INDEX('(참조)CS_인건비'!$A$3:$O$40,MATCH(CS_인건비!$A6,'(참조)CS_인건비'!$A$3:$A$40,0),MATCH('(참조)CS_인건비'!K$2,'(참조)CS_인건비'!$A$2:$O$2,0)),0)</f>
        <v>2738656.1918695788</v>
      </c>
      <c r="AE6" s="72">
        <f>IFERROR(INDEX('(참조)CS_인건비'!$A$3:$O$40,MATCH(CS_인건비!$A6,'(참조)CS_인건비'!$A$3:$A$40,0),MATCH('(참조)CS_인건비'!L$2,'(참조)CS_인건비'!$A$2:$O$2,0)),0)</f>
        <v>2807973.6614645035</v>
      </c>
      <c r="AF6" s="72">
        <f>IFERROR(INDEX('(참조)CS_인건비'!$A$3:$O$40,MATCH(CS_인건비!$A6,'(참조)CS_인건비'!$A$3:$A$40,0),MATCH('(참조)CS_인건비'!M$2,'(참조)CS_인건비'!$A$2:$O$2,0)),0)</f>
        <v>2879045.6088961526</v>
      </c>
      <c r="AG6" s="72">
        <f>IFERROR(INDEX('(참조)CS_인건비'!$A$3:$O$40,MATCH(CS_인건비!$A6,'(참조)CS_인건비'!$A$3:$A$40,0),MATCH('(참조)CS_인건비'!N$2,'(참조)CS_인건비'!$A$2:$O$2,0)),0)</f>
        <v>2951916.441331977</v>
      </c>
      <c r="AH6" s="72">
        <f>IFERROR(INDEX('(참조)CS_인건비'!$A$3:$O$40,MATCH(CS_인건비!$A6,'(참조)CS_인건비'!$A$3:$A$40,0),MATCH('(참조)CS_인건비'!O$2,'(참조)CS_인건비'!$A$2:$O$2,0)),0)</f>
        <v>3026631.6899185847</v>
      </c>
      <c r="AI6" s="72">
        <f>IFERROR(INDEX('(참조)CS_인건비'!$A$3:$O$40,MATCH(CS_인건비!$A6,'(참조)CS_인건비'!$A$3:$A$40,0),MATCH('(참조)CS_인건비'!P$2,'(참조)CS_인건비'!$A$2:$O$2,0)),0)</f>
        <v>0</v>
      </c>
      <c r="AJ6" s="72">
        <v>12</v>
      </c>
      <c r="AK6" s="72">
        <v>12</v>
      </c>
      <c r="AL6" s="72">
        <v>12</v>
      </c>
      <c r="AM6" s="72">
        <v>12</v>
      </c>
      <c r="AN6" s="72">
        <v>12</v>
      </c>
      <c r="AO6" s="72">
        <v>12</v>
      </c>
      <c r="AP6" s="72">
        <v>12</v>
      </c>
      <c r="AQ6" s="72">
        <v>12</v>
      </c>
      <c r="AR6" s="72">
        <v>12</v>
      </c>
      <c r="AS6" s="72">
        <v>12</v>
      </c>
      <c r="AT6" s="72">
        <v>12</v>
      </c>
      <c r="AU6" s="73">
        <v>1</v>
      </c>
      <c r="AV6" s="70">
        <v>0</v>
      </c>
      <c r="AW6" s="70">
        <v>0</v>
      </c>
      <c r="AX6" s="56">
        <v>1626970596.4510965</v>
      </c>
      <c r="AY6" s="56">
        <v>145014420</v>
      </c>
      <c r="AZ6" s="56">
        <v>148684845.18115923</v>
      </c>
      <c r="BA6" s="56">
        <v>152448171.61317664</v>
      </c>
      <c r="BB6" s="56">
        <v>156306750.69731659</v>
      </c>
      <c r="BC6" s="56">
        <v>160262993.35059622</v>
      </c>
      <c r="BD6" s="56">
        <v>164319371.51217473</v>
      </c>
      <c r="BE6" s="56">
        <v>168478419.6878702</v>
      </c>
      <c r="BF6" s="56">
        <v>172742736.53376922</v>
      </c>
      <c r="BG6" s="56">
        <v>177114986.47991863</v>
      </c>
      <c r="BH6" s="56">
        <v>181597901.39511505</v>
      </c>
      <c r="BI6" s="56">
        <v>0</v>
      </c>
      <c r="BJ6" s="74">
        <v>12084535</v>
      </c>
      <c r="BK6" s="56">
        <v>12084535</v>
      </c>
      <c r="BL6" s="56">
        <v>12084535</v>
      </c>
      <c r="BM6" s="56">
        <v>12084535</v>
      </c>
      <c r="BN6" s="56">
        <v>12084535</v>
      </c>
      <c r="BO6" s="56">
        <v>12084535</v>
      </c>
      <c r="BP6" s="56">
        <v>12084535</v>
      </c>
      <c r="BQ6" s="56">
        <v>12084535</v>
      </c>
      <c r="BR6" s="56">
        <v>12084535</v>
      </c>
      <c r="BS6" s="56">
        <v>12084535</v>
      </c>
      <c r="BT6" s="56">
        <v>12084535</v>
      </c>
      <c r="BU6" s="56">
        <v>12084535</v>
      </c>
      <c r="BV6" s="56">
        <v>12390403.765096599</v>
      </c>
      <c r="BW6" s="56">
        <v>12390403.765096599</v>
      </c>
      <c r="BX6" s="56">
        <v>12390403.765096599</v>
      </c>
      <c r="BY6" s="56">
        <v>12390403.765096599</v>
      </c>
      <c r="BZ6" s="56">
        <v>12390403.765096599</v>
      </c>
      <c r="CA6" s="56">
        <v>12390403.765096599</v>
      </c>
      <c r="CB6" s="56">
        <v>12390403.765096599</v>
      </c>
      <c r="CC6" s="56">
        <v>12390403.765096599</v>
      </c>
      <c r="CD6" s="56">
        <v>12390403.765096599</v>
      </c>
      <c r="CE6" s="56">
        <v>12390403.765096599</v>
      </c>
      <c r="CF6" s="56">
        <v>12390403.765096599</v>
      </c>
      <c r="CG6" s="56">
        <v>12390403.765096599</v>
      </c>
      <c r="CH6" s="56">
        <v>12704014.301098056</v>
      </c>
      <c r="CI6" s="56">
        <v>12704014.301098056</v>
      </c>
      <c r="CJ6" s="56">
        <v>12704014.301098056</v>
      </c>
      <c r="CK6" s="56">
        <v>12704014.301098056</v>
      </c>
      <c r="CL6" s="56">
        <v>12704014.301098056</v>
      </c>
      <c r="CM6" s="56">
        <v>12704014.301098056</v>
      </c>
      <c r="CN6" s="56">
        <v>12704014.301098056</v>
      </c>
      <c r="CO6" s="56">
        <v>12704014.301098056</v>
      </c>
      <c r="CP6" s="56">
        <v>12704014.301098056</v>
      </c>
      <c r="CQ6" s="56">
        <v>12704014.301098056</v>
      </c>
      <c r="CR6" s="56">
        <v>12704014.301098056</v>
      </c>
      <c r="CS6" s="56">
        <v>12704014.301098056</v>
      </c>
      <c r="CT6" s="56">
        <v>13025562.558109716</v>
      </c>
      <c r="CU6" s="56">
        <v>13025562.558109716</v>
      </c>
      <c r="CV6" s="56">
        <v>13025562.558109716</v>
      </c>
      <c r="CW6" s="56">
        <v>13025562.558109716</v>
      </c>
      <c r="CX6" s="56">
        <v>13025562.558109716</v>
      </c>
      <c r="CY6" s="56">
        <v>13025562.558109716</v>
      </c>
      <c r="CZ6" s="56">
        <v>13025562.558109716</v>
      </c>
      <c r="DA6" s="56">
        <v>13025562.558109716</v>
      </c>
      <c r="DB6" s="56">
        <v>13025562.558109716</v>
      </c>
      <c r="DC6" s="56">
        <v>13025562.558109716</v>
      </c>
      <c r="DD6" s="56">
        <v>13025562.558109716</v>
      </c>
      <c r="DE6" s="56">
        <v>13025562.558109716</v>
      </c>
      <c r="DF6" s="56">
        <v>13355249.445883017</v>
      </c>
      <c r="DG6" s="56">
        <v>13355249.445883017</v>
      </c>
      <c r="DH6" s="56">
        <v>13355249.445883017</v>
      </c>
      <c r="DI6" s="56">
        <v>13355249.445883017</v>
      </c>
      <c r="DJ6" s="56">
        <v>13355249.445883017</v>
      </c>
      <c r="DK6" s="56">
        <v>13355249.445883017</v>
      </c>
      <c r="DL6" s="56">
        <v>13355249.445883017</v>
      </c>
      <c r="DM6" s="56">
        <v>13355249.445883017</v>
      </c>
      <c r="DN6" s="56">
        <v>13355249.445883017</v>
      </c>
      <c r="DO6" s="56">
        <v>13355249.445883017</v>
      </c>
      <c r="DP6" s="56">
        <v>13355249.445883017</v>
      </c>
      <c r="DQ6" s="56">
        <v>13355249.445883017</v>
      </c>
      <c r="DR6" s="56">
        <v>13693280.959347894</v>
      </c>
      <c r="DS6" s="56">
        <v>13693280.959347894</v>
      </c>
      <c r="DT6" s="56">
        <v>13693280.959347894</v>
      </c>
      <c r="DU6" s="56">
        <v>13693280.959347894</v>
      </c>
      <c r="DV6" s="56">
        <v>13693280.959347894</v>
      </c>
      <c r="DW6" s="56">
        <v>13693280.959347894</v>
      </c>
      <c r="DX6" s="56">
        <v>13693280.959347894</v>
      </c>
      <c r="DY6" s="56">
        <v>13693280.959347894</v>
      </c>
      <c r="DZ6" s="56">
        <v>13693280.959347894</v>
      </c>
      <c r="EA6" s="56">
        <v>13693280.959347894</v>
      </c>
      <c r="EB6" s="56">
        <v>13693280.959347894</v>
      </c>
      <c r="EC6" s="56">
        <v>13693280.959347894</v>
      </c>
      <c r="ED6" s="56">
        <v>14039868.307322517</v>
      </c>
      <c r="EE6" s="56">
        <v>14039868.307322517</v>
      </c>
      <c r="EF6" s="56">
        <v>14039868.307322517</v>
      </c>
      <c r="EG6" s="56">
        <v>14039868.307322517</v>
      </c>
      <c r="EH6" s="56">
        <v>14039868.307322517</v>
      </c>
      <c r="EI6" s="56">
        <v>14039868.307322517</v>
      </c>
      <c r="EJ6" s="56">
        <v>14039868.307322517</v>
      </c>
      <c r="EK6" s="56">
        <v>14039868.307322517</v>
      </c>
      <c r="EL6" s="56">
        <v>14039868.307322517</v>
      </c>
      <c r="EM6" s="56">
        <v>14039868.307322517</v>
      </c>
      <c r="EN6" s="56">
        <v>14039868.307322517</v>
      </c>
      <c r="EO6" s="56">
        <v>14039868.307322517</v>
      </c>
      <c r="EP6" s="56">
        <v>14395228.044480763</v>
      </c>
      <c r="EQ6" s="56">
        <v>14395228.044480763</v>
      </c>
      <c r="ER6" s="56">
        <v>14395228.044480763</v>
      </c>
      <c r="ES6" s="56">
        <v>14395228.044480763</v>
      </c>
      <c r="ET6" s="56">
        <v>14395228.044480763</v>
      </c>
      <c r="EU6" s="56">
        <v>14395228.044480763</v>
      </c>
      <c r="EV6" s="56">
        <v>14395228.044480763</v>
      </c>
      <c r="EW6" s="56">
        <v>14395228.044480763</v>
      </c>
      <c r="EX6" s="56">
        <v>14395228.044480763</v>
      </c>
      <c r="EY6" s="56">
        <v>14395228.044480763</v>
      </c>
      <c r="EZ6" s="56">
        <v>14395228.044480763</v>
      </c>
      <c r="FA6" s="56">
        <v>14395228.044480763</v>
      </c>
      <c r="FB6" s="56">
        <v>14759582.206659885</v>
      </c>
      <c r="FC6" s="56">
        <v>14759582.206659885</v>
      </c>
      <c r="FD6" s="56">
        <v>14759582.206659885</v>
      </c>
      <c r="FE6" s="56">
        <v>14759582.206659885</v>
      </c>
      <c r="FF6" s="56">
        <v>14759582.206659885</v>
      </c>
      <c r="FG6" s="56">
        <v>14759582.206659885</v>
      </c>
      <c r="FH6" s="56">
        <v>14759582.206659885</v>
      </c>
      <c r="FI6" s="56">
        <v>14759582.206659885</v>
      </c>
      <c r="FJ6" s="56">
        <v>14759582.206659885</v>
      </c>
      <c r="FK6" s="56">
        <v>14759582.206659885</v>
      </c>
      <c r="FL6" s="56">
        <v>14759582.206659885</v>
      </c>
      <c r="FM6" s="56">
        <v>14759582.206659885</v>
      </c>
      <c r="FN6" s="56">
        <v>15133158.449592924</v>
      </c>
      <c r="FO6" s="56">
        <v>15133158.449592924</v>
      </c>
      <c r="FP6" s="56">
        <v>15133158.449592924</v>
      </c>
      <c r="FQ6" s="56">
        <v>15133158.449592924</v>
      </c>
      <c r="FR6" s="56">
        <v>15133158.449592924</v>
      </c>
      <c r="FS6" s="56">
        <v>15133158.449592924</v>
      </c>
      <c r="FT6" s="56">
        <v>15133158.449592924</v>
      </c>
      <c r="FU6" s="56">
        <v>15133158.449592924</v>
      </c>
      <c r="FV6" s="56">
        <v>15133158.449592924</v>
      </c>
      <c r="FW6" s="56">
        <v>15133158.449592924</v>
      </c>
      <c r="FX6" s="56">
        <v>15133158.449592924</v>
      </c>
      <c r="FY6" s="56">
        <v>15133158.449592924</v>
      </c>
      <c r="FZ6" s="56">
        <v>0</v>
      </c>
      <c r="GA6" s="56">
        <v>0</v>
      </c>
      <c r="GB6" s="56">
        <v>0</v>
      </c>
      <c r="GC6" s="56">
        <v>0</v>
      </c>
      <c r="GD6" s="56">
        <v>0</v>
      </c>
      <c r="GE6" s="56">
        <v>0</v>
      </c>
      <c r="GF6" s="56">
        <v>0</v>
      </c>
      <c r="GG6" s="56">
        <v>0</v>
      </c>
      <c r="GH6" s="56">
        <v>0</v>
      </c>
      <c r="GI6" s="56">
        <v>0</v>
      </c>
      <c r="GJ6" s="56">
        <v>0</v>
      </c>
      <c r="GK6" s="85">
        <v>0</v>
      </c>
      <c r="GL6" s="40"/>
    </row>
    <row r="7" spans="1:194" x14ac:dyDescent="0.4">
      <c r="A7" s="84" t="s">
        <v>237</v>
      </c>
      <c r="B7" s="70" t="s">
        <v>174</v>
      </c>
      <c r="C7" s="70" t="s">
        <v>398</v>
      </c>
      <c r="D7" s="70" t="s">
        <v>209</v>
      </c>
      <c r="E7" s="70" t="s">
        <v>175</v>
      </c>
      <c r="F7" s="70" t="s">
        <v>199</v>
      </c>
      <c r="G7" s="70" t="s">
        <v>175</v>
      </c>
      <c r="H7" s="70">
        <v>0</v>
      </c>
      <c r="I7" s="70">
        <v>0</v>
      </c>
      <c r="J7" s="70" t="s">
        <v>210</v>
      </c>
      <c r="K7" s="70">
        <v>0</v>
      </c>
      <c r="L7" s="70" t="s">
        <v>211</v>
      </c>
      <c r="M7" s="71">
        <f>IFERROR(INDEX('(참조)CS_인건비'!$S$3:$AG$40,MATCH(CS_인건비!$A7,'(참조)CS_인건비'!$S$3:$S$40,0),MATCH('(참조)CS_인건비'!X$2,'(참조)CS_인건비'!$S$2:$AG$2,0)),0)</f>
        <v>5</v>
      </c>
      <c r="N7" s="71">
        <f>IFERROR(INDEX('(참조)CS_인건비'!$S$3:$AG$40,MATCH(CS_인건비!$A7,'(참조)CS_인건비'!$S$3:$S$40,0),MATCH('(참조)CS_인건비'!Y$2,'(참조)CS_인건비'!$S$2:$AG$2,0)),0)</f>
        <v>5</v>
      </c>
      <c r="O7" s="71">
        <f>IFERROR(INDEX('(참조)CS_인건비'!$S$3:$AG$40,MATCH(CS_인건비!$A7,'(참조)CS_인건비'!$S$3:$S$40,0),MATCH('(참조)CS_인건비'!Z$2,'(참조)CS_인건비'!$S$2:$AG$2,0)),0)</f>
        <v>5</v>
      </c>
      <c r="P7" s="71">
        <f>IFERROR(INDEX('(참조)CS_인건비'!$S$3:$AG$40,MATCH(CS_인건비!$A7,'(참조)CS_인건비'!$S$3:$S$40,0),MATCH('(참조)CS_인건비'!AA$2,'(참조)CS_인건비'!$S$2:$AG$2,0)),0)</f>
        <v>5</v>
      </c>
      <c r="Q7" s="71">
        <f>IFERROR(INDEX('(참조)CS_인건비'!$S$3:$AG$40,MATCH(CS_인건비!$A7,'(참조)CS_인건비'!$S$3:$S$40,0),MATCH('(참조)CS_인건비'!AB$2,'(참조)CS_인건비'!$S$2:$AG$2,0)),0)</f>
        <v>5</v>
      </c>
      <c r="R7" s="71">
        <f>IFERROR(INDEX('(참조)CS_인건비'!$S$3:$AG$40,MATCH(CS_인건비!$A7,'(참조)CS_인건비'!$S$3:$S$40,0),MATCH('(참조)CS_인건비'!AC$2,'(참조)CS_인건비'!$S$2:$AG$2,0)),0)</f>
        <v>5</v>
      </c>
      <c r="S7" s="71">
        <f>IFERROR(INDEX('(참조)CS_인건비'!$S$3:$AG$40,MATCH(CS_인건비!$A7,'(참조)CS_인건비'!$S$3:$S$40,0),MATCH('(참조)CS_인건비'!AD$2,'(참조)CS_인건비'!$S$2:$AG$2,0)),0)</f>
        <v>5</v>
      </c>
      <c r="T7" s="71">
        <f>IFERROR(INDEX('(참조)CS_인건비'!$S$3:$AG$40,MATCH(CS_인건비!$A7,'(참조)CS_인건비'!$S$3:$S$40,0),MATCH('(참조)CS_인건비'!AE$2,'(참조)CS_인건비'!$S$2:$AG$2,0)),0)</f>
        <v>5</v>
      </c>
      <c r="U7" s="71">
        <f>IFERROR(INDEX('(참조)CS_인건비'!$S$3:$AG$40,MATCH(CS_인건비!$A7,'(참조)CS_인건비'!$S$3:$S$40,0),MATCH('(참조)CS_인건비'!AF$2,'(참조)CS_인건비'!$S$2:$AG$2,0)),0)</f>
        <v>5</v>
      </c>
      <c r="V7" s="71">
        <f>IFERROR(INDEX('(참조)CS_인건비'!$S$3:$AG$40,MATCH(CS_인건비!$A7,'(참조)CS_인건비'!$S$3:$S$40,0),MATCH('(참조)CS_인건비'!AG$2,'(참조)CS_인건비'!$S$2:$AG$2,0)),0)</f>
        <v>5</v>
      </c>
      <c r="W7" s="71">
        <f>IFERROR(INDEX('(참조)CS_인건비'!$S$3:$AG$40,MATCH(CS_인건비!$A7,'(참조)CS_인건비'!$S$3:$S$40,0),MATCH('(참조)CS_인건비'!AH$2,'(참조)CS_인건비'!$S$2:$AG$2,0)),0)</f>
        <v>0</v>
      </c>
      <c r="X7" s="72">
        <v>0</v>
      </c>
      <c r="Y7" s="72">
        <f>IFERROR(INDEX('(참조)CS_인건비'!$A$3:$O$40,MATCH(CS_인건비!$A7,'(참조)CS_인건비'!$A$3:$A$40,0),MATCH('(참조)CS_인건비'!F$2,'(참조)CS_인건비'!$A$2:$O$2,0)),0)</f>
        <v>2416907</v>
      </c>
      <c r="Z7" s="72">
        <f>IFERROR(INDEX('(참조)CS_인건비'!$A$3:$O$40,MATCH(CS_인건비!$A7,'(참조)CS_인건비'!$A$3:$A$40,0),MATCH('(참조)CS_인건비'!G$2,'(참조)CS_인건비'!$A$2:$O$2,0)),0)</f>
        <v>2478080.7530193198</v>
      </c>
      <c r="AA7" s="72">
        <f>IFERROR(INDEX('(참조)CS_인건비'!$A$3:$O$40,MATCH(CS_인건비!$A7,'(참조)CS_인건비'!$A$3:$A$40,0),MATCH('(참조)CS_인건비'!H$2,'(참조)CS_인건비'!$A$2:$O$2,0)),0)</f>
        <v>2540802.8602196113</v>
      </c>
      <c r="AB7" s="72">
        <f>IFERROR(INDEX('(참조)CS_인건비'!$A$3:$O$40,MATCH(CS_인건비!$A7,'(참조)CS_인건비'!$A$3:$A$40,0),MATCH('(참조)CS_인건비'!I$2,'(참조)CS_인건비'!$A$2:$O$2,0)),0)</f>
        <v>2605112.5116219432</v>
      </c>
      <c r="AC7" s="72">
        <f>IFERROR(INDEX('(참조)CS_인건비'!$A$3:$O$40,MATCH(CS_인건비!$A7,'(참조)CS_인건비'!$A$3:$A$40,0),MATCH('(참조)CS_인건비'!J$2,'(참조)CS_인건비'!$A$2:$O$2,0)),0)</f>
        <v>2671049.8891766034</v>
      </c>
      <c r="AD7" s="72">
        <f>IFERROR(INDEX('(참조)CS_인건비'!$A$3:$O$40,MATCH(CS_인건비!$A7,'(참조)CS_인건비'!$A$3:$A$40,0),MATCH('(참조)CS_인건비'!K$2,'(참조)CS_인건비'!$A$2:$O$2,0)),0)</f>
        <v>2738656.1918695788</v>
      </c>
      <c r="AE7" s="72">
        <f>IFERROR(INDEX('(참조)CS_인건비'!$A$3:$O$40,MATCH(CS_인건비!$A7,'(참조)CS_인건비'!$A$3:$A$40,0),MATCH('(참조)CS_인건비'!L$2,'(참조)CS_인건비'!$A$2:$O$2,0)),0)</f>
        <v>2807973.6614645035</v>
      </c>
      <c r="AF7" s="72">
        <f>IFERROR(INDEX('(참조)CS_인건비'!$A$3:$O$40,MATCH(CS_인건비!$A7,'(참조)CS_인건비'!$A$3:$A$40,0),MATCH('(참조)CS_인건비'!M$2,'(참조)CS_인건비'!$A$2:$O$2,0)),0)</f>
        <v>2879045.6088961526</v>
      </c>
      <c r="AG7" s="72">
        <f>IFERROR(INDEX('(참조)CS_인건비'!$A$3:$O$40,MATCH(CS_인건비!$A7,'(참조)CS_인건비'!$A$3:$A$40,0),MATCH('(참조)CS_인건비'!N$2,'(참조)CS_인건비'!$A$2:$O$2,0)),0)</f>
        <v>2951916.441331977</v>
      </c>
      <c r="AH7" s="72">
        <f>IFERROR(INDEX('(참조)CS_인건비'!$A$3:$O$40,MATCH(CS_인건비!$A7,'(참조)CS_인건비'!$A$3:$A$40,0),MATCH('(참조)CS_인건비'!O$2,'(참조)CS_인건비'!$A$2:$O$2,0)),0)</f>
        <v>3026631.6899185847</v>
      </c>
      <c r="AI7" s="72">
        <f>IFERROR(INDEX('(참조)CS_인건비'!$A$3:$O$40,MATCH(CS_인건비!$A7,'(참조)CS_인건비'!$A$3:$A$40,0),MATCH('(참조)CS_인건비'!P$2,'(참조)CS_인건비'!$A$2:$O$2,0)),0)</f>
        <v>0</v>
      </c>
      <c r="AJ7" s="72">
        <v>12</v>
      </c>
      <c r="AK7" s="72">
        <v>12</v>
      </c>
      <c r="AL7" s="72">
        <v>12</v>
      </c>
      <c r="AM7" s="72">
        <v>12</v>
      </c>
      <c r="AN7" s="72">
        <v>12</v>
      </c>
      <c r="AO7" s="72">
        <v>12</v>
      </c>
      <c r="AP7" s="72">
        <v>12</v>
      </c>
      <c r="AQ7" s="72">
        <v>12</v>
      </c>
      <c r="AR7" s="72">
        <v>12</v>
      </c>
      <c r="AS7" s="72">
        <v>12</v>
      </c>
      <c r="AT7" s="72">
        <v>12</v>
      </c>
      <c r="AU7" s="73">
        <v>1</v>
      </c>
      <c r="AV7" s="70">
        <v>0</v>
      </c>
      <c r="AW7" s="70">
        <v>0</v>
      </c>
      <c r="AX7" s="56">
        <v>1626970596.4510965</v>
      </c>
      <c r="AY7" s="56">
        <v>145014420</v>
      </c>
      <c r="AZ7" s="56">
        <v>148684845.18115923</v>
      </c>
      <c r="BA7" s="56">
        <v>152448171.61317664</v>
      </c>
      <c r="BB7" s="56">
        <v>156306750.69731659</v>
      </c>
      <c r="BC7" s="56">
        <v>160262993.35059622</v>
      </c>
      <c r="BD7" s="56">
        <v>164319371.51217473</v>
      </c>
      <c r="BE7" s="56">
        <v>168478419.6878702</v>
      </c>
      <c r="BF7" s="56">
        <v>172742736.53376922</v>
      </c>
      <c r="BG7" s="56">
        <v>177114986.47991863</v>
      </c>
      <c r="BH7" s="56">
        <v>181597901.39511505</v>
      </c>
      <c r="BI7" s="56">
        <v>0</v>
      </c>
      <c r="BJ7" s="74">
        <v>12084535</v>
      </c>
      <c r="BK7" s="56">
        <v>12084535</v>
      </c>
      <c r="BL7" s="56">
        <v>12084535</v>
      </c>
      <c r="BM7" s="56">
        <v>12084535</v>
      </c>
      <c r="BN7" s="56">
        <v>12084535</v>
      </c>
      <c r="BO7" s="56">
        <v>12084535</v>
      </c>
      <c r="BP7" s="56">
        <v>12084535</v>
      </c>
      <c r="BQ7" s="56">
        <v>12084535</v>
      </c>
      <c r="BR7" s="56">
        <v>12084535</v>
      </c>
      <c r="BS7" s="56">
        <v>12084535</v>
      </c>
      <c r="BT7" s="56">
        <v>12084535</v>
      </c>
      <c r="BU7" s="56">
        <v>12084535</v>
      </c>
      <c r="BV7" s="56">
        <v>12390403.765096599</v>
      </c>
      <c r="BW7" s="56">
        <v>12390403.765096599</v>
      </c>
      <c r="BX7" s="56">
        <v>12390403.765096599</v>
      </c>
      <c r="BY7" s="56">
        <v>12390403.765096599</v>
      </c>
      <c r="BZ7" s="56">
        <v>12390403.765096599</v>
      </c>
      <c r="CA7" s="56">
        <v>12390403.765096599</v>
      </c>
      <c r="CB7" s="56">
        <v>12390403.765096599</v>
      </c>
      <c r="CC7" s="56">
        <v>12390403.765096599</v>
      </c>
      <c r="CD7" s="56">
        <v>12390403.765096599</v>
      </c>
      <c r="CE7" s="56">
        <v>12390403.765096599</v>
      </c>
      <c r="CF7" s="56">
        <v>12390403.765096599</v>
      </c>
      <c r="CG7" s="56">
        <v>12390403.765096599</v>
      </c>
      <c r="CH7" s="56">
        <v>12704014.301098056</v>
      </c>
      <c r="CI7" s="56">
        <v>12704014.301098056</v>
      </c>
      <c r="CJ7" s="56">
        <v>12704014.301098056</v>
      </c>
      <c r="CK7" s="56">
        <v>12704014.301098056</v>
      </c>
      <c r="CL7" s="56">
        <v>12704014.301098056</v>
      </c>
      <c r="CM7" s="56">
        <v>12704014.301098056</v>
      </c>
      <c r="CN7" s="56">
        <v>12704014.301098056</v>
      </c>
      <c r="CO7" s="56">
        <v>12704014.301098056</v>
      </c>
      <c r="CP7" s="56">
        <v>12704014.301098056</v>
      </c>
      <c r="CQ7" s="56">
        <v>12704014.301098056</v>
      </c>
      <c r="CR7" s="56">
        <v>12704014.301098056</v>
      </c>
      <c r="CS7" s="56">
        <v>12704014.301098056</v>
      </c>
      <c r="CT7" s="56">
        <v>13025562.558109716</v>
      </c>
      <c r="CU7" s="56">
        <v>13025562.558109716</v>
      </c>
      <c r="CV7" s="56">
        <v>13025562.558109716</v>
      </c>
      <c r="CW7" s="56">
        <v>13025562.558109716</v>
      </c>
      <c r="CX7" s="56">
        <v>13025562.558109716</v>
      </c>
      <c r="CY7" s="56">
        <v>13025562.558109716</v>
      </c>
      <c r="CZ7" s="56">
        <v>13025562.558109716</v>
      </c>
      <c r="DA7" s="56">
        <v>13025562.558109716</v>
      </c>
      <c r="DB7" s="56">
        <v>13025562.558109716</v>
      </c>
      <c r="DC7" s="56">
        <v>13025562.558109716</v>
      </c>
      <c r="DD7" s="56">
        <v>13025562.558109716</v>
      </c>
      <c r="DE7" s="56">
        <v>13025562.558109716</v>
      </c>
      <c r="DF7" s="56">
        <v>13355249.445883017</v>
      </c>
      <c r="DG7" s="56">
        <v>13355249.445883017</v>
      </c>
      <c r="DH7" s="56">
        <v>13355249.445883017</v>
      </c>
      <c r="DI7" s="56">
        <v>13355249.445883017</v>
      </c>
      <c r="DJ7" s="56">
        <v>13355249.445883017</v>
      </c>
      <c r="DK7" s="56">
        <v>13355249.445883017</v>
      </c>
      <c r="DL7" s="56">
        <v>13355249.445883017</v>
      </c>
      <c r="DM7" s="56">
        <v>13355249.445883017</v>
      </c>
      <c r="DN7" s="56">
        <v>13355249.445883017</v>
      </c>
      <c r="DO7" s="56">
        <v>13355249.445883017</v>
      </c>
      <c r="DP7" s="56">
        <v>13355249.445883017</v>
      </c>
      <c r="DQ7" s="56">
        <v>13355249.445883017</v>
      </c>
      <c r="DR7" s="56">
        <v>13693280.959347894</v>
      </c>
      <c r="DS7" s="56">
        <v>13693280.959347894</v>
      </c>
      <c r="DT7" s="56">
        <v>13693280.959347894</v>
      </c>
      <c r="DU7" s="56">
        <v>13693280.959347894</v>
      </c>
      <c r="DV7" s="56">
        <v>13693280.959347894</v>
      </c>
      <c r="DW7" s="56">
        <v>13693280.959347894</v>
      </c>
      <c r="DX7" s="56">
        <v>13693280.959347894</v>
      </c>
      <c r="DY7" s="56">
        <v>13693280.959347894</v>
      </c>
      <c r="DZ7" s="56">
        <v>13693280.959347894</v>
      </c>
      <c r="EA7" s="56">
        <v>13693280.959347894</v>
      </c>
      <c r="EB7" s="56">
        <v>13693280.959347894</v>
      </c>
      <c r="EC7" s="56">
        <v>13693280.959347894</v>
      </c>
      <c r="ED7" s="56">
        <v>14039868.307322517</v>
      </c>
      <c r="EE7" s="56">
        <v>14039868.307322517</v>
      </c>
      <c r="EF7" s="56">
        <v>14039868.307322517</v>
      </c>
      <c r="EG7" s="56">
        <v>14039868.307322517</v>
      </c>
      <c r="EH7" s="56">
        <v>14039868.307322517</v>
      </c>
      <c r="EI7" s="56">
        <v>14039868.307322517</v>
      </c>
      <c r="EJ7" s="56">
        <v>14039868.307322517</v>
      </c>
      <c r="EK7" s="56">
        <v>14039868.307322517</v>
      </c>
      <c r="EL7" s="56">
        <v>14039868.307322517</v>
      </c>
      <c r="EM7" s="56">
        <v>14039868.307322517</v>
      </c>
      <c r="EN7" s="56">
        <v>14039868.307322517</v>
      </c>
      <c r="EO7" s="56">
        <v>14039868.307322517</v>
      </c>
      <c r="EP7" s="56">
        <v>14395228.044480763</v>
      </c>
      <c r="EQ7" s="56">
        <v>14395228.044480763</v>
      </c>
      <c r="ER7" s="56">
        <v>14395228.044480763</v>
      </c>
      <c r="ES7" s="56">
        <v>14395228.044480763</v>
      </c>
      <c r="ET7" s="56">
        <v>14395228.044480763</v>
      </c>
      <c r="EU7" s="56">
        <v>14395228.044480763</v>
      </c>
      <c r="EV7" s="56">
        <v>14395228.044480763</v>
      </c>
      <c r="EW7" s="56">
        <v>14395228.044480763</v>
      </c>
      <c r="EX7" s="56">
        <v>14395228.044480763</v>
      </c>
      <c r="EY7" s="56">
        <v>14395228.044480763</v>
      </c>
      <c r="EZ7" s="56">
        <v>14395228.044480763</v>
      </c>
      <c r="FA7" s="56">
        <v>14395228.044480763</v>
      </c>
      <c r="FB7" s="56">
        <v>14759582.206659885</v>
      </c>
      <c r="FC7" s="56">
        <v>14759582.206659885</v>
      </c>
      <c r="FD7" s="56">
        <v>14759582.206659885</v>
      </c>
      <c r="FE7" s="56">
        <v>14759582.206659885</v>
      </c>
      <c r="FF7" s="56">
        <v>14759582.206659885</v>
      </c>
      <c r="FG7" s="56">
        <v>14759582.206659885</v>
      </c>
      <c r="FH7" s="56">
        <v>14759582.206659885</v>
      </c>
      <c r="FI7" s="56">
        <v>14759582.206659885</v>
      </c>
      <c r="FJ7" s="56">
        <v>14759582.206659885</v>
      </c>
      <c r="FK7" s="56">
        <v>14759582.206659885</v>
      </c>
      <c r="FL7" s="56">
        <v>14759582.206659885</v>
      </c>
      <c r="FM7" s="56">
        <v>14759582.206659885</v>
      </c>
      <c r="FN7" s="56">
        <v>15133158.449592924</v>
      </c>
      <c r="FO7" s="56">
        <v>15133158.449592924</v>
      </c>
      <c r="FP7" s="56">
        <v>15133158.449592924</v>
      </c>
      <c r="FQ7" s="56">
        <v>15133158.449592924</v>
      </c>
      <c r="FR7" s="56">
        <v>15133158.449592924</v>
      </c>
      <c r="FS7" s="56">
        <v>15133158.449592924</v>
      </c>
      <c r="FT7" s="56">
        <v>15133158.449592924</v>
      </c>
      <c r="FU7" s="56">
        <v>15133158.449592924</v>
      </c>
      <c r="FV7" s="56">
        <v>15133158.449592924</v>
      </c>
      <c r="FW7" s="56">
        <v>15133158.449592924</v>
      </c>
      <c r="FX7" s="56">
        <v>15133158.449592924</v>
      </c>
      <c r="FY7" s="56">
        <v>15133158.449592924</v>
      </c>
      <c r="FZ7" s="56">
        <v>0</v>
      </c>
      <c r="GA7" s="56">
        <v>0</v>
      </c>
      <c r="GB7" s="56">
        <v>0</v>
      </c>
      <c r="GC7" s="56">
        <v>0</v>
      </c>
      <c r="GD7" s="56">
        <v>0</v>
      </c>
      <c r="GE7" s="56">
        <v>0</v>
      </c>
      <c r="GF7" s="56">
        <v>0</v>
      </c>
      <c r="GG7" s="56">
        <v>0</v>
      </c>
      <c r="GH7" s="56">
        <v>0</v>
      </c>
      <c r="GI7" s="56">
        <v>0</v>
      </c>
      <c r="GJ7" s="56">
        <v>0</v>
      </c>
      <c r="GK7" s="85">
        <v>0</v>
      </c>
      <c r="GL7" s="40"/>
    </row>
    <row r="8" spans="1:194" x14ac:dyDescent="0.4">
      <c r="A8" s="84" t="s">
        <v>238</v>
      </c>
      <c r="B8" s="70" t="s">
        <v>174</v>
      </c>
      <c r="C8" s="70" t="s">
        <v>398</v>
      </c>
      <c r="D8" s="70" t="s">
        <v>209</v>
      </c>
      <c r="E8" s="70" t="s">
        <v>175</v>
      </c>
      <c r="F8" s="70" t="s">
        <v>192</v>
      </c>
      <c r="G8" s="70" t="s">
        <v>175</v>
      </c>
      <c r="H8" s="70">
        <v>0</v>
      </c>
      <c r="I8" s="70">
        <v>0</v>
      </c>
      <c r="J8" s="70" t="s">
        <v>210</v>
      </c>
      <c r="K8" s="70">
        <v>0</v>
      </c>
      <c r="L8" s="70" t="s">
        <v>211</v>
      </c>
      <c r="M8" s="71">
        <f>IFERROR(INDEX('(참조)CS_인건비'!$S$3:$AG$40,MATCH(CS_인건비!$A8,'(참조)CS_인건비'!$S$3:$S$40,0),MATCH('(참조)CS_인건비'!X$2,'(참조)CS_인건비'!$S$2:$AG$2,0)),0)</f>
        <v>25</v>
      </c>
      <c r="N8" s="71">
        <f>IFERROR(INDEX('(참조)CS_인건비'!$S$3:$AG$40,MATCH(CS_인건비!$A8,'(참조)CS_인건비'!$S$3:$S$40,0),MATCH('(참조)CS_인건비'!Y$2,'(참조)CS_인건비'!$S$2:$AG$2,0)),0)</f>
        <v>25</v>
      </c>
      <c r="O8" s="71">
        <f>IFERROR(INDEX('(참조)CS_인건비'!$S$3:$AG$40,MATCH(CS_인건비!$A8,'(참조)CS_인건비'!$S$3:$S$40,0),MATCH('(참조)CS_인건비'!Z$2,'(참조)CS_인건비'!$S$2:$AG$2,0)),0)</f>
        <v>25</v>
      </c>
      <c r="P8" s="71">
        <f>IFERROR(INDEX('(참조)CS_인건비'!$S$3:$AG$40,MATCH(CS_인건비!$A8,'(참조)CS_인건비'!$S$3:$S$40,0),MATCH('(참조)CS_인건비'!AA$2,'(참조)CS_인건비'!$S$2:$AG$2,0)),0)</f>
        <v>25</v>
      </c>
      <c r="Q8" s="71">
        <f>IFERROR(INDEX('(참조)CS_인건비'!$S$3:$AG$40,MATCH(CS_인건비!$A8,'(참조)CS_인건비'!$S$3:$S$40,0),MATCH('(참조)CS_인건비'!AB$2,'(참조)CS_인건비'!$S$2:$AG$2,0)),0)</f>
        <v>25</v>
      </c>
      <c r="R8" s="71">
        <f>IFERROR(INDEX('(참조)CS_인건비'!$S$3:$AG$40,MATCH(CS_인건비!$A8,'(참조)CS_인건비'!$S$3:$S$40,0),MATCH('(참조)CS_인건비'!AC$2,'(참조)CS_인건비'!$S$2:$AG$2,0)),0)</f>
        <v>25</v>
      </c>
      <c r="S8" s="71">
        <f>IFERROR(INDEX('(참조)CS_인건비'!$S$3:$AG$40,MATCH(CS_인건비!$A8,'(참조)CS_인건비'!$S$3:$S$40,0),MATCH('(참조)CS_인건비'!AD$2,'(참조)CS_인건비'!$S$2:$AG$2,0)),0)</f>
        <v>25</v>
      </c>
      <c r="T8" s="71">
        <f>IFERROR(INDEX('(참조)CS_인건비'!$S$3:$AG$40,MATCH(CS_인건비!$A8,'(참조)CS_인건비'!$S$3:$S$40,0),MATCH('(참조)CS_인건비'!AE$2,'(참조)CS_인건비'!$S$2:$AG$2,0)),0)</f>
        <v>25</v>
      </c>
      <c r="U8" s="71">
        <f>IFERROR(INDEX('(참조)CS_인건비'!$S$3:$AG$40,MATCH(CS_인건비!$A8,'(참조)CS_인건비'!$S$3:$S$40,0),MATCH('(참조)CS_인건비'!AF$2,'(참조)CS_인건비'!$S$2:$AG$2,0)),0)</f>
        <v>25</v>
      </c>
      <c r="V8" s="71">
        <f>IFERROR(INDEX('(참조)CS_인건비'!$S$3:$AG$40,MATCH(CS_인건비!$A8,'(참조)CS_인건비'!$S$3:$S$40,0),MATCH('(참조)CS_인건비'!AG$2,'(참조)CS_인건비'!$S$2:$AG$2,0)),0)</f>
        <v>25</v>
      </c>
      <c r="W8" s="71">
        <f>IFERROR(INDEX('(참조)CS_인건비'!$S$3:$AG$40,MATCH(CS_인건비!$A8,'(참조)CS_인건비'!$S$3:$S$40,0),MATCH('(참조)CS_인건비'!AH$2,'(참조)CS_인건비'!$S$2:$AG$2,0)),0)</f>
        <v>0</v>
      </c>
      <c r="X8" s="72">
        <v>0</v>
      </c>
      <c r="Y8" s="72">
        <f>IFERROR(INDEX('(참조)CS_인건비'!$A$3:$O$40,MATCH(CS_인건비!$A8,'(참조)CS_인건비'!$A$3:$A$40,0),MATCH('(참조)CS_인건비'!F$2,'(참조)CS_인건비'!$A$2:$O$2,0)),0)</f>
        <v>2475401</v>
      </c>
      <c r="Z8" s="72">
        <f>IFERROR(INDEX('(참조)CS_인건비'!$A$3:$O$40,MATCH(CS_인건비!$A8,'(참조)CS_인건비'!$A$3:$A$40,0),MATCH('(참조)CS_인건비'!G$2,'(참조)CS_인건비'!$A$2:$O$2,0)),0)</f>
        <v>2538055.2806147598</v>
      </c>
      <c r="AA8" s="72">
        <f>IFERROR(INDEX('(참조)CS_인건비'!$A$3:$O$40,MATCH(CS_인건비!$A8,'(참조)CS_인건비'!$A$3:$A$40,0),MATCH('(참조)CS_인건비'!H$2,'(참조)CS_인건비'!$A$2:$O$2,0)),0)</f>
        <v>2602295.3886891324</v>
      </c>
      <c r="AB8" s="72">
        <f>IFERROR(INDEX('(참조)CS_인건비'!$A$3:$O$40,MATCH(CS_인건비!$A8,'(참조)CS_인건비'!$A$3:$A$40,0),MATCH('(참조)CS_인건비'!I$2,'(참조)CS_인건비'!$A$2:$O$2,0)),0)</f>
        <v>2668161.4627213497</v>
      </c>
      <c r="AC8" s="72">
        <f>IFERROR(INDEX('(참조)CS_인건비'!$A$3:$O$40,MATCH(CS_인건비!$A8,'(참조)CS_인건비'!$A$3:$A$40,0),MATCH('(참조)CS_인건비'!J$2,'(참조)CS_인건비'!$A$2:$O$2,0)),0)</f>
        <v>2735694.6571455388</v>
      </c>
      <c r="AD8" s="72">
        <f>IFERROR(INDEX('(참조)CS_인건비'!$A$3:$O$40,MATCH(CS_인건비!$A8,'(참조)CS_인건비'!$A$3:$A$40,0),MATCH('(참조)CS_인건비'!K$2,'(참조)CS_인건비'!$A$2:$O$2,0)),0)</f>
        <v>2804937.1680458318</v>
      </c>
      <c r="AE8" s="72">
        <f>IFERROR(INDEX('(참조)CS_인건비'!$A$3:$O$40,MATCH(CS_인건비!$A8,'(참조)CS_인건비'!$A$3:$A$40,0),MATCH('(참조)CS_인건비'!L$2,'(참조)CS_인건비'!$A$2:$O$2,0)),0)</f>
        <v>2875932.2595213195</v>
      </c>
      <c r="AF8" s="72">
        <f>IFERROR(INDEX('(참조)CS_인건비'!$A$3:$O$40,MATCH(CS_인건비!$A8,'(참조)CS_인건비'!$A$3:$A$40,0),MATCH('(참조)CS_인건비'!M$2,'(참조)CS_인건비'!$A$2:$O$2,0)),0)</f>
        <v>2948724.2907183212</v>
      </c>
      <c r="AG8" s="72">
        <f>IFERROR(INDEX('(참조)CS_인건비'!$A$3:$O$40,MATCH(CS_인건비!$A8,'(참조)CS_인건비'!$A$3:$A$40,0),MATCH('(참조)CS_인건비'!N$2,'(참조)CS_인건비'!$A$2:$O$2,0)),0)</f>
        <v>3023358.7435468626</v>
      </c>
      <c r="AH8" s="72">
        <f>IFERROR(INDEX('(참조)CS_인건비'!$A$3:$O$40,MATCH(CS_인건비!$A8,'(참조)CS_인건비'!$A$3:$A$40,0),MATCH('(참조)CS_인건비'!O$2,'(참조)CS_인건비'!$A$2:$O$2,0)),0)</f>
        <v>3099882.2510986789</v>
      </c>
      <c r="AI8" s="72">
        <f>IFERROR(INDEX('(참조)CS_인건비'!$A$3:$O$40,MATCH(CS_인건비!$A8,'(참조)CS_인건비'!$A$3:$A$40,0),MATCH('(참조)CS_인건비'!P$2,'(참조)CS_인건비'!$A$2:$O$2,0)),0)</f>
        <v>0</v>
      </c>
      <c r="AJ8" s="72">
        <v>12</v>
      </c>
      <c r="AK8" s="72">
        <v>12</v>
      </c>
      <c r="AL8" s="72">
        <v>12</v>
      </c>
      <c r="AM8" s="72">
        <v>12</v>
      </c>
      <c r="AN8" s="72">
        <v>12</v>
      </c>
      <c r="AO8" s="72">
        <v>12</v>
      </c>
      <c r="AP8" s="72">
        <v>12</v>
      </c>
      <c r="AQ8" s="72">
        <v>12</v>
      </c>
      <c r="AR8" s="72">
        <v>12</v>
      </c>
      <c r="AS8" s="72">
        <v>12</v>
      </c>
      <c r="AT8" s="72">
        <v>12</v>
      </c>
      <c r="AU8" s="73">
        <v>1</v>
      </c>
      <c r="AV8" s="70">
        <v>0</v>
      </c>
      <c r="AW8" s="70">
        <v>0</v>
      </c>
      <c r="AX8" s="56">
        <v>8331732750.630538</v>
      </c>
      <c r="AY8" s="56">
        <v>742620300</v>
      </c>
      <c r="AZ8" s="56">
        <v>761416584.18442774</v>
      </c>
      <c r="BA8" s="56">
        <v>780688616.60673964</v>
      </c>
      <c r="BB8" s="56">
        <v>800448438.81640482</v>
      </c>
      <c r="BC8" s="56">
        <v>820708397.14366162</v>
      </c>
      <c r="BD8" s="56">
        <v>841481150.41374934</v>
      </c>
      <c r="BE8" s="56">
        <v>862779677.8563956</v>
      </c>
      <c r="BF8" s="56">
        <v>884617287.21549642</v>
      </c>
      <c r="BG8" s="56">
        <v>907007623.06405878</v>
      </c>
      <c r="BH8" s="56">
        <v>929964675.32960379</v>
      </c>
      <c r="BI8" s="56">
        <v>0</v>
      </c>
      <c r="BJ8" s="74">
        <v>61885025</v>
      </c>
      <c r="BK8" s="56">
        <v>61885025</v>
      </c>
      <c r="BL8" s="56">
        <v>61885025</v>
      </c>
      <c r="BM8" s="56">
        <v>61885025</v>
      </c>
      <c r="BN8" s="56">
        <v>61885025</v>
      </c>
      <c r="BO8" s="56">
        <v>61885025</v>
      </c>
      <c r="BP8" s="56">
        <v>61885025</v>
      </c>
      <c r="BQ8" s="56">
        <v>61885025</v>
      </c>
      <c r="BR8" s="56">
        <v>61885025</v>
      </c>
      <c r="BS8" s="56">
        <v>61885025</v>
      </c>
      <c r="BT8" s="56">
        <v>61885025</v>
      </c>
      <c r="BU8" s="56">
        <v>61885025</v>
      </c>
      <c r="BV8" s="56">
        <v>63451382.015368998</v>
      </c>
      <c r="BW8" s="56">
        <v>63451382.015368998</v>
      </c>
      <c r="BX8" s="56">
        <v>63451382.015368998</v>
      </c>
      <c r="BY8" s="56">
        <v>63451382.015368998</v>
      </c>
      <c r="BZ8" s="56">
        <v>63451382.015368998</v>
      </c>
      <c r="CA8" s="56">
        <v>63451382.015368998</v>
      </c>
      <c r="CB8" s="56">
        <v>63451382.015368998</v>
      </c>
      <c r="CC8" s="56">
        <v>63451382.015368998</v>
      </c>
      <c r="CD8" s="56">
        <v>63451382.015368998</v>
      </c>
      <c r="CE8" s="56">
        <v>63451382.015368998</v>
      </c>
      <c r="CF8" s="56">
        <v>63451382.015368998</v>
      </c>
      <c r="CG8" s="56">
        <v>63451382.015368998</v>
      </c>
      <c r="CH8" s="56">
        <v>65057384.717228308</v>
      </c>
      <c r="CI8" s="56">
        <v>65057384.717228308</v>
      </c>
      <c r="CJ8" s="56">
        <v>65057384.717228308</v>
      </c>
      <c r="CK8" s="56">
        <v>65057384.717228308</v>
      </c>
      <c r="CL8" s="56">
        <v>65057384.717228308</v>
      </c>
      <c r="CM8" s="56">
        <v>65057384.717228308</v>
      </c>
      <c r="CN8" s="56">
        <v>65057384.717228308</v>
      </c>
      <c r="CO8" s="56">
        <v>65057384.717228308</v>
      </c>
      <c r="CP8" s="56">
        <v>65057384.717228308</v>
      </c>
      <c r="CQ8" s="56">
        <v>65057384.717228308</v>
      </c>
      <c r="CR8" s="56">
        <v>65057384.717228308</v>
      </c>
      <c r="CS8" s="56">
        <v>65057384.717228308</v>
      </c>
      <c r="CT8" s="56">
        <v>66704036.56803374</v>
      </c>
      <c r="CU8" s="56">
        <v>66704036.56803374</v>
      </c>
      <c r="CV8" s="56">
        <v>66704036.56803374</v>
      </c>
      <c r="CW8" s="56">
        <v>66704036.56803374</v>
      </c>
      <c r="CX8" s="56">
        <v>66704036.56803374</v>
      </c>
      <c r="CY8" s="56">
        <v>66704036.56803374</v>
      </c>
      <c r="CZ8" s="56">
        <v>66704036.56803374</v>
      </c>
      <c r="DA8" s="56">
        <v>66704036.56803374</v>
      </c>
      <c r="DB8" s="56">
        <v>66704036.56803374</v>
      </c>
      <c r="DC8" s="56">
        <v>66704036.56803374</v>
      </c>
      <c r="DD8" s="56">
        <v>66704036.56803374</v>
      </c>
      <c r="DE8" s="56">
        <v>66704036.56803374</v>
      </c>
      <c r="DF8" s="56">
        <v>68392366.428638473</v>
      </c>
      <c r="DG8" s="56">
        <v>68392366.428638473</v>
      </c>
      <c r="DH8" s="56">
        <v>68392366.428638473</v>
      </c>
      <c r="DI8" s="56">
        <v>68392366.428638473</v>
      </c>
      <c r="DJ8" s="56">
        <v>68392366.428638473</v>
      </c>
      <c r="DK8" s="56">
        <v>68392366.428638473</v>
      </c>
      <c r="DL8" s="56">
        <v>68392366.428638473</v>
      </c>
      <c r="DM8" s="56">
        <v>68392366.428638473</v>
      </c>
      <c r="DN8" s="56">
        <v>68392366.428638473</v>
      </c>
      <c r="DO8" s="56">
        <v>68392366.428638473</v>
      </c>
      <c r="DP8" s="56">
        <v>68392366.428638473</v>
      </c>
      <c r="DQ8" s="56">
        <v>68392366.428638473</v>
      </c>
      <c r="DR8" s="56">
        <v>70123429.201145798</v>
      </c>
      <c r="DS8" s="56">
        <v>70123429.201145798</v>
      </c>
      <c r="DT8" s="56">
        <v>70123429.201145798</v>
      </c>
      <c r="DU8" s="56">
        <v>70123429.201145798</v>
      </c>
      <c r="DV8" s="56">
        <v>70123429.201145798</v>
      </c>
      <c r="DW8" s="56">
        <v>70123429.201145798</v>
      </c>
      <c r="DX8" s="56">
        <v>70123429.201145798</v>
      </c>
      <c r="DY8" s="56">
        <v>70123429.201145798</v>
      </c>
      <c r="DZ8" s="56">
        <v>70123429.201145798</v>
      </c>
      <c r="EA8" s="56">
        <v>70123429.201145798</v>
      </c>
      <c r="EB8" s="56">
        <v>70123429.201145798</v>
      </c>
      <c r="EC8" s="56">
        <v>70123429.201145798</v>
      </c>
      <c r="ED8" s="56">
        <v>71898306.488032982</v>
      </c>
      <c r="EE8" s="56">
        <v>71898306.488032982</v>
      </c>
      <c r="EF8" s="56">
        <v>71898306.488032982</v>
      </c>
      <c r="EG8" s="56">
        <v>71898306.488032982</v>
      </c>
      <c r="EH8" s="56">
        <v>71898306.488032982</v>
      </c>
      <c r="EI8" s="56">
        <v>71898306.488032982</v>
      </c>
      <c r="EJ8" s="56">
        <v>71898306.488032982</v>
      </c>
      <c r="EK8" s="56">
        <v>71898306.488032982</v>
      </c>
      <c r="EL8" s="56">
        <v>71898306.488032982</v>
      </c>
      <c r="EM8" s="56">
        <v>71898306.488032982</v>
      </c>
      <c r="EN8" s="56">
        <v>71898306.488032982</v>
      </c>
      <c r="EO8" s="56">
        <v>71898306.488032982</v>
      </c>
      <c r="EP8" s="56">
        <v>73718107.26795803</v>
      </c>
      <c r="EQ8" s="56">
        <v>73718107.26795803</v>
      </c>
      <c r="ER8" s="56">
        <v>73718107.26795803</v>
      </c>
      <c r="ES8" s="56">
        <v>73718107.26795803</v>
      </c>
      <c r="ET8" s="56">
        <v>73718107.26795803</v>
      </c>
      <c r="EU8" s="56">
        <v>73718107.26795803</v>
      </c>
      <c r="EV8" s="56">
        <v>73718107.26795803</v>
      </c>
      <c r="EW8" s="56">
        <v>73718107.26795803</v>
      </c>
      <c r="EX8" s="56">
        <v>73718107.26795803</v>
      </c>
      <c r="EY8" s="56">
        <v>73718107.26795803</v>
      </c>
      <c r="EZ8" s="56">
        <v>73718107.26795803</v>
      </c>
      <c r="FA8" s="56">
        <v>73718107.26795803</v>
      </c>
      <c r="FB8" s="56">
        <v>75583968.588671565</v>
      </c>
      <c r="FC8" s="56">
        <v>75583968.588671565</v>
      </c>
      <c r="FD8" s="56">
        <v>75583968.588671565</v>
      </c>
      <c r="FE8" s="56">
        <v>75583968.588671565</v>
      </c>
      <c r="FF8" s="56">
        <v>75583968.588671565</v>
      </c>
      <c r="FG8" s="56">
        <v>75583968.588671565</v>
      </c>
      <c r="FH8" s="56">
        <v>75583968.588671565</v>
      </c>
      <c r="FI8" s="56">
        <v>75583968.588671565</v>
      </c>
      <c r="FJ8" s="56">
        <v>75583968.588671565</v>
      </c>
      <c r="FK8" s="56">
        <v>75583968.588671565</v>
      </c>
      <c r="FL8" s="56">
        <v>75583968.588671565</v>
      </c>
      <c r="FM8" s="56">
        <v>75583968.588671565</v>
      </c>
      <c r="FN8" s="56">
        <v>77497056.277466968</v>
      </c>
      <c r="FO8" s="56">
        <v>77497056.277466968</v>
      </c>
      <c r="FP8" s="56">
        <v>77497056.277466968</v>
      </c>
      <c r="FQ8" s="56">
        <v>77497056.277466968</v>
      </c>
      <c r="FR8" s="56">
        <v>77497056.277466968</v>
      </c>
      <c r="FS8" s="56">
        <v>77497056.277466968</v>
      </c>
      <c r="FT8" s="56">
        <v>77497056.277466968</v>
      </c>
      <c r="FU8" s="56">
        <v>77497056.277466968</v>
      </c>
      <c r="FV8" s="56">
        <v>77497056.277466968</v>
      </c>
      <c r="FW8" s="56">
        <v>77497056.277466968</v>
      </c>
      <c r="FX8" s="56">
        <v>77497056.277466968</v>
      </c>
      <c r="FY8" s="56">
        <v>77497056.277466968</v>
      </c>
      <c r="FZ8" s="56">
        <v>0</v>
      </c>
      <c r="GA8" s="56">
        <v>0</v>
      </c>
      <c r="GB8" s="56">
        <v>0</v>
      </c>
      <c r="GC8" s="56">
        <v>0</v>
      </c>
      <c r="GD8" s="56">
        <v>0</v>
      </c>
      <c r="GE8" s="56">
        <v>0</v>
      </c>
      <c r="GF8" s="56">
        <v>0</v>
      </c>
      <c r="GG8" s="56">
        <v>0</v>
      </c>
      <c r="GH8" s="56">
        <v>0</v>
      </c>
      <c r="GI8" s="56">
        <v>0</v>
      </c>
      <c r="GJ8" s="56">
        <v>0</v>
      </c>
      <c r="GK8" s="85">
        <v>0</v>
      </c>
      <c r="GL8" s="40"/>
    </row>
    <row r="9" spans="1:194" x14ac:dyDescent="0.4">
      <c r="A9" s="84" t="s">
        <v>239</v>
      </c>
      <c r="B9" s="70" t="s">
        <v>174</v>
      </c>
      <c r="C9" s="70" t="s">
        <v>398</v>
      </c>
      <c r="D9" s="70" t="s">
        <v>209</v>
      </c>
      <c r="E9" s="70" t="s">
        <v>175</v>
      </c>
      <c r="F9" s="70" t="s">
        <v>192</v>
      </c>
      <c r="G9" s="70" t="s">
        <v>201</v>
      </c>
      <c r="H9" s="70">
        <v>0</v>
      </c>
      <c r="I9" s="70">
        <v>0</v>
      </c>
      <c r="J9" s="70" t="s">
        <v>210</v>
      </c>
      <c r="K9" s="70">
        <v>0</v>
      </c>
      <c r="L9" s="70" t="s">
        <v>211</v>
      </c>
      <c r="M9" s="71">
        <f>IFERROR(INDEX('(참조)CS_인건비'!$S$3:$AG$40,MATCH(CS_인건비!$A9,'(참조)CS_인건비'!$S$3:$S$40,0),MATCH('(참조)CS_인건비'!X$2,'(참조)CS_인건비'!$S$2:$AG$2,0)),0)</f>
        <v>1</v>
      </c>
      <c r="N9" s="71">
        <f>IFERROR(INDEX('(참조)CS_인건비'!$S$3:$AG$40,MATCH(CS_인건비!$A9,'(참조)CS_인건비'!$S$3:$S$40,0),MATCH('(참조)CS_인건비'!Y$2,'(참조)CS_인건비'!$S$2:$AG$2,0)),0)</f>
        <v>1</v>
      </c>
      <c r="O9" s="71">
        <f>IFERROR(INDEX('(참조)CS_인건비'!$S$3:$AG$40,MATCH(CS_인건비!$A9,'(참조)CS_인건비'!$S$3:$S$40,0),MATCH('(참조)CS_인건비'!Z$2,'(참조)CS_인건비'!$S$2:$AG$2,0)),0)</f>
        <v>1</v>
      </c>
      <c r="P9" s="71">
        <f>IFERROR(INDEX('(참조)CS_인건비'!$S$3:$AG$40,MATCH(CS_인건비!$A9,'(참조)CS_인건비'!$S$3:$S$40,0),MATCH('(참조)CS_인건비'!AA$2,'(참조)CS_인건비'!$S$2:$AG$2,0)),0)</f>
        <v>1</v>
      </c>
      <c r="Q9" s="71">
        <f>IFERROR(INDEX('(참조)CS_인건비'!$S$3:$AG$40,MATCH(CS_인건비!$A9,'(참조)CS_인건비'!$S$3:$S$40,0),MATCH('(참조)CS_인건비'!AB$2,'(참조)CS_인건비'!$S$2:$AG$2,0)),0)</f>
        <v>1</v>
      </c>
      <c r="R9" s="71">
        <f>IFERROR(INDEX('(참조)CS_인건비'!$S$3:$AG$40,MATCH(CS_인건비!$A9,'(참조)CS_인건비'!$S$3:$S$40,0),MATCH('(참조)CS_인건비'!AC$2,'(참조)CS_인건비'!$S$2:$AG$2,0)),0)</f>
        <v>1</v>
      </c>
      <c r="S9" s="71">
        <f>IFERROR(INDEX('(참조)CS_인건비'!$S$3:$AG$40,MATCH(CS_인건비!$A9,'(참조)CS_인건비'!$S$3:$S$40,0),MATCH('(참조)CS_인건비'!AD$2,'(참조)CS_인건비'!$S$2:$AG$2,0)),0)</f>
        <v>1</v>
      </c>
      <c r="T9" s="71">
        <f>IFERROR(INDEX('(참조)CS_인건비'!$S$3:$AG$40,MATCH(CS_인건비!$A9,'(참조)CS_인건비'!$S$3:$S$40,0),MATCH('(참조)CS_인건비'!AE$2,'(참조)CS_인건비'!$S$2:$AG$2,0)),0)</f>
        <v>1</v>
      </c>
      <c r="U9" s="71">
        <f>IFERROR(INDEX('(참조)CS_인건비'!$S$3:$AG$40,MATCH(CS_인건비!$A9,'(참조)CS_인건비'!$S$3:$S$40,0),MATCH('(참조)CS_인건비'!AF$2,'(참조)CS_인건비'!$S$2:$AG$2,0)),0)</f>
        <v>1</v>
      </c>
      <c r="V9" s="71">
        <f>IFERROR(INDEX('(참조)CS_인건비'!$S$3:$AG$40,MATCH(CS_인건비!$A9,'(참조)CS_인건비'!$S$3:$S$40,0),MATCH('(참조)CS_인건비'!AG$2,'(참조)CS_인건비'!$S$2:$AG$2,0)),0)</f>
        <v>1</v>
      </c>
      <c r="W9" s="71">
        <f>IFERROR(INDEX('(참조)CS_인건비'!$S$3:$AG$40,MATCH(CS_인건비!$A9,'(참조)CS_인건비'!$S$3:$S$40,0),MATCH('(참조)CS_인건비'!AH$2,'(참조)CS_인건비'!$S$2:$AG$2,0)),0)</f>
        <v>0</v>
      </c>
      <c r="X9" s="72">
        <v>0</v>
      </c>
      <c r="Y9" s="72">
        <f>IFERROR(INDEX('(참조)CS_인건비'!$A$3:$O$40,MATCH(CS_인건비!$A9,'(참조)CS_인건비'!$A$3:$A$40,0),MATCH('(참조)CS_인건비'!F$2,'(참조)CS_인건비'!$A$2:$O$2,0)),0)</f>
        <v>2890361</v>
      </c>
      <c r="Z9" s="72">
        <f>IFERROR(INDEX('(참조)CS_인건비'!$A$3:$O$40,MATCH(CS_인건비!$A9,'(참조)CS_인건비'!$A$3:$A$40,0),MATCH('(참조)CS_인건비'!G$2,'(참조)CS_인건비'!$A$2:$O$2,0)),0)</f>
        <v>2963518.2335843598</v>
      </c>
      <c r="AA9" s="72">
        <f>IFERROR(INDEX('(참조)CS_인건비'!$A$3:$O$40,MATCH(CS_인건비!$A9,'(참조)CS_인건비'!$A$3:$A$40,0),MATCH('(참조)CS_인건비'!H$2,'(참조)CS_인건비'!$A$2:$O$2,0)),0)</f>
        <v>3038527.1323502376</v>
      </c>
      <c r="AB9" s="72">
        <f>IFERROR(INDEX('(참조)CS_인건비'!$A$3:$O$40,MATCH(CS_인건비!$A9,'(참조)CS_인건비'!$A$3:$A$40,0),MATCH('(참조)CS_인건비'!I$2,'(참조)CS_인건비'!$A$2:$O$2,0)),0)</f>
        <v>3115434.5633506426</v>
      </c>
      <c r="AC9" s="72">
        <f>IFERROR(INDEX('(참조)CS_인건비'!$A$3:$O$40,MATCH(CS_인건비!$A9,'(참조)CS_인건비'!$A$3:$A$40,0),MATCH('(참조)CS_인건비'!J$2,'(참조)CS_인건비'!$A$2:$O$2,0)),0)</f>
        <v>3194288.5798793156</v>
      </c>
      <c r="AD9" s="72">
        <f>IFERROR(INDEX('(참조)CS_인건비'!$A$3:$O$40,MATCH(CS_인건비!$A9,'(참조)CS_인건비'!$A$3:$A$40,0),MATCH('(참조)CS_인건비'!K$2,'(참조)CS_인건비'!$A$2:$O$2,0)),0)</f>
        <v>3275138.4514953815</v>
      </c>
      <c r="AE9" s="72">
        <f>IFERROR(INDEX('(참조)CS_인건비'!$A$3:$O$40,MATCH(CS_인건비!$A9,'(참조)CS_인건비'!$A$3:$A$40,0),MATCH('(참조)CS_인건비'!L$2,'(참조)CS_인건비'!$A$2:$O$2,0)),0)</f>
        <v>3358034.6948079527</v>
      </c>
      <c r="AF9" s="72">
        <f>IFERROR(INDEX('(참조)CS_인건비'!$A$3:$O$40,MATCH(CS_인건비!$A9,'(참조)CS_인건비'!$A$3:$A$40,0),MATCH('(참조)CS_인건비'!M$2,'(참조)CS_인건비'!$A$2:$O$2,0)),0)</f>
        <v>3443029.1050399099</v>
      </c>
      <c r="AG9" s="72">
        <f>IFERROR(INDEX('(참조)CS_인건비'!$A$3:$O$40,MATCH(CS_인건비!$A9,'(참조)CS_인건비'!$A$3:$A$40,0),MATCH('(참조)CS_인건비'!N$2,'(참조)CS_인건비'!$A$2:$O$2,0)),0)</f>
        <v>3530174.7883905899</v>
      </c>
      <c r="AH9" s="72">
        <f>IFERROR(INDEX('(참조)CS_인건비'!$A$3:$O$40,MATCH(CS_인건비!$A9,'(참조)CS_인건비'!$A$3:$A$40,0),MATCH('(참조)CS_인건비'!O$2,'(참조)CS_인건비'!$A$2:$O$2,0)),0)</f>
        <v>3619526.195217595</v>
      </c>
      <c r="AI9" s="72">
        <f>IFERROR(INDEX('(참조)CS_인건비'!$A$3:$O$40,MATCH(CS_인건비!$A9,'(참조)CS_인건비'!$A$3:$A$40,0),MATCH('(참조)CS_인건비'!P$2,'(참조)CS_인건비'!$A$2:$O$2,0)),0)</f>
        <v>0</v>
      </c>
      <c r="AJ9" s="72">
        <v>12</v>
      </c>
      <c r="AK9" s="72">
        <v>12</v>
      </c>
      <c r="AL9" s="72">
        <v>12</v>
      </c>
      <c r="AM9" s="72">
        <v>12</v>
      </c>
      <c r="AN9" s="72">
        <v>12</v>
      </c>
      <c r="AO9" s="72">
        <v>12</v>
      </c>
      <c r="AP9" s="72">
        <v>12</v>
      </c>
      <c r="AQ9" s="72">
        <v>12</v>
      </c>
      <c r="AR9" s="72">
        <v>12</v>
      </c>
      <c r="AS9" s="72">
        <v>12</v>
      </c>
      <c r="AT9" s="72">
        <v>12</v>
      </c>
      <c r="AU9" s="73">
        <v>1</v>
      </c>
      <c r="AV9" s="70">
        <v>0</v>
      </c>
      <c r="AW9" s="70">
        <v>0</v>
      </c>
      <c r="AX9" s="56">
        <v>389136392.9293918</v>
      </c>
      <c r="AY9" s="56">
        <v>34684332</v>
      </c>
      <c r="AZ9" s="56">
        <v>35562218.803012319</v>
      </c>
      <c r="BA9" s="56">
        <v>36462325.588202842</v>
      </c>
      <c r="BB9" s="56">
        <v>37385214.760207713</v>
      </c>
      <c r="BC9" s="56">
        <v>38331462.958551779</v>
      </c>
      <c r="BD9" s="56">
        <v>39301661.41794458</v>
      </c>
      <c r="BE9" s="56">
        <v>40296416.337695442</v>
      </c>
      <c r="BF9" s="56">
        <v>41316349.260478921</v>
      </c>
      <c r="BG9" s="56">
        <v>42362097.460687093</v>
      </c>
      <c r="BH9" s="56">
        <v>43434314.342611142</v>
      </c>
      <c r="BI9" s="56">
        <v>0</v>
      </c>
      <c r="BJ9" s="74">
        <v>2890361</v>
      </c>
      <c r="BK9" s="56">
        <v>2890361</v>
      </c>
      <c r="BL9" s="56">
        <v>2890361</v>
      </c>
      <c r="BM9" s="56">
        <v>2890361</v>
      </c>
      <c r="BN9" s="56">
        <v>2890361</v>
      </c>
      <c r="BO9" s="56">
        <v>2890361</v>
      </c>
      <c r="BP9" s="56">
        <v>2890361</v>
      </c>
      <c r="BQ9" s="56">
        <v>2890361</v>
      </c>
      <c r="BR9" s="56">
        <v>2890361</v>
      </c>
      <c r="BS9" s="56">
        <v>2890361</v>
      </c>
      <c r="BT9" s="56">
        <v>2890361</v>
      </c>
      <c r="BU9" s="56">
        <v>2890361</v>
      </c>
      <c r="BV9" s="56">
        <v>2963518.2335843598</v>
      </c>
      <c r="BW9" s="56">
        <v>2963518.2335843598</v>
      </c>
      <c r="BX9" s="56">
        <v>2963518.2335843598</v>
      </c>
      <c r="BY9" s="56">
        <v>2963518.2335843598</v>
      </c>
      <c r="BZ9" s="56">
        <v>2963518.2335843598</v>
      </c>
      <c r="CA9" s="56">
        <v>2963518.2335843598</v>
      </c>
      <c r="CB9" s="56">
        <v>2963518.2335843598</v>
      </c>
      <c r="CC9" s="56">
        <v>2963518.2335843598</v>
      </c>
      <c r="CD9" s="56">
        <v>2963518.2335843598</v>
      </c>
      <c r="CE9" s="56">
        <v>2963518.2335843598</v>
      </c>
      <c r="CF9" s="56">
        <v>2963518.2335843598</v>
      </c>
      <c r="CG9" s="56">
        <v>2963518.2335843598</v>
      </c>
      <c r="CH9" s="56">
        <v>3038527.1323502376</v>
      </c>
      <c r="CI9" s="56">
        <v>3038527.1323502376</v>
      </c>
      <c r="CJ9" s="56">
        <v>3038527.1323502376</v>
      </c>
      <c r="CK9" s="56">
        <v>3038527.1323502376</v>
      </c>
      <c r="CL9" s="56">
        <v>3038527.1323502376</v>
      </c>
      <c r="CM9" s="56">
        <v>3038527.1323502376</v>
      </c>
      <c r="CN9" s="56">
        <v>3038527.1323502376</v>
      </c>
      <c r="CO9" s="56">
        <v>3038527.1323502376</v>
      </c>
      <c r="CP9" s="56">
        <v>3038527.1323502376</v>
      </c>
      <c r="CQ9" s="56">
        <v>3038527.1323502376</v>
      </c>
      <c r="CR9" s="56">
        <v>3038527.1323502376</v>
      </c>
      <c r="CS9" s="56">
        <v>3038527.1323502376</v>
      </c>
      <c r="CT9" s="56">
        <v>3115434.5633506426</v>
      </c>
      <c r="CU9" s="56">
        <v>3115434.5633506426</v>
      </c>
      <c r="CV9" s="56">
        <v>3115434.5633506426</v>
      </c>
      <c r="CW9" s="56">
        <v>3115434.5633506426</v>
      </c>
      <c r="CX9" s="56">
        <v>3115434.5633506426</v>
      </c>
      <c r="CY9" s="56">
        <v>3115434.5633506426</v>
      </c>
      <c r="CZ9" s="56">
        <v>3115434.5633506426</v>
      </c>
      <c r="DA9" s="56">
        <v>3115434.5633506426</v>
      </c>
      <c r="DB9" s="56">
        <v>3115434.5633506426</v>
      </c>
      <c r="DC9" s="56">
        <v>3115434.5633506426</v>
      </c>
      <c r="DD9" s="56">
        <v>3115434.5633506426</v>
      </c>
      <c r="DE9" s="56">
        <v>3115434.5633506426</v>
      </c>
      <c r="DF9" s="56">
        <v>3194288.5798793156</v>
      </c>
      <c r="DG9" s="56">
        <v>3194288.5798793156</v>
      </c>
      <c r="DH9" s="56">
        <v>3194288.5798793156</v>
      </c>
      <c r="DI9" s="56">
        <v>3194288.5798793156</v>
      </c>
      <c r="DJ9" s="56">
        <v>3194288.5798793156</v>
      </c>
      <c r="DK9" s="56">
        <v>3194288.5798793156</v>
      </c>
      <c r="DL9" s="56">
        <v>3194288.5798793156</v>
      </c>
      <c r="DM9" s="56">
        <v>3194288.5798793156</v>
      </c>
      <c r="DN9" s="56">
        <v>3194288.5798793156</v>
      </c>
      <c r="DO9" s="56">
        <v>3194288.5798793156</v>
      </c>
      <c r="DP9" s="56">
        <v>3194288.5798793156</v>
      </c>
      <c r="DQ9" s="56">
        <v>3194288.5798793156</v>
      </c>
      <c r="DR9" s="56">
        <v>3275138.4514953815</v>
      </c>
      <c r="DS9" s="56">
        <v>3275138.4514953815</v>
      </c>
      <c r="DT9" s="56">
        <v>3275138.4514953815</v>
      </c>
      <c r="DU9" s="56">
        <v>3275138.4514953815</v>
      </c>
      <c r="DV9" s="56">
        <v>3275138.4514953815</v>
      </c>
      <c r="DW9" s="56">
        <v>3275138.4514953815</v>
      </c>
      <c r="DX9" s="56">
        <v>3275138.4514953815</v>
      </c>
      <c r="DY9" s="56">
        <v>3275138.4514953815</v>
      </c>
      <c r="DZ9" s="56">
        <v>3275138.4514953815</v>
      </c>
      <c r="EA9" s="56">
        <v>3275138.4514953815</v>
      </c>
      <c r="EB9" s="56">
        <v>3275138.4514953815</v>
      </c>
      <c r="EC9" s="56">
        <v>3275138.4514953815</v>
      </c>
      <c r="ED9" s="56">
        <v>3358034.6948079527</v>
      </c>
      <c r="EE9" s="56">
        <v>3358034.6948079527</v>
      </c>
      <c r="EF9" s="56">
        <v>3358034.6948079527</v>
      </c>
      <c r="EG9" s="56">
        <v>3358034.6948079527</v>
      </c>
      <c r="EH9" s="56">
        <v>3358034.6948079527</v>
      </c>
      <c r="EI9" s="56">
        <v>3358034.6948079527</v>
      </c>
      <c r="EJ9" s="56">
        <v>3358034.6948079527</v>
      </c>
      <c r="EK9" s="56">
        <v>3358034.6948079527</v>
      </c>
      <c r="EL9" s="56">
        <v>3358034.6948079527</v>
      </c>
      <c r="EM9" s="56">
        <v>3358034.6948079527</v>
      </c>
      <c r="EN9" s="56">
        <v>3358034.6948079527</v>
      </c>
      <c r="EO9" s="56">
        <v>3358034.6948079527</v>
      </c>
      <c r="EP9" s="56">
        <v>3443029.1050399099</v>
      </c>
      <c r="EQ9" s="56">
        <v>3443029.1050399099</v>
      </c>
      <c r="ER9" s="56">
        <v>3443029.1050399099</v>
      </c>
      <c r="ES9" s="56">
        <v>3443029.1050399099</v>
      </c>
      <c r="ET9" s="56">
        <v>3443029.1050399099</v>
      </c>
      <c r="EU9" s="56">
        <v>3443029.1050399099</v>
      </c>
      <c r="EV9" s="56">
        <v>3443029.1050399099</v>
      </c>
      <c r="EW9" s="56">
        <v>3443029.1050399099</v>
      </c>
      <c r="EX9" s="56">
        <v>3443029.1050399099</v>
      </c>
      <c r="EY9" s="56">
        <v>3443029.1050399099</v>
      </c>
      <c r="EZ9" s="56">
        <v>3443029.1050399099</v>
      </c>
      <c r="FA9" s="56">
        <v>3443029.1050399099</v>
      </c>
      <c r="FB9" s="56">
        <v>3530174.7883905899</v>
      </c>
      <c r="FC9" s="56">
        <v>3530174.7883905899</v>
      </c>
      <c r="FD9" s="56">
        <v>3530174.7883905899</v>
      </c>
      <c r="FE9" s="56">
        <v>3530174.7883905899</v>
      </c>
      <c r="FF9" s="56">
        <v>3530174.7883905899</v>
      </c>
      <c r="FG9" s="56">
        <v>3530174.7883905899</v>
      </c>
      <c r="FH9" s="56">
        <v>3530174.7883905899</v>
      </c>
      <c r="FI9" s="56">
        <v>3530174.7883905899</v>
      </c>
      <c r="FJ9" s="56">
        <v>3530174.7883905899</v>
      </c>
      <c r="FK9" s="56">
        <v>3530174.7883905899</v>
      </c>
      <c r="FL9" s="56">
        <v>3530174.7883905899</v>
      </c>
      <c r="FM9" s="56">
        <v>3530174.7883905899</v>
      </c>
      <c r="FN9" s="56">
        <v>3619526.195217595</v>
      </c>
      <c r="FO9" s="56">
        <v>3619526.195217595</v>
      </c>
      <c r="FP9" s="56">
        <v>3619526.195217595</v>
      </c>
      <c r="FQ9" s="56">
        <v>3619526.195217595</v>
      </c>
      <c r="FR9" s="56">
        <v>3619526.195217595</v>
      </c>
      <c r="FS9" s="56">
        <v>3619526.195217595</v>
      </c>
      <c r="FT9" s="56">
        <v>3619526.195217595</v>
      </c>
      <c r="FU9" s="56">
        <v>3619526.195217595</v>
      </c>
      <c r="FV9" s="56">
        <v>3619526.195217595</v>
      </c>
      <c r="FW9" s="56">
        <v>3619526.195217595</v>
      </c>
      <c r="FX9" s="56">
        <v>3619526.195217595</v>
      </c>
      <c r="FY9" s="56">
        <v>3619526.195217595</v>
      </c>
      <c r="FZ9" s="56">
        <v>0</v>
      </c>
      <c r="GA9" s="56">
        <v>0</v>
      </c>
      <c r="GB9" s="56">
        <v>0</v>
      </c>
      <c r="GC9" s="56">
        <v>0</v>
      </c>
      <c r="GD9" s="56">
        <v>0</v>
      </c>
      <c r="GE9" s="56">
        <v>0</v>
      </c>
      <c r="GF9" s="56">
        <v>0</v>
      </c>
      <c r="GG9" s="56">
        <v>0</v>
      </c>
      <c r="GH9" s="56">
        <v>0</v>
      </c>
      <c r="GI9" s="56">
        <v>0</v>
      </c>
      <c r="GJ9" s="56">
        <v>0</v>
      </c>
      <c r="GK9" s="85">
        <v>0</v>
      </c>
      <c r="GL9" s="40"/>
    </row>
    <row r="10" spans="1:194" x14ac:dyDescent="0.4">
      <c r="A10" s="84" t="s">
        <v>240</v>
      </c>
      <c r="B10" s="70" t="s">
        <v>174</v>
      </c>
      <c r="C10" s="70" t="s">
        <v>398</v>
      </c>
      <c r="D10" s="70" t="s">
        <v>209</v>
      </c>
      <c r="E10" s="70" t="s">
        <v>175</v>
      </c>
      <c r="F10" s="70" t="s">
        <v>192</v>
      </c>
      <c r="G10" s="70" t="s">
        <v>202</v>
      </c>
      <c r="H10" s="70">
        <v>0</v>
      </c>
      <c r="I10" s="70">
        <v>0</v>
      </c>
      <c r="J10" s="70" t="s">
        <v>210</v>
      </c>
      <c r="K10" s="70">
        <v>0</v>
      </c>
      <c r="L10" s="70" t="s">
        <v>211</v>
      </c>
      <c r="M10" s="71">
        <f>IFERROR(INDEX('(참조)CS_인건비'!$S$3:$AG$40,MATCH(CS_인건비!$A10,'(참조)CS_인건비'!$S$3:$S$40,0),MATCH('(참조)CS_인건비'!X$2,'(참조)CS_인건비'!$S$2:$AG$2,0)),0)</f>
        <v>1</v>
      </c>
      <c r="N10" s="71">
        <f>IFERROR(INDEX('(참조)CS_인건비'!$S$3:$AG$40,MATCH(CS_인건비!$A10,'(참조)CS_인건비'!$S$3:$S$40,0),MATCH('(참조)CS_인건비'!Y$2,'(참조)CS_인건비'!$S$2:$AG$2,0)),0)</f>
        <v>1</v>
      </c>
      <c r="O10" s="71">
        <f>IFERROR(INDEX('(참조)CS_인건비'!$S$3:$AG$40,MATCH(CS_인건비!$A10,'(참조)CS_인건비'!$S$3:$S$40,0),MATCH('(참조)CS_인건비'!Z$2,'(참조)CS_인건비'!$S$2:$AG$2,0)),0)</f>
        <v>1</v>
      </c>
      <c r="P10" s="71">
        <f>IFERROR(INDEX('(참조)CS_인건비'!$S$3:$AG$40,MATCH(CS_인건비!$A10,'(참조)CS_인건비'!$S$3:$S$40,0),MATCH('(참조)CS_인건비'!AA$2,'(참조)CS_인건비'!$S$2:$AG$2,0)),0)</f>
        <v>1</v>
      </c>
      <c r="Q10" s="71">
        <f>IFERROR(INDEX('(참조)CS_인건비'!$S$3:$AG$40,MATCH(CS_인건비!$A10,'(참조)CS_인건비'!$S$3:$S$40,0),MATCH('(참조)CS_인건비'!AB$2,'(참조)CS_인건비'!$S$2:$AG$2,0)),0)</f>
        <v>1</v>
      </c>
      <c r="R10" s="71">
        <f>IFERROR(INDEX('(참조)CS_인건비'!$S$3:$AG$40,MATCH(CS_인건비!$A10,'(참조)CS_인건비'!$S$3:$S$40,0),MATCH('(참조)CS_인건비'!AC$2,'(참조)CS_인건비'!$S$2:$AG$2,0)),0)</f>
        <v>1</v>
      </c>
      <c r="S10" s="71">
        <f>IFERROR(INDEX('(참조)CS_인건비'!$S$3:$AG$40,MATCH(CS_인건비!$A10,'(참조)CS_인건비'!$S$3:$S$40,0),MATCH('(참조)CS_인건비'!AD$2,'(참조)CS_인건비'!$S$2:$AG$2,0)),0)</f>
        <v>1</v>
      </c>
      <c r="T10" s="71">
        <f>IFERROR(INDEX('(참조)CS_인건비'!$S$3:$AG$40,MATCH(CS_인건비!$A10,'(참조)CS_인건비'!$S$3:$S$40,0),MATCH('(참조)CS_인건비'!AE$2,'(참조)CS_인건비'!$S$2:$AG$2,0)),0)</f>
        <v>1</v>
      </c>
      <c r="U10" s="71">
        <f>IFERROR(INDEX('(참조)CS_인건비'!$S$3:$AG$40,MATCH(CS_인건비!$A10,'(참조)CS_인건비'!$S$3:$S$40,0),MATCH('(참조)CS_인건비'!AF$2,'(참조)CS_인건비'!$S$2:$AG$2,0)),0)</f>
        <v>1</v>
      </c>
      <c r="V10" s="71">
        <f>IFERROR(INDEX('(참조)CS_인건비'!$S$3:$AG$40,MATCH(CS_인건비!$A10,'(참조)CS_인건비'!$S$3:$S$40,0),MATCH('(참조)CS_인건비'!AG$2,'(참조)CS_인건비'!$S$2:$AG$2,0)),0)</f>
        <v>1</v>
      </c>
      <c r="W10" s="71">
        <f>IFERROR(INDEX('(참조)CS_인건비'!$S$3:$AG$40,MATCH(CS_인건비!$A10,'(참조)CS_인건비'!$S$3:$S$40,0),MATCH('(참조)CS_인건비'!AH$2,'(참조)CS_인건비'!$S$2:$AG$2,0)),0)</f>
        <v>0</v>
      </c>
      <c r="X10" s="72">
        <v>0</v>
      </c>
      <c r="Y10" s="72">
        <f>IFERROR(INDEX('(참조)CS_인건비'!$A$3:$O$40,MATCH(CS_인건비!$A10,'(참조)CS_인건비'!$A$3:$A$40,0),MATCH('(참조)CS_인건비'!F$2,'(참조)CS_인건비'!$A$2:$O$2,0)),0)</f>
        <v>2713849</v>
      </c>
      <c r="Z10" s="72">
        <f>IFERROR(INDEX('(참조)CS_인건비'!$A$3:$O$40,MATCH(CS_인건비!$A10,'(참조)CS_인건비'!$A$3:$A$40,0),MATCH('(참조)CS_인건비'!G$2,'(참조)CS_인건비'!$A$2:$O$2,0)),0)</f>
        <v>2782538.58071524</v>
      </c>
      <c r="AA10" s="72">
        <f>IFERROR(INDEX('(참조)CS_인건비'!$A$3:$O$40,MATCH(CS_인건비!$A10,'(참조)CS_인건비'!$A$3:$A$40,0),MATCH('(참조)CS_인건비'!H$2,'(참조)CS_인건비'!$A$2:$O$2,0)),0)</f>
        <v>2852966.7469224641</v>
      </c>
      <c r="AB10" s="72">
        <f>IFERROR(INDEX('(참조)CS_인건비'!$A$3:$O$40,MATCH(CS_인건비!$A10,'(참조)CS_인건비'!$A$3:$A$40,0),MATCH('(참조)CS_인건비'!I$2,'(참조)CS_인건비'!$A$2:$O$2,0)),0)</f>
        <v>2925177.5035417993</v>
      </c>
      <c r="AC10" s="72">
        <f>IFERROR(INDEX('(참조)CS_인건비'!$A$3:$O$40,MATCH(CS_인건비!$A10,'(참조)CS_인건비'!$A$3:$A$40,0),MATCH('(참조)CS_인건비'!J$2,'(참조)CS_인건비'!$A$2:$O$2,0)),0)</f>
        <v>2999215.9692913448</v>
      </c>
      <c r="AD10" s="72">
        <f>IFERROR(INDEX('(참조)CS_인건비'!$A$3:$O$40,MATCH(CS_인건비!$A10,'(참조)CS_인건비'!$A$3:$A$40,0),MATCH('(참조)CS_인건비'!K$2,'(참조)CS_인건비'!$A$2:$O$2,0)),0)</f>
        <v>3075128.4048782452</v>
      </c>
      <c r="AE10" s="72">
        <f>IFERROR(INDEX('(참조)CS_인건비'!$A$3:$O$40,MATCH(CS_인건비!$A10,'(참조)CS_인건비'!$A$3:$A$40,0),MATCH('(참조)CS_인건비'!L$2,'(참조)CS_인건비'!$A$2:$O$2,0)),0)</f>
        <v>3152962.2419033013</v>
      </c>
      <c r="AF10" s="72">
        <f>IFERROR(INDEX('(참조)CS_인건비'!$A$3:$O$40,MATCH(CS_인건비!$A10,'(참조)CS_인건비'!$A$3:$A$40,0),MATCH('(참조)CS_인건비'!M$2,'(참조)CS_인건비'!$A$2:$O$2,0)),0)</f>
        <v>3232766.1124971779</v>
      </c>
      <c r="AG10" s="72">
        <f>IFERROR(INDEX('(참조)CS_인건비'!$A$3:$O$40,MATCH(CS_인건비!$A10,'(참조)CS_인건비'!$A$3:$A$40,0),MATCH('(참조)CS_인건비'!N$2,'(참조)CS_인건비'!$A$2:$O$2,0)),0)</f>
        <v>3314589.8797067269</v>
      </c>
      <c r="AH10" s="72">
        <f>IFERROR(INDEX('(참조)CS_인건비'!$A$3:$O$40,MATCH(CS_인건비!$A10,'(참조)CS_인건비'!$A$3:$A$40,0),MATCH('(참조)CS_인건비'!O$2,'(참조)CS_인건비'!$A$2:$O$2,0)),0)</f>
        <v>3398484.6686504125</v>
      </c>
      <c r="AI10" s="72">
        <f>IFERROR(INDEX('(참조)CS_인건비'!$A$3:$O$40,MATCH(CS_인건비!$A10,'(참조)CS_인건비'!$A$3:$A$40,0),MATCH('(참조)CS_인건비'!P$2,'(참조)CS_인건비'!$A$2:$O$2,0)),0)</f>
        <v>0</v>
      </c>
      <c r="AJ10" s="72">
        <v>12</v>
      </c>
      <c r="AK10" s="72">
        <v>12</v>
      </c>
      <c r="AL10" s="72">
        <v>12</v>
      </c>
      <c r="AM10" s="72">
        <v>12</v>
      </c>
      <c r="AN10" s="72">
        <v>12</v>
      </c>
      <c r="AO10" s="72">
        <v>12</v>
      </c>
      <c r="AP10" s="72">
        <v>12</v>
      </c>
      <c r="AQ10" s="72">
        <v>12</v>
      </c>
      <c r="AR10" s="72">
        <v>12</v>
      </c>
      <c r="AS10" s="72">
        <v>12</v>
      </c>
      <c r="AT10" s="72">
        <v>12</v>
      </c>
      <c r="AU10" s="73">
        <v>1</v>
      </c>
      <c r="AV10" s="70">
        <v>0</v>
      </c>
      <c r="AW10" s="70">
        <v>0</v>
      </c>
      <c r="AX10" s="56">
        <v>365372149.29728043</v>
      </c>
      <c r="AY10" s="56">
        <v>32566188</v>
      </c>
      <c r="AZ10" s="56">
        <v>33390462.968582872</v>
      </c>
      <c r="BA10" s="56">
        <v>34235600.963069566</v>
      </c>
      <c r="BB10" s="56">
        <v>35102130.042501584</v>
      </c>
      <c r="BC10" s="56">
        <v>35990591.631496139</v>
      </c>
      <c r="BD10" s="56">
        <v>36901540.858538933</v>
      </c>
      <c r="BE10" s="56">
        <v>37835546.902839616</v>
      </c>
      <c r="BF10" s="56">
        <v>38793193.349966131</v>
      </c>
      <c r="BG10" s="56">
        <v>39775078.556480713</v>
      </c>
      <c r="BH10" s="56">
        <v>40781816.02380494</v>
      </c>
      <c r="BI10" s="56">
        <v>0</v>
      </c>
      <c r="BJ10" s="74">
        <v>2713849</v>
      </c>
      <c r="BK10" s="56">
        <v>2713849</v>
      </c>
      <c r="BL10" s="56">
        <v>2713849</v>
      </c>
      <c r="BM10" s="56">
        <v>2713849</v>
      </c>
      <c r="BN10" s="56">
        <v>2713849</v>
      </c>
      <c r="BO10" s="56">
        <v>2713849</v>
      </c>
      <c r="BP10" s="56">
        <v>2713849</v>
      </c>
      <c r="BQ10" s="56">
        <v>2713849</v>
      </c>
      <c r="BR10" s="56">
        <v>2713849</v>
      </c>
      <c r="BS10" s="56">
        <v>2713849</v>
      </c>
      <c r="BT10" s="56">
        <v>2713849</v>
      </c>
      <c r="BU10" s="56">
        <v>2713849</v>
      </c>
      <c r="BV10" s="56">
        <v>2782538.58071524</v>
      </c>
      <c r="BW10" s="56">
        <v>2782538.58071524</v>
      </c>
      <c r="BX10" s="56">
        <v>2782538.58071524</v>
      </c>
      <c r="BY10" s="56">
        <v>2782538.58071524</v>
      </c>
      <c r="BZ10" s="56">
        <v>2782538.58071524</v>
      </c>
      <c r="CA10" s="56">
        <v>2782538.58071524</v>
      </c>
      <c r="CB10" s="56">
        <v>2782538.58071524</v>
      </c>
      <c r="CC10" s="56">
        <v>2782538.58071524</v>
      </c>
      <c r="CD10" s="56">
        <v>2782538.58071524</v>
      </c>
      <c r="CE10" s="56">
        <v>2782538.58071524</v>
      </c>
      <c r="CF10" s="56">
        <v>2782538.58071524</v>
      </c>
      <c r="CG10" s="56">
        <v>2782538.58071524</v>
      </c>
      <c r="CH10" s="56">
        <v>2852966.7469224641</v>
      </c>
      <c r="CI10" s="56">
        <v>2852966.7469224641</v>
      </c>
      <c r="CJ10" s="56">
        <v>2852966.7469224641</v>
      </c>
      <c r="CK10" s="56">
        <v>2852966.7469224641</v>
      </c>
      <c r="CL10" s="56">
        <v>2852966.7469224641</v>
      </c>
      <c r="CM10" s="56">
        <v>2852966.7469224641</v>
      </c>
      <c r="CN10" s="56">
        <v>2852966.7469224641</v>
      </c>
      <c r="CO10" s="56">
        <v>2852966.7469224641</v>
      </c>
      <c r="CP10" s="56">
        <v>2852966.7469224641</v>
      </c>
      <c r="CQ10" s="56">
        <v>2852966.7469224641</v>
      </c>
      <c r="CR10" s="56">
        <v>2852966.7469224641</v>
      </c>
      <c r="CS10" s="56">
        <v>2852966.7469224641</v>
      </c>
      <c r="CT10" s="56">
        <v>2925177.5035417993</v>
      </c>
      <c r="CU10" s="56">
        <v>2925177.5035417993</v>
      </c>
      <c r="CV10" s="56">
        <v>2925177.5035417993</v>
      </c>
      <c r="CW10" s="56">
        <v>2925177.5035417993</v>
      </c>
      <c r="CX10" s="56">
        <v>2925177.5035417993</v>
      </c>
      <c r="CY10" s="56">
        <v>2925177.5035417993</v>
      </c>
      <c r="CZ10" s="56">
        <v>2925177.5035417993</v>
      </c>
      <c r="DA10" s="56">
        <v>2925177.5035417993</v>
      </c>
      <c r="DB10" s="56">
        <v>2925177.5035417993</v>
      </c>
      <c r="DC10" s="56">
        <v>2925177.5035417993</v>
      </c>
      <c r="DD10" s="56">
        <v>2925177.5035417993</v>
      </c>
      <c r="DE10" s="56">
        <v>2925177.5035417993</v>
      </c>
      <c r="DF10" s="56">
        <v>2999215.9692913448</v>
      </c>
      <c r="DG10" s="56">
        <v>2999215.9692913448</v>
      </c>
      <c r="DH10" s="56">
        <v>2999215.9692913448</v>
      </c>
      <c r="DI10" s="56">
        <v>2999215.9692913448</v>
      </c>
      <c r="DJ10" s="56">
        <v>2999215.9692913448</v>
      </c>
      <c r="DK10" s="56">
        <v>2999215.9692913448</v>
      </c>
      <c r="DL10" s="56">
        <v>2999215.9692913448</v>
      </c>
      <c r="DM10" s="56">
        <v>2999215.9692913448</v>
      </c>
      <c r="DN10" s="56">
        <v>2999215.9692913448</v>
      </c>
      <c r="DO10" s="56">
        <v>2999215.9692913448</v>
      </c>
      <c r="DP10" s="56">
        <v>2999215.9692913448</v>
      </c>
      <c r="DQ10" s="56">
        <v>2999215.9692913448</v>
      </c>
      <c r="DR10" s="56">
        <v>3075128.4048782452</v>
      </c>
      <c r="DS10" s="56">
        <v>3075128.4048782452</v>
      </c>
      <c r="DT10" s="56">
        <v>3075128.4048782452</v>
      </c>
      <c r="DU10" s="56">
        <v>3075128.4048782452</v>
      </c>
      <c r="DV10" s="56">
        <v>3075128.4048782452</v>
      </c>
      <c r="DW10" s="56">
        <v>3075128.4048782452</v>
      </c>
      <c r="DX10" s="56">
        <v>3075128.4048782452</v>
      </c>
      <c r="DY10" s="56">
        <v>3075128.4048782452</v>
      </c>
      <c r="DZ10" s="56">
        <v>3075128.4048782452</v>
      </c>
      <c r="EA10" s="56">
        <v>3075128.4048782452</v>
      </c>
      <c r="EB10" s="56">
        <v>3075128.4048782452</v>
      </c>
      <c r="EC10" s="56">
        <v>3075128.4048782452</v>
      </c>
      <c r="ED10" s="56">
        <v>3152962.2419033013</v>
      </c>
      <c r="EE10" s="56">
        <v>3152962.2419033013</v>
      </c>
      <c r="EF10" s="56">
        <v>3152962.2419033013</v>
      </c>
      <c r="EG10" s="56">
        <v>3152962.2419033013</v>
      </c>
      <c r="EH10" s="56">
        <v>3152962.2419033013</v>
      </c>
      <c r="EI10" s="56">
        <v>3152962.2419033013</v>
      </c>
      <c r="EJ10" s="56">
        <v>3152962.2419033013</v>
      </c>
      <c r="EK10" s="56">
        <v>3152962.2419033013</v>
      </c>
      <c r="EL10" s="56">
        <v>3152962.2419033013</v>
      </c>
      <c r="EM10" s="56">
        <v>3152962.2419033013</v>
      </c>
      <c r="EN10" s="56">
        <v>3152962.2419033013</v>
      </c>
      <c r="EO10" s="56">
        <v>3152962.2419033013</v>
      </c>
      <c r="EP10" s="56">
        <v>3232766.1124971779</v>
      </c>
      <c r="EQ10" s="56">
        <v>3232766.1124971779</v>
      </c>
      <c r="ER10" s="56">
        <v>3232766.1124971779</v>
      </c>
      <c r="ES10" s="56">
        <v>3232766.1124971779</v>
      </c>
      <c r="ET10" s="56">
        <v>3232766.1124971779</v>
      </c>
      <c r="EU10" s="56">
        <v>3232766.1124971779</v>
      </c>
      <c r="EV10" s="56">
        <v>3232766.1124971779</v>
      </c>
      <c r="EW10" s="56">
        <v>3232766.1124971779</v>
      </c>
      <c r="EX10" s="56">
        <v>3232766.1124971779</v>
      </c>
      <c r="EY10" s="56">
        <v>3232766.1124971779</v>
      </c>
      <c r="EZ10" s="56">
        <v>3232766.1124971779</v>
      </c>
      <c r="FA10" s="56">
        <v>3232766.1124971779</v>
      </c>
      <c r="FB10" s="56">
        <v>3314589.8797067269</v>
      </c>
      <c r="FC10" s="56">
        <v>3314589.8797067269</v>
      </c>
      <c r="FD10" s="56">
        <v>3314589.8797067269</v>
      </c>
      <c r="FE10" s="56">
        <v>3314589.8797067269</v>
      </c>
      <c r="FF10" s="56">
        <v>3314589.8797067269</v>
      </c>
      <c r="FG10" s="56">
        <v>3314589.8797067269</v>
      </c>
      <c r="FH10" s="56">
        <v>3314589.8797067269</v>
      </c>
      <c r="FI10" s="56">
        <v>3314589.8797067269</v>
      </c>
      <c r="FJ10" s="56">
        <v>3314589.8797067269</v>
      </c>
      <c r="FK10" s="56">
        <v>3314589.8797067269</v>
      </c>
      <c r="FL10" s="56">
        <v>3314589.8797067269</v>
      </c>
      <c r="FM10" s="56">
        <v>3314589.8797067269</v>
      </c>
      <c r="FN10" s="56">
        <v>3398484.6686504125</v>
      </c>
      <c r="FO10" s="56">
        <v>3398484.6686504125</v>
      </c>
      <c r="FP10" s="56">
        <v>3398484.6686504125</v>
      </c>
      <c r="FQ10" s="56">
        <v>3398484.6686504125</v>
      </c>
      <c r="FR10" s="56">
        <v>3398484.6686504125</v>
      </c>
      <c r="FS10" s="56">
        <v>3398484.6686504125</v>
      </c>
      <c r="FT10" s="56">
        <v>3398484.6686504125</v>
      </c>
      <c r="FU10" s="56">
        <v>3398484.6686504125</v>
      </c>
      <c r="FV10" s="56">
        <v>3398484.6686504125</v>
      </c>
      <c r="FW10" s="56">
        <v>3398484.6686504125</v>
      </c>
      <c r="FX10" s="56">
        <v>3398484.6686504125</v>
      </c>
      <c r="FY10" s="56">
        <v>3398484.6686504125</v>
      </c>
      <c r="FZ10" s="56">
        <v>0</v>
      </c>
      <c r="GA10" s="56">
        <v>0</v>
      </c>
      <c r="GB10" s="56">
        <v>0</v>
      </c>
      <c r="GC10" s="56">
        <v>0</v>
      </c>
      <c r="GD10" s="56">
        <v>0</v>
      </c>
      <c r="GE10" s="56">
        <v>0</v>
      </c>
      <c r="GF10" s="56">
        <v>0</v>
      </c>
      <c r="GG10" s="56">
        <v>0</v>
      </c>
      <c r="GH10" s="56">
        <v>0</v>
      </c>
      <c r="GI10" s="56">
        <v>0</v>
      </c>
      <c r="GJ10" s="56">
        <v>0</v>
      </c>
      <c r="GK10" s="85">
        <v>0</v>
      </c>
      <c r="GL10" s="40"/>
    </row>
    <row r="11" spans="1:194" x14ac:dyDescent="0.4">
      <c r="A11" s="84" t="s">
        <v>241</v>
      </c>
      <c r="B11" s="70" t="s">
        <v>174</v>
      </c>
      <c r="C11" s="70" t="s">
        <v>398</v>
      </c>
      <c r="D11" s="70" t="s">
        <v>209</v>
      </c>
      <c r="E11" s="70" t="s">
        <v>175</v>
      </c>
      <c r="F11" s="70" t="s">
        <v>200</v>
      </c>
      <c r="G11" s="70" t="s">
        <v>175</v>
      </c>
      <c r="H11" s="70">
        <v>0</v>
      </c>
      <c r="I11" s="70">
        <v>0</v>
      </c>
      <c r="J11" s="70" t="s">
        <v>210</v>
      </c>
      <c r="K11" s="70">
        <v>0</v>
      </c>
      <c r="L11" s="70" t="s">
        <v>211</v>
      </c>
      <c r="M11" s="71">
        <f>IFERROR(INDEX('(참조)CS_인건비'!$S$3:$AG$40,MATCH(CS_인건비!$A11,'(참조)CS_인건비'!$S$3:$S$40,0),MATCH('(참조)CS_인건비'!X$2,'(참조)CS_인건비'!$S$2:$AG$2,0)),0)</f>
        <v>9</v>
      </c>
      <c r="N11" s="71">
        <f>IFERROR(INDEX('(참조)CS_인건비'!$S$3:$AG$40,MATCH(CS_인건비!$A11,'(참조)CS_인건비'!$S$3:$S$40,0),MATCH('(참조)CS_인건비'!Y$2,'(참조)CS_인건비'!$S$2:$AG$2,0)),0)</f>
        <v>9</v>
      </c>
      <c r="O11" s="71">
        <f>IFERROR(INDEX('(참조)CS_인건비'!$S$3:$AG$40,MATCH(CS_인건비!$A11,'(참조)CS_인건비'!$S$3:$S$40,0),MATCH('(참조)CS_인건비'!Z$2,'(참조)CS_인건비'!$S$2:$AG$2,0)),0)</f>
        <v>9</v>
      </c>
      <c r="P11" s="71">
        <f>IFERROR(INDEX('(참조)CS_인건비'!$S$3:$AG$40,MATCH(CS_인건비!$A11,'(참조)CS_인건비'!$S$3:$S$40,0),MATCH('(참조)CS_인건비'!AA$2,'(참조)CS_인건비'!$S$2:$AG$2,0)),0)</f>
        <v>9</v>
      </c>
      <c r="Q11" s="71">
        <f>IFERROR(INDEX('(참조)CS_인건비'!$S$3:$AG$40,MATCH(CS_인건비!$A11,'(참조)CS_인건비'!$S$3:$S$40,0),MATCH('(참조)CS_인건비'!AB$2,'(참조)CS_인건비'!$S$2:$AG$2,0)),0)</f>
        <v>9</v>
      </c>
      <c r="R11" s="71">
        <f>IFERROR(INDEX('(참조)CS_인건비'!$S$3:$AG$40,MATCH(CS_인건비!$A11,'(참조)CS_인건비'!$S$3:$S$40,0),MATCH('(참조)CS_인건비'!AC$2,'(참조)CS_인건비'!$S$2:$AG$2,0)),0)</f>
        <v>9</v>
      </c>
      <c r="S11" s="71">
        <f>IFERROR(INDEX('(참조)CS_인건비'!$S$3:$AG$40,MATCH(CS_인건비!$A11,'(참조)CS_인건비'!$S$3:$S$40,0),MATCH('(참조)CS_인건비'!AD$2,'(참조)CS_인건비'!$S$2:$AG$2,0)),0)</f>
        <v>9</v>
      </c>
      <c r="T11" s="71">
        <f>IFERROR(INDEX('(참조)CS_인건비'!$S$3:$AG$40,MATCH(CS_인건비!$A11,'(참조)CS_인건비'!$S$3:$S$40,0),MATCH('(참조)CS_인건비'!AE$2,'(참조)CS_인건비'!$S$2:$AG$2,0)),0)</f>
        <v>9</v>
      </c>
      <c r="U11" s="71">
        <f>IFERROR(INDEX('(참조)CS_인건비'!$S$3:$AG$40,MATCH(CS_인건비!$A11,'(참조)CS_인건비'!$S$3:$S$40,0),MATCH('(참조)CS_인건비'!AF$2,'(참조)CS_인건비'!$S$2:$AG$2,0)),0)</f>
        <v>9</v>
      </c>
      <c r="V11" s="71">
        <f>IFERROR(INDEX('(참조)CS_인건비'!$S$3:$AG$40,MATCH(CS_인건비!$A11,'(참조)CS_인건비'!$S$3:$S$40,0),MATCH('(참조)CS_인건비'!AG$2,'(참조)CS_인건비'!$S$2:$AG$2,0)),0)</f>
        <v>9</v>
      </c>
      <c r="W11" s="71">
        <f>IFERROR(INDEX('(참조)CS_인건비'!$S$3:$AG$40,MATCH(CS_인건비!$A11,'(참조)CS_인건비'!$S$3:$S$40,0),MATCH('(참조)CS_인건비'!AH$2,'(참조)CS_인건비'!$S$2:$AG$2,0)),0)</f>
        <v>0</v>
      </c>
      <c r="X11" s="72">
        <v>0</v>
      </c>
      <c r="Y11" s="72">
        <f>IFERROR(INDEX('(참조)CS_인건비'!$A$3:$O$40,MATCH(CS_인건비!$A11,'(참조)CS_인건비'!$A$3:$A$40,0),MATCH('(참조)CS_인건비'!F$2,'(참조)CS_인건비'!$A$2:$O$2,0)),0)</f>
        <v>2428512</v>
      </c>
      <c r="Z11" s="72">
        <f>IFERROR(INDEX('(참조)CS_인건비'!$A$3:$O$40,MATCH(CS_인건비!$A11,'(참조)CS_인건비'!$A$3:$A$40,0),MATCH('(참조)CS_인건비'!G$2,'(참조)CS_인건비'!$A$2:$O$2,0)),0)</f>
        <v>2489979.4843891198</v>
      </c>
      <c r="AA11" s="72">
        <f>IFERROR(INDEX('(참조)CS_인건비'!$A$3:$O$40,MATCH(CS_인건비!$A11,'(참조)CS_인건비'!$A$3:$A$40,0),MATCH('(참조)CS_인건비'!H$2,'(참조)CS_인건비'!$A$2:$O$2,0)),0)</f>
        <v>2553002.7575234165</v>
      </c>
      <c r="AB11" s="72">
        <f>IFERROR(INDEX('(참조)CS_인건비'!$A$3:$O$40,MATCH(CS_인건비!$A11,'(참조)CS_인건비'!$A$3:$A$40,0),MATCH('(참조)CS_인건비'!I$2,'(참조)CS_인건비'!$A$2:$O$2,0)),0)</f>
        <v>2617621.1975984299</v>
      </c>
      <c r="AC11" s="72">
        <f>IFERROR(INDEX('(참조)CS_인건비'!$A$3:$O$40,MATCH(CS_인건비!$A11,'(참조)CS_인건비'!$A$3:$A$40,0),MATCH('(참조)CS_인건비'!J$2,'(참조)CS_인건비'!$A$2:$O$2,0)),0)</f>
        <v>2683875.1795017561</v>
      </c>
      <c r="AD11" s="72">
        <f>IFERROR(INDEX('(참조)CS_인건비'!$A$3:$O$40,MATCH(CS_인건비!$A11,'(참조)CS_인건비'!$A$3:$A$40,0),MATCH('(참조)CS_인건비'!K$2,'(참조)CS_인건비'!$A$2:$O$2,0)),0)</f>
        <v>2751806.1000400819</v>
      </c>
      <c r="AE11" s="72">
        <f>IFERROR(INDEX('(참조)CS_인건비'!$A$3:$O$40,MATCH(CS_인건비!$A11,'(참조)CS_인건비'!$A$3:$A$40,0),MATCH('(참조)CS_인건비'!L$2,'(참조)CS_인건비'!$A$2:$O$2,0)),0)</f>
        <v>2821456.4038047325</v>
      </c>
      <c r="AF11" s="72">
        <f>IFERROR(INDEX('(참조)CS_인건비'!$A$3:$O$40,MATCH(CS_인건비!$A11,'(참조)CS_인건비'!$A$3:$A$40,0),MATCH('(참조)CS_인건비'!M$2,'(참조)CS_인건비'!$A$2:$O$2,0)),0)</f>
        <v>2892869.6096918969</v>
      </c>
      <c r="AG11" s="72">
        <f>IFERROR(INDEX('(참조)CS_인건비'!$A$3:$O$40,MATCH(CS_인건비!$A11,'(참조)CS_인건비'!$A$3:$A$40,0),MATCH('(참조)CS_인건비'!N$2,'(참조)CS_인건비'!$A$2:$O$2,0)),0)</f>
        <v>2966090.3380941022</v>
      </c>
      <c r="AH11" s="72">
        <f>IFERROR(INDEX('(참조)CS_인건비'!$A$3:$O$40,MATCH(CS_인건비!$A11,'(참조)CS_인건비'!$A$3:$A$40,0),MATCH('(참조)CS_인건비'!O$2,'(참조)CS_인건비'!$A$2:$O$2,0)),0)</f>
        <v>3041164.3387799207</v>
      </c>
      <c r="AI11" s="72">
        <f>IFERROR(INDEX('(참조)CS_인건비'!$A$3:$O$40,MATCH(CS_인건비!$A11,'(참조)CS_인건비'!$A$3:$A$40,0),MATCH('(참조)CS_인건비'!P$2,'(참조)CS_인건비'!$A$2:$O$2,0)),0)</f>
        <v>0</v>
      </c>
      <c r="AJ11" s="72">
        <v>12</v>
      </c>
      <c r="AK11" s="72">
        <v>12</v>
      </c>
      <c r="AL11" s="72">
        <v>12</v>
      </c>
      <c r="AM11" s="72">
        <v>12</v>
      </c>
      <c r="AN11" s="72">
        <v>12</v>
      </c>
      <c r="AO11" s="72">
        <v>12</v>
      </c>
      <c r="AP11" s="72">
        <v>12</v>
      </c>
      <c r="AQ11" s="72">
        <v>12</v>
      </c>
      <c r="AR11" s="72">
        <v>12</v>
      </c>
      <c r="AS11" s="72">
        <v>12</v>
      </c>
      <c r="AT11" s="72">
        <v>12</v>
      </c>
      <c r="AU11" s="73">
        <v>1</v>
      </c>
      <c r="AV11" s="70">
        <v>0</v>
      </c>
      <c r="AW11" s="70">
        <v>0</v>
      </c>
      <c r="AX11" s="56">
        <v>2942608760.2177339</v>
      </c>
      <c r="AY11" s="56">
        <v>262279296</v>
      </c>
      <c r="AZ11" s="56">
        <v>268917784.31402493</v>
      </c>
      <c r="BA11" s="56">
        <v>275724297.81252903</v>
      </c>
      <c r="BB11" s="56">
        <v>282703089.34063047</v>
      </c>
      <c r="BC11" s="56">
        <v>289858519.38618964</v>
      </c>
      <c r="BD11" s="56">
        <v>297195058.80432886</v>
      </c>
      <c r="BE11" s="56">
        <v>304717291.61091113</v>
      </c>
      <c r="BF11" s="56">
        <v>312429917.84672493</v>
      </c>
      <c r="BG11" s="56">
        <v>320337756.51416302</v>
      </c>
      <c r="BH11" s="56">
        <v>328445748.58823138</v>
      </c>
      <c r="BI11" s="56">
        <v>0</v>
      </c>
      <c r="BJ11" s="74">
        <v>21856608</v>
      </c>
      <c r="BK11" s="56">
        <v>21856608</v>
      </c>
      <c r="BL11" s="56">
        <v>21856608</v>
      </c>
      <c r="BM11" s="56">
        <v>21856608</v>
      </c>
      <c r="BN11" s="56">
        <v>21856608</v>
      </c>
      <c r="BO11" s="56">
        <v>21856608</v>
      </c>
      <c r="BP11" s="56">
        <v>21856608</v>
      </c>
      <c r="BQ11" s="56">
        <v>21856608</v>
      </c>
      <c r="BR11" s="56">
        <v>21856608</v>
      </c>
      <c r="BS11" s="56">
        <v>21856608</v>
      </c>
      <c r="BT11" s="56">
        <v>21856608</v>
      </c>
      <c r="BU11" s="56">
        <v>21856608</v>
      </c>
      <c r="BV11" s="56">
        <v>22409815.359502077</v>
      </c>
      <c r="BW11" s="56">
        <v>22409815.359502077</v>
      </c>
      <c r="BX11" s="56">
        <v>22409815.359502077</v>
      </c>
      <c r="BY11" s="56">
        <v>22409815.359502077</v>
      </c>
      <c r="BZ11" s="56">
        <v>22409815.359502077</v>
      </c>
      <c r="CA11" s="56">
        <v>22409815.359502077</v>
      </c>
      <c r="CB11" s="56">
        <v>22409815.359502077</v>
      </c>
      <c r="CC11" s="56">
        <v>22409815.359502077</v>
      </c>
      <c r="CD11" s="56">
        <v>22409815.359502077</v>
      </c>
      <c r="CE11" s="56">
        <v>22409815.359502077</v>
      </c>
      <c r="CF11" s="56">
        <v>22409815.359502077</v>
      </c>
      <c r="CG11" s="56">
        <v>22409815.359502077</v>
      </c>
      <c r="CH11" s="56">
        <v>22977024.81771075</v>
      </c>
      <c r="CI11" s="56">
        <v>22977024.81771075</v>
      </c>
      <c r="CJ11" s="56">
        <v>22977024.81771075</v>
      </c>
      <c r="CK11" s="56">
        <v>22977024.81771075</v>
      </c>
      <c r="CL11" s="56">
        <v>22977024.81771075</v>
      </c>
      <c r="CM11" s="56">
        <v>22977024.81771075</v>
      </c>
      <c r="CN11" s="56">
        <v>22977024.81771075</v>
      </c>
      <c r="CO11" s="56">
        <v>22977024.81771075</v>
      </c>
      <c r="CP11" s="56">
        <v>22977024.81771075</v>
      </c>
      <c r="CQ11" s="56">
        <v>22977024.81771075</v>
      </c>
      <c r="CR11" s="56">
        <v>22977024.81771075</v>
      </c>
      <c r="CS11" s="56">
        <v>22977024.81771075</v>
      </c>
      <c r="CT11" s="56">
        <v>23558590.77838587</v>
      </c>
      <c r="CU11" s="56">
        <v>23558590.77838587</v>
      </c>
      <c r="CV11" s="56">
        <v>23558590.77838587</v>
      </c>
      <c r="CW11" s="56">
        <v>23558590.77838587</v>
      </c>
      <c r="CX11" s="56">
        <v>23558590.77838587</v>
      </c>
      <c r="CY11" s="56">
        <v>23558590.77838587</v>
      </c>
      <c r="CZ11" s="56">
        <v>23558590.77838587</v>
      </c>
      <c r="DA11" s="56">
        <v>23558590.77838587</v>
      </c>
      <c r="DB11" s="56">
        <v>23558590.77838587</v>
      </c>
      <c r="DC11" s="56">
        <v>23558590.77838587</v>
      </c>
      <c r="DD11" s="56">
        <v>23558590.77838587</v>
      </c>
      <c r="DE11" s="56">
        <v>23558590.77838587</v>
      </c>
      <c r="DF11" s="56">
        <v>24154876.615515806</v>
      </c>
      <c r="DG11" s="56">
        <v>24154876.615515806</v>
      </c>
      <c r="DH11" s="56">
        <v>24154876.615515806</v>
      </c>
      <c r="DI11" s="56">
        <v>24154876.615515806</v>
      </c>
      <c r="DJ11" s="56">
        <v>24154876.615515806</v>
      </c>
      <c r="DK11" s="56">
        <v>24154876.615515806</v>
      </c>
      <c r="DL11" s="56">
        <v>24154876.615515806</v>
      </c>
      <c r="DM11" s="56">
        <v>24154876.615515806</v>
      </c>
      <c r="DN11" s="56">
        <v>24154876.615515806</v>
      </c>
      <c r="DO11" s="56">
        <v>24154876.615515806</v>
      </c>
      <c r="DP11" s="56">
        <v>24154876.615515806</v>
      </c>
      <c r="DQ11" s="56">
        <v>24154876.615515806</v>
      </c>
      <c r="DR11" s="56">
        <v>24766254.900360737</v>
      </c>
      <c r="DS11" s="56">
        <v>24766254.900360737</v>
      </c>
      <c r="DT11" s="56">
        <v>24766254.900360737</v>
      </c>
      <c r="DU11" s="56">
        <v>24766254.900360737</v>
      </c>
      <c r="DV11" s="56">
        <v>24766254.900360737</v>
      </c>
      <c r="DW11" s="56">
        <v>24766254.900360737</v>
      </c>
      <c r="DX11" s="56">
        <v>24766254.900360737</v>
      </c>
      <c r="DY11" s="56">
        <v>24766254.900360737</v>
      </c>
      <c r="DZ11" s="56">
        <v>24766254.900360737</v>
      </c>
      <c r="EA11" s="56">
        <v>24766254.900360737</v>
      </c>
      <c r="EB11" s="56">
        <v>24766254.900360737</v>
      </c>
      <c r="EC11" s="56">
        <v>24766254.900360737</v>
      </c>
      <c r="ED11" s="56">
        <v>25393107.634242594</v>
      </c>
      <c r="EE11" s="56">
        <v>25393107.634242594</v>
      </c>
      <c r="EF11" s="56">
        <v>25393107.634242594</v>
      </c>
      <c r="EG11" s="56">
        <v>25393107.634242594</v>
      </c>
      <c r="EH11" s="56">
        <v>25393107.634242594</v>
      </c>
      <c r="EI11" s="56">
        <v>25393107.634242594</v>
      </c>
      <c r="EJ11" s="56">
        <v>25393107.634242594</v>
      </c>
      <c r="EK11" s="56">
        <v>25393107.634242594</v>
      </c>
      <c r="EL11" s="56">
        <v>25393107.634242594</v>
      </c>
      <c r="EM11" s="56">
        <v>25393107.634242594</v>
      </c>
      <c r="EN11" s="56">
        <v>25393107.634242594</v>
      </c>
      <c r="EO11" s="56">
        <v>25393107.634242594</v>
      </c>
      <c r="EP11" s="56">
        <v>26035826.487227071</v>
      </c>
      <c r="EQ11" s="56">
        <v>26035826.487227071</v>
      </c>
      <c r="ER11" s="56">
        <v>26035826.487227071</v>
      </c>
      <c r="ES11" s="56">
        <v>26035826.487227071</v>
      </c>
      <c r="ET11" s="56">
        <v>26035826.487227071</v>
      </c>
      <c r="EU11" s="56">
        <v>26035826.487227071</v>
      </c>
      <c r="EV11" s="56">
        <v>26035826.487227071</v>
      </c>
      <c r="EW11" s="56">
        <v>26035826.487227071</v>
      </c>
      <c r="EX11" s="56">
        <v>26035826.487227071</v>
      </c>
      <c r="EY11" s="56">
        <v>26035826.487227071</v>
      </c>
      <c r="EZ11" s="56">
        <v>26035826.487227071</v>
      </c>
      <c r="FA11" s="56">
        <v>26035826.487227071</v>
      </c>
      <c r="FB11" s="56">
        <v>26694813.042846918</v>
      </c>
      <c r="FC11" s="56">
        <v>26694813.042846918</v>
      </c>
      <c r="FD11" s="56">
        <v>26694813.042846918</v>
      </c>
      <c r="FE11" s="56">
        <v>26694813.042846918</v>
      </c>
      <c r="FF11" s="56">
        <v>26694813.042846918</v>
      </c>
      <c r="FG11" s="56">
        <v>26694813.042846918</v>
      </c>
      <c r="FH11" s="56">
        <v>26694813.042846918</v>
      </c>
      <c r="FI11" s="56">
        <v>26694813.042846918</v>
      </c>
      <c r="FJ11" s="56">
        <v>26694813.042846918</v>
      </c>
      <c r="FK11" s="56">
        <v>26694813.042846918</v>
      </c>
      <c r="FL11" s="56">
        <v>26694813.042846918</v>
      </c>
      <c r="FM11" s="56">
        <v>26694813.042846918</v>
      </c>
      <c r="FN11" s="56">
        <v>27370479.049019285</v>
      </c>
      <c r="FO11" s="56">
        <v>27370479.049019285</v>
      </c>
      <c r="FP11" s="56">
        <v>27370479.049019285</v>
      </c>
      <c r="FQ11" s="56">
        <v>27370479.049019285</v>
      </c>
      <c r="FR11" s="56">
        <v>27370479.049019285</v>
      </c>
      <c r="FS11" s="56">
        <v>27370479.049019285</v>
      </c>
      <c r="FT11" s="56">
        <v>27370479.049019285</v>
      </c>
      <c r="FU11" s="56">
        <v>27370479.049019285</v>
      </c>
      <c r="FV11" s="56">
        <v>27370479.049019285</v>
      </c>
      <c r="FW11" s="56">
        <v>27370479.049019285</v>
      </c>
      <c r="FX11" s="56">
        <v>27370479.049019285</v>
      </c>
      <c r="FY11" s="56">
        <v>27370479.049019285</v>
      </c>
      <c r="FZ11" s="56">
        <v>0</v>
      </c>
      <c r="GA11" s="56">
        <v>0</v>
      </c>
      <c r="GB11" s="56">
        <v>0</v>
      </c>
      <c r="GC11" s="56">
        <v>0</v>
      </c>
      <c r="GD11" s="56">
        <v>0</v>
      </c>
      <c r="GE11" s="56">
        <v>0</v>
      </c>
      <c r="GF11" s="56">
        <v>0</v>
      </c>
      <c r="GG11" s="56">
        <v>0</v>
      </c>
      <c r="GH11" s="56">
        <v>0</v>
      </c>
      <c r="GI11" s="56">
        <v>0</v>
      </c>
      <c r="GJ11" s="56">
        <v>0</v>
      </c>
      <c r="GK11" s="85">
        <v>0</v>
      </c>
      <c r="GL11" s="40"/>
    </row>
    <row r="12" spans="1:194" x14ac:dyDescent="0.4">
      <c r="A12" s="84" t="s">
        <v>242</v>
      </c>
      <c r="B12" s="70" t="s">
        <v>174</v>
      </c>
      <c r="C12" s="70" t="s">
        <v>398</v>
      </c>
      <c r="D12" s="70" t="s">
        <v>209</v>
      </c>
      <c r="E12" s="70" t="s">
        <v>193</v>
      </c>
      <c r="F12" s="70" t="s">
        <v>194</v>
      </c>
      <c r="G12" s="70" t="s">
        <v>195</v>
      </c>
      <c r="H12" s="70">
        <v>0</v>
      </c>
      <c r="I12" s="70">
        <v>0</v>
      </c>
      <c r="J12" s="70" t="s">
        <v>210</v>
      </c>
      <c r="K12" s="70">
        <v>0</v>
      </c>
      <c r="L12" s="70" t="s">
        <v>211</v>
      </c>
      <c r="M12" s="71">
        <f>IFERROR(INDEX('(참조)CS_인건비'!$S$3:$AG$40,MATCH(CS_인건비!$A12,'(참조)CS_인건비'!$S$3:$S$40,0),MATCH('(참조)CS_인건비'!X$2,'(참조)CS_인건비'!$S$2:$AG$2,0)),0)</f>
        <v>1</v>
      </c>
      <c r="N12" s="71">
        <f>IFERROR(INDEX('(참조)CS_인건비'!$S$3:$AG$40,MATCH(CS_인건비!$A12,'(참조)CS_인건비'!$S$3:$S$40,0),MATCH('(참조)CS_인건비'!Y$2,'(참조)CS_인건비'!$S$2:$AG$2,0)),0)</f>
        <v>1</v>
      </c>
      <c r="O12" s="71">
        <f>IFERROR(INDEX('(참조)CS_인건비'!$S$3:$AG$40,MATCH(CS_인건비!$A12,'(참조)CS_인건비'!$S$3:$S$40,0),MATCH('(참조)CS_인건비'!Z$2,'(참조)CS_인건비'!$S$2:$AG$2,0)),0)</f>
        <v>1</v>
      </c>
      <c r="P12" s="71">
        <f>IFERROR(INDEX('(참조)CS_인건비'!$S$3:$AG$40,MATCH(CS_인건비!$A12,'(참조)CS_인건비'!$S$3:$S$40,0),MATCH('(참조)CS_인건비'!AA$2,'(참조)CS_인건비'!$S$2:$AG$2,0)),0)</f>
        <v>1</v>
      </c>
      <c r="Q12" s="71">
        <f>IFERROR(INDEX('(참조)CS_인건비'!$S$3:$AG$40,MATCH(CS_인건비!$A12,'(참조)CS_인건비'!$S$3:$S$40,0),MATCH('(참조)CS_인건비'!AB$2,'(참조)CS_인건비'!$S$2:$AG$2,0)),0)</f>
        <v>1</v>
      </c>
      <c r="R12" s="71">
        <f>IFERROR(INDEX('(참조)CS_인건비'!$S$3:$AG$40,MATCH(CS_인건비!$A12,'(참조)CS_인건비'!$S$3:$S$40,0),MATCH('(참조)CS_인건비'!AC$2,'(참조)CS_인건비'!$S$2:$AG$2,0)),0)</f>
        <v>1</v>
      </c>
      <c r="S12" s="71">
        <f>IFERROR(INDEX('(참조)CS_인건비'!$S$3:$AG$40,MATCH(CS_인건비!$A12,'(참조)CS_인건비'!$S$3:$S$40,0),MATCH('(참조)CS_인건비'!AD$2,'(참조)CS_인건비'!$S$2:$AG$2,0)),0)</f>
        <v>1</v>
      </c>
      <c r="T12" s="71">
        <f>IFERROR(INDEX('(참조)CS_인건비'!$S$3:$AG$40,MATCH(CS_인건비!$A12,'(참조)CS_인건비'!$S$3:$S$40,0),MATCH('(참조)CS_인건비'!AE$2,'(참조)CS_인건비'!$S$2:$AG$2,0)),0)</f>
        <v>1</v>
      </c>
      <c r="U12" s="71">
        <f>IFERROR(INDEX('(참조)CS_인건비'!$S$3:$AG$40,MATCH(CS_인건비!$A12,'(참조)CS_인건비'!$S$3:$S$40,0),MATCH('(참조)CS_인건비'!AF$2,'(참조)CS_인건비'!$S$2:$AG$2,0)),0)</f>
        <v>1</v>
      </c>
      <c r="V12" s="71">
        <f>IFERROR(INDEX('(참조)CS_인건비'!$S$3:$AG$40,MATCH(CS_인건비!$A12,'(참조)CS_인건비'!$S$3:$S$40,0),MATCH('(참조)CS_인건비'!AG$2,'(참조)CS_인건비'!$S$2:$AG$2,0)),0)</f>
        <v>1</v>
      </c>
      <c r="W12" s="71">
        <f>IFERROR(INDEX('(참조)CS_인건비'!$S$3:$AG$40,MATCH(CS_인건비!$A12,'(참조)CS_인건비'!$S$3:$S$40,0),MATCH('(참조)CS_인건비'!AH$2,'(참조)CS_인건비'!$S$2:$AG$2,0)),0)</f>
        <v>0</v>
      </c>
      <c r="X12" s="72">
        <v>0</v>
      </c>
      <c r="Y12" s="72">
        <f>IFERROR(INDEX('(참조)CS_인건비'!$A$3:$O$40,MATCH(CS_인건비!$A12,'(참조)CS_인건비'!$A$3:$A$40,0),MATCH('(참조)CS_인건비'!F$2,'(참조)CS_인건비'!$A$2:$O$2,0)),0)</f>
        <v>3934599</v>
      </c>
      <c r="Z12" s="72">
        <f>IFERROR(INDEX('(참조)CS_인건비'!$A$3:$O$40,MATCH(CS_인건비!$A12,'(참조)CS_인건비'!$A$3:$A$40,0),MATCH('(참조)CS_인건비'!G$2,'(참조)CS_인건비'!$A$2:$O$2,0)),0)</f>
        <v>4034186.69098524</v>
      </c>
      <c r="AA12" s="72">
        <f>IFERROR(INDEX('(참조)CS_인건비'!$A$3:$O$40,MATCH(CS_인건비!$A12,'(참조)CS_인건비'!$A$3:$A$40,0),MATCH('(참조)CS_인건비'!H$2,'(참조)CS_인건비'!$A$2:$O$2,0)),0)</f>
        <v>4136295.0221159616</v>
      </c>
      <c r="AB12" s="72">
        <f>IFERROR(INDEX('(참조)CS_인건비'!$A$3:$O$40,MATCH(CS_인건비!$A12,'(참조)CS_인건비'!$A$3:$A$40,0),MATCH('(참조)CS_인건비'!I$2,'(참조)CS_인건비'!$A$2:$O$2,0)),0)</f>
        <v>4240987.7927099336</v>
      </c>
      <c r="AC12" s="72">
        <f>IFERROR(INDEX('(참조)CS_인건비'!$A$3:$O$40,MATCH(CS_인건비!$A12,'(참조)CS_인건비'!$A$3:$A$40,0),MATCH('(참조)CS_인건비'!J$2,'(참조)CS_인건비'!$A$2:$O$2,0)),0)</f>
        <v>4348330.4168941444</v>
      </c>
      <c r="AD12" s="72">
        <f>IFERROR(INDEX('(참조)CS_인건비'!$A$3:$O$40,MATCH(CS_인건비!$A12,'(참조)CS_인건비'!$A$3:$A$40,0),MATCH('(참조)CS_인건비'!K$2,'(참조)CS_인건비'!$A$2:$O$2,0)),0)</f>
        <v>4458389.9644768517</v>
      </c>
      <c r="AE12" s="72">
        <f>IFERROR(INDEX('(참조)CS_인건비'!$A$3:$O$40,MATCH(CS_인건비!$A12,'(참조)CS_인건비'!$A$3:$A$40,0),MATCH('(참조)CS_인건비'!L$2,'(참조)CS_인건비'!$A$2:$O$2,0)),0)</f>
        <v>4571235.2028541341</v>
      </c>
      <c r="AF12" s="72">
        <f>IFERROR(INDEX('(참조)CS_인건비'!$A$3:$O$40,MATCH(CS_인건비!$A12,'(참조)CS_인건비'!$A$3:$A$40,0),MATCH('(참조)CS_인건비'!M$2,'(참조)CS_인건비'!$A$2:$O$2,0)),0)</f>
        <v>4686936.6399771264</v>
      </c>
      <c r="AG12" s="72">
        <f>IFERROR(INDEX('(참조)CS_인건비'!$A$3:$O$40,MATCH(CS_인건비!$A12,'(참조)CS_인건비'!$A$3:$A$40,0),MATCH('(참조)CS_인건비'!N$2,'(참조)CS_인건비'!$A$2:$O$2,0)),0)</f>
        <v>4805566.5684067942</v>
      </c>
      <c r="AH12" s="72">
        <f>IFERROR(INDEX('(참조)CS_인건비'!$A$3:$O$40,MATCH(CS_인건비!$A12,'(참조)CS_인건비'!$A$3:$A$40,0),MATCH('(참조)CS_인건비'!O$2,'(참조)CS_인건비'!$A$2:$O$2,0)),0)</f>
        <v>4927199.1104837619</v>
      </c>
      <c r="AI12" s="72">
        <f>IFERROR(INDEX('(참조)CS_인건비'!$A$3:$O$40,MATCH(CS_인건비!$A12,'(참조)CS_인건비'!$A$3:$A$40,0),MATCH('(참조)CS_인건비'!P$2,'(참조)CS_인건비'!$A$2:$O$2,0)),0)</f>
        <v>0</v>
      </c>
      <c r="AJ12" s="72">
        <v>12</v>
      </c>
      <c r="AK12" s="72">
        <v>12</v>
      </c>
      <c r="AL12" s="72">
        <v>12</v>
      </c>
      <c r="AM12" s="72">
        <v>12</v>
      </c>
      <c r="AN12" s="72">
        <v>12</v>
      </c>
      <c r="AO12" s="72">
        <v>12</v>
      </c>
      <c r="AP12" s="72">
        <v>12</v>
      </c>
      <c r="AQ12" s="72">
        <v>12</v>
      </c>
      <c r="AR12" s="72">
        <v>12</v>
      </c>
      <c r="AS12" s="72">
        <v>12</v>
      </c>
      <c r="AT12" s="72">
        <v>12</v>
      </c>
      <c r="AU12" s="73">
        <v>1</v>
      </c>
      <c r="AV12" s="70">
        <v>0</v>
      </c>
      <c r="AW12" s="70">
        <v>0</v>
      </c>
      <c r="AX12" s="56">
        <v>529724716.90684736</v>
      </c>
      <c r="AY12" s="56">
        <v>47215188</v>
      </c>
      <c r="AZ12" s="56">
        <v>48410240.291822881</v>
      </c>
      <c r="BA12" s="56">
        <v>49635540.265391536</v>
      </c>
      <c r="BB12" s="56">
        <v>50891853.512519188</v>
      </c>
      <c r="BC12" s="56">
        <v>52179965.002729736</v>
      </c>
      <c r="BD12" s="56">
        <v>53500679.573722236</v>
      </c>
      <c r="BE12" s="56">
        <v>54854822.43424961</v>
      </c>
      <c r="BF12" s="56">
        <v>56243239.67972552</v>
      </c>
      <c r="BG12" s="56">
        <v>57666798.820881516</v>
      </c>
      <c r="BH12" s="56">
        <v>59126389.325805157</v>
      </c>
      <c r="BI12" s="56">
        <v>0</v>
      </c>
      <c r="BJ12" s="74">
        <v>3934599</v>
      </c>
      <c r="BK12" s="56">
        <v>3934599</v>
      </c>
      <c r="BL12" s="56">
        <v>3934599</v>
      </c>
      <c r="BM12" s="56">
        <v>3934599</v>
      </c>
      <c r="BN12" s="56">
        <v>3934599</v>
      </c>
      <c r="BO12" s="56">
        <v>3934599</v>
      </c>
      <c r="BP12" s="56">
        <v>3934599</v>
      </c>
      <c r="BQ12" s="56">
        <v>3934599</v>
      </c>
      <c r="BR12" s="56">
        <v>3934599</v>
      </c>
      <c r="BS12" s="56">
        <v>3934599</v>
      </c>
      <c r="BT12" s="56">
        <v>3934599</v>
      </c>
      <c r="BU12" s="56">
        <v>3934599</v>
      </c>
      <c r="BV12" s="56">
        <v>4034186.69098524</v>
      </c>
      <c r="BW12" s="56">
        <v>4034186.69098524</v>
      </c>
      <c r="BX12" s="56">
        <v>4034186.69098524</v>
      </c>
      <c r="BY12" s="56">
        <v>4034186.69098524</v>
      </c>
      <c r="BZ12" s="56">
        <v>4034186.69098524</v>
      </c>
      <c r="CA12" s="56">
        <v>4034186.69098524</v>
      </c>
      <c r="CB12" s="56">
        <v>4034186.69098524</v>
      </c>
      <c r="CC12" s="56">
        <v>4034186.69098524</v>
      </c>
      <c r="CD12" s="56">
        <v>4034186.69098524</v>
      </c>
      <c r="CE12" s="56">
        <v>4034186.69098524</v>
      </c>
      <c r="CF12" s="56">
        <v>4034186.69098524</v>
      </c>
      <c r="CG12" s="56">
        <v>4034186.69098524</v>
      </c>
      <c r="CH12" s="56">
        <v>4136295.0221159616</v>
      </c>
      <c r="CI12" s="56">
        <v>4136295.0221159616</v>
      </c>
      <c r="CJ12" s="56">
        <v>4136295.0221159616</v>
      </c>
      <c r="CK12" s="56">
        <v>4136295.0221159616</v>
      </c>
      <c r="CL12" s="56">
        <v>4136295.0221159616</v>
      </c>
      <c r="CM12" s="56">
        <v>4136295.0221159616</v>
      </c>
      <c r="CN12" s="56">
        <v>4136295.0221159616</v>
      </c>
      <c r="CO12" s="56">
        <v>4136295.0221159616</v>
      </c>
      <c r="CP12" s="56">
        <v>4136295.0221159616</v>
      </c>
      <c r="CQ12" s="56">
        <v>4136295.0221159616</v>
      </c>
      <c r="CR12" s="56">
        <v>4136295.0221159616</v>
      </c>
      <c r="CS12" s="56">
        <v>4136295.0221159616</v>
      </c>
      <c r="CT12" s="56">
        <v>4240987.7927099336</v>
      </c>
      <c r="CU12" s="56">
        <v>4240987.7927099336</v>
      </c>
      <c r="CV12" s="56">
        <v>4240987.7927099336</v>
      </c>
      <c r="CW12" s="56">
        <v>4240987.7927099336</v>
      </c>
      <c r="CX12" s="56">
        <v>4240987.7927099336</v>
      </c>
      <c r="CY12" s="56">
        <v>4240987.7927099336</v>
      </c>
      <c r="CZ12" s="56">
        <v>4240987.7927099336</v>
      </c>
      <c r="DA12" s="56">
        <v>4240987.7927099336</v>
      </c>
      <c r="DB12" s="56">
        <v>4240987.7927099336</v>
      </c>
      <c r="DC12" s="56">
        <v>4240987.7927099336</v>
      </c>
      <c r="DD12" s="56">
        <v>4240987.7927099336</v>
      </c>
      <c r="DE12" s="56">
        <v>4240987.7927099336</v>
      </c>
      <c r="DF12" s="56">
        <v>4348330.4168941444</v>
      </c>
      <c r="DG12" s="56">
        <v>4348330.4168941444</v>
      </c>
      <c r="DH12" s="56">
        <v>4348330.4168941444</v>
      </c>
      <c r="DI12" s="56">
        <v>4348330.4168941444</v>
      </c>
      <c r="DJ12" s="56">
        <v>4348330.4168941444</v>
      </c>
      <c r="DK12" s="56">
        <v>4348330.4168941444</v>
      </c>
      <c r="DL12" s="56">
        <v>4348330.4168941444</v>
      </c>
      <c r="DM12" s="56">
        <v>4348330.4168941444</v>
      </c>
      <c r="DN12" s="56">
        <v>4348330.4168941444</v>
      </c>
      <c r="DO12" s="56">
        <v>4348330.4168941444</v>
      </c>
      <c r="DP12" s="56">
        <v>4348330.4168941444</v>
      </c>
      <c r="DQ12" s="56">
        <v>4348330.4168941444</v>
      </c>
      <c r="DR12" s="56">
        <v>4458389.9644768517</v>
      </c>
      <c r="DS12" s="56">
        <v>4458389.9644768517</v>
      </c>
      <c r="DT12" s="56">
        <v>4458389.9644768517</v>
      </c>
      <c r="DU12" s="56">
        <v>4458389.9644768517</v>
      </c>
      <c r="DV12" s="56">
        <v>4458389.9644768517</v>
      </c>
      <c r="DW12" s="56">
        <v>4458389.9644768517</v>
      </c>
      <c r="DX12" s="56">
        <v>4458389.9644768517</v>
      </c>
      <c r="DY12" s="56">
        <v>4458389.9644768517</v>
      </c>
      <c r="DZ12" s="56">
        <v>4458389.9644768517</v>
      </c>
      <c r="EA12" s="56">
        <v>4458389.9644768517</v>
      </c>
      <c r="EB12" s="56">
        <v>4458389.9644768517</v>
      </c>
      <c r="EC12" s="56">
        <v>4458389.9644768517</v>
      </c>
      <c r="ED12" s="56">
        <v>4571235.2028541341</v>
      </c>
      <c r="EE12" s="56">
        <v>4571235.2028541341</v>
      </c>
      <c r="EF12" s="56">
        <v>4571235.2028541341</v>
      </c>
      <c r="EG12" s="56">
        <v>4571235.2028541341</v>
      </c>
      <c r="EH12" s="56">
        <v>4571235.2028541341</v>
      </c>
      <c r="EI12" s="56">
        <v>4571235.2028541341</v>
      </c>
      <c r="EJ12" s="56">
        <v>4571235.2028541341</v>
      </c>
      <c r="EK12" s="56">
        <v>4571235.2028541341</v>
      </c>
      <c r="EL12" s="56">
        <v>4571235.2028541341</v>
      </c>
      <c r="EM12" s="56">
        <v>4571235.2028541341</v>
      </c>
      <c r="EN12" s="56">
        <v>4571235.2028541341</v>
      </c>
      <c r="EO12" s="56">
        <v>4571235.2028541341</v>
      </c>
      <c r="EP12" s="56">
        <v>4686936.6399771264</v>
      </c>
      <c r="EQ12" s="56">
        <v>4686936.6399771264</v>
      </c>
      <c r="ER12" s="56">
        <v>4686936.6399771264</v>
      </c>
      <c r="ES12" s="56">
        <v>4686936.6399771264</v>
      </c>
      <c r="ET12" s="56">
        <v>4686936.6399771264</v>
      </c>
      <c r="EU12" s="56">
        <v>4686936.6399771264</v>
      </c>
      <c r="EV12" s="56">
        <v>4686936.6399771264</v>
      </c>
      <c r="EW12" s="56">
        <v>4686936.6399771264</v>
      </c>
      <c r="EX12" s="56">
        <v>4686936.6399771264</v>
      </c>
      <c r="EY12" s="56">
        <v>4686936.6399771264</v>
      </c>
      <c r="EZ12" s="56">
        <v>4686936.6399771264</v>
      </c>
      <c r="FA12" s="56">
        <v>4686936.6399771264</v>
      </c>
      <c r="FB12" s="56">
        <v>4805566.5684067942</v>
      </c>
      <c r="FC12" s="56">
        <v>4805566.5684067942</v>
      </c>
      <c r="FD12" s="56">
        <v>4805566.5684067942</v>
      </c>
      <c r="FE12" s="56">
        <v>4805566.5684067942</v>
      </c>
      <c r="FF12" s="56">
        <v>4805566.5684067942</v>
      </c>
      <c r="FG12" s="56">
        <v>4805566.5684067942</v>
      </c>
      <c r="FH12" s="56">
        <v>4805566.5684067942</v>
      </c>
      <c r="FI12" s="56">
        <v>4805566.5684067942</v>
      </c>
      <c r="FJ12" s="56">
        <v>4805566.5684067942</v>
      </c>
      <c r="FK12" s="56">
        <v>4805566.5684067942</v>
      </c>
      <c r="FL12" s="56">
        <v>4805566.5684067942</v>
      </c>
      <c r="FM12" s="56">
        <v>4805566.5684067942</v>
      </c>
      <c r="FN12" s="56">
        <v>4927199.1104837619</v>
      </c>
      <c r="FO12" s="56">
        <v>4927199.1104837619</v>
      </c>
      <c r="FP12" s="56">
        <v>4927199.1104837619</v>
      </c>
      <c r="FQ12" s="56">
        <v>4927199.1104837619</v>
      </c>
      <c r="FR12" s="56">
        <v>4927199.1104837619</v>
      </c>
      <c r="FS12" s="56">
        <v>4927199.1104837619</v>
      </c>
      <c r="FT12" s="56">
        <v>4927199.1104837619</v>
      </c>
      <c r="FU12" s="56">
        <v>4927199.1104837619</v>
      </c>
      <c r="FV12" s="56">
        <v>4927199.1104837619</v>
      </c>
      <c r="FW12" s="56">
        <v>4927199.1104837619</v>
      </c>
      <c r="FX12" s="56">
        <v>4927199.1104837619</v>
      </c>
      <c r="FY12" s="56">
        <v>4927199.1104837619</v>
      </c>
      <c r="FZ12" s="56">
        <v>0</v>
      </c>
      <c r="GA12" s="56">
        <v>0</v>
      </c>
      <c r="GB12" s="56">
        <v>0</v>
      </c>
      <c r="GC12" s="56">
        <v>0</v>
      </c>
      <c r="GD12" s="56">
        <v>0</v>
      </c>
      <c r="GE12" s="56">
        <v>0</v>
      </c>
      <c r="GF12" s="56">
        <v>0</v>
      </c>
      <c r="GG12" s="56">
        <v>0</v>
      </c>
      <c r="GH12" s="56">
        <v>0</v>
      </c>
      <c r="GI12" s="56">
        <v>0</v>
      </c>
      <c r="GJ12" s="56">
        <v>0</v>
      </c>
      <c r="GK12" s="85">
        <v>0</v>
      </c>
      <c r="GL12" s="40"/>
    </row>
    <row r="13" spans="1:194" x14ac:dyDescent="0.4">
      <c r="A13" s="84" t="s">
        <v>243</v>
      </c>
      <c r="B13" s="70" t="s">
        <v>174</v>
      </c>
      <c r="C13" s="70" t="s">
        <v>398</v>
      </c>
      <c r="D13" s="70" t="s">
        <v>209</v>
      </c>
      <c r="E13" s="70" t="s">
        <v>193</v>
      </c>
      <c r="F13" s="70" t="s">
        <v>194</v>
      </c>
      <c r="G13" s="70" t="s">
        <v>196</v>
      </c>
      <c r="H13" s="70">
        <v>0</v>
      </c>
      <c r="I13" s="70">
        <v>0</v>
      </c>
      <c r="J13" s="70" t="s">
        <v>210</v>
      </c>
      <c r="K13" s="70">
        <v>0</v>
      </c>
      <c r="L13" s="70" t="s">
        <v>211</v>
      </c>
      <c r="M13" s="71">
        <f>IFERROR(INDEX('(참조)CS_인건비'!$S$3:$AG$40,MATCH(CS_인건비!$A13,'(참조)CS_인건비'!$S$3:$S$40,0),MATCH('(참조)CS_인건비'!X$2,'(참조)CS_인건비'!$S$2:$AG$2,0)),0)</f>
        <v>1</v>
      </c>
      <c r="N13" s="71">
        <f>IFERROR(INDEX('(참조)CS_인건비'!$S$3:$AG$40,MATCH(CS_인건비!$A13,'(참조)CS_인건비'!$S$3:$S$40,0),MATCH('(참조)CS_인건비'!Y$2,'(참조)CS_인건비'!$S$2:$AG$2,0)),0)</f>
        <v>1</v>
      </c>
      <c r="O13" s="71">
        <f>IFERROR(INDEX('(참조)CS_인건비'!$S$3:$AG$40,MATCH(CS_인건비!$A13,'(참조)CS_인건비'!$S$3:$S$40,0),MATCH('(참조)CS_인건비'!Z$2,'(참조)CS_인건비'!$S$2:$AG$2,0)),0)</f>
        <v>1</v>
      </c>
      <c r="P13" s="71">
        <f>IFERROR(INDEX('(참조)CS_인건비'!$S$3:$AG$40,MATCH(CS_인건비!$A13,'(참조)CS_인건비'!$S$3:$S$40,0),MATCH('(참조)CS_인건비'!AA$2,'(참조)CS_인건비'!$S$2:$AG$2,0)),0)</f>
        <v>1</v>
      </c>
      <c r="Q13" s="71">
        <f>IFERROR(INDEX('(참조)CS_인건비'!$S$3:$AG$40,MATCH(CS_인건비!$A13,'(참조)CS_인건비'!$S$3:$S$40,0),MATCH('(참조)CS_인건비'!AB$2,'(참조)CS_인건비'!$S$2:$AG$2,0)),0)</f>
        <v>1</v>
      </c>
      <c r="R13" s="71">
        <f>IFERROR(INDEX('(참조)CS_인건비'!$S$3:$AG$40,MATCH(CS_인건비!$A13,'(참조)CS_인건비'!$S$3:$S$40,0),MATCH('(참조)CS_인건비'!AC$2,'(참조)CS_인건비'!$S$2:$AG$2,0)),0)</f>
        <v>1</v>
      </c>
      <c r="S13" s="71">
        <f>IFERROR(INDEX('(참조)CS_인건비'!$S$3:$AG$40,MATCH(CS_인건비!$A13,'(참조)CS_인건비'!$S$3:$S$40,0),MATCH('(참조)CS_인건비'!AD$2,'(참조)CS_인건비'!$S$2:$AG$2,0)),0)</f>
        <v>1</v>
      </c>
      <c r="T13" s="71">
        <f>IFERROR(INDEX('(참조)CS_인건비'!$S$3:$AG$40,MATCH(CS_인건비!$A13,'(참조)CS_인건비'!$S$3:$S$40,0),MATCH('(참조)CS_인건비'!AE$2,'(참조)CS_인건비'!$S$2:$AG$2,0)),0)</f>
        <v>1</v>
      </c>
      <c r="U13" s="71">
        <f>IFERROR(INDEX('(참조)CS_인건비'!$S$3:$AG$40,MATCH(CS_인건비!$A13,'(참조)CS_인건비'!$S$3:$S$40,0),MATCH('(참조)CS_인건비'!AF$2,'(참조)CS_인건비'!$S$2:$AG$2,0)),0)</f>
        <v>1</v>
      </c>
      <c r="V13" s="71">
        <f>IFERROR(INDEX('(참조)CS_인건비'!$S$3:$AG$40,MATCH(CS_인건비!$A13,'(참조)CS_인건비'!$S$3:$S$40,0),MATCH('(참조)CS_인건비'!AG$2,'(참조)CS_인건비'!$S$2:$AG$2,0)),0)</f>
        <v>1</v>
      </c>
      <c r="W13" s="71">
        <f>IFERROR(INDEX('(참조)CS_인건비'!$S$3:$AG$40,MATCH(CS_인건비!$A13,'(참조)CS_인건비'!$S$3:$S$40,0),MATCH('(참조)CS_인건비'!AH$2,'(참조)CS_인건비'!$S$2:$AG$2,0)),0)</f>
        <v>0</v>
      </c>
      <c r="X13" s="72">
        <v>0</v>
      </c>
      <c r="Y13" s="72">
        <f>IFERROR(INDEX('(참조)CS_인건비'!$A$3:$O$40,MATCH(CS_인건비!$A13,'(참조)CS_인건비'!$A$3:$A$40,0),MATCH('(참조)CS_인건비'!F$2,'(참조)CS_인건비'!$A$2:$O$2,0)),0)</f>
        <v>3005311</v>
      </c>
      <c r="Z13" s="72">
        <f>IFERROR(INDEX('(참조)CS_인건비'!$A$3:$O$40,MATCH(CS_인건비!$A13,'(참조)CS_인건비'!$A$3:$A$40,0),MATCH('(참조)CS_인건비'!G$2,'(참조)CS_인건비'!$A$2:$O$2,0)),0)</f>
        <v>3081377.7054463602</v>
      </c>
      <c r="AA13" s="72">
        <f>IFERROR(INDEX('(참조)CS_인건비'!$A$3:$O$40,MATCH(CS_인건비!$A13,'(참조)CS_인건비'!$A$3:$A$40,0),MATCH('(참조)CS_인건비'!H$2,'(참조)CS_인건비'!$A$2:$O$2,0)),0)</f>
        <v>3159369.7170182634</v>
      </c>
      <c r="AB13" s="72">
        <f>IFERROR(INDEX('(참조)CS_인건비'!$A$3:$O$40,MATCH(CS_인건비!$A13,'(참조)CS_인건비'!$A$3:$A$40,0),MATCH('(참조)CS_인건비'!I$2,'(참조)CS_인건비'!$A$2:$O$2,0)),0)</f>
        <v>3239335.7656769804</v>
      </c>
      <c r="AC13" s="72">
        <f>IFERROR(INDEX('(참조)CS_인건비'!$A$3:$O$40,MATCH(CS_인건비!$A13,'(참조)CS_인건비'!$A$3:$A$40,0),MATCH('(참조)CS_인건비'!J$2,'(참조)CS_인건비'!$A$2:$O$2,0)),0)</f>
        <v>3321325.8158014468</v>
      </c>
      <c r="AD13" s="72">
        <f>IFERROR(INDEX('(참조)CS_인건비'!$A$3:$O$40,MATCH(CS_인건비!$A13,'(참조)CS_인건비'!$A$3:$A$40,0),MATCH('(참조)CS_인건비'!K$2,'(참조)CS_인건비'!$A$2:$O$2,0)),0)</f>
        <v>3405391.0964070014</v>
      </c>
      <c r="AE13" s="72">
        <f>IFERROR(INDEX('(참조)CS_인건비'!$A$3:$O$40,MATCH(CS_인건비!$A13,'(참조)CS_인건비'!$A$3:$A$40,0),MATCH('(참조)CS_인건비'!L$2,'(참조)CS_인건비'!$A$2:$O$2,0)),0)</f>
        <v>3491584.1331542959</v>
      </c>
      <c r="AF13" s="72">
        <f>IFERROR(INDEX('(참조)CS_인건비'!$A$3:$O$40,MATCH(CS_인건비!$A13,'(참조)CS_인건비'!$A$3:$A$40,0),MATCH('(참조)CS_인건비'!M$2,'(참조)CS_인건비'!$A$2:$O$2,0)),0)</f>
        <v>3579958.7811683724</v>
      </c>
      <c r="AG13" s="72">
        <f>IFERROR(INDEX('(참조)CS_인건비'!$A$3:$O$40,MATCH(CS_인건비!$A13,'(참조)CS_인건비'!$A$3:$A$40,0),MATCH('(참조)CS_인건비'!N$2,'(참조)CS_인건비'!$A$2:$O$2,0)),0)</f>
        <v>3670570.2586884177</v>
      </c>
      <c r="AH13" s="72">
        <f>IFERROR(INDEX('(참조)CS_인건비'!$A$3:$O$40,MATCH(CS_인건비!$A13,'(참조)CS_인건비'!$A$3:$A$40,0),MATCH('(참조)CS_인건비'!O$2,'(참조)CS_인건비'!$A$2:$O$2,0)),0)</f>
        <v>3763475.1815692182</v>
      </c>
      <c r="AI13" s="72">
        <f>IFERROR(INDEX('(참조)CS_인건비'!$A$3:$O$40,MATCH(CS_인건비!$A13,'(참조)CS_인건비'!$A$3:$A$40,0),MATCH('(참조)CS_인건비'!P$2,'(참조)CS_인건비'!$A$2:$O$2,0)),0)</f>
        <v>0</v>
      </c>
      <c r="AJ13" s="72">
        <v>12</v>
      </c>
      <c r="AK13" s="72">
        <v>12</v>
      </c>
      <c r="AL13" s="72">
        <v>12</v>
      </c>
      <c r="AM13" s="72">
        <v>12</v>
      </c>
      <c r="AN13" s="72">
        <v>12</v>
      </c>
      <c r="AO13" s="72">
        <v>12</v>
      </c>
      <c r="AP13" s="72">
        <v>12</v>
      </c>
      <c r="AQ13" s="72">
        <v>12</v>
      </c>
      <c r="AR13" s="72">
        <v>12</v>
      </c>
      <c r="AS13" s="72">
        <v>12</v>
      </c>
      <c r="AT13" s="72">
        <v>12</v>
      </c>
      <c r="AU13" s="73">
        <v>1</v>
      </c>
      <c r="AV13" s="70">
        <v>0</v>
      </c>
      <c r="AW13" s="70">
        <v>0</v>
      </c>
      <c r="AX13" s="56">
        <v>404612393.45916426</v>
      </c>
      <c r="AY13" s="56">
        <v>36063732</v>
      </c>
      <c r="AZ13" s="56">
        <v>36976532.46535632</v>
      </c>
      <c r="BA13" s="56">
        <v>37912436.604219154</v>
      </c>
      <c r="BB13" s="56">
        <v>38872029.188123763</v>
      </c>
      <c r="BC13" s="56">
        <v>39855909.78961736</v>
      </c>
      <c r="BD13" s="56">
        <v>40864693.156884015</v>
      </c>
      <c r="BE13" s="56">
        <v>41899009.597851552</v>
      </c>
      <c r="BF13" s="56">
        <v>42959505.374020465</v>
      </c>
      <c r="BG13" s="56">
        <v>44046843.104261011</v>
      </c>
      <c r="BH13" s="56">
        <v>45161702.178830616</v>
      </c>
      <c r="BI13" s="56">
        <v>0</v>
      </c>
      <c r="BJ13" s="74">
        <v>3005311</v>
      </c>
      <c r="BK13" s="56">
        <v>3005311</v>
      </c>
      <c r="BL13" s="56">
        <v>3005311</v>
      </c>
      <c r="BM13" s="56">
        <v>3005311</v>
      </c>
      <c r="BN13" s="56">
        <v>3005311</v>
      </c>
      <c r="BO13" s="56">
        <v>3005311</v>
      </c>
      <c r="BP13" s="56">
        <v>3005311</v>
      </c>
      <c r="BQ13" s="56">
        <v>3005311</v>
      </c>
      <c r="BR13" s="56">
        <v>3005311</v>
      </c>
      <c r="BS13" s="56">
        <v>3005311</v>
      </c>
      <c r="BT13" s="56">
        <v>3005311</v>
      </c>
      <c r="BU13" s="56">
        <v>3005311</v>
      </c>
      <c r="BV13" s="56">
        <v>3081377.7054463602</v>
      </c>
      <c r="BW13" s="56">
        <v>3081377.7054463602</v>
      </c>
      <c r="BX13" s="56">
        <v>3081377.7054463602</v>
      </c>
      <c r="BY13" s="56">
        <v>3081377.7054463602</v>
      </c>
      <c r="BZ13" s="56">
        <v>3081377.7054463602</v>
      </c>
      <c r="CA13" s="56">
        <v>3081377.7054463602</v>
      </c>
      <c r="CB13" s="56">
        <v>3081377.7054463602</v>
      </c>
      <c r="CC13" s="56">
        <v>3081377.7054463602</v>
      </c>
      <c r="CD13" s="56">
        <v>3081377.7054463602</v>
      </c>
      <c r="CE13" s="56">
        <v>3081377.7054463602</v>
      </c>
      <c r="CF13" s="56">
        <v>3081377.7054463602</v>
      </c>
      <c r="CG13" s="56">
        <v>3081377.7054463602</v>
      </c>
      <c r="CH13" s="56">
        <v>3159369.7170182634</v>
      </c>
      <c r="CI13" s="56">
        <v>3159369.7170182634</v>
      </c>
      <c r="CJ13" s="56">
        <v>3159369.7170182634</v>
      </c>
      <c r="CK13" s="56">
        <v>3159369.7170182634</v>
      </c>
      <c r="CL13" s="56">
        <v>3159369.7170182634</v>
      </c>
      <c r="CM13" s="56">
        <v>3159369.7170182634</v>
      </c>
      <c r="CN13" s="56">
        <v>3159369.7170182634</v>
      </c>
      <c r="CO13" s="56">
        <v>3159369.7170182634</v>
      </c>
      <c r="CP13" s="56">
        <v>3159369.7170182634</v>
      </c>
      <c r="CQ13" s="56">
        <v>3159369.7170182634</v>
      </c>
      <c r="CR13" s="56">
        <v>3159369.7170182634</v>
      </c>
      <c r="CS13" s="56">
        <v>3159369.7170182634</v>
      </c>
      <c r="CT13" s="56">
        <v>3239335.7656769804</v>
      </c>
      <c r="CU13" s="56">
        <v>3239335.7656769804</v>
      </c>
      <c r="CV13" s="56">
        <v>3239335.7656769804</v>
      </c>
      <c r="CW13" s="56">
        <v>3239335.7656769804</v>
      </c>
      <c r="CX13" s="56">
        <v>3239335.7656769804</v>
      </c>
      <c r="CY13" s="56">
        <v>3239335.7656769804</v>
      </c>
      <c r="CZ13" s="56">
        <v>3239335.7656769804</v>
      </c>
      <c r="DA13" s="56">
        <v>3239335.7656769804</v>
      </c>
      <c r="DB13" s="56">
        <v>3239335.7656769804</v>
      </c>
      <c r="DC13" s="56">
        <v>3239335.7656769804</v>
      </c>
      <c r="DD13" s="56">
        <v>3239335.7656769804</v>
      </c>
      <c r="DE13" s="56">
        <v>3239335.7656769804</v>
      </c>
      <c r="DF13" s="56">
        <v>3321325.8158014468</v>
      </c>
      <c r="DG13" s="56">
        <v>3321325.8158014468</v>
      </c>
      <c r="DH13" s="56">
        <v>3321325.8158014468</v>
      </c>
      <c r="DI13" s="56">
        <v>3321325.8158014468</v>
      </c>
      <c r="DJ13" s="56">
        <v>3321325.8158014468</v>
      </c>
      <c r="DK13" s="56">
        <v>3321325.8158014468</v>
      </c>
      <c r="DL13" s="56">
        <v>3321325.8158014468</v>
      </c>
      <c r="DM13" s="56">
        <v>3321325.8158014468</v>
      </c>
      <c r="DN13" s="56">
        <v>3321325.8158014468</v>
      </c>
      <c r="DO13" s="56">
        <v>3321325.8158014468</v>
      </c>
      <c r="DP13" s="56">
        <v>3321325.8158014468</v>
      </c>
      <c r="DQ13" s="56">
        <v>3321325.8158014468</v>
      </c>
      <c r="DR13" s="56">
        <v>3405391.0964070014</v>
      </c>
      <c r="DS13" s="56">
        <v>3405391.0964070014</v>
      </c>
      <c r="DT13" s="56">
        <v>3405391.0964070014</v>
      </c>
      <c r="DU13" s="56">
        <v>3405391.0964070014</v>
      </c>
      <c r="DV13" s="56">
        <v>3405391.0964070014</v>
      </c>
      <c r="DW13" s="56">
        <v>3405391.0964070014</v>
      </c>
      <c r="DX13" s="56">
        <v>3405391.0964070014</v>
      </c>
      <c r="DY13" s="56">
        <v>3405391.0964070014</v>
      </c>
      <c r="DZ13" s="56">
        <v>3405391.0964070014</v>
      </c>
      <c r="EA13" s="56">
        <v>3405391.0964070014</v>
      </c>
      <c r="EB13" s="56">
        <v>3405391.0964070014</v>
      </c>
      <c r="EC13" s="56">
        <v>3405391.0964070014</v>
      </c>
      <c r="ED13" s="56">
        <v>3491584.1331542959</v>
      </c>
      <c r="EE13" s="56">
        <v>3491584.1331542959</v>
      </c>
      <c r="EF13" s="56">
        <v>3491584.1331542959</v>
      </c>
      <c r="EG13" s="56">
        <v>3491584.1331542959</v>
      </c>
      <c r="EH13" s="56">
        <v>3491584.1331542959</v>
      </c>
      <c r="EI13" s="56">
        <v>3491584.1331542959</v>
      </c>
      <c r="EJ13" s="56">
        <v>3491584.1331542959</v>
      </c>
      <c r="EK13" s="56">
        <v>3491584.1331542959</v>
      </c>
      <c r="EL13" s="56">
        <v>3491584.1331542959</v>
      </c>
      <c r="EM13" s="56">
        <v>3491584.1331542959</v>
      </c>
      <c r="EN13" s="56">
        <v>3491584.1331542959</v>
      </c>
      <c r="EO13" s="56">
        <v>3491584.1331542959</v>
      </c>
      <c r="EP13" s="56">
        <v>3579958.7811683724</v>
      </c>
      <c r="EQ13" s="56">
        <v>3579958.7811683724</v>
      </c>
      <c r="ER13" s="56">
        <v>3579958.7811683724</v>
      </c>
      <c r="ES13" s="56">
        <v>3579958.7811683724</v>
      </c>
      <c r="ET13" s="56">
        <v>3579958.7811683724</v>
      </c>
      <c r="EU13" s="56">
        <v>3579958.7811683724</v>
      </c>
      <c r="EV13" s="56">
        <v>3579958.7811683724</v>
      </c>
      <c r="EW13" s="56">
        <v>3579958.7811683724</v>
      </c>
      <c r="EX13" s="56">
        <v>3579958.7811683724</v>
      </c>
      <c r="EY13" s="56">
        <v>3579958.7811683724</v>
      </c>
      <c r="EZ13" s="56">
        <v>3579958.7811683724</v>
      </c>
      <c r="FA13" s="56">
        <v>3579958.7811683724</v>
      </c>
      <c r="FB13" s="56">
        <v>3670570.2586884177</v>
      </c>
      <c r="FC13" s="56">
        <v>3670570.2586884177</v>
      </c>
      <c r="FD13" s="56">
        <v>3670570.2586884177</v>
      </c>
      <c r="FE13" s="56">
        <v>3670570.2586884177</v>
      </c>
      <c r="FF13" s="56">
        <v>3670570.2586884177</v>
      </c>
      <c r="FG13" s="56">
        <v>3670570.2586884177</v>
      </c>
      <c r="FH13" s="56">
        <v>3670570.2586884177</v>
      </c>
      <c r="FI13" s="56">
        <v>3670570.2586884177</v>
      </c>
      <c r="FJ13" s="56">
        <v>3670570.2586884177</v>
      </c>
      <c r="FK13" s="56">
        <v>3670570.2586884177</v>
      </c>
      <c r="FL13" s="56">
        <v>3670570.2586884177</v>
      </c>
      <c r="FM13" s="56">
        <v>3670570.2586884177</v>
      </c>
      <c r="FN13" s="56">
        <v>3763475.1815692182</v>
      </c>
      <c r="FO13" s="56">
        <v>3763475.1815692182</v>
      </c>
      <c r="FP13" s="56">
        <v>3763475.1815692182</v>
      </c>
      <c r="FQ13" s="56">
        <v>3763475.1815692182</v>
      </c>
      <c r="FR13" s="56">
        <v>3763475.1815692182</v>
      </c>
      <c r="FS13" s="56">
        <v>3763475.1815692182</v>
      </c>
      <c r="FT13" s="56">
        <v>3763475.1815692182</v>
      </c>
      <c r="FU13" s="56">
        <v>3763475.1815692182</v>
      </c>
      <c r="FV13" s="56">
        <v>3763475.1815692182</v>
      </c>
      <c r="FW13" s="56">
        <v>3763475.1815692182</v>
      </c>
      <c r="FX13" s="56">
        <v>3763475.1815692182</v>
      </c>
      <c r="FY13" s="56">
        <v>3763475.1815692182</v>
      </c>
      <c r="FZ13" s="56">
        <v>0</v>
      </c>
      <c r="GA13" s="56">
        <v>0</v>
      </c>
      <c r="GB13" s="56">
        <v>0</v>
      </c>
      <c r="GC13" s="56">
        <v>0</v>
      </c>
      <c r="GD13" s="56">
        <v>0</v>
      </c>
      <c r="GE13" s="56">
        <v>0</v>
      </c>
      <c r="GF13" s="56">
        <v>0</v>
      </c>
      <c r="GG13" s="56">
        <v>0</v>
      </c>
      <c r="GH13" s="56">
        <v>0</v>
      </c>
      <c r="GI13" s="56">
        <v>0</v>
      </c>
      <c r="GJ13" s="56">
        <v>0</v>
      </c>
      <c r="GK13" s="85">
        <v>0</v>
      </c>
      <c r="GL13" s="40"/>
    </row>
    <row r="14" spans="1:194" x14ac:dyDescent="0.4">
      <c r="A14" s="84" t="s">
        <v>244</v>
      </c>
      <c r="B14" s="70" t="s">
        <v>174</v>
      </c>
      <c r="C14" s="70" t="s">
        <v>398</v>
      </c>
      <c r="D14" s="70" t="s">
        <v>209</v>
      </c>
      <c r="E14" s="70" t="s">
        <v>193</v>
      </c>
      <c r="F14" s="70" t="s">
        <v>194</v>
      </c>
      <c r="G14" s="70" t="s">
        <v>197</v>
      </c>
      <c r="H14" s="70">
        <v>0</v>
      </c>
      <c r="I14" s="70">
        <v>0</v>
      </c>
      <c r="J14" s="70" t="s">
        <v>210</v>
      </c>
      <c r="K14" s="70">
        <v>0</v>
      </c>
      <c r="L14" s="70" t="s">
        <v>211</v>
      </c>
      <c r="M14" s="71">
        <f>IFERROR(INDEX('(참조)CS_인건비'!$S$3:$AG$40,MATCH(CS_인건비!$A14,'(참조)CS_인건비'!$S$3:$S$40,0),MATCH('(참조)CS_인건비'!X$2,'(참조)CS_인건비'!$S$2:$AG$2,0)),0)</f>
        <v>3</v>
      </c>
      <c r="N14" s="71">
        <f>IFERROR(INDEX('(참조)CS_인건비'!$S$3:$AG$40,MATCH(CS_인건비!$A14,'(참조)CS_인건비'!$S$3:$S$40,0),MATCH('(참조)CS_인건비'!Y$2,'(참조)CS_인건비'!$S$2:$AG$2,0)),0)</f>
        <v>3</v>
      </c>
      <c r="O14" s="71">
        <f>IFERROR(INDEX('(참조)CS_인건비'!$S$3:$AG$40,MATCH(CS_인건비!$A14,'(참조)CS_인건비'!$S$3:$S$40,0),MATCH('(참조)CS_인건비'!Z$2,'(참조)CS_인건비'!$S$2:$AG$2,0)),0)</f>
        <v>3</v>
      </c>
      <c r="P14" s="71">
        <f>IFERROR(INDEX('(참조)CS_인건비'!$S$3:$AG$40,MATCH(CS_인건비!$A14,'(참조)CS_인건비'!$S$3:$S$40,0),MATCH('(참조)CS_인건비'!AA$2,'(참조)CS_인건비'!$S$2:$AG$2,0)),0)</f>
        <v>3</v>
      </c>
      <c r="Q14" s="71">
        <f>IFERROR(INDEX('(참조)CS_인건비'!$S$3:$AG$40,MATCH(CS_인건비!$A14,'(참조)CS_인건비'!$S$3:$S$40,0),MATCH('(참조)CS_인건비'!AB$2,'(참조)CS_인건비'!$S$2:$AG$2,0)),0)</f>
        <v>3</v>
      </c>
      <c r="R14" s="71">
        <f>IFERROR(INDEX('(참조)CS_인건비'!$S$3:$AG$40,MATCH(CS_인건비!$A14,'(참조)CS_인건비'!$S$3:$S$40,0),MATCH('(참조)CS_인건비'!AC$2,'(참조)CS_인건비'!$S$2:$AG$2,0)),0)</f>
        <v>3</v>
      </c>
      <c r="S14" s="71">
        <f>IFERROR(INDEX('(참조)CS_인건비'!$S$3:$AG$40,MATCH(CS_인건비!$A14,'(참조)CS_인건비'!$S$3:$S$40,0),MATCH('(참조)CS_인건비'!AD$2,'(참조)CS_인건비'!$S$2:$AG$2,0)),0)</f>
        <v>3</v>
      </c>
      <c r="T14" s="71">
        <f>IFERROR(INDEX('(참조)CS_인건비'!$S$3:$AG$40,MATCH(CS_인건비!$A14,'(참조)CS_인건비'!$S$3:$S$40,0),MATCH('(참조)CS_인건비'!AE$2,'(참조)CS_인건비'!$S$2:$AG$2,0)),0)</f>
        <v>3</v>
      </c>
      <c r="U14" s="71">
        <f>IFERROR(INDEX('(참조)CS_인건비'!$S$3:$AG$40,MATCH(CS_인건비!$A14,'(참조)CS_인건비'!$S$3:$S$40,0),MATCH('(참조)CS_인건비'!AF$2,'(참조)CS_인건비'!$S$2:$AG$2,0)),0)</f>
        <v>3</v>
      </c>
      <c r="V14" s="71">
        <f>IFERROR(INDEX('(참조)CS_인건비'!$S$3:$AG$40,MATCH(CS_인건비!$A14,'(참조)CS_인건비'!$S$3:$S$40,0),MATCH('(참조)CS_인건비'!AG$2,'(참조)CS_인건비'!$S$2:$AG$2,0)),0)</f>
        <v>3</v>
      </c>
      <c r="W14" s="71">
        <f>IFERROR(INDEX('(참조)CS_인건비'!$S$3:$AG$40,MATCH(CS_인건비!$A14,'(참조)CS_인건비'!$S$3:$S$40,0),MATCH('(참조)CS_인건비'!AH$2,'(참조)CS_인건비'!$S$2:$AG$2,0)),0)</f>
        <v>0</v>
      </c>
      <c r="X14" s="72">
        <v>0</v>
      </c>
      <c r="Y14" s="72">
        <f>IFERROR(INDEX('(참조)CS_인건비'!$A$3:$O$40,MATCH(CS_인건비!$A14,'(참조)CS_인건비'!$A$3:$A$40,0),MATCH('(참조)CS_인건비'!F$2,'(참조)CS_인건비'!$A$2:$O$2,0)),0)</f>
        <v>2822414</v>
      </c>
      <c r="Z14" s="72">
        <f>IFERROR(INDEX('(참조)CS_인건비'!$A$3:$O$40,MATCH(CS_인건비!$A14,'(참조)CS_인건비'!$A$3:$A$40,0),MATCH('(참조)CS_인건비'!G$2,'(참조)CS_인건비'!$A$2:$O$2,0)),0)</f>
        <v>2893851.4433746398</v>
      </c>
      <c r="AA14" s="72">
        <f>IFERROR(INDEX('(참조)CS_인건비'!$A$3:$O$40,MATCH(CS_인건비!$A14,'(참조)CS_인건비'!$A$3:$A$40,0),MATCH('(참조)CS_인건비'!H$2,'(참조)CS_인건비'!$A$2:$O$2,0)),0)</f>
        <v>2967097.0227335491</v>
      </c>
      <c r="AB14" s="72">
        <f>IFERROR(INDEX('(참조)CS_인건비'!$A$3:$O$40,MATCH(CS_인건비!$A14,'(참조)CS_인건비'!$A$3:$A$40,0),MATCH('(참조)CS_인건비'!I$2,'(참조)CS_인건비'!$A$2:$O$2,0)),0)</f>
        <v>3042196.5033726725</v>
      </c>
      <c r="AC14" s="72">
        <f>IFERROR(INDEX('(참조)CS_인건비'!$A$3:$O$40,MATCH(CS_인건비!$A14,'(참조)CS_인건비'!$A$3:$A$40,0),MATCH('(참조)CS_인건비'!J$2,'(참조)CS_인건비'!$A$2:$O$2,0)),0)</f>
        <v>3119196.8089423776</v>
      </c>
      <c r="AD14" s="72">
        <f>IFERROR(INDEX('(참조)CS_인건비'!$A$3:$O$40,MATCH(CS_인건비!$A14,'(참조)CS_인건비'!$A$3:$A$40,0),MATCH('(참조)CS_인건비'!K$2,'(참조)CS_인건비'!$A$2:$O$2,0)),0)</f>
        <v>3198146.0507662841</v>
      </c>
      <c r="AE14" s="72">
        <f>IFERROR(INDEX('(참조)CS_인건비'!$A$3:$O$40,MATCH(CS_인건비!$A14,'(참조)CS_인건비'!$A$3:$A$40,0),MATCH('(참조)CS_인건비'!L$2,'(참조)CS_인건비'!$A$2:$O$2,0)),0)</f>
        <v>3279093.5579021773</v>
      </c>
      <c r="AF14" s="72">
        <f>IFERROR(INDEX('(참조)CS_인건비'!$A$3:$O$40,MATCH(CS_인건비!$A14,'(참조)CS_인건비'!$A$3:$A$40,0),MATCH('(참조)CS_인건비'!M$2,'(참조)CS_인건비'!$A$2:$O$2,0)),0)</f>
        <v>3362089.9079637853</v>
      </c>
      <c r="AG14" s="72">
        <f>IFERROR(INDEX('(참조)CS_인건비'!$A$3:$O$40,MATCH(CS_인건비!$A14,'(참조)CS_인건비'!$A$3:$A$40,0),MATCH('(참조)CS_인건비'!N$2,'(참조)CS_인건비'!$A$2:$O$2,0)),0)</f>
        <v>3447186.9587226789</v>
      </c>
      <c r="AH14" s="72">
        <f>IFERROR(INDEX('(참조)CS_인건비'!$A$3:$O$40,MATCH(CS_인건비!$A14,'(참조)CS_인건비'!$A$3:$A$40,0),MATCH('(참조)CS_인건비'!O$2,'(참조)CS_인건비'!$A$2:$O$2,0)),0)</f>
        <v>3534437.8805100387</v>
      </c>
      <c r="AI14" s="72">
        <f>IFERROR(INDEX('(참조)CS_인건비'!$A$3:$O$40,MATCH(CS_인건비!$A14,'(참조)CS_인건비'!$A$3:$A$40,0),MATCH('(참조)CS_인건비'!P$2,'(참조)CS_인건비'!$A$2:$O$2,0)),0)</f>
        <v>0</v>
      </c>
      <c r="AJ14" s="72">
        <v>12</v>
      </c>
      <c r="AK14" s="72">
        <v>12</v>
      </c>
      <c r="AL14" s="72">
        <v>12</v>
      </c>
      <c r="AM14" s="72">
        <v>12</v>
      </c>
      <c r="AN14" s="72">
        <v>12</v>
      </c>
      <c r="AO14" s="72">
        <v>12</v>
      </c>
      <c r="AP14" s="72">
        <v>12</v>
      </c>
      <c r="AQ14" s="72">
        <v>12</v>
      </c>
      <c r="AR14" s="72">
        <v>12</v>
      </c>
      <c r="AS14" s="72">
        <v>12</v>
      </c>
      <c r="AT14" s="72">
        <v>12</v>
      </c>
      <c r="AU14" s="73">
        <v>1</v>
      </c>
      <c r="AV14" s="70">
        <v>0</v>
      </c>
      <c r="AW14" s="70">
        <v>0</v>
      </c>
      <c r="AX14" s="56">
        <v>1139965564.8343751</v>
      </c>
      <c r="AY14" s="56">
        <v>101606904</v>
      </c>
      <c r="AZ14" s="56">
        <v>104178651.96148701</v>
      </c>
      <c r="BA14" s="56">
        <v>106815492.81840777</v>
      </c>
      <c r="BB14" s="56">
        <v>109519074.12141623</v>
      </c>
      <c r="BC14" s="56">
        <v>112291085.12192559</v>
      </c>
      <c r="BD14" s="56">
        <v>115133257.82758623</v>
      </c>
      <c r="BE14" s="56">
        <v>118047368.08447838</v>
      </c>
      <c r="BF14" s="56">
        <v>121035236.68669623</v>
      </c>
      <c r="BG14" s="56">
        <v>124098730.51401646</v>
      </c>
      <c r="BH14" s="56">
        <v>127239763.69836135</v>
      </c>
      <c r="BI14" s="56">
        <v>0</v>
      </c>
      <c r="BJ14" s="74">
        <v>8467242</v>
      </c>
      <c r="BK14" s="56">
        <v>8467242</v>
      </c>
      <c r="BL14" s="56">
        <v>8467242</v>
      </c>
      <c r="BM14" s="56">
        <v>8467242</v>
      </c>
      <c r="BN14" s="56">
        <v>8467242</v>
      </c>
      <c r="BO14" s="56">
        <v>8467242</v>
      </c>
      <c r="BP14" s="56">
        <v>8467242</v>
      </c>
      <c r="BQ14" s="56">
        <v>8467242</v>
      </c>
      <c r="BR14" s="56">
        <v>8467242</v>
      </c>
      <c r="BS14" s="56">
        <v>8467242</v>
      </c>
      <c r="BT14" s="56">
        <v>8467242</v>
      </c>
      <c r="BU14" s="56">
        <v>8467242</v>
      </c>
      <c r="BV14" s="56">
        <v>8681554.33012392</v>
      </c>
      <c r="BW14" s="56">
        <v>8681554.33012392</v>
      </c>
      <c r="BX14" s="56">
        <v>8681554.33012392</v>
      </c>
      <c r="BY14" s="56">
        <v>8681554.33012392</v>
      </c>
      <c r="BZ14" s="56">
        <v>8681554.33012392</v>
      </c>
      <c r="CA14" s="56">
        <v>8681554.33012392</v>
      </c>
      <c r="CB14" s="56">
        <v>8681554.33012392</v>
      </c>
      <c r="CC14" s="56">
        <v>8681554.33012392</v>
      </c>
      <c r="CD14" s="56">
        <v>8681554.33012392</v>
      </c>
      <c r="CE14" s="56">
        <v>8681554.33012392</v>
      </c>
      <c r="CF14" s="56">
        <v>8681554.33012392</v>
      </c>
      <c r="CG14" s="56">
        <v>8681554.33012392</v>
      </c>
      <c r="CH14" s="56">
        <v>8901291.0682006478</v>
      </c>
      <c r="CI14" s="56">
        <v>8901291.0682006478</v>
      </c>
      <c r="CJ14" s="56">
        <v>8901291.0682006478</v>
      </c>
      <c r="CK14" s="56">
        <v>8901291.0682006478</v>
      </c>
      <c r="CL14" s="56">
        <v>8901291.0682006478</v>
      </c>
      <c r="CM14" s="56">
        <v>8901291.0682006478</v>
      </c>
      <c r="CN14" s="56">
        <v>8901291.0682006478</v>
      </c>
      <c r="CO14" s="56">
        <v>8901291.0682006478</v>
      </c>
      <c r="CP14" s="56">
        <v>8901291.0682006478</v>
      </c>
      <c r="CQ14" s="56">
        <v>8901291.0682006478</v>
      </c>
      <c r="CR14" s="56">
        <v>8901291.0682006478</v>
      </c>
      <c r="CS14" s="56">
        <v>8901291.0682006478</v>
      </c>
      <c r="CT14" s="56">
        <v>9126589.510118017</v>
      </c>
      <c r="CU14" s="56">
        <v>9126589.510118017</v>
      </c>
      <c r="CV14" s="56">
        <v>9126589.510118017</v>
      </c>
      <c r="CW14" s="56">
        <v>9126589.510118017</v>
      </c>
      <c r="CX14" s="56">
        <v>9126589.510118017</v>
      </c>
      <c r="CY14" s="56">
        <v>9126589.510118017</v>
      </c>
      <c r="CZ14" s="56">
        <v>9126589.510118017</v>
      </c>
      <c r="DA14" s="56">
        <v>9126589.510118017</v>
      </c>
      <c r="DB14" s="56">
        <v>9126589.510118017</v>
      </c>
      <c r="DC14" s="56">
        <v>9126589.510118017</v>
      </c>
      <c r="DD14" s="56">
        <v>9126589.510118017</v>
      </c>
      <c r="DE14" s="56">
        <v>9126589.510118017</v>
      </c>
      <c r="DF14" s="56">
        <v>9357590.4268271327</v>
      </c>
      <c r="DG14" s="56">
        <v>9357590.4268271327</v>
      </c>
      <c r="DH14" s="56">
        <v>9357590.4268271327</v>
      </c>
      <c r="DI14" s="56">
        <v>9357590.4268271327</v>
      </c>
      <c r="DJ14" s="56">
        <v>9357590.4268271327</v>
      </c>
      <c r="DK14" s="56">
        <v>9357590.4268271327</v>
      </c>
      <c r="DL14" s="56">
        <v>9357590.4268271327</v>
      </c>
      <c r="DM14" s="56">
        <v>9357590.4268271327</v>
      </c>
      <c r="DN14" s="56">
        <v>9357590.4268271327</v>
      </c>
      <c r="DO14" s="56">
        <v>9357590.4268271327</v>
      </c>
      <c r="DP14" s="56">
        <v>9357590.4268271327</v>
      </c>
      <c r="DQ14" s="56">
        <v>9357590.4268271327</v>
      </c>
      <c r="DR14" s="56">
        <v>9594438.1522988528</v>
      </c>
      <c r="DS14" s="56">
        <v>9594438.1522988528</v>
      </c>
      <c r="DT14" s="56">
        <v>9594438.1522988528</v>
      </c>
      <c r="DU14" s="56">
        <v>9594438.1522988528</v>
      </c>
      <c r="DV14" s="56">
        <v>9594438.1522988528</v>
      </c>
      <c r="DW14" s="56">
        <v>9594438.1522988528</v>
      </c>
      <c r="DX14" s="56">
        <v>9594438.1522988528</v>
      </c>
      <c r="DY14" s="56">
        <v>9594438.1522988528</v>
      </c>
      <c r="DZ14" s="56">
        <v>9594438.1522988528</v>
      </c>
      <c r="EA14" s="56">
        <v>9594438.1522988528</v>
      </c>
      <c r="EB14" s="56">
        <v>9594438.1522988528</v>
      </c>
      <c r="EC14" s="56">
        <v>9594438.1522988528</v>
      </c>
      <c r="ED14" s="56">
        <v>9837280.6737065315</v>
      </c>
      <c r="EE14" s="56">
        <v>9837280.6737065315</v>
      </c>
      <c r="EF14" s="56">
        <v>9837280.6737065315</v>
      </c>
      <c r="EG14" s="56">
        <v>9837280.6737065315</v>
      </c>
      <c r="EH14" s="56">
        <v>9837280.6737065315</v>
      </c>
      <c r="EI14" s="56">
        <v>9837280.6737065315</v>
      </c>
      <c r="EJ14" s="56">
        <v>9837280.6737065315</v>
      </c>
      <c r="EK14" s="56">
        <v>9837280.6737065315</v>
      </c>
      <c r="EL14" s="56">
        <v>9837280.6737065315</v>
      </c>
      <c r="EM14" s="56">
        <v>9837280.6737065315</v>
      </c>
      <c r="EN14" s="56">
        <v>9837280.6737065315</v>
      </c>
      <c r="EO14" s="56">
        <v>9837280.6737065315</v>
      </c>
      <c r="EP14" s="56">
        <v>10086269.723891355</v>
      </c>
      <c r="EQ14" s="56">
        <v>10086269.723891355</v>
      </c>
      <c r="ER14" s="56">
        <v>10086269.723891355</v>
      </c>
      <c r="ES14" s="56">
        <v>10086269.723891355</v>
      </c>
      <c r="ET14" s="56">
        <v>10086269.723891355</v>
      </c>
      <c r="EU14" s="56">
        <v>10086269.723891355</v>
      </c>
      <c r="EV14" s="56">
        <v>10086269.723891355</v>
      </c>
      <c r="EW14" s="56">
        <v>10086269.723891355</v>
      </c>
      <c r="EX14" s="56">
        <v>10086269.723891355</v>
      </c>
      <c r="EY14" s="56">
        <v>10086269.723891355</v>
      </c>
      <c r="EZ14" s="56">
        <v>10086269.723891355</v>
      </c>
      <c r="FA14" s="56">
        <v>10086269.723891355</v>
      </c>
      <c r="FB14" s="56">
        <v>10341560.876168037</v>
      </c>
      <c r="FC14" s="56">
        <v>10341560.876168037</v>
      </c>
      <c r="FD14" s="56">
        <v>10341560.876168037</v>
      </c>
      <c r="FE14" s="56">
        <v>10341560.876168037</v>
      </c>
      <c r="FF14" s="56">
        <v>10341560.876168037</v>
      </c>
      <c r="FG14" s="56">
        <v>10341560.876168037</v>
      </c>
      <c r="FH14" s="56">
        <v>10341560.876168037</v>
      </c>
      <c r="FI14" s="56">
        <v>10341560.876168037</v>
      </c>
      <c r="FJ14" s="56">
        <v>10341560.876168037</v>
      </c>
      <c r="FK14" s="56">
        <v>10341560.876168037</v>
      </c>
      <c r="FL14" s="56">
        <v>10341560.876168037</v>
      </c>
      <c r="FM14" s="56">
        <v>10341560.876168037</v>
      </c>
      <c r="FN14" s="56">
        <v>10603313.641530115</v>
      </c>
      <c r="FO14" s="56">
        <v>10603313.641530115</v>
      </c>
      <c r="FP14" s="56">
        <v>10603313.641530115</v>
      </c>
      <c r="FQ14" s="56">
        <v>10603313.641530115</v>
      </c>
      <c r="FR14" s="56">
        <v>10603313.641530115</v>
      </c>
      <c r="FS14" s="56">
        <v>10603313.641530115</v>
      </c>
      <c r="FT14" s="56">
        <v>10603313.641530115</v>
      </c>
      <c r="FU14" s="56">
        <v>10603313.641530115</v>
      </c>
      <c r="FV14" s="56">
        <v>10603313.641530115</v>
      </c>
      <c r="FW14" s="56">
        <v>10603313.641530115</v>
      </c>
      <c r="FX14" s="56">
        <v>10603313.641530115</v>
      </c>
      <c r="FY14" s="56">
        <v>10603313.641530115</v>
      </c>
      <c r="FZ14" s="56">
        <v>0</v>
      </c>
      <c r="GA14" s="56">
        <v>0</v>
      </c>
      <c r="GB14" s="56">
        <v>0</v>
      </c>
      <c r="GC14" s="56">
        <v>0</v>
      </c>
      <c r="GD14" s="56">
        <v>0</v>
      </c>
      <c r="GE14" s="56">
        <v>0</v>
      </c>
      <c r="GF14" s="56">
        <v>0</v>
      </c>
      <c r="GG14" s="56">
        <v>0</v>
      </c>
      <c r="GH14" s="56">
        <v>0</v>
      </c>
      <c r="GI14" s="56">
        <v>0</v>
      </c>
      <c r="GJ14" s="56">
        <v>0</v>
      </c>
      <c r="GK14" s="85">
        <v>0</v>
      </c>
      <c r="GL14" s="40"/>
    </row>
    <row r="15" spans="1:194" x14ac:dyDescent="0.4">
      <c r="A15" s="84" t="s">
        <v>245</v>
      </c>
      <c r="B15" s="70" t="s">
        <v>174</v>
      </c>
      <c r="C15" s="70" t="s">
        <v>398</v>
      </c>
      <c r="D15" s="70" t="s">
        <v>209</v>
      </c>
      <c r="E15" s="70" t="s">
        <v>193</v>
      </c>
      <c r="F15" s="70" t="s">
        <v>161</v>
      </c>
      <c r="G15" s="70" t="s">
        <v>198</v>
      </c>
      <c r="H15" s="70">
        <v>0</v>
      </c>
      <c r="I15" s="70">
        <v>0</v>
      </c>
      <c r="J15" s="70" t="s">
        <v>210</v>
      </c>
      <c r="K15" s="70">
        <v>0</v>
      </c>
      <c r="L15" s="70" t="s">
        <v>211</v>
      </c>
      <c r="M15" s="71">
        <f>IFERROR(INDEX('(참조)CS_인건비'!$S$3:$AG$40,MATCH(CS_인건비!$A15,'(참조)CS_인건비'!$S$3:$S$40,0),MATCH('(참조)CS_인건비'!X$2,'(참조)CS_인건비'!$S$2:$AG$2,0)),0)</f>
        <v>1</v>
      </c>
      <c r="N15" s="71">
        <f>IFERROR(INDEX('(참조)CS_인건비'!$S$3:$AG$40,MATCH(CS_인건비!$A15,'(참조)CS_인건비'!$S$3:$S$40,0),MATCH('(참조)CS_인건비'!Y$2,'(참조)CS_인건비'!$S$2:$AG$2,0)),0)</f>
        <v>1</v>
      </c>
      <c r="O15" s="71">
        <f>IFERROR(INDEX('(참조)CS_인건비'!$S$3:$AG$40,MATCH(CS_인건비!$A15,'(참조)CS_인건비'!$S$3:$S$40,0),MATCH('(참조)CS_인건비'!Z$2,'(참조)CS_인건비'!$S$2:$AG$2,0)),0)</f>
        <v>1</v>
      </c>
      <c r="P15" s="71">
        <f>IFERROR(INDEX('(참조)CS_인건비'!$S$3:$AG$40,MATCH(CS_인건비!$A15,'(참조)CS_인건비'!$S$3:$S$40,0),MATCH('(참조)CS_인건비'!AA$2,'(참조)CS_인건비'!$S$2:$AG$2,0)),0)</f>
        <v>1</v>
      </c>
      <c r="Q15" s="71">
        <f>IFERROR(INDEX('(참조)CS_인건비'!$S$3:$AG$40,MATCH(CS_인건비!$A15,'(참조)CS_인건비'!$S$3:$S$40,0),MATCH('(참조)CS_인건비'!AB$2,'(참조)CS_인건비'!$S$2:$AG$2,0)),0)</f>
        <v>1</v>
      </c>
      <c r="R15" s="71">
        <f>IFERROR(INDEX('(참조)CS_인건비'!$S$3:$AG$40,MATCH(CS_인건비!$A15,'(참조)CS_인건비'!$S$3:$S$40,0),MATCH('(참조)CS_인건비'!AC$2,'(참조)CS_인건비'!$S$2:$AG$2,0)),0)</f>
        <v>1</v>
      </c>
      <c r="S15" s="71">
        <f>IFERROR(INDEX('(참조)CS_인건비'!$S$3:$AG$40,MATCH(CS_인건비!$A15,'(참조)CS_인건비'!$S$3:$S$40,0),MATCH('(참조)CS_인건비'!AD$2,'(참조)CS_인건비'!$S$2:$AG$2,0)),0)</f>
        <v>1</v>
      </c>
      <c r="T15" s="71">
        <f>IFERROR(INDEX('(참조)CS_인건비'!$S$3:$AG$40,MATCH(CS_인건비!$A15,'(참조)CS_인건비'!$S$3:$S$40,0),MATCH('(참조)CS_인건비'!AE$2,'(참조)CS_인건비'!$S$2:$AG$2,0)),0)</f>
        <v>1</v>
      </c>
      <c r="U15" s="71">
        <f>IFERROR(INDEX('(참조)CS_인건비'!$S$3:$AG$40,MATCH(CS_인건비!$A15,'(참조)CS_인건비'!$S$3:$S$40,0),MATCH('(참조)CS_인건비'!AF$2,'(참조)CS_인건비'!$S$2:$AG$2,0)),0)</f>
        <v>1</v>
      </c>
      <c r="V15" s="71">
        <f>IFERROR(INDEX('(참조)CS_인건비'!$S$3:$AG$40,MATCH(CS_인건비!$A15,'(참조)CS_인건비'!$S$3:$S$40,0),MATCH('(참조)CS_인건비'!AG$2,'(참조)CS_인건비'!$S$2:$AG$2,0)),0)</f>
        <v>1</v>
      </c>
      <c r="W15" s="71">
        <f>IFERROR(INDEX('(참조)CS_인건비'!$S$3:$AG$40,MATCH(CS_인건비!$A15,'(참조)CS_인건비'!$S$3:$S$40,0),MATCH('(참조)CS_인건비'!AH$2,'(참조)CS_인건비'!$S$2:$AG$2,0)),0)</f>
        <v>0</v>
      </c>
      <c r="X15" s="72">
        <v>0</v>
      </c>
      <c r="Y15" s="72">
        <f>IFERROR(INDEX('(참조)CS_인건비'!$A$3:$O$40,MATCH(CS_인건비!$A15,'(참조)CS_인건비'!$A$3:$A$40,0),MATCH('(참조)CS_인건비'!F$2,'(참조)CS_인건비'!$A$2:$O$2,0)),0)</f>
        <v>2822414</v>
      </c>
      <c r="Z15" s="72">
        <f>IFERROR(INDEX('(참조)CS_인건비'!$A$3:$O$40,MATCH(CS_인건비!$A15,'(참조)CS_인건비'!$A$3:$A$40,0),MATCH('(참조)CS_인건비'!G$2,'(참조)CS_인건비'!$A$2:$O$2,0)),0)</f>
        <v>2893851.4433746398</v>
      </c>
      <c r="AA15" s="72">
        <f>IFERROR(INDEX('(참조)CS_인건비'!$A$3:$O$40,MATCH(CS_인건비!$A15,'(참조)CS_인건비'!$A$3:$A$40,0),MATCH('(참조)CS_인건비'!H$2,'(참조)CS_인건비'!$A$2:$O$2,0)),0)</f>
        <v>2967097.0227335491</v>
      </c>
      <c r="AB15" s="72">
        <f>IFERROR(INDEX('(참조)CS_인건비'!$A$3:$O$40,MATCH(CS_인건비!$A15,'(참조)CS_인건비'!$A$3:$A$40,0),MATCH('(참조)CS_인건비'!I$2,'(참조)CS_인건비'!$A$2:$O$2,0)),0)</f>
        <v>3042196.5033726725</v>
      </c>
      <c r="AC15" s="72">
        <f>IFERROR(INDEX('(참조)CS_인건비'!$A$3:$O$40,MATCH(CS_인건비!$A15,'(참조)CS_인건비'!$A$3:$A$40,0),MATCH('(참조)CS_인건비'!J$2,'(참조)CS_인건비'!$A$2:$O$2,0)),0)</f>
        <v>3119196.8089423776</v>
      </c>
      <c r="AD15" s="72">
        <f>IFERROR(INDEX('(참조)CS_인건비'!$A$3:$O$40,MATCH(CS_인건비!$A15,'(참조)CS_인건비'!$A$3:$A$40,0),MATCH('(참조)CS_인건비'!K$2,'(참조)CS_인건비'!$A$2:$O$2,0)),0)</f>
        <v>3198146.0507662841</v>
      </c>
      <c r="AE15" s="72">
        <f>IFERROR(INDEX('(참조)CS_인건비'!$A$3:$O$40,MATCH(CS_인건비!$A15,'(참조)CS_인건비'!$A$3:$A$40,0),MATCH('(참조)CS_인건비'!L$2,'(참조)CS_인건비'!$A$2:$O$2,0)),0)</f>
        <v>3279093.5579021773</v>
      </c>
      <c r="AF15" s="72">
        <f>IFERROR(INDEX('(참조)CS_인건비'!$A$3:$O$40,MATCH(CS_인건비!$A15,'(참조)CS_인건비'!$A$3:$A$40,0),MATCH('(참조)CS_인건비'!M$2,'(참조)CS_인건비'!$A$2:$O$2,0)),0)</f>
        <v>3362089.9079637853</v>
      </c>
      <c r="AG15" s="72">
        <f>IFERROR(INDEX('(참조)CS_인건비'!$A$3:$O$40,MATCH(CS_인건비!$A15,'(참조)CS_인건비'!$A$3:$A$40,0),MATCH('(참조)CS_인건비'!N$2,'(참조)CS_인건비'!$A$2:$O$2,0)),0)</f>
        <v>3447186.9587226789</v>
      </c>
      <c r="AH15" s="72">
        <f>IFERROR(INDEX('(참조)CS_인건비'!$A$3:$O$40,MATCH(CS_인건비!$A15,'(참조)CS_인건비'!$A$3:$A$40,0),MATCH('(참조)CS_인건비'!O$2,'(참조)CS_인건비'!$A$2:$O$2,0)),0)</f>
        <v>3534437.8805100387</v>
      </c>
      <c r="AI15" s="72">
        <f>IFERROR(INDEX('(참조)CS_인건비'!$A$3:$O$40,MATCH(CS_인건비!$A15,'(참조)CS_인건비'!$A$3:$A$40,0),MATCH('(참조)CS_인건비'!P$2,'(참조)CS_인건비'!$A$2:$O$2,0)),0)</f>
        <v>0</v>
      </c>
      <c r="AJ15" s="72">
        <v>12</v>
      </c>
      <c r="AK15" s="72">
        <v>12</v>
      </c>
      <c r="AL15" s="72">
        <v>12</v>
      </c>
      <c r="AM15" s="72">
        <v>12</v>
      </c>
      <c r="AN15" s="72">
        <v>12</v>
      </c>
      <c r="AO15" s="72">
        <v>12</v>
      </c>
      <c r="AP15" s="72">
        <v>12</v>
      </c>
      <c r="AQ15" s="72">
        <v>12</v>
      </c>
      <c r="AR15" s="72">
        <v>12</v>
      </c>
      <c r="AS15" s="72">
        <v>12</v>
      </c>
      <c r="AT15" s="72">
        <v>12</v>
      </c>
      <c r="AU15" s="73">
        <v>1</v>
      </c>
      <c r="AV15" s="70">
        <v>0</v>
      </c>
      <c r="AW15" s="70">
        <v>0</v>
      </c>
      <c r="AX15" s="56">
        <v>379988521.61145848</v>
      </c>
      <c r="AY15" s="56">
        <v>33868968</v>
      </c>
      <c r="AZ15" s="56">
        <v>34726217.320495687</v>
      </c>
      <c r="BA15" s="56">
        <v>35605164.272802599</v>
      </c>
      <c r="BB15" s="56">
        <v>36506358.040472068</v>
      </c>
      <c r="BC15" s="56">
        <v>37430361.707308531</v>
      </c>
      <c r="BD15" s="56">
        <v>38377752.609195411</v>
      </c>
      <c r="BE15" s="56">
        <v>39349122.694826126</v>
      </c>
      <c r="BF15" s="56">
        <v>40345078.89556542</v>
      </c>
      <c r="BG15" s="56">
        <v>41366243.504672162</v>
      </c>
      <c r="BH15" s="56">
        <v>42413254.566120468</v>
      </c>
      <c r="BI15" s="56">
        <v>0</v>
      </c>
      <c r="BJ15" s="74">
        <v>2822414</v>
      </c>
      <c r="BK15" s="56">
        <v>2822414</v>
      </c>
      <c r="BL15" s="56">
        <v>2822414</v>
      </c>
      <c r="BM15" s="56">
        <v>2822414</v>
      </c>
      <c r="BN15" s="56">
        <v>2822414</v>
      </c>
      <c r="BO15" s="56">
        <v>2822414</v>
      </c>
      <c r="BP15" s="56">
        <v>2822414</v>
      </c>
      <c r="BQ15" s="56">
        <v>2822414</v>
      </c>
      <c r="BR15" s="56">
        <v>2822414</v>
      </c>
      <c r="BS15" s="56">
        <v>2822414</v>
      </c>
      <c r="BT15" s="56">
        <v>2822414</v>
      </c>
      <c r="BU15" s="56">
        <v>2822414</v>
      </c>
      <c r="BV15" s="56">
        <v>2893851.4433746398</v>
      </c>
      <c r="BW15" s="56">
        <v>2893851.4433746398</v>
      </c>
      <c r="BX15" s="56">
        <v>2893851.4433746398</v>
      </c>
      <c r="BY15" s="56">
        <v>2893851.4433746398</v>
      </c>
      <c r="BZ15" s="56">
        <v>2893851.4433746398</v>
      </c>
      <c r="CA15" s="56">
        <v>2893851.4433746398</v>
      </c>
      <c r="CB15" s="56">
        <v>2893851.4433746398</v>
      </c>
      <c r="CC15" s="56">
        <v>2893851.4433746398</v>
      </c>
      <c r="CD15" s="56">
        <v>2893851.4433746398</v>
      </c>
      <c r="CE15" s="56">
        <v>2893851.4433746398</v>
      </c>
      <c r="CF15" s="56">
        <v>2893851.4433746398</v>
      </c>
      <c r="CG15" s="56">
        <v>2893851.4433746398</v>
      </c>
      <c r="CH15" s="56">
        <v>2967097.0227335491</v>
      </c>
      <c r="CI15" s="56">
        <v>2967097.0227335491</v>
      </c>
      <c r="CJ15" s="56">
        <v>2967097.0227335491</v>
      </c>
      <c r="CK15" s="56">
        <v>2967097.0227335491</v>
      </c>
      <c r="CL15" s="56">
        <v>2967097.0227335491</v>
      </c>
      <c r="CM15" s="56">
        <v>2967097.0227335491</v>
      </c>
      <c r="CN15" s="56">
        <v>2967097.0227335491</v>
      </c>
      <c r="CO15" s="56">
        <v>2967097.0227335491</v>
      </c>
      <c r="CP15" s="56">
        <v>2967097.0227335491</v>
      </c>
      <c r="CQ15" s="56">
        <v>2967097.0227335491</v>
      </c>
      <c r="CR15" s="56">
        <v>2967097.0227335491</v>
      </c>
      <c r="CS15" s="56">
        <v>2967097.0227335491</v>
      </c>
      <c r="CT15" s="56">
        <v>3042196.5033726725</v>
      </c>
      <c r="CU15" s="56">
        <v>3042196.5033726725</v>
      </c>
      <c r="CV15" s="56">
        <v>3042196.5033726725</v>
      </c>
      <c r="CW15" s="56">
        <v>3042196.5033726725</v>
      </c>
      <c r="CX15" s="56">
        <v>3042196.5033726725</v>
      </c>
      <c r="CY15" s="56">
        <v>3042196.5033726725</v>
      </c>
      <c r="CZ15" s="56">
        <v>3042196.5033726725</v>
      </c>
      <c r="DA15" s="56">
        <v>3042196.5033726725</v>
      </c>
      <c r="DB15" s="56">
        <v>3042196.5033726725</v>
      </c>
      <c r="DC15" s="56">
        <v>3042196.5033726725</v>
      </c>
      <c r="DD15" s="56">
        <v>3042196.5033726725</v>
      </c>
      <c r="DE15" s="56">
        <v>3042196.5033726725</v>
      </c>
      <c r="DF15" s="56">
        <v>3119196.8089423776</v>
      </c>
      <c r="DG15" s="56">
        <v>3119196.8089423776</v>
      </c>
      <c r="DH15" s="56">
        <v>3119196.8089423776</v>
      </c>
      <c r="DI15" s="56">
        <v>3119196.8089423776</v>
      </c>
      <c r="DJ15" s="56">
        <v>3119196.8089423776</v>
      </c>
      <c r="DK15" s="56">
        <v>3119196.8089423776</v>
      </c>
      <c r="DL15" s="56">
        <v>3119196.8089423776</v>
      </c>
      <c r="DM15" s="56">
        <v>3119196.8089423776</v>
      </c>
      <c r="DN15" s="56">
        <v>3119196.8089423776</v>
      </c>
      <c r="DO15" s="56">
        <v>3119196.8089423776</v>
      </c>
      <c r="DP15" s="56">
        <v>3119196.8089423776</v>
      </c>
      <c r="DQ15" s="56">
        <v>3119196.8089423776</v>
      </c>
      <c r="DR15" s="56">
        <v>3198146.0507662841</v>
      </c>
      <c r="DS15" s="56">
        <v>3198146.0507662841</v>
      </c>
      <c r="DT15" s="56">
        <v>3198146.0507662841</v>
      </c>
      <c r="DU15" s="56">
        <v>3198146.0507662841</v>
      </c>
      <c r="DV15" s="56">
        <v>3198146.0507662841</v>
      </c>
      <c r="DW15" s="56">
        <v>3198146.0507662841</v>
      </c>
      <c r="DX15" s="56">
        <v>3198146.0507662841</v>
      </c>
      <c r="DY15" s="56">
        <v>3198146.0507662841</v>
      </c>
      <c r="DZ15" s="56">
        <v>3198146.0507662841</v>
      </c>
      <c r="EA15" s="56">
        <v>3198146.0507662841</v>
      </c>
      <c r="EB15" s="56">
        <v>3198146.0507662841</v>
      </c>
      <c r="EC15" s="56">
        <v>3198146.0507662841</v>
      </c>
      <c r="ED15" s="56">
        <v>3279093.5579021773</v>
      </c>
      <c r="EE15" s="56">
        <v>3279093.5579021773</v>
      </c>
      <c r="EF15" s="56">
        <v>3279093.5579021773</v>
      </c>
      <c r="EG15" s="56">
        <v>3279093.5579021773</v>
      </c>
      <c r="EH15" s="56">
        <v>3279093.5579021773</v>
      </c>
      <c r="EI15" s="56">
        <v>3279093.5579021773</v>
      </c>
      <c r="EJ15" s="56">
        <v>3279093.5579021773</v>
      </c>
      <c r="EK15" s="56">
        <v>3279093.5579021773</v>
      </c>
      <c r="EL15" s="56">
        <v>3279093.5579021773</v>
      </c>
      <c r="EM15" s="56">
        <v>3279093.5579021773</v>
      </c>
      <c r="EN15" s="56">
        <v>3279093.5579021773</v>
      </c>
      <c r="EO15" s="56">
        <v>3279093.5579021773</v>
      </c>
      <c r="EP15" s="56">
        <v>3362089.9079637853</v>
      </c>
      <c r="EQ15" s="56">
        <v>3362089.9079637853</v>
      </c>
      <c r="ER15" s="56">
        <v>3362089.9079637853</v>
      </c>
      <c r="ES15" s="56">
        <v>3362089.9079637853</v>
      </c>
      <c r="ET15" s="56">
        <v>3362089.9079637853</v>
      </c>
      <c r="EU15" s="56">
        <v>3362089.9079637853</v>
      </c>
      <c r="EV15" s="56">
        <v>3362089.9079637853</v>
      </c>
      <c r="EW15" s="56">
        <v>3362089.9079637853</v>
      </c>
      <c r="EX15" s="56">
        <v>3362089.9079637853</v>
      </c>
      <c r="EY15" s="56">
        <v>3362089.9079637853</v>
      </c>
      <c r="EZ15" s="56">
        <v>3362089.9079637853</v>
      </c>
      <c r="FA15" s="56">
        <v>3362089.9079637853</v>
      </c>
      <c r="FB15" s="56">
        <v>3447186.9587226789</v>
      </c>
      <c r="FC15" s="56">
        <v>3447186.9587226789</v>
      </c>
      <c r="FD15" s="56">
        <v>3447186.9587226789</v>
      </c>
      <c r="FE15" s="56">
        <v>3447186.9587226789</v>
      </c>
      <c r="FF15" s="56">
        <v>3447186.9587226789</v>
      </c>
      <c r="FG15" s="56">
        <v>3447186.9587226789</v>
      </c>
      <c r="FH15" s="56">
        <v>3447186.9587226789</v>
      </c>
      <c r="FI15" s="56">
        <v>3447186.9587226789</v>
      </c>
      <c r="FJ15" s="56">
        <v>3447186.9587226789</v>
      </c>
      <c r="FK15" s="56">
        <v>3447186.9587226789</v>
      </c>
      <c r="FL15" s="56">
        <v>3447186.9587226789</v>
      </c>
      <c r="FM15" s="56">
        <v>3447186.9587226789</v>
      </c>
      <c r="FN15" s="56">
        <v>3534437.8805100387</v>
      </c>
      <c r="FO15" s="56">
        <v>3534437.8805100387</v>
      </c>
      <c r="FP15" s="56">
        <v>3534437.8805100387</v>
      </c>
      <c r="FQ15" s="56">
        <v>3534437.8805100387</v>
      </c>
      <c r="FR15" s="56">
        <v>3534437.8805100387</v>
      </c>
      <c r="FS15" s="56">
        <v>3534437.8805100387</v>
      </c>
      <c r="FT15" s="56">
        <v>3534437.8805100387</v>
      </c>
      <c r="FU15" s="56">
        <v>3534437.8805100387</v>
      </c>
      <c r="FV15" s="56">
        <v>3534437.8805100387</v>
      </c>
      <c r="FW15" s="56">
        <v>3534437.8805100387</v>
      </c>
      <c r="FX15" s="56">
        <v>3534437.8805100387</v>
      </c>
      <c r="FY15" s="56">
        <v>3534437.8805100387</v>
      </c>
      <c r="FZ15" s="56">
        <v>0</v>
      </c>
      <c r="GA15" s="56">
        <v>0</v>
      </c>
      <c r="GB15" s="56">
        <v>0</v>
      </c>
      <c r="GC15" s="56">
        <v>0</v>
      </c>
      <c r="GD15" s="56">
        <v>0</v>
      </c>
      <c r="GE15" s="56">
        <v>0</v>
      </c>
      <c r="GF15" s="56">
        <v>0</v>
      </c>
      <c r="GG15" s="56">
        <v>0</v>
      </c>
      <c r="GH15" s="56">
        <v>0</v>
      </c>
      <c r="GI15" s="56">
        <v>0</v>
      </c>
      <c r="GJ15" s="56">
        <v>0</v>
      </c>
      <c r="GK15" s="85">
        <v>0</v>
      </c>
      <c r="GL15" s="40"/>
    </row>
    <row r="16" spans="1:194" x14ac:dyDescent="0.4">
      <c r="A16" s="84" t="s">
        <v>246</v>
      </c>
      <c r="B16" s="70" t="s">
        <v>174</v>
      </c>
      <c r="C16" s="70" t="s">
        <v>398</v>
      </c>
      <c r="D16" s="70" t="s">
        <v>209</v>
      </c>
      <c r="E16" s="70" t="s">
        <v>193</v>
      </c>
      <c r="F16" s="70" t="s">
        <v>199</v>
      </c>
      <c r="G16" s="70" t="s">
        <v>198</v>
      </c>
      <c r="H16" s="70">
        <v>0</v>
      </c>
      <c r="I16" s="70">
        <v>0</v>
      </c>
      <c r="J16" s="70" t="s">
        <v>210</v>
      </c>
      <c r="K16" s="70">
        <v>0</v>
      </c>
      <c r="L16" s="70" t="s">
        <v>211</v>
      </c>
      <c r="M16" s="71">
        <f>IFERROR(INDEX('(참조)CS_인건비'!$S$3:$AG$40,MATCH(CS_인건비!$A16,'(참조)CS_인건비'!$S$3:$S$40,0),MATCH('(참조)CS_인건비'!X$2,'(참조)CS_인건비'!$S$2:$AG$2,0)),0)</f>
        <v>1</v>
      </c>
      <c r="N16" s="71">
        <f>IFERROR(INDEX('(참조)CS_인건비'!$S$3:$AG$40,MATCH(CS_인건비!$A16,'(참조)CS_인건비'!$S$3:$S$40,0),MATCH('(참조)CS_인건비'!Y$2,'(참조)CS_인건비'!$S$2:$AG$2,0)),0)</f>
        <v>1</v>
      </c>
      <c r="O16" s="71">
        <f>IFERROR(INDEX('(참조)CS_인건비'!$S$3:$AG$40,MATCH(CS_인건비!$A16,'(참조)CS_인건비'!$S$3:$S$40,0),MATCH('(참조)CS_인건비'!Z$2,'(참조)CS_인건비'!$S$2:$AG$2,0)),0)</f>
        <v>1</v>
      </c>
      <c r="P16" s="71">
        <f>IFERROR(INDEX('(참조)CS_인건비'!$S$3:$AG$40,MATCH(CS_인건비!$A16,'(참조)CS_인건비'!$S$3:$S$40,0),MATCH('(참조)CS_인건비'!AA$2,'(참조)CS_인건비'!$S$2:$AG$2,0)),0)</f>
        <v>1</v>
      </c>
      <c r="Q16" s="71">
        <f>IFERROR(INDEX('(참조)CS_인건비'!$S$3:$AG$40,MATCH(CS_인건비!$A16,'(참조)CS_인건비'!$S$3:$S$40,0),MATCH('(참조)CS_인건비'!AB$2,'(참조)CS_인건비'!$S$2:$AG$2,0)),0)</f>
        <v>1</v>
      </c>
      <c r="R16" s="71">
        <f>IFERROR(INDEX('(참조)CS_인건비'!$S$3:$AG$40,MATCH(CS_인건비!$A16,'(참조)CS_인건비'!$S$3:$S$40,0),MATCH('(참조)CS_인건비'!AC$2,'(참조)CS_인건비'!$S$2:$AG$2,0)),0)</f>
        <v>1</v>
      </c>
      <c r="S16" s="71">
        <f>IFERROR(INDEX('(참조)CS_인건비'!$S$3:$AG$40,MATCH(CS_인건비!$A16,'(참조)CS_인건비'!$S$3:$S$40,0),MATCH('(참조)CS_인건비'!AD$2,'(참조)CS_인건비'!$S$2:$AG$2,0)),0)</f>
        <v>1</v>
      </c>
      <c r="T16" s="71">
        <f>IFERROR(INDEX('(참조)CS_인건비'!$S$3:$AG$40,MATCH(CS_인건비!$A16,'(참조)CS_인건비'!$S$3:$S$40,0),MATCH('(참조)CS_인건비'!AE$2,'(참조)CS_인건비'!$S$2:$AG$2,0)),0)</f>
        <v>1</v>
      </c>
      <c r="U16" s="71">
        <f>IFERROR(INDEX('(참조)CS_인건비'!$S$3:$AG$40,MATCH(CS_인건비!$A16,'(참조)CS_인건비'!$S$3:$S$40,0),MATCH('(참조)CS_인건비'!AF$2,'(참조)CS_인건비'!$S$2:$AG$2,0)),0)</f>
        <v>1</v>
      </c>
      <c r="V16" s="71">
        <f>IFERROR(INDEX('(참조)CS_인건비'!$S$3:$AG$40,MATCH(CS_인건비!$A16,'(참조)CS_인건비'!$S$3:$S$40,0),MATCH('(참조)CS_인건비'!AG$2,'(참조)CS_인건비'!$S$2:$AG$2,0)),0)</f>
        <v>1</v>
      </c>
      <c r="W16" s="71">
        <f>IFERROR(INDEX('(참조)CS_인건비'!$S$3:$AG$40,MATCH(CS_인건비!$A16,'(참조)CS_인건비'!$S$3:$S$40,0),MATCH('(참조)CS_인건비'!AH$2,'(참조)CS_인건비'!$S$2:$AG$2,0)),0)</f>
        <v>0</v>
      </c>
      <c r="X16" s="72">
        <v>0</v>
      </c>
      <c r="Y16" s="72">
        <f>IFERROR(INDEX('(참조)CS_인건비'!$A$3:$O$40,MATCH(CS_인건비!$A16,'(참조)CS_인건비'!$A$3:$A$40,0),MATCH('(참조)CS_인건비'!F$2,'(참조)CS_인건비'!$A$2:$O$2,0)),0)</f>
        <v>2822414</v>
      </c>
      <c r="Z16" s="72">
        <f>IFERROR(INDEX('(참조)CS_인건비'!$A$3:$O$40,MATCH(CS_인건비!$A16,'(참조)CS_인건비'!$A$3:$A$40,0),MATCH('(참조)CS_인건비'!G$2,'(참조)CS_인건비'!$A$2:$O$2,0)),0)</f>
        <v>2893851.4433746398</v>
      </c>
      <c r="AA16" s="72">
        <f>IFERROR(INDEX('(참조)CS_인건비'!$A$3:$O$40,MATCH(CS_인건비!$A16,'(참조)CS_인건비'!$A$3:$A$40,0),MATCH('(참조)CS_인건비'!H$2,'(참조)CS_인건비'!$A$2:$O$2,0)),0)</f>
        <v>2967097.0227335491</v>
      </c>
      <c r="AB16" s="72">
        <f>IFERROR(INDEX('(참조)CS_인건비'!$A$3:$O$40,MATCH(CS_인건비!$A16,'(참조)CS_인건비'!$A$3:$A$40,0),MATCH('(참조)CS_인건비'!I$2,'(참조)CS_인건비'!$A$2:$O$2,0)),0)</f>
        <v>3042196.5033726725</v>
      </c>
      <c r="AC16" s="72">
        <f>IFERROR(INDEX('(참조)CS_인건비'!$A$3:$O$40,MATCH(CS_인건비!$A16,'(참조)CS_인건비'!$A$3:$A$40,0),MATCH('(참조)CS_인건비'!J$2,'(참조)CS_인건비'!$A$2:$O$2,0)),0)</f>
        <v>3119196.8089423776</v>
      </c>
      <c r="AD16" s="72">
        <f>IFERROR(INDEX('(참조)CS_인건비'!$A$3:$O$40,MATCH(CS_인건비!$A16,'(참조)CS_인건비'!$A$3:$A$40,0),MATCH('(참조)CS_인건비'!K$2,'(참조)CS_인건비'!$A$2:$O$2,0)),0)</f>
        <v>3198146.0507662841</v>
      </c>
      <c r="AE16" s="72">
        <f>IFERROR(INDEX('(참조)CS_인건비'!$A$3:$O$40,MATCH(CS_인건비!$A16,'(참조)CS_인건비'!$A$3:$A$40,0),MATCH('(참조)CS_인건비'!L$2,'(참조)CS_인건비'!$A$2:$O$2,0)),0)</f>
        <v>3279093.5579021773</v>
      </c>
      <c r="AF16" s="72">
        <f>IFERROR(INDEX('(참조)CS_인건비'!$A$3:$O$40,MATCH(CS_인건비!$A16,'(참조)CS_인건비'!$A$3:$A$40,0),MATCH('(참조)CS_인건비'!M$2,'(참조)CS_인건비'!$A$2:$O$2,0)),0)</f>
        <v>3362089.9079637853</v>
      </c>
      <c r="AG16" s="72">
        <f>IFERROR(INDEX('(참조)CS_인건비'!$A$3:$O$40,MATCH(CS_인건비!$A16,'(참조)CS_인건비'!$A$3:$A$40,0),MATCH('(참조)CS_인건비'!N$2,'(참조)CS_인건비'!$A$2:$O$2,0)),0)</f>
        <v>3447186.9587226789</v>
      </c>
      <c r="AH16" s="72">
        <f>IFERROR(INDEX('(참조)CS_인건비'!$A$3:$O$40,MATCH(CS_인건비!$A16,'(참조)CS_인건비'!$A$3:$A$40,0),MATCH('(참조)CS_인건비'!O$2,'(참조)CS_인건비'!$A$2:$O$2,0)),0)</f>
        <v>3534437.8805100387</v>
      </c>
      <c r="AI16" s="72">
        <f>IFERROR(INDEX('(참조)CS_인건비'!$A$3:$O$40,MATCH(CS_인건비!$A16,'(참조)CS_인건비'!$A$3:$A$40,0),MATCH('(참조)CS_인건비'!P$2,'(참조)CS_인건비'!$A$2:$O$2,0)),0)</f>
        <v>0</v>
      </c>
      <c r="AJ16" s="72">
        <v>12</v>
      </c>
      <c r="AK16" s="72">
        <v>12</v>
      </c>
      <c r="AL16" s="72">
        <v>12</v>
      </c>
      <c r="AM16" s="72">
        <v>12</v>
      </c>
      <c r="AN16" s="72">
        <v>12</v>
      </c>
      <c r="AO16" s="72">
        <v>12</v>
      </c>
      <c r="AP16" s="72">
        <v>12</v>
      </c>
      <c r="AQ16" s="72">
        <v>12</v>
      </c>
      <c r="AR16" s="72">
        <v>12</v>
      </c>
      <c r="AS16" s="72">
        <v>12</v>
      </c>
      <c r="AT16" s="72">
        <v>12</v>
      </c>
      <c r="AU16" s="73">
        <v>1</v>
      </c>
      <c r="AV16" s="70">
        <v>0</v>
      </c>
      <c r="AW16" s="70">
        <v>0</v>
      </c>
      <c r="AX16" s="56">
        <v>379988521.61145848</v>
      </c>
      <c r="AY16" s="56">
        <v>33868968</v>
      </c>
      <c r="AZ16" s="56">
        <v>34726217.320495687</v>
      </c>
      <c r="BA16" s="56">
        <v>35605164.272802599</v>
      </c>
      <c r="BB16" s="56">
        <v>36506358.040472068</v>
      </c>
      <c r="BC16" s="56">
        <v>37430361.707308531</v>
      </c>
      <c r="BD16" s="56">
        <v>38377752.609195411</v>
      </c>
      <c r="BE16" s="56">
        <v>39349122.694826126</v>
      </c>
      <c r="BF16" s="56">
        <v>40345078.89556542</v>
      </c>
      <c r="BG16" s="56">
        <v>41366243.504672162</v>
      </c>
      <c r="BH16" s="56">
        <v>42413254.566120468</v>
      </c>
      <c r="BI16" s="56">
        <v>0</v>
      </c>
      <c r="BJ16" s="74">
        <v>2822414</v>
      </c>
      <c r="BK16" s="56">
        <v>2822414</v>
      </c>
      <c r="BL16" s="56">
        <v>2822414</v>
      </c>
      <c r="BM16" s="56">
        <v>2822414</v>
      </c>
      <c r="BN16" s="56">
        <v>2822414</v>
      </c>
      <c r="BO16" s="56">
        <v>2822414</v>
      </c>
      <c r="BP16" s="56">
        <v>2822414</v>
      </c>
      <c r="BQ16" s="56">
        <v>2822414</v>
      </c>
      <c r="BR16" s="56">
        <v>2822414</v>
      </c>
      <c r="BS16" s="56">
        <v>2822414</v>
      </c>
      <c r="BT16" s="56">
        <v>2822414</v>
      </c>
      <c r="BU16" s="56">
        <v>2822414</v>
      </c>
      <c r="BV16" s="56">
        <v>2893851.4433746398</v>
      </c>
      <c r="BW16" s="56">
        <v>2893851.4433746398</v>
      </c>
      <c r="BX16" s="56">
        <v>2893851.4433746398</v>
      </c>
      <c r="BY16" s="56">
        <v>2893851.4433746398</v>
      </c>
      <c r="BZ16" s="56">
        <v>2893851.4433746398</v>
      </c>
      <c r="CA16" s="56">
        <v>2893851.4433746398</v>
      </c>
      <c r="CB16" s="56">
        <v>2893851.4433746398</v>
      </c>
      <c r="CC16" s="56">
        <v>2893851.4433746398</v>
      </c>
      <c r="CD16" s="56">
        <v>2893851.4433746398</v>
      </c>
      <c r="CE16" s="56">
        <v>2893851.4433746398</v>
      </c>
      <c r="CF16" s="56">
        <v>2893851.4433746398</v>
      </c>
      <c r="CG16" s="56">
        <v>2893851.4433746398</v>
      </c>
      <c r="CH16" s="56">
        <v>2967097.0227335491</v>
      </c>
      <c r="CI16" s="56">
        <v>2967097.0227335491</v>
      </c>
      <c r="CJ16" s="56">
        <v>2967097.0227335491</v>
      </c>
      <c r="CK16" s="56">
        <v>2967097.0227335491</v>
      </c>
      <c r="CL16" s="56">
        <v>2967097.0227335491</v>
      </c>
      <c r="CM16" s="56">
        <v>2967097.0227335491</v>
      </c>
      <c r="CN16" s="56">
        <v>2967097.0227335491</v>
      </c>
      <c r="CO16" s="56">
        <v>2967097.0227335491</v>
      </c>
      <c r="CP16" s="56">
        <v>2967097.0227335491</v>
      </c>
      <c r="CQ16" s="56">
        <v>2967097.0227335491</v>
      </c>
      <c r="CR16" s="56">
        <v>2967097.0227335491</v>
      </c>
      <c r="CS16" s="56">
        <v>2967097.0227335491</v>
      </c>
      <c r="CT16" s="56">
        <v>3042196.5033726725</v>
      </c>
      <c r="CU16" s="56">
        <v>3042196.5033726725</v>
      </c>
      <c r="CV16" s="56">
        <v>3042196.5033726725</v>
      </c>
      <c r="CW16" s="56">
        <v>3042196.5033726725</v>
      </c>
      <c r="CX16" s="56">
        <v>3042196.5033726725</v>
      </c>
      <c r="CY16" s="56">
        <v>3042196.5033726725</v>
      </c>
      <c r="CZ16" s="56">
        <v>3042196.5033726725</v>
      </c>
      <c r="DA16" s="56">
        <v>3042196.5033726725</v>
      </c>
      <c r="DB16" s="56">
        <v>3042196.5033726725</v>
      </c>
      <c r="DC16" s="56">
        <v>3042196.5033726725</v>
      </c>
      <c r="DD16" s="56">
        <v>3042196.5033726725</v>
      </c>
      <c r="DE16" s="56">
        <v>3042196.5033726725</v>
      </c>
      <c r="DF16" s="56">
        <v>3119196.8089423776</v>
      </c>
      <c r="DG16" s="56">
        <v>3119196.8089423776</v>
      </c>
      <c r="DH16" s="56">
        <v>3119196.8089423776</v>
      </c>
      <c r="DI16" s="56">
        <v>3119196.8089423776</v>
      </c>
      <c r="DJ16" s="56">
        <v>3119196.8089423776</v>
      </c>
      <c r="DK16" s="56">
        <v>3119196.8089423776</v>
      </c>
      <c r="DL16" s="56">
        <v>3119196.8089423776</v>
      </c>
      <c r="DM16" s="56">
        <v>3119196.8089423776</v>
      </c>
      <c r="DN16" s="56">
        <v>3119196.8089423776</v>
      </c>
      <c r="DO16" s="56">
        <v>3119196.8089423776</v>
      </c>
      <c r="DP16" s="56">
        <v>3119196.8089423776</v>
      </c>
      <c r="DQ16" s="56">
        <v>3119196.8089423776</v>
      </c>
      <c r="DR16" s="56">
        <v>3198146.0507662841</v>
      </c>
      <c r="DS16" s="56">
        <v>3198146.0507662841</v>
      </c>
      <c r="DT16" s="56">
        <v>3198146.0507662841</v>
      </c>
      <c r="DU16" s="56">
        <v>3198146.0507662841</v>
      </c>
      <c r="DV16" s="56">
        <v>3198146.0507662841</v>
      </c>
      <c r="DW16" s="56">
        <v>3198146.0507662841</v>
      </c>
      <c r="DX16" s="56">
        <v>3198146.0507662841</v>
      </c>
      <c r="DY16" s="56">
        <v>3198146.0507662841</v>
      </c>
      <c r="DZ16" s="56">
        <v>3198146.0507662841</v>
      </c>
      <c r="EA16" s="56">
        <v>3198146.0507662841</v>
      </c>
      <c r="EB16" s="56">
        <v>3198146.0507662841</v>
      </c>
      <c r="EC16" s="56">
        <v>3198146.0507662841</v>
      </c>
      <c r="ED16" s="56">
        <v>3279093.5579021773</v>
      </c>
      <c r="EE16" s="56">
        <v>3279093.5579021773</v>
      </c>
      <c r="EF16" s="56">
        <v>3279093.5579021773</v>
      </c>
      <c r="EG16" s="56">
        <v>3279093.5579021773</v>
      </c>
      <c r="EH16" s="56">
        <v>3279093.5579021773</v>
      </c>
      <c r="EI16" s="56">
        <v>3279093.5579021773</v>
      </c>
      <c r="EJ16" s="56">
        <v>3279093.5579021773</v>
      </c>
      <c r="EK16" s="56">
        <v>3279093.5579021773</v>
      </c>
      <c r="EL16" s="56">
        <v>3279093.5579021773</v>
      </c>
      <c r="EM16" s="56">
        <v>3279093.5579021773</v>
      </c>
      <c r="EN16" s="56">
        <v>3279093.5579021773</v>
      </c>
      <c r="EO16" s="56">
        <v>3279093.5579021773</v>
      </c>
      <c r="EP16" s="56">
        <v>3362089.9079637853</v>
      </c>
      <c r="EQ16" s="56">
        <v>3362089.9079637853</v>
      </c>
      <c r="ER16" s="56">
        <v>3362089.9079637853</v>
      </c>
      <c r="ES16" s="56">
        <v>3362089.9079637853</v>
      </c>
      <c r="ET16" s="56">
        <v>3362089.9079637853</v>
      </c>
      <c r="EU16" s="56">
        <v>3362089.9079637853</v>
      </c>
      <c r="EV16" s="56">
        <v>3362089.9079637853</v>
      </c>
      <c r="EW16" s="56">
        <v>3362089.9079637853</v>
      </c>
      <c r="EX16" s="56">
        <v>3362089.9079637853</v>
      </c>
      <c r="EY16" s="56">
        <v>3362089.9079637853</v>
      </c>
      <c r="EZ16" s="56">
        <v>3362089.9079637853</v>
      </c>
      <c r="FA16" s="56">
        <v>3362089.9079637853</v>
      </c>
      <c r="FB16" s="56">
        <v>3447186.9587226789</v>
      </c>
      <c r="FC16" s="56">
        <v>3447186.9587226789</v>
      </c>
      <c r="FD16" s="56">
        <v>3447186.9587226789</v>
      </c>
      <c r="FE16" s="56">
        <v>3447186.9587226789</v>
      </c>
      <c r="FF16" s="56">
        <v>3447186.9587226789</v>
      </c>
      <c r="FG16" s="56">
        <v>3447186.9587226789</v>
      </c>
      <c r="FH16" s="56">
        <v>3447186.9587226789</v>
      </c>
      <c r="FI16" s="56">
        <v>3447186.9587226789</v>
      </c>
      <c r="FJ16" s="56">
        <v>3447186.9587226789</v>
      </c>
      <c r="FK16" s="56">
        <v>3447186.9587226789</v>
      </c>
      <c r="FL16" s="56">
        <v>3447186.9587226789</v>
      </c>
      <c r="FM16" s="56">
        <v>3447186.9587226789</v>
      </c>
      <c r="FN16" s="56">
        <v>3534437.8805100387</v>
      </c>
      <c r="FO16" s="56">
        <v>3534437.8805100387</v>
      </c>
      <c r="FP16" s="56">
        <v>3534437.8805100387</v>
      </c>
      <c r="FQ16" s="56">
        <v>3534437.8805100387</v>
      </c>
      <c r="FR16" s="56">
        <v>3534437.8805100387</v>
      </c>
      <c r="FS16" s="56">
        <v>3534437.8805100387</v>
      </c>
      <c r="FT16" s="56">
        <v>3534437.8805100387</v>
      </c>
      <c r="FU16" s="56">
        <v>3534437.8805100387</v>
      </c>
      <c r="FV16" s="56">
        <v>3534437.8805100387</v>
      </c>
      <c r="FW16" s="56">
        <v>3534437.8805100387</v>
      </c>
      <c r="FX16" s="56">
        <v>3534437.8805100387</v>
      </c>
      <c r="FY16" s="56">
        <v>3534437.8805100387</v>
      </c>
      <c r="FZ16" s="56">
        <v>0</v>
      </c>
      <c r="GA16" s="56">
        <v>0</v>
      </c>
      <c r="GB16" s="56">
        <v>0</v>
      </c>
      <c r="GC16" s="56">
        <v>0</v>
      </c>
      <c r="GD16" s="56">
        <v>0</v>
      </c>
      <c r="GE16" s="56">
        <v>0</v>
      </c>
      <c r="GF16" s="56">
        <v>0</v>
      </c>
      <c r="GG16" s="56">
        <v>0</v>
      </c>
      <c r="GH16" s="56">
        <v>0</v>
      </c>
      <c r="GI16" s="56">
        <v>0</v>
      </c>
      <c r="GJ16" s="56">
        <v>0</v>
      </c>
      <c r="GK16" s="85">
        <v>0</v>
      </c>
      <c r="GL16" s="40"/>
    </row>
    <row r="17" spans="1:194" x14ac:dyDescent="0.4">
      <c r="A17" s="84" t="s">
        <v>247</v>
      </c>
      <c r="B17" s="70" t="s">
        <v>174</v>
      </c>
      <c r="C17" s="70" t="s">
        <v>398</v>
      </c>
      <c r="D17" s="70" t="s">
        <v>209</v>
      </c>
      <c r="E17" s="70" t="s">
        <v>193</v>
      </c>
      <c r="F17" s="70" t="s">
        <v>192</v>
      </c>
      <c r="G17" s="70" t="s">
        <v>198</v>
      </c>
      <c r="H17" s="70">
        <v>0</v>
      </c>
      <c r="I17" s="70">
        <v>0</v>
      </c>
      <c r="J17" s="70" t="s">
        <v>210</v>
      </c>
      <c r="K17" s="70">
        <v>0</v>
      </c>
      <c r="L17" s="70" t="s">
        <v>211</v>
      </c>
      <c r="M17" s="71">
        <f>IFERROR(INDEX('(참조)CS_인건비'!$S$3:$AG$40,MATCH(CS_인건비!$A17,'(참조)CS_인건비'!$S$3:$S$40,0),MATCH('(참조)CS_인건비'!X$2,'(참조)CS_인건비'!$S$2:$AG$2,0)),0)</f>
        <v>1</v>
      </c>
      <c r="N17" s="71">
        <f>IFERROR(INDEX('(참조)CS_인건비'!$S$3:$AG$40,MATCH(CS_인건비!$A17,'(참조)CS_인건비'!$S$3:$S$40,0),MATCH('(참조)CS_인건비'!Y$2,'(참조)CS_인건비'!$S$2:$AG$2,0)),0)</f>
        <v>1</v>
      </c>
      <c r="O17" s="71">
        <f>IFERROR(INDEX('(참조)CS_인건비'!$S$3:$AG$40,MATCH(CS_인건비!$A17,'(참조)CS_인건비'!$S$3:$S$40,0),MATCH('(참조)CS_인건비'!Z$2,'(참조)CS_인건비'!$S$2:$AG$2,0)),0)</f>
        <v>1</v>
      </c>
      <c r="P17" s="71">
        <f>IFERROR(INDEX('(참조)CS_인건비'!$S$3:$AG$40,MATCH(CS_인건비!$A17,'(참조)CS_인건비'!$S$3:$S$40,0),MATCH('(참조)CS_인건비'!AA$2,'(참조)CS_인건비'!$S$2:$AG$2,0)),0)</f>
        <v>1</v>
      </c>
      <c r="Q17" s="71">
        <f>IFERROR(INDEX('(참조)CS_인건비'!$S$3:$AG$40,MATCH(CS_인건비!$A17,'(참조)CS_인건비'!$S$3:$S$40,0),MATCH('(참조)CS_인건비'!AB$2,'(참조)CS_인건비'!$S$2:$AG$2,0)),0)</f>
        <v>1</v>
      </c>
      <c r="R17" s="71">
        <f>IFERROR(INDEX('(참조)CS_인건비'!$S$3:$AG$40,MATCH(CS_인건비!$A17,'(참조)CS_인건비'!$S$3:$S$40,0),MATCH('(참조)CS_인건비'!AC$2,'(참조)CS_인건비'!$S$2:$AG$2,0)),0)</f>
        <v>1</v>
      </c>
      <c r="S17" s="71">
        <f>IFERROR(INDEX('(참조)CS_인건비'!$S$3:$AG$40,MATCH(CS_인건비!$A17,'(참조)CS_인건비'!$S$3:$S$40,0),MATCH('(참조)CS_인건비'!AD$2,'(참조)CS_인건비'!$S$2:$AG$2,0)),0)</f>
        <v>1</v>
      </c>
      <c r="T17" s="71">
        <f>IFERROR(INDEX('(참조)CS_인건비'!$S$3:$AG$40,MATCH(CS_인건비!$A17,'(참조)CS_인건비'!$S$3:$S$40,0),MATCH('(참조)CS_인건비'!AE$2,'(참조)CS_인건비'!$S$2:$AG$2,0)),0)</f>
        <v>1</v>
      </c>
      <c r="U17" s="71">
        <f>IFERROR(INDEX('(참조)CS_인건비'!$S$3:$AG$40,MATCH(CS_인건비!$A17,'(참조)CS_인건비'!$S$3:$S$40,0),MATCH('(참조)CS_인건비'!AF$2,'(참조)CS_인건비'!$S$2:$AG$2,0)),0)</f>
        <v>1</v>
      </c>
      <c r="V17" s="71">
        <f>IFERROR(INDEX('(참조)CS_인건비'!$S$3:$AG$40,MATCH(CS_인건비!$A17,'(참조)CS_인건비'!$S$3:$S$40,0),MATCH('(참조)CS_인건비'!AG$2,'(참조)CS_인건비'!$S$2:$AG$2,0)),0)</f>
        <v>1</v>
      </c>
      <c r="W17" s="71">
        <f>IFERROR(INDEX('(참조)CS_인건비'!$S$3:$AG$40,MATCH(CS_인건비!$A17,'(참조)CS_인건비'!$S$3:$S$40,0),MATCH('(참조)CS_인건비'!AH$2,'(참조)CS_인건비'!$S$2:$AG$2,0)),0)</f>
        <v>0</v>
      </c>
      <c r="X17" s="72">
        <v>0</v>
      </c>
      <c r="Y17" s="72">
        <f>IFERROR(INDEX('(참조)CS_인건비'!$A$3:$O$40,MATCH(CS_인건비!$A17,'(참조)CS_인건비'!$A$3:$A$40,0),MATCH('(참조)CS_인건비'!F$2,'(참조)CS_인건비'!$A$2:$O$2,0)),0)</f>
        <v>2822414</v>
      </c>
      <c r="Z17" s="72">
        <f>IFERROR(INDEX('(참조)CS_인건비'!$A$3:$O$40,MATCH(CS_인건비!$A17,'(참조)CS_인건비'!$A$3:$A$40,0),MATCH('(참조)CS_인건비'!G$2,'(참조)CS_인건비'!$A$2:$O$2,0)),0)</f>
        <v>2893851.4433746398</v>
      </c>
      <c r="AA17" s="72">
        <f>IFERROR(INDEX('(참조)CS_인건비'!$A$3:$O$40,MATCH(CS_인건비!$A17,'(참조)CS_인건비'!$A$3:$A$40,0),MATCH('(참조)CS_인건비'!H$2,'(참조)CS_인건비'!$A$2:$O$2,0)),0)</f>
        <v>2967097.0227335491</v>
      </c>
      <c r="AB17" s="72">
        <f>IFERROR(INDEX('(참조)CS_인건비'!$A$3:$O$40,MATCH(CS_인건비!$A17,'(참조)CS_인건비'!$A$3:$A$40,0),MATCH('(참조)CS_인건비'!I$2,'(참조)CS_인건비'!$A$2:$O$2,0)),0)</f>
        <v>3042196.5033726725</v>
      </c>
      <c r="AC17" s="72">
        <f>IFERROR(INDEX('(참조)CS_인건비'!$A$3:$O$40,MATCH(CS_인건비!$A17,'(참조)CS_인건비'!$A$3:$A$40,0),MATCH('(참조)CS_인건비'!J$2,'(참조)CS_인건비'!$A$2:$O$2,0)),0)</f>
        <v>3119196.8089423776</v>
      </c>
      <c r="AD17" s="72">
        <f>IFERROR(INDEX('(참조)CS_인건비'!$A$3:$O$40,MATCH(CS_인건비!$A17,'(참조)CS_인건비'!$A$3:$A$40,0),MATCH('(참조)CS_인건비'!K$2,'(참조)CS_인건비'!$A$2:$O$2,0)),0)</f>
        <v>3198146.0507662841</v>
      </c>
      <c r="AE17" s="72">
        <f>IFERROR(INDEX('(참조)CS_인건비'!$A$3:$O$40,MATCH(CS_인건비!$A17,'(참조)CS_인건비'!$A$3:$A$40,0),MATCH('(참조)CS_인건비'!L$2,'(참조)CS_인건비'!$A$2:$O$2,0)),0)</f>
        <v>3279093.5579021773</v>
      </c>
      <c r="AF17" s="72">
        <f>IFERROR(INDEX('(참조)CS_인건비'!$A$3:$O$40,MATCH(CS_인건비!$A17,'(참조)CS_인건비'!$A$3:$A$40,0),MATCH('(참조)CS_인건비'!M$2,'(참조)CS_인건비'!$A$2:$O$2,0)),0)</f>
        <v>3362089.9079637853</v>
      </c>
      <c r="AG17" s="72">
        <f>IFERROR(INDEX('(참조)CS_인건비'!$A$3:$O$40,MATCH(CS_인건비!$A17,'(참조)CS_인건비'!$A$3:$A$40,0),MATCH('(참조)CS_인건비'!N$2,'(참조)CS_인건비'!$A$2:$O$2,0)),0)</f>
        <v>3447186.9587226789</v>
      </c>
      <c r="AH17" s="72">
        <f>IFERROR(INDEX('(참조)CS_인건비'!$A$3:$O$40,MATCH(CS_인건비!$A17,'(참조)CS_인건비'!$A$3:$A$40,0),MATCH('(참조)CS_인건비'!O$2,'(참조)CS_인건비'!$A$2:$O$2,0)),0)</f>
        <v>3534437.8805100387</v>
      </c>
      <c r="AI17" s="72">
        <f>IFERROR(INDEX('(참조)CS_인건비'!$A$3:$O$40,MATCH(CS_인건비!$A17,'(참조)CS_인건비'!$A$3:$A$40,0),MATCH('(참조)CS_인건비'!P$2,'(참조)CS_인건비'!$A$2:$O$2,0)),0)</f>
        <v>0</v>
      </c>
      <c r="AJ17" s="72">
        <v>12</v>
      </c>
      <c r="AK17" s="72">
        <v>12</v>
      </c>
      <c r="AL17" s="72">
        <v>12</v>
      </c>
      <c r="AM17" s="72">
        <v>12</v>
      </c>
      <c r="AN17" s="72">
        <v>12</v>
      </c>
      <c r="AO17" s="72">
        <v>12</v>
      </c>
      <c r="AP17" s="72">
        <v>12</v>
      </c>
      <c r="AQ17" s="72">
        <v>12</v>
      </c>
      <c r="AR17" s="72">
        <v>12</v>
      </c>
      <c r="AS17" s="72">
        <v>12</v>
      </c>
      <c r="AT17" s="72">
        <v>12</v>
      </c>
      <c r="AU17" s="73">
        <v>1</v>
      </c>
      <c r="AV17" s="70">
        <v>0</v>
      </c>
      <c r="AW17" s="70">
        <v>0</v>
      </c>
      <c r="AX17" s="56">
        <v>379988521.61145848</v>
      </c>
      <c r="AY17" s="56">
        <v>33868968</v>
      </c>
      <c r="AZ17" s="56">
        <v>34726217.320495687</v>
      </c>
      <c r="BA17" s="56">
        <v>35605164.272802599</v>
      </c>
      <c r="BB17" s="56">
        <v>36506358.040472068</v>
      </c>
      <c r="BC17" s="56">
        <v>37430361.707308531</v>
      </c>
      <c r="BD17" s="56">
        <v>38377752.609195411</v>
      </c>
      <c r="BE17" s="56">
        <v>39349122.694826126</v>
      </c>
      <c r="BF17" s="56">
        <v>40345078.89556542</v>
      </c>
      <c r="BG17" s="56">
        <v>41366243.504672162</v>
      </c>
      <c r="BH17" s="56">
        <v>42413254.566120468</v>
      </c>
      <c r="BI17" s="56">
        <v>0</v>
      </c>
      <c r="BJ17" s="74">
        <v>2822414</v>
      </c>
      <c r="BK17" s="56">
        <v>2822414</v>
      </c>
      <c r="BL17" s="56">
        <v>2822414</v>
      </c>
      <c r="BM17" s="56">
        <v>2822414</v>
      </c>
      <c r="BN17" s="56">
        <v>2822414</v>
      </c>
      <c r="BO17" s="56">
        <v>2822414</v>
      </c>
      <c r="BP17" s="56">
        <v>2822414</v>
      </c>
      <c r="BQ17" s="56">
        <v>2822414</v>
      </c>
      <c r="BR17" s="56">
        <v>2822414</v>
      </c>
      <c r="BS17" s="56">
        <v>2822414</v>
      </c>
      <c r="BT17" s="56">
        <v>2822414</v>
      </c>
      <c r="BU17" s="56">
        <v>2822414</v>
      </c>
      <c r="BV17" s="56">
        <v>2893851.4433746398</v>
      </c>
      <c r="BW17" s="56">
        <v>2893851.4433746398</v>
      </c>
      <c r="BX17" s="56">
        <v>2893851.4433746398</v>
      </c>
      <c r="BY17" s="56">
        <v>2893851.4433746398</v>
      </c>
      <c r="BZ17" s="56">
        <v>2893851.4433746398</v>
      </c>
      <c r="CA17" s="56">
        <v>2893851.4433746398</v>
      </c>
      <c r="CB17" s="56">
        <v>2893851.4433746398</v>
      </c>
      <c r="CC17" s="56">
        <v>2893851.4433746398</v>
      </c>
      <c r="CD17" s="56">
        <v>2893851.4433746398</v>
      </c>
      <c r="CE17" s="56">
        <v>2893851.4433746398</v>
      </c>
      <c r="CF17" s="56">
        <v>2893851.4433746398</v>
      </c>
      <c r="CG17" s="56">
        <v>2893851.4433746398</v>
      </c>
      <c r="CH17" s="56">
        <v>2967097.0227335491</v>
      </c>
      <c r="CI17" s="56">
        <v>2967097.0227335491</v>
      </c>
      <c r="CJ17" s="56">
        <v>2967097.0227335491</v>
      </c>
      <c r="CK17" s="56">
        <v>2967097.0227335491</v>
      </c>
      <c r="CL17" s="56">
        <v>2967097.0227335491</v>
      </c>
      <c r="CM17" s="56">
        <v>2967097.0227335491</v>
      </c>
      <c r="CN17" s="56">
        <v>2967097.0227335491</v>
      </c>
      <c r="CO17" s="56">
        <v>2967097.0227335491</v>
      </c>
      <c r="CP17" s="56">
        <v>2967097.0227335491</v>
      </c>
      <c r="CQ17" s="56">
        <v>2967097.0227335491</v>
      </c>
      <c r="CR17" s="56">
        <v>2967097.0227335491</v>
      </c>
      <c r="CS17" s="56">
        <v>2967097.0227335491</v>
      </c>
      <c r="CT17" s="56">
        <v>3042196.5033726725</v>
      </c>
      <c r="CU17" s="56">
        <v>3042196.5033726725</v>
      </c>
      <c r="CV17" s="56">
        <v>3042196.5033726725</v>
      </c>
      <c r="CW17" s="56">
        <v>3042196.5033726725</v>
      </c>
      <c r="CX17" s="56">
        <v>3042196.5033726725</v>
      </c>
      <c r="CY17" s="56">
        <v>3042196.5033726725</v>
      </c>
      <c r="CZ17" s="56">
        <v>3042196.5033726725</v>
      </c>
      <c r="DA17" s="56">
        <v>3042196.5033726725</v>
      </c>
      <c r="DB17" s="56">
        <v>3042196.5033726725</v>
      </c>
      <c r="DC17" s="56">
        <v>3042196.5033726725</v>
      </c>
      <c r="DD17" s="56">
        <v>3042196.5033726725</v>
      </c>
      <c r="DE17" s="56">
        <v>3042196.5033726725</v>
      </c>
      <c r="DF17" s="56">
        <v>3119196.8089423776</v>
      </c>
      <c r="DG17" s="56">
        <v>3119196.8089423776</v>
      </c>
      <c r="DH17" s="56">
        <v>3119196.8089423776</v>
      </c>
      <c r="DI17" s="56">
        <v>3119196.8089423776</v>
      </c>
      <c r="DJ17" s="56">
        <v>3119196.8089423776</v>
      </c>
      <c r="DK17" s="56">
        <v>3119196.8089423776</v>
      </c>
      <c r="DL17" s="56">
        <v>3119196.8089423776</v>
      </c>
      <c r="DM17" s="56">
        <v>3119196.8089423776</v>
      </c>
      <c r="DN17" s="56">
        <v>3119196.8089423776</v>
      </c>
      <c r="DO17" s="56">
        <v>3119196.8089423776</v>
      </c>
      <c r="DP17" s="56">
        <v>3119196.8089423776</v>
      </c>
      <c r="DQ17" s="56">
        <v>3119196.8089423776</v>
      </c>
      <c r="DR17" s="56">
        <v>3198146.0507662841</v>
      </c>
      <c r="DS17" s="56">
        <v>3198146.0507662841</v>
      </c>
      <c r="DT17" s="56">
        <v>3198146.0507662841</v>
      </c>
      <c r="DU17" s="56">
        <v>3198146.0507662841</v>
      </c>
      <c r="DV17" s="56">
        <v>3198146.0507662841</v>
      </c>
      <c r="DW17" s="56">
        <v>3198146.0507662841</v>
      </c>
      <c r="DX17" s="56">
        <v>3198146.0507662841</v>
      </c>
      <c r="DY17" s="56">
        <v>3198146.0507662841</v>
      </c>
      <c r="DZ17" s="56">
        <v>3198146.0507662841</v>
      </c>
      <c r="EA17" s="56">
        <v>3198146.0507662841</v>
      </c>
      <c r="EB17" s="56">
        <v>3198146.0507662841</v>
      </c>
      <c r="EC17" s="56">
        <v>3198146.0507662841</v>
      </c>
      <c r="ED17" s="56">
        <v>3279093.5579021773</v>
      </c>
      <c r="EE17" s="56">
        <v>3279093.5579021773</v>
      </c>
      <c r="EF17" s="56">
        <v>3279093.5579021773</v>
      </c>
      <c r="EG17" s="56">
        <v>3279093.5579021773</v>
      </c>
      <c r="EH17" s="56">
        <v>3279093.5579021773</v>
      </c>
      <c r="EI17" s="56">
        <v>3279093.5579021773</v>
      </c>
      <c r="EJ17" s="56">
        <v>3279093.5579021773</v>
      </c>
      <c r="EK17" s="56">
        <v>3279093.5579021773</v>
      </c>
      <c r="EL17" s="56">
        <v>3279093.5579021773</v>
      </c>
      <c r="EM17" s="56">
        <v>3279093.5579021773</v>
      </c>
      <c r="EN17" s="56">
        <v>3279093.5579021773</v>
      </c>
      <c r="EO17" s="56">
        <v>3279093.5579021773</v>
      </c>
      <c r="EP17" s="56">
        <v>3362089.9079637853</v>
      </c>
      <c r="EQ17" s="56">
        <v>3362089.9079637853</v>
      </c>
      <c r="ER17" s="56">
        <v>3362089.9079637853</v>
      </c>
      <c r="ES17" s="56">
        <v>3362089.9079637853</v>
      </c>
      <c r="ET17" s="56">
        <v>3362089.9079637853</v>
      </c>
      <c r="EU17" s="56">
        <v>3362089.9079637853</v>
      </c>
      <c r="EV17" s="56">
        <v>3362089.9079637853</v>
      </c>
      <c r="EW17" s="56">
        <v>3362089.9079637853</v>
      </c>
      <c r="EX17" s="56">
        <v>3362089.9079637853</v>
      </c>
      <c r="EY17" s="56">
        <v>3362089.9079637853</v>
      </c>
      <c r="EZ17" s="56">
        <v>3362089.9079637853</v>
      </c>
      <c r="FA17" s="56">
        <v>3362089.9079637853</v>
      </c>
      <c r="FB17" s="56">
        <v>3447186.9587226789</v>
      </c>
      <c r="FC17" s="56">
        <v>3447186.9587226789</v>
      </c>
      <c r="FD17" s="56">
        <v>3447186.9587226789</v>
      </c>
      <c r="FE17" s="56">
        <v>3447186.9587226789</v>
      </c>
      <c r="FF17" s="56">
        <v>3447186.9587226789</v>
      </c>
      <c r="FG17" s="56">
        <v>3447186.9587226789</v>
      </c>
      <c r="FH17" s="56">
        <v>3447186.9587226789</v>
      </c>
      <c r="FI17" s="56">
        <v>3447186.9587226789</v>
      </c>
      <c r="FJ17" s="56">
        <v>3447186.9587226789</v>
      </c>
      <c r="FK17" s="56">
        <v>3447186.9587226789</v>
      </c>
      <c r="FL17" s="56">
        <v>3447186.9587226789</v>
      </c>
      <c r="FM17" s="56">
        <v>3447186.9587226789</v>
      </c>
      <c r="FN17" s="56">
        <v>3534437.8805100387</v>
      </c>
      <c r="FO17" s="56">
        <v>3534437.8805100387</v>
      </c>
      <c r="FP17" s="56">
        <v>3534437.8805100387</v>
      </c>
      <c r="FQ17" s="56">
        <v>3534437.8805100387</v>
      </c>
      <c r="FR17" s="56">
        <v>3534437.8805100387</v>
      </c>
      <c r="FS17" s="56">
        <v>3534437.8805100387</v>
      </c>
      <c r="FT17" s="56">
        <v>3534437.8805100387</v>
      </c>
      <c r="FU17" s="56">
        <v>3534437.8805100387</v>
      </c>
      <c r="FV17" s="56">
        <v>3534437.8805100387</v>
      </c>
      <c r="FW17" s="56">
        <v>3534437.8805100387</v>
      </c>
      <c r="FX17" s="56">
        <v>3534437.8805100387</v>
      </c>
      <c r="FY17" s="56">
        <v>3534437.8805100387</v>
      </c>
      <c r="FZ17" s="56">
        <v>0</v>
      </c>
      <c r="GA17" s="56">
        <v>0</v>
      </c>
      <c r="GB17" s="56">
        <v>0</v>
      </c>
      <c r="GC17" s="56">
        <v>0</v>
      </c>
      <c r="GD17" s="56">
        <v>0</v>
      </c>
      <c r="GE17" s="56">
        <v>0</v>
      </c>
      <c r="GF17" s="56">
        <v>0</v>
      </c>
      <c r="GG17" s="56">
        <v>0</v>
      </c>
      <c r="GH17" s="56">
        <v>0</v>
      </c>
      <c r="GI17" s="56">
        <v>0</v>
      </c>
      <c r="GJ17" s="56">
        <v>0</v>
      </c>
      <c r="GK17" s="85">
        <v>0</v>
      </c>
      <c r="GL17" s="40"/>
    </row>
    <row r="18" spans="1:194" x14ac:dyDescent="0.4">
      <c r="A18" s="84" t="s">
        <v>248</v>
      </c>
      <c r="B18" s="70" t="s">
        <v>174</v>
      </c>
      <c r="C18" s="70" t="s">
        <v>398</v>
      </c>
      <c r="D18" s="70" t="s">
        <v>209</v>
      </c>
      <c r="E18" s="70" t="s">
        <v>193</v>
      </c>
      <c r="F18" s="70" t="s">
        <v>192</v>
      </c>
      <c r="G18" s="70" t="s">
        <v>203</v>
      </c>
      <c r="H18" s="70">
        <v>0</v>
      </c>
      <c r="I18" s="70">
        <v>0</v>
      </c>
      <c r="J18" s="70" t="s">
        <v>210</v>
      </c>
      <c r="K18" s="70">
        <v>0</v>
      </c>
      <c r="L18" s="70" t="s">
        <v>211</v>
      </c>
      <c r="M18" s="71">
        <f>IFERROR(INDEX('(참조)CS_인건비'!$S$3:$AG$40,MATCH(CS_인건비!$A18,'(참조)CS_인건비'!$S$3:$S$40,0),MATCH('(참조)CS_인건비'!X$2,'(참조)CS_인건비'!$S$2:$AG$2,0)),0)</f>
        <v>1</v>
      </c>
      <c r="N18" s="71">
        <f>IFERROR(INDEX('(참조)CS_인건비'!$S$3:$AG$40,MATCH(CS_인건비!$A18,'(참조)CS_인건비'!$S$3:$S$40,0),MATCH('(참조)CS_인건비'!Y$2,'(참조)CS_인건비'!$S$2:$AG$2,0)),0)</f>
        <v>1</v>
      </c>
      <c r="O18" s="71">
        <f>IFERROR(INDEX('(참조)CS_인건비'!$S$3:$AG$40,MATCH(CS_인건비!$A18,'(참조)CS_인건비'!$S$3:$S$40,0),MATCH('(참조)CS_인건비'!Z$2,'(참조)CS_인건비'!$S$2:$AG$2,0)),0)</f>
        <v>1</v>
      </c>
      <c r="P18" s="71">
        <f>IFERROR(INDEX('(참조)CS_인건비'!$S$3:$AG$40,MATCH(CS_인건비!$A18,'(참조)CS_인건비'!$S$3:$S$40,0),MATCH('(참조)CS_인건비'!AA$2,'(참조)CS_인건비'!$S$2:$AG$2,0)),0)</f>
        <v>1</v>
      </c>
      <c r="Q18" s="71">
        <f>IFERROR(INDEX('(참조)CS_인건비'!$S$3:$AG$40,MATCH(CS_인건비!$A18,'(참조)CS_인건비'!$S$3:$S$40,0),MATCH('(참조)CS_인건비'!AB$2,'(참조)CS_인건비'!$S$2:$AG$2,0)),0)</f>
        <v>1</v>
      </c>
      <c r="R18" s="71">
        <f>IFERROR(INDEX('(참조)CS_인건비'!$S$3:$AG$40,MATCH(CS_인건비!$A18,'(참조)CS_인건비'!$S$3:$S$40,0),MATCH('(참조)CS_인건비'!AC$2,'(참조)CS_인건비'!$S$2:$AG$2,0)),0)</f>
        <v>1</v>
      </c>
      <c r="S18" s="71">
        <f>IFERROR(INDEX('(참조)CS_인건비'!$S$3:$AG$40,MATCH(CS_인건비!$A18,'(참조)CS_인건비'!$S$3:$S$40,0),MATCH('(참조)CS_인건비'!AD$2,'(참조)CS_인건비'!$S$2:$AG$2,0)),0)</f>
        <v>1</v>
      </c>
      <c r="T18" s="71">
        <f>IFERROR(INDEX('(참조)CS_인건비'!$S$3:$AG$40,MATCH(CS_인건비!$A18,'(참조)CS_인건비'!$S$3:$S$40,0),MATCH('(참조)CS_인건비'!AE$2,'(참조)CS_인건비'!$S$2:$AG$2,0)),0)</f>
        <v>1</v>
      </c>
      <c r="U18" s="71">
        <f>IFERROR(INDEX('(참조)CS_인건비'!$S$3:$AG$40,MATCH(CS_인건비!$A18,'(참조)CS_인건비'!$S$3:$S$40,0),MATCH('(참조)CS_인건비'!AF$2,'(참조)CS_인건비'!$S$2:$AG$2,0)),0)</f>
        <v>1</v>
      </c>
      <c r="V18" s="71">
        <f>IFERROR(INDEX('(참조)CS_인건비'!$S$3:$AG$40,MATCH(CS_인건비!$A18,'(참조)CS_인건비'!$S$3:$S$40,0),MATCH('(참조)CS_인건비'!AG$2,'(참조)CS_인건비'!$S$2:$AG$2,0)),0)</f>
        <v>1</v>
      </c>
      <c r="W18" s="71">
        <f>IFERROR(INDEX('(참조)CS_인건비'!$S$3:$AG$40,MATCH(CS_인건비!$A18,'(참조)CS_인건비'!$S$3:$S$40,0),MATCH('(참조)CS_인건비'!AH$2,'(참조)CS_인건비'!$S$2:$AG$2,0)),0)</f>
        <v>0</v>
      </c>
      <c r="X18" s="72">
        <v>0</v>
      </c>
      <c r="Y18" s="72">
        <f>IFERROR(INDEX('(참조)CS_인건비'!$A$3:$O$40,MATCH(CS_인건비!$A18,'(참조)CS_인건비'!$A$3:$A$40,0),MATCH('(참조)CS_인건비'!F$2,'(참조)CS_인건비'!$A$2:$O$2,0)),0)</f>
        <v>2577095</v>
      </c>
      <c r="Z18" s="72">
        <f>IFERROR(INDEX('(참조)CS_인건비'!$A$3:$O$40,MATCH(CS_인건비!$A18,'(참조)CS_인건비'!$A$3:$A$40,0),MATCH('(참조)CS_인건비'!G$2,'(참조)CS_인건비'!$A$2:$O$2,0)),0)</f>
        <v>2642323.2330422001</v>
      </c>
      <c r="AA18" s="72">
        <f>IFERROR(INDEX('(참조)CS_인건비'!$A$3:$O$40,MATCH(CS_인건비!$A18,'(참조)CS_인건비'!$A$3:$A$40,0),MATCH('(참조)CS_인건비'!H$2,'(참조)CS_인건비'!$A$2:$O$2,0)),0)</f>
        <v>2709202.4422361553</v>
      </c>
      <c r="AB18" s="72">
        <f>IFERROR(INDEX('(참조)CS_인건비'!$A$3:$O$40,MATCH(CS_인건비!$A18,'(참조)CS_인건비'!$A$3:$A$40,0),MATCH('(참조)CS_인건비'!I$2,'(참조)CS_인건비'!$A$2:$O$2,0)),0)</f>
        <v>2777774.4150430085</v>
      </c>
      <c r="AC18" s="72">
        <f>IFERROR(INDEX('(참조)CS_인건비'!$A$3:$O$40,MATCH(CS_인건비!$A18,'(참조)CS_인건비'!$A$3:$A$40,0),MATCH('(참조)CS_인건비'!J$2,'(참조)CS_인건비'!$A$2:$O$2,0)),0)</f>
        <v>2848081.9965963024</v>
      </c>
      <c r="AD18" s="72">
        <f>IFERROR(INDEX('(참조)CS_인건비'!$A$3:$O$40,MATCH(CS_인건비!$A18,'(참조)CS_인건비'!$A$3:$A$40,0),MATCH('(참조)CS_인건비'!K$2,'(참조)CS_인건비'!$A$2:$O$2,0)),0)</f>
        <v>2920169.116472472</v>
      </c>
      <c r="AE18" s="72">
        <f>IFERROR(INDEX('(참조)CS_인건비'!$A$3:$O$40,MATCH(CS_인건비!$A18,'(참조)CS_인건비'!$A$3:$A$40,0),MATCH('(참조)CS_인건비'!L$2,'(참조)CS_인건비'!$A$2:$O$2,0)),0)</f>
        <v>2994080.8161389185</v>
      </c>
      <c r="AF18" s="72">
        <f>IFERROR(INDEX('(참조)CS_인건비'!$A$3:$O$40,MATCH(CS_인건비!$A18,'(참조)CS_인건비'!$A$3:$A$40,0),MATCH('(참조)CS_인건비'!M$2,'(참조)CS_인건비'!$A$2:$O$2,0)),0)</f>
        <v>3069863.2770968149</v>
      </c>
      <c r="AG18" s="72">
        <f>IFERROR(INDEX('(참조)CS_인건비'!$A$3:$O$40,MATCH(CS_인건비!$A18,'(참조)CS_인건비'!$A$3:$A$40,0),MATCH('(참조)CS_인건비'!N$2,'(참조)CS_인건비'!$A$2:$O$2,0)),0)</f>
        <v>3147563.8497362258</v>
      </c>
      <c r="AH18" s="72">
        <f>IFERROR(INDEX('(참조)CS_인건비'!$A$3:$O$40,MATCH(CS_인건비!$A18,'(참조)CS_인건비'!$A$3:$A$40,0),MATCH('(참조)CS_인건비'!O$2,'(참조)CS_인건비'!$A$2:$O$2,0)),0)</f>
        <v>3227231.0829215753</v>
      </c>
      <c r="AI18" s="72">
        <f>IFERROR(INDEX('(참조)CS_인건비'!$A$3:$O$40,MATCH(CS_인건비!$A18,'(참조)CS_인건비'!$A$3:$A$40,0),MATCH('(참조)CS_인건비'!P$2,'(참조)CS_인건비'!$A$2:$O$2,0)),0)</f>
        <v>0</v>
      </c>
      <c r="AJ18" s="72">
        <v>12</v>
      </c>
      <c r="AK18" s="72">
        <v>12</v>
      </c>
      <c r="AL18" s="72">
        <v>12</v>
      </c>
      <c r="AM18" s="72">
        <v>12</v>
      </c>
      <c r="AN18" s="72">
        <v>12</v>
      </c>
      <c r="AO18" s="72">
        <v>12</v>
      </c>
      <c r="AP18" s="72">
        <v>12</v>
      </c>
      <c r="AQ18" s="72">
        <v>12</v>
      </c>
      <c r="AR18" s="72">
        <v>12</v>
      </c>
      <c r="AS18" s="72">
        <v>12</v>
      </c>
      <c r="AT18" s="72">
        <v>12</v>
      </c>
      <c r="AU18" s="73">
        <v>1</v>
      </c>
      <c r="AV18" s="70">
        <v>0</v>
      </c>
      <c r="AW18" s="70">
        <v>0</v>
      </c>
      <c r="AX18" s="56">
        <v>346960622.75140399</v>
      </c>
      <c r="AY18" s="56">
        <v>30925140</v>
      </c>
      <c r="AZ18" s="56">
        <v>31707878.796506394</v>
      </c>
      <c r="BA18" s="56">
        <v>32510429.306833863</v>
      </c>
      <c r="BB18" s="56">
        <v>33333292.980516095</v>
      </c>
      <c r="BC18" s="56">
        <v>34176983.959155627</v>
      </c>
      <c r="BD18" s="56">
        <v>35042029.397669666</v>
      </c>
      <c r="BE18" s="56">
        <v>35928969.793667026</v>
      </c>
      <c r="BF18" s="56">
        <v>36838359.325161777</v>
      </c>
      <c r="BG18" s="56">
        <v>37770766.196834706</v>
      </c>
      <c r="BH18" s="56">
        <v>38726772.995058902</v>
      </c>
      <c r="BI18" s="56">
        <v>0</v>
      </c>
      <c r="BJ18" s="74">
        <v>2577095</v>
      </c>
      <c r="BK18" s="56">
        <v>2577095</v>
      </c>
      <c r="BL18" s="56">
        <v>2577095</v>
      </c>
      <c r="BM18" s="56">
        <v>2577095</v>
      </c>
      <c r="BN18" s="56">
        <v>2577095</v>
      </c>
      <c r="BO18" s="56">
        <v>2577095</v>
      </c>
      <c r="BP18" s="56">
        <v>2577095</v>
      </c>
      <c r="BQ18" s="56">
        <v>2577095</v>
      </c>
      <c r="BR18" s="56">
        <v>2577095</v>
      </c>
      <c r="BS18" s="56">
        <v>2577095</v>
      </c>
      <c r="BT18" s="56">
        <v>2577095</v>
      </c>
      <c r="BU18" s="56">
        <v>2577095</v>
      </c>
      <c r="BV18" s="56">
        <v>2642323.2330422001</v>
      </c>
      <c r="BW18" s="56">
        <v>2642323.2330422001</v>
      </c>
      <c r="BX18" s="56">
        <v>2642323.2330422001</v>
      </c>
      <c r="BY18" s="56">
        <v>2642323.2330422001</v>
      </c>
      <c r="BZ18" s="56">
        <v>2642323.2330422001</v>
      </c>
      <c r="CA18" s="56">
        <v>2642323.2330422001</v>
      </c>
      <c r="CB18" s="56">
        <v>2642323.2330422001</v>
      </c>
      <c r="CC18" s="56">
        <v>2642323.2330422001</v>
      </c>
      <c r="CD18" s="56">
        <v>2642323.2330422001</v>
      </c>
      <c r="CE18" s="56">
        <v>2642323.2330422001</v>
      </c>
      <c r="CF18" s="56">
        <v>2642323.2330422001</v>
      </c>
      <c r="CG18" s="56">
        <v>2642323.2330422001</v>
      </c>
      <c r="CH18" s="56">
        <v>2709202.4422361553</v>
      </c>
      <c r="CI18" s="56">
        <v>2709202.4422361553</v>
      </c>
      <c r="CJ18" s="56">
        <v>2709202.4422361553</v>
      </c>
      <c r="CK18" s="56">
        <v>2709202.4422361553</v>
      </c>
      <c r="CL18" s="56">
        <v>2709202.4422361553</v>
      </c>
      <c r="CM18" s="56">
        <v>2709202.4422361553</v>
      </c>
      <c r="CN18" s="56">
        <v>2709202.4422361553</v>
      </c>
      <c r="CO18" s="56">
        <v>2709202.4422361553</v>
      </c>
      <c r="CP18" s="56">
        <v>2709202.4422361553</v>
      </c>
      <c r="CQ18" s="56">
        <v>2709202.4422361553</v>
      </c>
      <c r="CR18" s="56">
        <v>2709202.4422361553</v>
      </c>
      <c r="CS18" s="56">
        <v>2709202.4422361553</v>
      </c>
      <c r="CT18" s="56">
        <v>2777774.4150430085</v>
      </c>
      <c r="CU18" s="56">
        <v>2777774.4150430085</v>
      </c>
      <c r="CV18" s="56">
        <v>2777774.4150430085</v>
      </c>
      <c r="CW18" s="56">
        <v>2777774.4150430085</v>
      </c>
      <c r="CX18" s="56">
        <v>2777774.4150430085</v>
      </c>
      <c r="CY18" s="56">
        <v>2777774.4150430085</v>
      </c>
      <c r="CZ18" s="56">
        <v>2777774.4150430085</v>
      </c>
      <c r="DA18" s="56">
        <v>2777774.4150430085</v>
      </c>
      <c r="DB18" s="56">
        <v>2777774.4150430085</v>
      </c>
      <c r="DC18" s="56">
        <v>2777774.4150430085</v>
      </c>
      <c r="DD18" s="56">
        <v>2777774.4150430085</v>
      </c>
      <c r="DE18" s="56">
        <v>2777774.4150430085</v>
      </c>
      <c r="DF18" s="56">
        <v>2848081.9965963024</v>
      </c>
      <c r="DG18" s="56">
        <v>2848081.9965963024</v>
      </c>
      <c r="DH18" s="56">
        <v>2848081.9965963024</v>
      </c>
      <c r="DI18" s="56">
        <v>2848081.9965963024</v>
      </c>
      <c r="DJ18" s="56">
        <v>2848081.9965963024</v>
      </c>
      <c r="DK18" s="56">
        <v>2848081.9965963024</v>
      </c>
      <c r="DL18" s="56">
        <v>2848081.9965963024</v>
      </c>
      <c r="DM18" s="56">
        <v>2848081.9965963024</v>
      </c>
      <c r="DN18" s="56">
        <v>2848081.9965963024</v>
      </c>
      <c r="DO18" s="56">
        <v>2848081.9965963024</v>
      </c>
      <c r="DP18" s="56">
        <v>2848081.9965963024</v>
      </c>
      <c r="DQ18" s="56">
        <v>2848081.9965963024</v>
      </c>
      <c r="DR18" s="56">
        <v>2920169.116472472</v>
      </c>
      <c r="DS18" s="56">
        <v>2920169.116472472</v>
      </c>
      <c r="DT18" s="56">
        <v>2920169.116472472</v>
      </c>
      <c r="DU18" s="56">
        <v>2920169.116472472</v>
      </c>
      <c r="DV18" s="56">
        <v>2920169.116472472</v>
      </c>
      <c r="DW18" s="56">
        <v>2920169.116472472</v>
      </c>
      <c r="DX18" s="56">
        <v>2920169.116472472</v>
      </c>
      <c r="DY18" s="56">
        <v>2920169.116472472</v>
      </c>
      <c r="DZ18" s="56">
        <v>2920169.116472472</v>
      </c>
      <c r="EA18" s="56">
        <v>2920169.116472472</v>
      </c>
      <c r="EB18" s="56">
        <v>2920169.116472472</v>
      </c>
      <c r="EC18" s="56">
        <v>2920169.116472472</v>
      </c>
      <c r="ED18" s="56">
        <v>2994080.8161389185</v>
      </c>
      <c r="EE18" s="56">
        <v>2994080.8161389185</v>
      </c>
      <c r="EF18" s="56">
        <v>2994080.8161389185</v>
      </c>
      <c r="EG18" s="56">
        <v>2994080.8161389185</v>
      </c>
      <c r="EH18" s="56">
        <v>2994080.8161389185</v>
      </c>
      <c r="EI18" s="56">
        <v>2994080.8161389185</v>
      </c>
      <c r="EJ18" s="56">
        <v>2994080.8161389185</v>
      </c>
      <c r="EK18" s="56">
        <v>2994080.8161389185</v>
      </c>
      <c r="EL18" s="56">
        <v>2994080.8161389185</v>
      </c>
      <c r="EM18" s="56">
        <v>2994080.8161389185</v>
      </c>
      <c r="EN18" s="56">
        <v>2994080.8161389185</v>
      </c>
      <c r="EO18" s="56">
        <v>2994080.8161389185</v>
      </c>
      <c r="EP18" s="56">
        <v>3069863.2770968149</v>
      </c>
      <c r="EQ18" s="56">
        <v>3069863.2770968149</v>
      </c>
      <c r="ER18" s="56">
        <v>3069863.2770968149</v>
      </c>
      <c r="ES18" s="56">
        <v>3069863.2770968149</v>
      </c>
      <c r="ET18" s="56">
        <v>3069863.2770968149</v>
      </c>
      <c r="EU18" s="56">
        <v>3069863.2770968149</v>
      </c>
      <c r="EV18" s="56">
        <v>3069863.2770968149</v>
      </c>
      <c r="EW18" s="56">
        <v>3069863.2770968149</v>
      </c>
      <c r="EX18" s="56">
        <v>3069863.2770968149</v>
      </c>
      <c r="EY18" s="56">
        <v>3069863.2770968149</v>
      </c>
      <c r="EZ18" s="56">
        <v>3069863.2770968149</v>
      </c>
      <c r="FA18" s="56">
        <v>3069863.2770968149</v>
      </c>
      <c r="FB18" s="56">
        <v>3147563.8497362258</v>
      </c>
      <c r="FC18" s="56">
        <v>3147563.8497362258</v>
      </c>
      <c r="FD18" s="56">
        <v>3147563.8497362258</v>
      </c>
      <c r="FE18" s="56">
        <v>3147563.8497362258</v>
      </c>
      <c r="FF18" s="56">
        <v>3147563.8497362258</v>
      </c>
      <c r="FG18" s="56">
        <v>3147563.8497362258</v>
      </c>
      <c r="FH18" s="56">
        <v>3147563.8497362258</v>
      </c>
      <c r="FI18" s="56">
        <v>3147563.8497362258</v>
      </c>
      <c r="FJ18" s="56">
        <v>3147563.8497362258</v>
      </c>
      <c r="FK18" s="56">
        <v>3147563.8497362258</v>
      </c>
      <c r="FL18" s="56">
        <v>3147563.8497362258</v>
      </c>
      <c r="FM18" s="56">
        <v>3147563.8497362258</v>
      </c>
      <c r="FN18" s="56">
        <v>3227231.0829215753</v>
      </c>
      <c r="FO18" s="56">
        <v>3227231.0829215753</v>
      </c>
      <c r="FP18" s="56">
        <v>3227231.0829215753</v>
      </c>
      <c r="FQ18" s="56">
        <v>3227231.0829215753</v>
      </c>
      <c r="FR18" s="56">
        <v>3227231.0829215753</v>
      </c>
      <c r="FS18" s="56">
        <v>3227231.0829215753</v>
      </c>
      <c r="FT18" s="56">
        <v>3227231.0829215753</v>
      </c>
      <c r="FU18" s="56">
        <v>3227231.0829215753</v>
      </c>
      <c r="FV18" s="56">
        <v>3227231.0829215753</v>
      </c>
      <c r="FW18" s="56">
        <v>3227231.0829215753</v>
      </c>
      <c r="FX18" s="56">
        <v>3227231.0829215753</v>
      </c>
      <c r="FY18" s="56">
        <v>3227231.0829215753</v>
      </c>
      <c r="FZ18" s="56">
        <v>0</v>
      </c>
      <c r="GA18" s="56">
        <v>0</v>
      </c>
      <c r="GB18" s="56">
        <v>0</v>
      </c>
      <c r="GC18" s="56">
        <v>0</v>
      </c>
      <c r="GD18" s="56">
        <v>0</v>
      </c>
      <c r="GE18" s="56">
        <v>0</v>
      </c>
      <c r="GF18" s="56">
        <v>0</v>
      </c>
      <c r="GG18" s="56">
        <v>0</v>
      </c>
      <c r="GH18" s="56">
        <v>0</v>
      </c>
      <c r="GI18" s="56">
        <v>0</v>
      </c>
      <c r="GJ18" s="56">
        <v>0</v>
      </c>
      <c r="GK18" s="85">
        <v>0</v>
      </c>
      <c r="GL18" s="40"/>
    </row>
    <row r="19" spans="1:194" x14ac:dyDescent="0.4">
      <c r="A19" s="84" t="s">
        <v>249</v>
      </c>
      <c r="B19" s="70" t="s">
        <v>174</v>
      </c>
      <c r="C19" s="70" t="s">
        <v>398</v>
      </c>
      <c r="D19" s="70" t="s">
        <v>209</v>
      </c>
      <c r="E19" s="70" t="s">
        <v>193</v>
      </c>
      <c r="F19" s="70" t="s">
        <v>200</v>
      </c>
      <c r="G19" s="70" t="s">
        <v>198</v>
      </c>
      <c r="H19" s="70">
        <v>0</v>
      </c>
      <c r="I19" s="70">
        <v>0</v>
      </c>
      <c r="J19" s="70" t="s">
        <v>210</v>
      </c>
      <c r="K19" s="70">
        <v>0</v>
      </c>
      <c r="L19" s="70" t="s">
        <v>211</v>
      </c>
      <c r="M19" s="71">
        <f>IFERROR(INDEX('(참조)CS_인건비'!$S$3:$AG$40,MATCH(CS_인건비!$A19,'(참조)CS_인건비'!$S$3:$S$40,0),MATCH('(참조)CS_인건비'!X$2,'(참조)CS_인건비'!$S$2:$AG$2,0)),0)</f>
        <v>1</v>
      </c>
      <c r="N19" s="71">
        <f>IFERROR(INDEX('(참조)CS_인건비'!$S$3:$AG$40,MATCH(CS_인건비!$A19,'(참조)CS_인건비'!$S$3:$S$40,0),MATCH('(참조)CS_인건비'!Y$2,'(참조)CS_인건비'!$S$2:$AG$2,0)),0)</f>
        <v>1</v>
      </c>
      <c r="O19" s="71">
        <f>IFERROR(INDEX('(참조)CS_인건비'!$S$3:$AG$40,MATCH(CS_인건비!$A19,'(참조)CS_인건비'!$S$3:$S$40,0),MATCH('(참조)CS_인건비'!Z$2,'(참조)CS_인건비'!$S$2:$AG$2,0)),0)</f>
        <v>1</v>
      </c>
      <c r="P19" s="71">
        <f>IFERROR(INDEX('(참조)CS_인건비'!$S$3:$AG$40,MATCH(CS_인건비!$A19,'(참조)CS_인건비'!$S$3:$S$40,0),MATCH('(참조)CS_인건비'!AA$2,'(참조)CS_인건비'!$S$2:$AG$2,0)),0)</f>
        <v>1</v>
      </c>
      <c r="Q19" s="71">
        <f>IFERROR(INDEX('(참조)CS_인건비'!$S$3:$AG$40,MATCH(CS_인건비!$A19,'(참조)CS_인건비'!$S$3:$S$40,0),MATCH('(참조)CS_인건비'!AB$2,'(참조)CS_인건비'!$S$2:$AG$2,0)),0)</f>
        <v>1</v>
      </c>
      <c r="R19" s="71">
        <f>IFERROR(INDEX('(참조)CS_인건비'!$S$3:$AG$40,MATCH(CS_인건비!$A19,'(참조)CS_인건비'!$S$3:$S$40,0),MATCH('(참조)CS_인건비'!AC$2,'(참조)CS_인건비'!$S$2:$AG$2,0)),0)</f>
        <v>1</v>
      </c>
      <c r="S19" s="71">
        <f>IFERROR(INDEX('(참조)CS_인건비'!$S$3:$AG$40,MATCH(CS_인건비!$A19,'(참조)CS_인건비'!$S$3:$S$40,0),MATCH('(참조)CS_인건비'!AD$2,'(참조)CS_인건비'!$S$2:$AG$2,0)),0)</f>
        <v>1</v>
      </c>
      <c r="T19" s="71">
        <f>IFERROR(INDEX('(참조)CS_인건비'!$S$3:$AG$40,MATCH(CS_인건비!$A19,'(참조)CS_인건비'!$S$3:$S$40,0),MATCH('(참조)CS_인건비'!AE$2,'(참조)CS_인건비'!$S$2:$AG$2,0)),0)</f>
        <v>1</v>
      </c>
      <c r="U19" s="71">
        <f>IFERROR(INDEX('(참조)CS_인건비'!$S$3:$AG$40,MATCH(CS_인건비!$A19,'(참조)CS_인건비'!$S$3:$S$40,0),MATCH('(참조)CS_인건비'!AF$2,'(참조)CS_인건비'!$S$2:$AG$2,0)),0)</f>
        <v>1</v>
      </c>
      <c r="V19" s="71">
        <f>IFERROR(INDEX('(참조)CS_인건비'!$S$3:$AG$40,MATCH(CS_인건비!$A19,'(참조)CS_인건비'!$S$3:$S$40,0),MATCH('(참조)CS_인건비'!AG$2,'(참조)CS_인건비'!$S$2:$AG$2,0)),0)</f>
        <v>1</v>
      </c>
      <c r="W19" s="71">
        <f>IFERROR(INDEX('(참조)CS_인건비'!$S$3:$AG$40,MATCH(CS_인건비!$A19,'(참조)CS_인건비'!$S$3:$S$40,0),MATCH('(참조)CS_인건비'!AH$2,'(참조)CS_인건비'!$S$2:$AG$2,0)),0)</f>
        <v>0</v>
      </c>
      <c r="X19" s="72">
        <v>0</v>
      </c>
      <c r="Y19" s="72">
        <f>IFERROR(INDEX('(참조)CS_인건비'!$A$3:$O$40,MATCH(CS_인건비!$A19,'(참조)CS_인건비'!$A$3:$A$40,0),MATCH('(참조)CS_인건비'!F$2,'(참조)CS_인건비'!$A$2:$O$2,0)),0)</f>
        <v>2822414</v>
      </c>
      <c r="Z19" s="72">
        <f>IFERROR(INDEX('(참조)CS_인건비'!$A$3:$O$40,MATCH(CS_인건비!$A19,'(참조)CS_인건비'!$A$3:$A$40,0),MATCH('(참조)CS_인건비'!G$2,'(참조)CS_인건비'!$A$2:$O$2,0)),0)</f>
        <v>2893851.4433746398</v>
      </c>
      <c r="AA19" s="72">
        <f>IFERROR(INDEX('(참조)CS_인건비'!$A$3:$O$40,MATCH(CS_인건비!$A19,'(참조)CS_인건비'!$A$3:$A$40,0),MATCH('(참조)CS_인건비'!H$2,'(참조)CS_인건비'!$A$2:$O$2,0)),0)</f>
        <v>2967097.0227335491</v>
      </c>
      <c r="AB19" s="72">
        <f>IFERROR(INDEX('(참조)CS_인건비'!$A$3:$O$40,MATCH(CS_인건비!$A19,'(참조)CS_인건비'!$A$3:$A$40,0),MATCH('(참조)CS_인건비'!I$2,'(참조)CS_인건비'!$A$2:$O$2,0)),0)</f>
        <v>3042196.5033726725</v>
      </c>
      <c r="AC19" s="72">
        <f>IFERROR(INDEX('(참조)CS_인건비'!$A$3:$O$40,MATCH(CS_인건비!$A19,'(참조)CS_인건비'!$A$3:$A$40,0),MATCH('(참조)CS_인건비'!J$2,'(참조)CS_인건비'!$A$2:$O$2,0)),0)</f>
        <v>3119196.8089423776</v>
      </c>
      <c r="AD19" s="72">
        <f>IFERROR(INDEX('(참조)CS_인건비'!$A$3:$O$40,MATCH(CS_인건비!$A19,'(참조)CS_인건비'!$A$3:$A$40,0),MATCH('(참조)CS_인건비'!K$2,'(참조)CS_인건비'!$A$2:$O$2,0)),0)</f>
        <v>3198146.0507662841</v>
      </c>
      <c r="AE19" s="72">
        <f>IFERROR(INDEX('(참조)CS_인건비'!$A$3:$O$40,MATCH(CS_인건비!$A19,'(참조)CS_인건비'!$A$3:$A$40,0),MATCH('(참조)CS_인건비'!L$2,'(참조)CS_인건비'!$A$2:$O$2,0)),0)</f>
        <v>3279093.5579021773</v>
      </c>
      <c r="AF19" s="72">
        <f>IFERROR(INDEX('(참조)CS_인건비'!$A$3:$O$40,MATCH(CS_인건비!$A19,'(참조)CS_인건비'!$A$3:$A$40,0),MATCH('(참조)CS_인건비'!M$2,'(참조)CS_인건비'!$A$2:$O$2,0)),0)</f>
        <v>3362089.9079637853</v>
      </c>
      <c r="AG19" s="72">
        <f>IFERROR(INDEX('(참조)CS_인건비'!$A$3:$O$40,MATCH(CS_인건비!$A19,'(참조)CS_인건비'!$A$3:$A$40,0),MATCH('(참조)CS_인건비'!N$2,'(참조)CS_인건비'!$A$2:$O$2,0)),0)</f>
        <v>3447186.9587226789</v>
      </c>
      <c r="AH19" s="72">
        <f>IFERROR(INDEX('(참조)CS_인건비'!$A$3:$O$40,MATCH(CS_인건비!$A19,'(참조)CS_인건비'!$A$3:$A$40,0),MATCH('(참조)CS_인건비'!O$2,'(참조)CS_인건비'!$A$2:$O$2,0)),0)</f>
        <v>3534437.8805100387</v>
      </c>
      <c r="AI19" s="72">
        <f>IFERROR(INDEX('(참조)CS_인건비'!$A$3:$O$40,MATCH(CS_인건비!$A19,'(참조)CS_인건비'!$A$3:$A$40,0),MATCH('(참조)CS_인건비'!P$2,'(참조)CS_인건비'!$A$2:$O$2,0)),0)</f>
        <v>0</v>
      </c>
      <c r="AJ19" s="72">
        <v>12</v>
      </c>
      <c r="AK19" s="72">
        <v>12</v>
      </c>
      <c r="AL19" s="72">
        <v>12</v>
      </c>
      <c r="AM19" s="72">
        <v>12</v>
      </c>
      <c r="AN19" s="72">
        <v>12</v>
      </c>
      <c r="AO19" s="72">
        <v>12</v>
      </c>
      <c r="AP19" s="72">
        <v>12</v>
      </c>
      <c r="AQ19" s="72">
        <v>12</v>
      </c>
      <c r="AR19" s="72">
        <v>12</v>
      </c>
      <c r="AS19" s="72">
        <v>12</v>
      </c>
      <c r="AT19" s="72">
        <v>12</v>
      </c>
      <c r="AU19" s="73">
        <v>1</v>
      </c>
      <c r="AV19" s="70">
        <v>0</v>
      </c>
      <c r="AW19" s="70">
        <v>0</v>
      </c>
      <c r="AX19" s="56">
        <v>379988521.61145848</v>
      </c>
      <c r="AY19" s="56">
        <v>33868968</v>
      </c>
      <c r="AZ19" s="56">
        <v>34726217.320495687</v>
      </c>
      <c r="BA19" s="56">
        <v>35605164.272802599</v>
      </c>
      <c r="BB19" s="56">
        <v>36506358.040472068</v>
      </c>
      <c r="BC19" s="56">
        <v>37430361.707308531</v>
      </c>
      <c r="BD19" s="56">
        <v>38377752.609195411</v>
      </c>
      <c r="BE19" s="56">
        <v>39349122.694826126</v>
      </c>
      <c r="BF19" s="56">
        <v>40345078.89556542</v>
      </c>
      <c r="BG19" s="56">
        <v>41366243.504672162</v>
      </c>
      <c r="BH19" s="56">
        <v>42413254.566120468</v>
      </c>
      <c r="BI19" s="56">
        <v>0</v>
      </c>
      <c r="BJ19" s="74">
        <v>2822414</v>
      </c>
      <c r="BK19" s="56">
        <v>2822414</v>
      </c>
      <c r="BL19" s="56">
        <v>2822414</v>
      </c>
      <c r="BM19" s="56">
        <v>2822414</v>
      </c>
      <c r="BN19" s="56">
        <v>2822414</v>
      </c>
      <c r="BO19" s="56">
        <v>2822414</v>
      </c>
      <c r="BP19" s="56">
        <v>2822414</v>
      </c>
      <c r="BQ19" s="56">
        <v>2822414</v>
      </c>
      <c r="BR19" s="56">
        <v>2822414</v>
      </c>
      <c r="BS19" s="56">
        <v>2822414</v>
      </c>
      <c r="BT19" s="56">
        <v>2822414</v>
      </c>
      <c r="BU19" s="56">
        <v>2822414</v>
      </c>
      <c r="BV19" s="56">
        <v>2893851.4433746398</v>
      </c>
      <c r="BW19" s="56">
        <v>2893851.4433746398</v>
      </c>
      <c r="BX19" s="56">
        <v>2893851.4433746398</v>
      </c>
      <c r="BY19" s="56">
        <v>2893851.4433746398</v>
      </c>
      <c r="BZ19" s="56">
        <v>2893851.4433746398</v>
      </c>
      <c r="CA19" s="56">
        <v>2893851.4433746398</v>
      </c>
      <c r="CB19" s="56">
        <v>2893851.4433746398</v>
      </c>
      <c r="CC19" s="56">
        <v>2893851.4433746398</v>
      </c>
      <c r="CD19" s="56">
        <v>2893851.4433746398</v>
      </c>
      <c r="CE19" s="56">
        <v>2893851.4433746398</v>
      </c>
      <c r="CF19" s="56">
        <v>2893851.4433746398</v>
      </c>
      <c r="CG19" s="56">
        <v>2893851.4433746398</v>
      </c>
      <c r="CH19" s="56">
        <v>2967097.0227335491</v>
      </c>
      <c r="CI19" s="56">
        <v>2967097.0227335491</v>
      </c>
      <c r="CJ19" s="56">
        <v>2967097.0227335491</v>
      </c>
      <c r="CK19" s="56">
        <v>2967097.0227335491</v>
      </c>
      <c r="CL19" s="56">
        <v>2967097.0227335491</v>
      </c>
      <c r="CM19" s="56">
        <v>2967097.0227335491</v>
      </c>
      <c r="CN19" s="56">
        <v>2967097.0227335491</v>
      </c>
      <c r="CO19" s="56">
        <v>2967097.0227335491</v>
      </c>
      <c r="CP19" s="56">
        <v>2967097.0227335491</v>
      </c>
      <c r="CQ19" s="56">
        <v>2967097.0227335491</v>
      </c>
      <c r="CR19" s="56">
        <v>2967097.0227335491</v>
      </c>
      <c r="CS19" s="56">
        <v>2967097.0227335491</v>
      </c>
      <c r="CT19" s="56">
        <v>3042196.5033726725</v>
      </c>
      <c r="CU19" s="56">
        <v>3042196.5033726725</v>
      </c>
      <c r="CV19" s="56">
        <v>3042196.5033726725</v>
      </c>
      <c r="CW19" s="56">
        <v>3042196.5033726725</v>
      </c>
      <c r="CX19" s="56">
        <v>3042196.5033726725</v>
      </c>
      <c r="CY19" s="56">
        <v>3042196.5033726725</v>
      </c>
      <c r="CZ19" s="56">
        <v>3042196.5033726725</v>
      </c>
      <c r="DA19" s="56">
        <v>3042196.5033726725</v>
      </c>
      <c r="DB19" s="56">
        <v>3042196.5033726725</v>
      </c>
      <c r="DC19" s="56">
        <v>3042196.5033726725</v>
      </c>
      <c r="DD19" s="56">
        <v>3042196.5033726725</v>
      </c>
      <c r="DE19" s="56">
        <v>3042196.5033726725</v>
      </c>
      <c r="DF19" s="56">
        <v>3119196.8089423776</v>
      </c>
      <c r="DG19" s="56">
        <v>3119196.8089423776</v>
      </c>
      <c r="DH19" s="56">
        <v>3119196.8089423776</v>
      </c>
      <c r="DI19" s="56">
        <v>3119196.8089423776</v>
      </c>
      <c r="DJ19" s="56">
        <v>3119196.8089423776</v>
      </c>
      <c r="DK19" s="56">
        <v>3119196.8089423776</v>
      </c>
      <c r="DL19" s="56">
        <v>3119196.8089423776</v>
      </c>
      <c r="DM19" s="56">
        <v>3119196.8089423776</v>
      </c>
      <c r="DN19" s="56">
        <v>3119196.8089423776</v>
      </c>
      <c r="DO19" s="56">
        <v>3119196.8089423776</v>
      </c>
      <c r="DP19" s="56">
        <v>3119196.8089423776</v>
      </c>
      <c r="DQ19" s="56">
        <v>3119196.8089423776</v>
      </c>
      <c r="DR19" s="56">
        <v>3198146.0507662841</v>
      </c>
      <c r="DS19" s="56">
        <v>3198146.0507662841</v>
      </c>
      <c r="DT19" s="56">
        <v>3198146.0507662841</v>
      </c>
      <c r="DU19" s="56">
        <v>3198146.0507662841</v>
      </c>
      <c r="DV19" s="56">
        <v>3198146.0507662841</v>
      </c>
      <c r="DW19" s="56">
        <v>3198146.0507662841</v>
      </c>
      <c r="DX19" s="56">
        <v>3198146.0507662841</v>
      </c>
      <c r="DY19" s="56">
        <v>3198146.0507662841</v>
      </c>
      <c r="DZ19" s="56">
        <v>3198146.0507662841</v>
      </c>
      <c r="EA19" s="56">
        <v>3198146.0507662841</v>
      </c>
      <c r="EB19" s="56">
        <v>3198146.0507662841</v>
      </c>
      <c r="EC19" s="56">
        <v>3198146.0507662841</v>
      </c>
      <c r="ED19" s="56">
        <v>3279093.5579021773</v>
      </c>
      <c r="EE19" s="56">
        <v>3279093.5579021773</v>
      </c>
      <c r="EF19" s="56">
        <v>3279093.5579021773</v>
      </c>
      <c r="EG19" s="56">
        <v>3279093.5579021773</v>
      </c>
      <c r="EH19" s="56">
        <v>3279093.5579021773</v>
      </c>
      <c r="EI19" s="56">
        <v>3279093.5579021773</v>
      </c>
      <c r="EJ19" s="56">
        <v>3279093.5579021773</v>
      </c>
      <c r="EK19" s="56">
        <v>3279093.5579021773</v>
      </c>
      <c r="EL19" s="56">
        <v>3279093.5579021773</v>
      </c>
      <c r="EM19" s="56">
        <v>3279093.5579021773</v>
      </c>
      <c r="EN19" s="56">
        <v>3279093.5579021773</v>
      </c>
      <c r="EO19" s="56">
        <v>3279093.5579021773</v>
      </c>
      <c r="EP19" s="56">
        <v>3362089.9079637853</v>
      </c>
      <c r="EQ19" s="56">
        <v>3362089.9079637853</v>
      </c>
      <c r="ER19" s="56">
        <v>3362089.9079637853</v>
      </c>
      <c r="ES19" s="56">
        <v>3362089.9079637853</v>
      </c>
      <c r="ET19" s="56">
        <v>3362089.9079637853</v>
      </c>
      <c r="EU19" s="56">
        <v>3362089.9079637853</v>
      </c>
      <c r="EV19" s="56">
        <v>3362089.9079637853</v>
      </c>
      <c r="EW19" s="56">
        <v>3362089.9079637853</v>
      </c>
      <c r="EX19" s="56">
        <v>3362089.9079637853</v>
      </c>
      <c r="EY19" s="56">
        <v>3362089.9079637853</v>
      </c>
      <c r="EZ19" s="56">
        <v>3362089.9079637853</v>
      </c>
      <c r="FA19" s="56">
        <v>3362089.9079637853</v>
      </c>
      <c r="FB19" s="56">
        <v>3447186.9587226789</v>
      </c>
      <c r="FC19" s="56">
        <v>3447186.9587226789</v>
      </c>
      <c r="FD19" s="56">
        <v>3447186.9587226789</v>
      </c>
      <c r="FE19" s="56">
        <v>3447186.9587226789</v>
      </c>
      <c r="FF19" s="56">
        <v>3447186.9587226789</v>
      </c>
      <c r="FG19" s="56">
        <v>3447186.9587226789</v>
      </c>
      <c r="FH19" s="56">
        <v>3447186.9587226789</v>
      </c>
      <c r="FI19" s="56">
        <v>3447186.9587226789</v>
      </c>
      <c r="FJ19" s="56">
        <v>3447186.9587226789</v>
      </c>
      <c r="FK19" s="56">
        <v>3447186.9587226789</v>
      </c>
      <c r="FL19" s="56">
        <v>3447186.9587226789</v>
      </c>
      <c r="FM19" s="56">
        <v>3447186.9587226789</v>
      </c>
      <c r="FN19" s="56">
        <v>3534437.8805100387</v>
      </c>
      <c r="FO19" s="56">
        <v>3534437.8805100387</v>
      </c>
      <c r="FP19" s="56">
        <v>3534437.8805100387</v>
      </c>
      <c r="FQ19" s="56">
        <v>3534437.8805100387</v>
      </c>
      <c r="FR19" s="56">
        <v>3534437.8805100387</v>
      </c>
      <c r="FS19" s="56">
        <v>3534437.8805100387</v>
      </c>
      <c r="FT19" s="56">
        <v>3534437.8805100387</v>
      </c>
      <c r="FU19" s="56">
        <v>3534437.8805100387</v>
      </c>
      <c r="FV19" s="56">
        <v>3534437.8805100387</v>
      </c>
      <c r="FW19" s="56">
        <v>3534437.8805100387</v>
      </c>
      <c r="FX19" s="56">
        <v>3534437.8805100387</v>
      </c>
      <c r="FY19" s="56">
        <v>3534437.8805100387</v>
      </c>
      <c r="FZ19" s="56">
        <v>0</v>
      </c>
      <c r="GA19" s="56">
        <v>0</v>
      </c>
      <c r="GB19" s="56">
        <v>0</v>
      </c>
      <c r="GC19" s="56">
        <v>0</v>
      </c>
      <c r="GD19" s="56">
        <v>0</v>
      </c>
      <c r="GE19" s="56">
        <v>0</v>
      </c>
      <c r="GF19" s="56">
        <v>0</v>
      </c>
      <c r="GG19" s="56">
        <v>0</v>
      </c>
      <c r="GH19" s="56">
        <v>0</v>
      </c>
      <c r="GI19" s="56">
        <v>0</v>
      </c>
      <c r="GJ19" s="56">
        <v>0</v>
      </c>
      <c r="GK19" s="85">
        <v>0</v>
      </c>
      <c r="GL19" s="40"/>
    </row>
    <row r="20" spans="1:194" x14ac:dyDescent="0.4">
      <c r="A20" s="84" t="s">
        <v>254</v>
      </c>
      <c r="B20" s="75" t="s">
        <v>256</v>
      </c>
      <c r="C20" s="70" t="s">
        <v>398</v>
      </c>
      <c r="D20" s="70" t="s">
        <v>209</v>
      </c>
      <c r="E20" s="75" t="s">
        <v>193</v>
      </c>
      <c r="F20" s="75" t="s">
        <v>250</v>
      </c>
      <c r="G20" s="75" t="s">
        <v>251</v>
      </c>
      <c r="H20" s="75">
        <v>0</v>
      </c>
      <c r="I20" s="70">
        <v>0</v>
      </c>
      <c r="J20" s="70" t="s">
        <v>210</v>
      </c>
      <c r="K20" s="70">
        <v>0</v>
      </c>
      <c r="L20" s="70" t="s">
        <v>211</v>
      </c>
      <c r="M20" s="71">
        <f>IFERROR(INDEX('(참조)CS_인건비'!$S$3:$AG$40,MATCH(CS_인건비!$A20,'(참조)CS_인건비'!$S$3:$S$40,0),MATCH('(참조)CS_인건비'!X$2,'(참조)CS_인건비'!$S$2:$AG$2,0)),0)</f>
        <v>0</v>
      </c>
      <c r="N20" s="71">
        <f>IFERROR(INDEX('(참조)CS_인건비'!$S$3:$AG$40,MATCH(CS_인건비!$A20,'(참조)CS_인건비'!$S$3:$S$40,0),MATCH('(참조)CS_인건비'!Y$2,'(참조)CS_인건비'!$S$2:$AG$2,0)),0)</f>
        <v>0</v>
      </c>
      <c r="O20" s="71">
        <f>IFERROR(INDEX('(참조)CS_인건비'!$S$3:$AG$40,MATCH(CS_인건비!$A20,'(참조)CS_인건비'!$S$3:$S$40,0),MATCH('(참조)CS_인건비'!Z$2,'(참조)CS_인건비'!$S$2:$AG$2,0)),0)</f>
        <v>0</v>
      </c>
      <c r="P20" s="71">
        <f>IFERROR(INDEX('(참조)CS_인건비'!$S$3:$AG$40,MATCH(CS_인건비!$A20,'(참조)CS_인건비'!$S$3:$S$40,0),MATCH('(참조)CS_인건비'!AA$2,'(참조)CS_인건비'!$S$2:$AG$2,0)),0)</f>
        <v>0</v>
      </c>
      <c r="Q20" s="71">
        <f>IFERROR(INDEX('(참조)CS_인건비'!$S$3:$AG$40,MATCH(CS_인건비!$A20,'(참조)CS_인건비'!$S$3:$S$40,0),MATCH('(참조)CS_인건비'!AB$2,'(참조)CS_인건비'!$S$2:$AG$2,0)),0)</f>
        <v>0</v>
      </c>
      <c r="R20" s="71">
        <f>IFERROR(INDEX('(참조)CS_인건비'!$S$3:$AG$40,MATCH(CS_인건비!$A20,'(참조)CS_인건비'!$S$3:$S$40,0),MATCH('(참조)CS_인건비'!AC$2,'(참조)CS_인건비'!$S$2:$AG$2,0)),0)</f>
        <v>0</v>
      </c>
      <c r="S20" s="71">
        <f>IFERROR(INDEX('(참조)CS_인건비'!$S$3:$AG$40,MATCH(CS_인건비!$A20,'(참조)CS_인건비'!$S$3:$S$40,0),MATCH('(참조)CS_인건비'!AD$2,'(참조)CS_인건비'!$S$2:$AG$2,0)),0)</f>
        <v>0</v>
      </c>
      <c r="T20" s="71">
        <f>IFERROR(INDEX('(참조)CS_인건비'!$S$3:$AG$40,MATCH(CS_인건비!$A20,'(참조)CS_인건비'!$S$3:$S$40,0),MATCH('(참조)CS_인건비'!AE$2,'(참조)CS_인건비'!$S$2:$AG$2,0)),0)</f>
        <v>0</v>
      </c>
      <c r="U20" s="71">
        <f>IFERROR(INDEX('(참조)CS_인건비'!$S$3:$AG$40,MATCH(CS_인건비!$A20,'(참조)CS_인건비'!$S$3:$S$40,0),MATCH('(참조)CS_인건비'!AF$2,'(참조)CS_인건비'!$S$2:$AG$2,0)),0)</f>
        <v>0</v>
      </c>
      <c r="V20" s="71">
        <f>IFERROR(INDEX('(참조)CS_인건비'!$S$3:$AG$40,MATCH(CS_인건비!$A20,'(참조)CS_인건비'!$S$3:$S$40,0),MATCH('(참조)CS_인건비'!AG$2,'(참조)CS_인건비'!$S$2:$AG$2,0)),0)</f>
        <v>0</v>
      </c>
      <c r="W20" s="71">
        <f>IFERROR(INDEX('(참조)CS_인건비'!$S$3:$AG$40,MATCH(CS_인건비!$A20,'(참조)CS_인건비'!$S$3:$S$40,0),MATCH('(참조)CS_인건비'!AH$2,'(참조)CS_인건비'!$S$2:$AG$2,0)),0)</f>
        <v>0</v>
      </c>
      <c r="X20" s="72">
        <v>0</v>
      </c>
      <c r="Y20" s="72">
        <f>IFERROR(INDEX('(참조)CS_인건비'!$A$3:$O$40,MATCH(CS_인건비!$A20,'(참조)CS_인건비'!$A$3:$A$40,0),MATCH('(참조)CS_인건비'!F$2,'(참조)CS_인건비'!$A$2:$O$2,0)),0)</f>
        <v>2822414</v>
      </c>
      <c r="Z20" s="72">
        <f>IFERROR(INDEX('(참조)CS_인건비'!$A$3:$O$40,MATCH(CS_인건비!$A20,'(참조)CS_인건비'!$A$3:$A$40,0),MATCH('(참조)CS_인건비'!G$2,'(참조)CS_인건비'!$A$2:$O$2,0)),0)</f>
        <v>2893851.4433746398</v>
      </c>
      <c r="AA20" s="72">
        <f>IFERROR(INDEX('(참조)CS_인건비'!$A$3:$O$40,MATCH(CS_인건비!$A20,'(참조)CS_인건비'!$A$3:$A$40,0),MATCH('(참조)CS_인건비'!H$2,'(참조)CS_인건비'!$A$2:$O$2,0)),0)</f>
        <v>2967097.0227335491</v>
      </c>
      <c r="AB20" s="72">
        <f>IFERROR(INDEX('(참조)CS_인건비'!$A$3:$O$40,MATCH(CS_인건비!$A20,'(참조)CS_인건비'!$A$3:$A$40,0),MATCH('(참조)CS_인건비'!I$2,'(참조)CS_인건비'!$A$2:$O$2,0)),0)</f>
        <v>3042196.5033726725</v>
      </c>
      <c r="AC20" s="72">
        <f>IFERROR(INDEX('(참조)CS_인건비'!$A$3:$O$40,MATCH(CS_인건비!$A20,'(참조)CS_인건비'!$A$3:$A$40,0),MATCH('(참조)CS_인건비'!J$2,'(참조)CS_인건비'!$A$2:$O$2,0)),0)</f>
        <v>3119196.8089423776</v>
      </c>
      <c r="AD20" s="72">
        <f>IFERROR(INDEX('(참조)CS_인건비'!$A$3:$O$40,MATCH(CS_인건비!$A20,'(참조)CS_인건비'!$A$3:$A$40,0),MATCH('(참조)CS_인건비'!K$2,'(참조)CS_인건비'!$A$2:$O$2,0)),0)</f>
        <v>3198146.0507662841</v>
      </c>
      <c r="AE20" s="72">
        <f>IFERROR(INDEX('(참조)CS_인건비'!$A$3:$O$40,MATCH(CS_인건비!$A20,'(참조)CS_인건비'!$A$3:$A$40,0),MATCH('(참조)CS_인건비'!L$2,'(참조)CS_인건비'!$A$2:$O$2,0)),0)</f>
        <v>3279093.5579021773</v>
      </c>
      <c r="AF20" s="72">
        <f>IFERROR(INDEX('(참조)CS_인건비'!$A$3:$O$40,MATCH(CS_인건비!$A20,'(참조)CS_인건비'!$A$3:$A$40,0),MATCH('(참조)CS_인건비'!M$2,'(참조)CS_인건비'!$A$2:$O$2,0)),0)</f>
        <v>3362089.9079637853</v>
      </c>
      <c r="AG20" s="72">
        <f>IFERROR(INDEX('(참조)CS_인건비'!$A$3:$O$40,MATCH(CS_인건비!$A20,'(참조)CS_인건비'!$A$3:$A$40,0),MATCH('(참조)CS_인건비'!N$2,'(참조)CS_인건비'!$A$2:$O$2,0)),0)</f>
        <v>3447186.9587226789</v>
      </c>
      <c r="AH20" s="72">
        <f>IFERROR(INDEX('(참조)CS_인건비'!$A$3:$O$40,MATCH(CS_인건비!$A20,'(참조)CS_인건비'!$A$3:$A$40,0),MATCH('(참조)CS_인건비'!O$2,'(참조)CS_인건비'!$A$2:$O$2,0)),0)</f>
        <v>3534437.8805100387</v>
      </c>
      <c r="AI20" s="72">
        <f>IFERROR(INDEX('(참조)CS_인건비'!$A$3:$O$40,MATCH(CS_인건비!$A20,'(참조)CS_인건비'!$A$3:$A$40,0),MATCH('(참조)CS_인건비'!P$2,'(참조)CS_인건비'!$A$2:$O$2,0)),0)</f>
        <v>0</v>
      </c>
      <c r="AJ20" s="72">
        <v>12</v>
      </c>
      <c r="AK20" s="72">
        <v>12</v>
      </c>
      <c r="AL20" s="72">
        <v>12</v>
      </c>
      <c r="AM20" s="72">
        <v>12</v>
      </c>
      <c r="AN20" s="72">
        <v>12</v>
      </c>
      <c r="AO20" s="72">
        <v>12</v>
      </c>
      <c r="AP20" s="72">
        <v>12</v>
      </c>
      <c r="AQ20" s="72">
        <v>12</v>
      </c>
      <c r="AR20" s="72">
        <v>12</v>
      </c>
      <c r="AS20" s="72">
        <v>12</v>
      </c>
      <c r="AT20" s="72">
        <v>12</v>
      </c>
      <c r="AU20" s="73">
        <v>1</v>
      </c>
      <c r="AV20" s="70">
        <v>0</v>
      </c>
      <c r="AW20" s="70">
        <v>0</v>
      </c>
      <c r="AX20" s="56">
        <v>0</v>
      </c>
      <c r="AY20" s="56">
        <v>0</v>
      </c>
      <c r="AZ20" s="56">
        <v>0</v>
      </c>
      <c r="BA20" s="56">
        <v>0</v>
      </c>
      <c r="BB20" s="56">
        <v>0</v>
      </c>
      <c r="BC20" s="56">
        <v>0</v>
      </c>
      <c r="BD20" s="56">
        <v>0</v>
      </c>
      <c r="BE20" s="56">
        <v>0</v>
      </c>
      <c r="BF20" s="56">
        <v>0</v>
      </c>
      <c r="BG20" s="56">
        <v>0</v>
      </c>
      <c r="BH20" s="56">
        <v>0</v>
      </c>
      <c r="BI20" s="56">
        <v>0</v>
      </c>
      <c r="BJ20" s="74">
        <v>0</v>
      </c>
      <c r="BK20" s="56">
        <v>0</v>
      </c>
      <c r="BL20" s="56">
        <v>0</v>
      </c>
      <c r="BM20" s="56">
        <v>0</v>
      </c>
      <c r="BN20" s="56">
        <v>0</v>
      </c>
      <c r="BO20" s="56">
        <v>0</v>
      </c>
      <c r="BP20" s="56">
        <v>0</v>
      </c>
      <c r="BQ20" s="56">
        <v>0</v>
      </c>
      <c r="BR20" s="56">
        <v>0</v>
      </c>
      <c r="BS20" s="56">
        <v>0</v>
      </c>
      <c r="BT20" s="56">
        <v>0</v>
      </c>
      <c r="BU20" s="56">
        <v>0</v>
      </c>
      <c r="BV20" s="56">
        <v>0</v>
      </c>
      <c r="BW20" s="56">
        <v>0</v>
      </c>
      <c r="BX20" s="56">
        <v>0</v>
      </c>
      <c r="BY20" s="56">
        <v>0</v>
      </c>
      <c r="BZ20" s="56">
        <v>0</v>
      </c>
      <c r="CA20" s="56">
        <v>0</v>
      </c>
      <c r="CB20" s="56">
        <v>0</v>
      </c>
      <c r="CC20" s="56">
        <v>0</v>
      </c>
      <c r="CD20" s="56">
        <v>0</v>
      </c>
      <c r="CE20" s="56">
        <v>0</v>
      </c>
      <c r="CF20" s="56">
        <v>0</v>
      </c>
      <c r="CG20" s="56">
        <v>0</v>
      </c>
      <c r="CH20" s="56">
        <v>0</v>
      </c>
      <c r="CI20" s="56">
        <v>0</v>
      </c>
      <c r="CJ20" s="56">
        <v>0</v>
      </c>
      <c r="CK20" s="56">
        <v>0</v>
      </c>
      <c r="CL20" s="56">
        <v>0</v>
      </c>
      <c r="CM20" s="56">
        <v>0</v>
      </c>
      <c r="CN20" s="56">
        <v>0</v>
      </c>
      <c r="CO20" s="56">
        <v>0</v>
      </c>
      <c r="CP20" s="56">
        <v>0</v>
      </c>
      <c r="CQ20" s="56">
        <v>0</v>
      </c>
      <c r="CR20" s="56">
        <v>0</v>
      </c>
      <c r="CS20" s="56">
        <v>0</v>
      </c>
      <c r="CT20" s="56">
        <v>0</v>
      </c>
      <c r="CU20" s="56">
        <v>0</v>
      </c>
      <c r="CV20" s="56">
        <v>0</v>
      </c>
      <c r="CW20" s="56">
        <v>0</v>
      </c>
      <c r="CX20" s="56">
        <v>0</v>
      </c>
      <c r="CY20" s="56">
        <v>0</v>
      </c>
      <c r="CZ20" s="56">
        <v>0</v>
      </c>
      <c r="DA20" s="56">
        <v>0</v>
      </c>
      <c r="DB20" s="56">
        <v>0</v>
      </c>
      <c r="DC20" s="56">
        <v>0</v>
      </c>
      <c r="DD20" s="56">
        <v>0</v>
      </c>
      <c r="DE20" s="56">
        <v>0</v>
      </c>
      <c r="DF20" s="56">
        <v>0</v>
      </c>
      <c r="DG20" s="56">
        <v>0</v>
      </c>
      <c r="DH20" s="56">
        <v>0</v>
      </c>
      <c r="DI20" s="56">
        <v>0</v>
      </c>
      <c r="DJ20" s="56">
        <v>0</v>
      </c>
      <c r="DK20" s="56">
        <v>0</v>
      </c>
      <c r="DL20" s="56">
        <v>0</v>
      </c>
      <c r="DM20" s="56">
        <v>0</v>
      </c>
      <c r="DN20" s="56">
        <v>0</v>
      </c>
      <c r="DO20" s="56">
        <v>0</v>
      </c>
      <c r="DP20" s="56">
        <v>0</v>
      </c>
      <c r="DQ20" s="56">
        <v>0</v>
      </c>
      <c r="DR20" s="56">
        <v>0</v>
      </c>
      <c r="DS20" s="56">
        <v>0</v>
      </c>
      <c r="DT20" s="56">
        <v>0</v>
      </c>
      <c r="DU20" s="56">
        <v>0</v>
      </c>
      <c r="DV20" s="56">
        <v>0</v>
      </c>
      <c r="DW20" s="56">
        <v>0</v>
      </c>
      <c r="DX20" s="56">
        <v>0</v>
      </c>
      <c r="DY20" s="56">
        <v>0</v>
      </c>
      <c r="DZ20" s="56">
        <v>0</v>
      </c>
      <c r="EA20" s="56">
        <v>0</v>
      </c>
      <c r="EB20" s="56">
        <v>0</v>
      </c>
      <c r="EC20" s="56">
        <v>0</v>
      </c>
      <c r="ED20" s="56">
        <v>0</v>
      </c>
      <c r="EE20" s="56">
        <v>0</v>
      </c>
      <c r="EF20" s="56">
        <v>0</v>
      </c>
      <c r="EG20" s="56">
        <v>0</v>
      </c>
      <c r="EH20" s="56">
        <v>0</v>
      </c>
      <c r="EI20" s="56">
        <v>0</v>
      </c>
      <c r="EJ20" s="56">
        <v>0</v>
      </c>
      <c r="EK20" s="56">
        <v>0</v>
      </c>
      <c r="EL20" s="56">
        <v>0</v>
      </c>
      <c r="EM20" s="56">
        <v>0</v>
      </c>
      <c r="EN20" s="56">
        <v>0</v>
      </c>
      <c r="EO20" s="56">
        <v>0</v>
      </c>
      <c r="EP20" s="56">
        <v>0</v>
      </c>
      <c r="EQ20" s="56">
        <v>0</v>
      </c>
      <c r="ER20" s="56">
        <v>0</v>
      </c>
      <c r="ES20" s="56">
        <v>0</v>
      </c>
      <c r="ET20" s="56">
        <v>0</v>
      </c>
      <c r="EU20" s="56">
        <v>0</v>
      </c>
      <c r="EV20" s="56">
        <v>0</v>
      </c>
      <c r="EW20" s="56">
        <v>0</v>
      </c>
      <c r="EX20" s="56">
        <v>0</v>
      </c>
      <c r="EY20" s="56">
        <v>0</v>
      </c>
      <c r="EZ20" s="56">
        <v>0</v>
      </c>
      <c r="FA20" s="56">
        <v>0</v>
      </c>
      <c r="FB20" s="56">
        <v>0</v>
      </c>
      <c r="FC20" s="56">
        <v>0</v>
      </c>
      <c r="FD20" s="56">
        <v>0</v>
      </c>
      <c r="FE20" s="56">
        <v>0</v>
      </c>
      <c r="FF20" s="56">
        <v>0</v>
      </c>
      <c r="FG20" s="56">
        <v>0</v>
      </c>
      <c r="FH20" s="56">
        <v>0</v>
      </c>
      <c r="FI20" s="56">
        <v>0</v>
      </c>
      <c r="FJ20" s="56">
        <v>0</v>
      </c>
      <c r="FK20" s="56">
        <v>0</v>
      </c>
      <c r="FL20" s="56">
        <v>0</v>
      </c>
      <c r="FM20" s="56">
        <v>0</v>
      </c>
      <c r="FN20" s="56">
        <v>0</v>
      </c>
      <c r="FO20" s="56">
        <v>0</v>
      </c>
      <c r="FP20" s="56">
        <v>0</v>
      </c>
      <c r="FQ20" s="56">
        <v>0</v>
      </c>
      <c r="FR20" s="56">
        <v>0</v>
      </c>
      <c r="FS20" s="56">
        <v>0</v>
      </c>
      <c r="FT20" s="56">
        <v>0</v>
      </c>
      <c r="FU20" s="56">
        <v>0</v>
      </c>
      <c r="FV20" s="56">
        <v>0</v>
      </c>
      <c r="FW20" s="56">
        <v>0</v>
      </c>
      <c r="FX20" s="56">
        <v>0</v>
      </c>
      <c r="FY20" s="56">
        <v>0</v>
      </c>
      <c r="FZ20" s="56">
        <v>0</v>
      </c>
      <c r="GA20" s="56">
        <v>0</v>
      </c>
      <c r="GB20" s="56">
        <v>0</v>
      </c>
      <c r="GC20" s="56">
        <v>0</v>
      </c>
      <c r="GD20" s="56">
        <v>0</v>
      </c>
      <c r="GE20" s="56">
        <v>0</v>
      </c>
      <c r="GF20" s="56">
        <v>0</v>
      </c>
      <c r="GG20" s="56">
        <v>0</v>
      </c>
      <c r="GH20" s="56">
        <v>0</v>
      </c>
      <c r="GI20" s="56">
        <v>0</v>
      </c>
      <c r="GJ20" s="56">
        <v>0</v>
      </c>
      <c r="GK20" s="85">
        <v>0</v>
      </c>
      <c r="GL20" s="40"/>
    </row>
    <row r="21" spans="1:194" x14ac:dyDescent="0.4">
      <c r="A21" s="84" t="s">
        <v>258</v>
      </c>
      <c r="B21" s="75" t="s">
        <v>256</v>
      </c>
      <c r="C21" s="70" t="s">
        <v>398</v>
      </c>
      <c r="D21" s="70" t="s">
        <v>209</v>
      </c>
      <c r="E21" s="75" t="s">
        <v>175</v>
      </c>
      <c r="F21" s="75" t="s">
        <v>250</v>
      </c>
      <c r="G21" s="75" t="s">
        <v>175</v>
      </c>
      <c r="H21" s="75">
        <v>0</v>
      </c>
      <c r="I21" s="70">
        <v>0</v>
      </c>
      <c r="J21" s="70" t="s">
        <v>210</v>
      </c>
      <c r="K21" s="70">
        <v>0</v>
      </c>
      <c r="L21" s="70" t="s">
        <v>211</v>
      </c>
      <c r="M21" s="71">
        <f>IFERROR(INDEX('(참조)CS_인건비'!$S$3:$AG$40,MATCH(CS_인건비!$A21,'(참조)CS_인건비'!$S$3:$S$40,0),MATCH('(참조)CS_인건비'!X$2,'(참조)CS_인건비'!$S$2:$AG$2,0)),0)</f>
        <v>19.5</v>
      </c>
      <c r="N21" s="71">
        <f>IFERROR(INDEX('(참조)CS_인건비'!$S$3:$AG$40,MATCH(CS_인건비!$A21,'(참조)CS_인건비'!$S$3:$S$40,0),MATCH('(참조)CS_인건비'!Y$2,'(참조)CS_인건비'!$S$2:$AG$2,0)),0)</f>
        <v>34</v>
      </c>
      <c r="O21" s="71">
        <f>IFERROR(INDEX('(참조)CS_인건비'!$S$3:$AG$40,MATCH(CS_인건비!$A21,'(참조)CS_인건비'!$S$3:$S$40,0),MATCH('(참조)CS_인건비'!Z$2,'(참조)CS_인건비'!$S$2:$AG$2,0)),0)</f>
        <v>34</v>
      </c>
      <c r="P21" s="71">
        <f>IFERROR(INDEX('(참조)CS_인건비'!$S$3:$AG$40,MATCH(CS_인건비!$A21,'(참조)CS_인건비'!$S$3:$S$40,0),MATCH('(참조)CS_인건비'!AA$2,'(참조)CS_인건비'!$S$2:$AG$2,0)),0)</f>
        <v>34</v>
      </c>
      <c r="Q21" s="71">
        <f>IFERROR(INDEX('(참조)CS_인건비'!$S$3:$AG$40,MATCH(CS_인건비!$A21,'(참조)CS_인건비'!$S$3:$S$40,0),MATCH('(참조)CS_인건비'!AB$2,'(참조)CS_인건비'!$S$2:$AG$2,0)),0)</f>
        <v>34</v>
      </c>
      <c r="R21" s="71">
        <f>IFERROR(INDEX('(참조)CS_인건비'!$S$3:$AG$40,MATCH(CS_인건비!$A21,'(참조)CS_인건비'!$S$3:$S$40,0),MATCH('(참조)CS_인건비'!AC$2,'(참조)CS_인건비'!$S$2:$AG$2,0)),0)</f>
        <v>34</v>
      </c>
      <c r="S21" s="71">
        <f>IFERROR(INDEX('(참조)CS_인건비'!$S$3:$AG$40,MATCH(CS_인건비!$A21,'(참조)CS_인건비'!$S$3:$S$40,0),MATCH('(참조)CS_인건비'!AD$2,'(참조)CS_인건비'!$S$2:$AG$2,0)),0)</f>
        <v>34</v>
      </c>
      <c r="T21" s="71">
        <f>IFERROR(INDEX('(참조)CS_인건비'!$S$3:$AG$40,MATCH(CS_인건비!$A21,'(참조)CS_인건비'!$S$3:$S$40,0),MATCH('(참조)CS_인건비'!AE$2,'(참조)CS_인건비'!$S$2:$AG$2,0)),0)</f>
        <v>34</v>
      </c>
      <c r="U21" s="71">
        <f>IFERROR(INDEX('(참조)CS_인건비'!$S$3:$AG$40,MATCH(CS_인건비!$A21,'(참조)CS_인건비'!$S$3:$S$40,0),MATCH('(참조)CS_인건비'!AF$2,'(참조)CS_인건비'!$S$2:$AG$2,0)),0)</f>
        <v>34</v>
      </c>
      <c r="V21" s="71">
        <f>IFERROR(INDEX('(참조)CS_인건비'!$S$3:$AG$40,MATCH(CS_인건비!$A21,'(참조)CS_인건비'!$S$3:$S$40,0),MATCH('(참조)CS_인건비'!AG$2,'(참조)CS_인건비'!$S$2:$AG$2,0)),0)</f>
        <v>34</v>
      </c>
      <c r="W21" s="71">
        <f>IFERROR(INDEX('(참조)CS_인건비'!$S$3:$AG$40,MATCH(CS_인건비!$A21,'(참조)CS_인건비'!$S$3:$S$40,0),MATCH('(참조)CS_인건비'!AH$2,'(참조)CS_인건비'!$S$2:$AG$2,0)),0)</f>
        <v>0</v>
      </c>
      <c r="X21" s="72">
        <v>0</v>
      </c>
      <c r="Y21" s="72">
        <f>IFERROR(INDEX('(참조)CS_인건비'!$A$3:$O$40,MATCH(CS_인건비!$A21,'(참조)CS_인건비'!$A$3:$A$40,0),MATCH('(참조)CS_인건비'!F$2,'(참조)CS_인건비'!$A$2:$O$2,0)),0)</f>
        <v>2475401</v>
      </c>
      <c r="Z21" s="72">
        <f>IFERROR(INDEX('(참조)CS_인건비'!$A$3:$O$40,MATCH(CS_인건비!$A21,'(참조)CS_인건비'!$A$3:$A$40,0),MATCH('(참조)CS_인건비'!G$2,'(참조)CS_인건비'!$A$2:$O$2,0)),0)</f>
        <v>2538055.2806147598</v>
      </c>
      <c r="AA21" s="72">
        <f>IFERROR(INDEX('(참조)CS_인건비'!$A$3:$O$40,MATCH(CS_인건비!$A21,'(참조)CS_인건비'!$A$3:$A$40,0),MATCH('(참조)CS_인건비'!H$2,'(참조)CS_인건비'!$A$2:$O$2,0)),0)</f>
        <v>2602295.3886891324</v>
      </c>
      <c r="AB21" s="72">
        <f>IFERROR(INDEX('(참조)CS_인건비'!$A$3:$O$40,MATCH(CS_인건비!$A21,'(참조)CS_인건비'!$A$3:$A$40,0),MATCH('(참조)CS_인건비'!I$2,'(참조)CS_인건비'!$A$2:$O$2,0)),0)</f>
        <v>2668161.4627213497</v>
      </c>
      <c r="AC21" s="72">
        <f>IFERROR(INDEX('(참조)CS_인건비'!$A$3:$O$40,MATCH(CS_인건비!$A21,'(참조)CS_인건비'!$A$3:$A$40,0),MATCH('(참조)CS_인건비'!J$2,'(참조)CS_인건비'!$A$2:$O$2,0)),0)</f>
        <v>2735694.6571455388</v>
      </c>
      <c r="AD21" s="72">
        <f>IFERROR(INDEX('(참조)CS_인건비'!$A$3:$O$40,MATCH(CS_인건비!$A21,'(참조)CS_인건비'!$A$3:$A$40,0),MATCH('(참조)CS_인건비'!K$2,'(참조)CS_인건비'!$A$2:$O$2,0)),0)</f>
        <v>2804937.1680458318</v>
      </c>
      <c r="AE21" s="72">
        <f>IFERROR(INDEX('(참조)CS_인건비'!$A$3:$O$40,MATCH(CS_인건비!$A21,'(참조)CS_인건비'!$A$3:$A$40,0),MATCH('(참조)CS_인건비'!L$2,'(참조)CS_인건비'!$A$2:$O$2,0)),0)</f>
        <v>2875932.2595213195</v>
      </c>
      <c r="AF21" s="72">
        <f>IFERROR(INDEX('(참조)CS_인건비'!$A$3:$O$40,MATCH(CS_인건비!$A21,'(참조)CS_인건비'!$A$3:$A$40,0),MATCH('(참조)CS_인건비'!M$2,'(참조)CS_인건비'!$A$2:$O$2,0)),0)</f>
        <v>2948724.2907183212</v>
      </c>
      <c r="AG21" s="72">
        <f>IFERROR(INDEX('(참조)CS_인건비'!$A$3:$O$40,MATCH(CS_인건비!$A21,'(참조)CS_인건비'!$A$3:$A$40,0),MATCH('(참조)CS_인건비'!N$2,'(참조)CS_인건비'!$A$2:$O$2,0)),0)</f>
        <v>3023358.7435468626</v>
      </c>
      <c r="AH21" s="72">
        <f>IFERROR(INDEX('(참조)CS_인건비'!$A$3:$O$40,MATCH(CS_인건비!$A21,'(참조)CS_인건비'!$A$3:$A$40,0),MATCH('(참조)CS_인건비'!O$2,'(참조)CS_인건비'!$A$2:$O$2,0)),0)</f>
        <v>3099882.2510986789</v>
      </c>
      <c r="AI21" s="72">
        <f>IFERROR(INDEX('(참조)CS_인건비'!$A$3:$O$40,MATCH(CS_인건비!$A21,'(참조)CS_인건비'!$A$3:$A$40,0),MATCH('(참조)CS_인건비'!P$2,'(참조)CS_인건비'!$A$2:$O$2,0)),0)</f>
        <v>0</v>
      </c>
      <c r="AJ21" s="72">
        <v>12</v>
      </c>
      <c r="AK21" s="72">
        <v>12</v>
      </c>
      <c r="AL21" s="72">
        <v>12</v>
      </c>
      <c r="AM21" s="72">
        <v>12</v>
      </c>
      <c r="AN21" s="72">
        <v>12</v>
      </c>
      <c r="AO21" s="72">
        <v>12</v>
      </c>
      <c r="AP21" s="72">
        <v>12</v>
      </c>
      <c r="AQ21" s="72">
        <v>12</v>
      </c>
      <c r="AR21" s="72">
        <v>12</v>
      </c>
      <c r="AS21" s="72">
        <v>12</v>
      </c>
      <c r="AT21" s="72">
        <v>12</v>
      </c>
      <c r="AU21" s="73">
        <v>1</v>
      </c>
      <c r="AV21" s="70">
        <v>0</v>
      </c>
      <c r="AW21" s="70">
        <v>0</v>
      </c>
      <c r="AX21" s="56">
        <v>10900436766.857533</v>
      </c>
      <c r="AY21" s="56">
        <v>579243834</v>
      </c>
      <c r="AZ21" s="56">
        <v>1035526554.4908223</v>
      </c>
      <c r="BA21" s="56">
        <v>1061736518.585166</v>
      </c>
      <c r="BB21" s="56">
        <v>1088609876.7903104</v>
      </c>
      <c r="BC21" s="56">
        <v>1116163420.1153798</v>
      </c>
      <c r="BD21" s="56">
        <v>1144414364.5626996</v>
      </c>
      <c r="BE21" s="56">
        <v>1173380361.8846984</v>
      </c>
      <c r="BF21" s="56">
        <v>1203079510.613075</v>
      </c>
      <c r="BG21" s="56">
        <v>1233530367.3671203</v>
      </c>
      <c r="BH21" s="56">
        <v>1264751958.448261</v>
      </c>
      <c r="BI21" s="56">
        <v>0</v>
      </c>
      <c r="BJ21" s="74">
        <v>48270319.5</v>
      </c>
      <c r="BK21" s="56">
        <v>48270319.5</v>
      </c>
      <c r="BL21" s="56">
        <v>48270319.5</v>
      </c>
      <c r="BM21" s="56">
        <v>48270319.5</v>
      </c>
      <c r="BN21" s="56">
        <v>48270319.5</v>
      </c>
      <c r="BO21" s="56">
        <v>48270319.5</v>
      </c>
      <c r="BP21" s="56">
        <v>48270319.5</v>
      </c>
      <c r="BQ21" s="56">
        <v>48270319.5</v>
      </c>
      <c r="BR21" s="56">
        <v>48270319.5</v>
      </c>
      <c r="BS21" s="56">
        <v>48270319.5</v>
      </c>
      <c r="BT21" s="56">
        <v>48270319.5</v>
      </c>
      <c r="BU21" s="56">
        <v>48270319.5</v>
      </c>
      <c r="BV21" s="56">
        <v>86293879.54090184</v>
      </c>
      <c r="BW21" s="56">
        <v>86293879.54090184</v>
      </c>
      <c r="BX21" s="56">
        <v>86293879.54090184</v>
      </c>
      <c r="BY21" s="56">
        <v>86293879.54090184</v>
      </c>
      <c r="BZ21" s="56">
        <v>86293879.54090184</v>
      </c>
      <c r="CA21" s="56">
        <v>86293879.54090184</v>
      </c>
      <c r="CB21" s="56">
        <v>86293879.54090184</v>
      </c>
      <c r="CC21" s="56">
        <v>86293879.54090184</v>
      </c>
      <c r="CD21" s="56">
        <v>86293879.54090184</v>
      </c>
      <c r="CE21" s="56">
        <v>86293879.54090184</v>
      </c>
      <c r="CF21" s="56">
        <v>86293879.54090184</v>
      </c>
      <c r="CG21" s="56">
        <v>86293879.54090184</v>
      </c>
      <c r="CH21" s="56">
        <v>88478043.215430498</v>
      </c>
      <c r="CI21" s="56">
        <v>88478043.215430498</v>
      </c>
      <c r="CJ21" s="56">
        <v>88478043.215430498</v>
      </c>
      <c r="CK21" s="56">
        <v>88478043.215430498</v>
      </c>
      <c r="CL21" s="56">
        <v>88478043.215430498</v>
      </c>
      <c r="CM21" s="56">
        <v>88478043.215430498</v>
      </c>
      <c r="CN21" s="56">
        <v>88478043.215430498</v>
      </c>
      <c r="CO21" s="56">
        <v>88478043.215430498</v>
      </c>
      <c r="CP21" s="56">
        <v>88478043.215430498</v>
      </c>
      <c r="CQ21" s="56">
        <v>88478043.215430498</v>
      </c>
      <c r="CR21" s="56">
        <v>88478043.215430498</v>
      </c>
      <c r="CS21" s="56">
        <v>88478043.215430498</v>
      </c>
      <c r="CT21" s="56">
        <v>90717489.732525885</v>
      </c>
      <c r="CU21" s="56">
        <v>90717489.732525885</v>
      </c>
      <c r="CV21" s="56">
        <v>90717489.732525885</v>
      </c>
      <c r="CW21" s="56">
        <v>90717489.732525885</v>
      </c>
      <c r="CX21" s="56">
        <v>90717489.732525885</v>
      </c>
      <c r="CY21" s="56">
        <v>90717489.732525885</v>
      </c>
      <c r="CZ21" s="56">
        <v>90717489.732525885</v>
      </c>
      <c r="DA21" s="56">
        <v>90717489.732525885</v>
      </c>
      <c r="DB21" s="56">
        <v>90717489.732525885</v>
      </c>
      <c r="DC21" s="56">
        <v>90717489.732525885</v>
      </c>
      <c r="DD21" s="56">
        <v>90717489.732525885</v>
      </c>
      <c r="DE21" s="56">
        <v>90717489.732525885</v>
      </c>
      <c r="DF21" s="56">
        <v>93013618.342948318</v>
      </c>
      <c r="DG21" s="56">
        <v>93013618.342948318</v>
      </c>
      <c r="DH21" s="56">
        <v>93013618.342948318</v>
      </c>
      <c r="DI21" s="56">
        <v>93013618.342948318</v>
      </c>
      <c r="DJ21" s="56">
        <v>93013618.342948318</v>
      </c>
      <c r="DK21" s="56">
        <v>93013618.342948318</v>
      </c>
      <c r="DL21" s="56">
        <v>93013618.342948318</v>
      </c>
      <c r="DM21" s="56">
        <v>93013618.342948318</v>
      </c>
      <c r="DN21" s="56">
        <v>93013618.342948318</v>
      </c>
      <c r="DO21" s="56">
        <v>93013618.342948318</v>
      </c>
      <c r="DP21" s="56">
        <v>93013618.342948318</v>
      </c>
      <c r="DQ21" s="56">
        <v>93013618.342948318</v>
      </c>
      <c r="DR21" s="56">
        <v>95367863.713558286</v>
      </c>
      <c r="DS21" s="56">
        <v>95367863.713558286</v>
      </c>
      <c r="DT21" s="56">
        <v>95367863.713558286</v>
      </c>
      <c r="DU21" s="56">
        <v>95367863.713558286</v>
      </c>
      <c r="DV21" s="56">
        <v>95367863.713558286</v>
      </c>
      <c r="DW21" s="56">
        <v>95367863.713558286</v>
      </c>
      <c r="DX21" s="56">
        <v>95367863.713558286</v>
      </c>
      <c r="DY21" s="56">
        <v>95367863.713558286</v>
      </c>
      <c r="DZ21" s="56">
        <v>95367863.713558286</v>
      </c>
      <c r="EA21" s="56">
        <v>95367863.713558286</v>
      </c>
      <c r="EB21" s="56">
        <v>95367863.713558286</v>
      </c>
      <c r="EC21" s="56">
        <v>95367863.713558286</v>
      </c>
      <c r="ED21" s="56">
        <v>97781696.823724866</v>
      </c>
      <c r="EE21" s="56">
        <v>97781696.823724866</v>
      </c>
      <c r="EF21" s="56">
        <v>97781696.823724866</v>
      </c>
      <c r="EG21" s="56">
        <v>97781696.823724866</v>
      </c>
      <c r="EH21" s="56">
        <v>97781696.823724866</v>
      </c>
      <c r="EI21" s="56">
        <v>97781696.823724866</v>
      </c>
      <c r="EJ21" s="56">
        <v>97781696.823724866</v>
      </c>
      <c r="EK21" s="56">
        <v>97781696.823724866</v>
      </c>
      <c r="EL21" s="56">
        <v>97781696.823724866</v>
      </c>
      <c r="EM21" s="56">
        <v>97781696.823724866</v>
      </c>
      <c r="EN21" s="56">
        <v>97781696.823724866</v>
      </c>
      <c r="EO21" s="56">
        <v>97781696.823724866</v>
      </c>
      <c r="EP21" s="56">
        <v>100256625.88442293</v>
      </c>
      <c r="EQ21" s="56">
        <v>100256625.88442293</v>
      </c>
      <c r="ER21" s="56">
        <v>100256625.88442293</v>
      </c>
      <c r="ES21" s="56">
        <v>100256625.88442293</v>
      </c>
      <c r="ET21" s="56">
        <v>100256625.88442293</v>
      </c>
      <c r="EU21" s="56">
        <v>100256625.88442293</v>
      </c>
      <c r="EV21" s="56">
        <v>100256625.88442293</v>
      </c>
      <c r="EW21" s="56">
        <v>100256625.88442293</v>
      </c>
      <c r="EX21" s="56">
        <v>100256625.88442293</v>
      </c>
      <c r="EY21" s="56">
        <v>100256625.88442293</v>
      </c>
      <c r="EZ21" s="56">
        <v>100256625.88442293</v>
      </c>
      <c r="FA21" s="56">
        <v>100256625.88442293</v>
      </c>
      <c r="FB21" s="56">
        <v>102794197.28059334</v>
      </c>
      <c r="FC21" s="56">
        <v>102794197.28059334</v>
      </c>
      <c r="FD21" s="56">
        <v>102794197.28059334</v>
      </c>
      <c r="FE21" s="56">
        <v>102794197.28059334</v>
      </c>
      <c r="FF21" s="56">
        <v>102794197.28059334</v>
      </c>
      <c r="FG21" s="56">
        <v>102794197.28059334</v>
      </c>
      <c r="FH21" s="56">
        <v>102794197.28059334</v>
      </c>
      <c r="FI21" s="56">
        <v>102794197.28059334</v>
      </c>
      <c r="FJ21" s="56">
        <v>102794197.28059334</v>
      </c>
      <c r="FK21" s="56">
        <v>102794197.28059334</v>
      </c>
      <c r="FL21" s="56">
        <v>102794197.28059334</v>
      </c>
      <c r="FM21" s="56">
        <v>102794197.28059334</v>
      </c>
      <c r="FN21" s="56">
        <v>105395996.53735508</v>
      </c>
      <c r="FO21" s="56">
        <v>105395996.53735508</v>
      </c>
      <c r="FP21" s="56">
        <v>105395996.53735508</v>
      </c>
      <c r="FQ21" s="56">
        <v>105395996.53735508</v>
      </c>
      <c r="FR21" s="56">
        <v>105395996.53735508</v>
      </c>
      <c r="FS21" s="56">
        <v>105395996.53735508</v>
      </c>
      <c r="FT21" s="56">
        <v>105395996.53735508</v>
      </c>
      <c r="FU21" s="56">
        <v>105395996.53735508</v>
      </c>
      <c r="FV21" s="56">
        <v>105395996.53735508</v>
      </c>
      <c r="FW21" s="56">
        <v>105395996.53735508</v>
      </c>
      <c r="FX21" s="56">
        <v>105395996.53735508</v>
      </c>
      <c r="FY21" s="56">
        <v>105395996.53735508</v>
      </c>
      <c r="FZ21" s="56">
        <v>0</v>
      </c>
      <c r="GA21" s="56">
        <v>0</v>
      </c>
      <c r="GB21" s="56">
        <v>0</v>
      </c>
      <c r="GC21" s="56">
        <v>0</v>
      </c>
      <c r="GD21" s="56">
        <v>0</v>
      </c>
      <c r="GE21" s="56">
        <v>0</v>
      </c>
      <c r="GF21" s="56">
        <v>0</v>
      </c>
      <c r="GG21" s="56">
        <v>0</v>
      </c>
      <c r="GH21" s="56">
        <v>0</v>
      </c>
      <c r="GI21" s="56">
        <v>0</v>
      </c>
      <c r="GJ21" s="56">
        <v>0</v>
      </c>
      <c r="GK21" s="85">
        <v>0</v>
      </c>
      <c r="GL21" s="40"/>
    </row>
    <row r="22" spans="1:194" x14ac:dyDescent="0.4">
      <c r="A22" s="84" t="s">
        <v>259</v>
      </c>
      <c r="B22" s="75" t="s">
        <v>256</v>
      </c>
      <c r="C22" s="70" t="s">
        <v>398</v>
      </c>
      <c r="D22" s="70" t="s">
        <v>209</v>
      </c>
      <c r="E22" s="75" t="s">
        <v>175</v>
      </c>
      <c r="F22" s="75" t="s">
        <v>252</v>
      </c>
      <c r="G22" s="75" t="s">
        <v>175</v>
      </c>
      <c r="H22" s="75">
        <v>0</v>
      </c>
      <c r="I22" s="70">
        <v>0</v>
      </c>
      <c r="J22" s="70" t="s">
        <v>210</v>
      </c>
      <c r="K22" s="70">
        <v>0</v>
      </c>
      <c r="L22" s="70" t="s">
        <v>211</v>
      </c>
      <c r="M22" s="71">
        <f>IFERROR(INDEX('(참조)CS_인건비'!$S$3:$AG$40,MATCH(CS_인건비!$A22,'(참조)CS_인건비'!$S$3:$S$40,0),MATCH('(참조)CS_인건비'!X$2,'(참조)CS_인건비'!$S$2:$AG$2,0)),0)</f>
        <v>4</v>
      </c>
      <c r="N22" s="71">
        <f>IFERROR(INDEX('(참조)CS_인건비'!$S$3:$AG$40,MATCH(CS_인건비!$A22,'(참조)CS_인건비'!$S$3:$S$40,0),MATCH('(참조)CS_인건비'!Y$2,'(참조)CS_인건비'!$S$2:$AG$2,0)),0)</f>
        <v>4</v>
      </c>
      <c r="O22" s="71">
        <f>IFERROR(INDEX('(참조)CS_인건비'!$S$3:$AG$40,MATCH(CS_인건비!$A22,'(참조)CS_인건비'!$S$3:$S$40,0),MATCH('(참조)CS_인건비'!Z$2,'(참조)CS_인건비'!$S$2:$AG$2,0)),0)</f>
        <v>4</v>
      </c>
      <c r="P22" s="71">
        <f>IFERROR(INDEX('(참조)CS_인건비'!$S$3:$AG$40,MATCH(CS_인건비!$A22,'(참조)CS_인건비'!$S$3:$S$40,0),MATCH('(참조)CS_인건비'!AA$2,'(참조)CS_인건비'!$S$2:$AG$2,0)),0)</f>
        <v>4</v>
      </c>
      <c r="Q22" s="71">
        <f>IFERROR(INDEX('(참조)CS_인건비'!$S$3:$AG$40,MATCH(CS_인건비!$A22,'(참조)CS_인건비'!$S$3:$S$40,0),MATCH('(참조)CS_인건비'!AB$2,'(참조)CS_인건비'!$S$2:$AG$2,0)),0)</f>
        <v>4</v>
      </c>
      <c r="R22" s="71">
        <f>IFERROR(INDEX('(참조)CS_인건비'!$S$3:$AG$40,MATCH(CS_인건비!$A22,'(참조)CS_인건비'!$S$3:$S$40,0),MATCH('(참조)CS_인건비'!AC$2,'(참조)CS_인건비'!$S$2:$AG$2,0)),0)</f>
        <v>4</v>
      </c>
      <c r="S22" s="71">
        <f>IFERROR(INDEX('(참조)CS_인건비'!$S$3:$AG$40,MATCH(CS_인건비!$A22,'(참조)CS_인건비'!$S$3:$S$40,0),MATCH('(참조)CS_인건비'!AD$2,'(참조)CS_인건비'!$S$2:$AG$2,0)),0)</f>
        <v>4</v>
      </c>
      <c r="T22" s="71">
        <f>IFERROR(INDEX('(참조)CS_인건비'!$S$3:$AG$40,MATCH(CS_인건비!$A22,'(참조)CS_인건비'!$S$3:$S$40,0),MATCH('(참조)CS_인건비'!AE$2,'(참조)CS_인건비'!$S$2:$AG$2,0)),0)</f>
        <v>4</v>
      </c>
      <c r="U22" s="71">
        <f>IFERROR(INDEX('(참조)CS_인건비'!$S$3:$AG$40,MATCH(CS_인건비!$A22,'(참조)CS_인건비'!$S$3:$S$40,0),MATCH('(참조)CS_인건비'!AF$2,'(참조)CS_인건비'!$S$2:$AG$2,0)),0)</f>
        <v>4</v>
      </c>
      <c r="V22" s="71">
        <f>IFERROR(INDEX('(참조)CS_인건비'!$S$3:$AG$40,MATCH(CS_인건비!$A22,'(참조)CS_인건비'!$S$3:$S$40,0),MATCH('(참조)CS_인건비'!AG$2,'(참조)CS_인건비'!$S$2:$AG$2,0)),0)</f>
        <v>4</v>
      </c>
      <c r="W22" s="71">
        <f>IFERROR(INDEX('(참조)CS_인건비'!$S$3:$AG$40,MATCH(CS_인건비!$A22,'(참조)CS_인건비'!$S$3:$S$40,0),MATCH('(참조)CS_인건비'!AH$2,'(참조)CS_인건비'!$S$2:$AG$2,0)),0)</f>
        <v>0</v>
      </c>
      <c r="X22" s="72">
        <v>0</v>
      </c>
      <c r="Y22" s="72">
        <f>IFERROR(INDEX('(참조)CS_인건비'!$A$3:$O$40,MATCH(CS_인건비!$A22,'(참조)CS_인건비'!$A$3:$A$40,0),MATCH('(참조)CS_인건비'!F$2,'(참조)CS_인건비'!$A$2:$O$2,0)),0)</f>
        <v>2810805</v>
      </c>
      <c r="Z22" s="72">
        <f>IFERROR(INDEX('(참조)CS_인건비'!$A$3:$O$40,MATCH(CS_인건비!$A22,'(참조)CS_인건비'!$A$3:$A$40,0),MATCH('(참조)CS_인건비'!G$2,'(참조)CS_인건비'!$A$2:$O$2,0)),0)</f>
        <v>2881948.6107617998</v>
      </c>
      <c r="AA22" s="72">
        <f>IFERROR(INDEX('(참조)CS_인건비'!$A$3:$O$40,MATCH(CS_인건비!$A22,'(참조)CS_인건비'!$A$3:$A$40,0),MATCH('(참조)CS_인건비'!H$2,'(참조)CS_인건비'!$A$2:$O$2,0)),0)</f>
        <v>2954892.9203811251</v>
      </c>
      <c r="AB22" s="72">
        <f>IFERROR(INDEX('(참조)CS_인건비'!$A$3:$O$40,MATCH(CS_인건비!$A22,'(참조)CS_인건비'!$A$3:$A$40,0),MATCH('(참조)CS_인건비'!I$2,'(참조)CS_인건비'!$A$2:$O$2,0)),0)</f>
        <v>3029683.5059145908</v>
      </c>
      <c r="AC22" s="72">
        <f>IFERROR(INDEX('(참조)CS_인건비'!$A$3:$O$40,MATCH(CS_인건비!$A22,'(참조)CS_인건비'!$A$3:$A$40,0),MATCH('(참조)CS_인건비'!J$2,'(참조)CS_인건비'!$A$2:$O$2,0)),0)</f>
        <v>3106367.0980087537</v>
      </c>
      <c r="AD22" s="72">
        <f>IFERROR(INDEX('(참조)CS_인건비'!$A$3:$O$40,MATCH(CS_인건비!$A22,'(참조)CS_인건비'!$A$3:$A$40,0),MATCH('(참조)CS_인건비'!K$2,'(참조)CS_인건비'!$A$2:$O$2,0)),0)</f>
        <v>3184991.6100983499</v>
      </c>
      <c r="AE22" s="72">
        <f>IFERROR(INDEX('(참조)CS_인건비'!$A$3:$O$40,MATCH(CS_인건비!$A22,'(참조)CS_인건비'!$A$3:$A$40,0),MATCH('(참조)CS_인건비'!L$2,'(참조)CS_인건비'!$A$2:$O$2,0)),0)</f>
        <v>3265606.1683435626</v>
      </c>
      <c r="AF22" s="72">
        <f>IFERROR(INDEX('(참조)CS_인건비'!$A$3:$O$40,MATCH(CS_인건비!$A22,'(참조)CS_인건비'!$A$3:$A$40,0),MATCH('(참조)CS_인건비'!M$2,'(참조)CS_인건비'!$A$2:$O$2,0)),0)</f>
        <v>3348261.142325026</v>
      </c>
      <c r="AG22" s="72">
        <f>IFERROR(INDEX('(참조)CS_인건비'!$A$3:$O$40,MATCH(CS_인건비!$A22,'(참조)CS_인건비'!$A$3:$A$40,0),MATCH('(참조)CS_인건비'!N$2,'(참조)CS_인건비'!$A$2:$O$2,0)),0)</f>
        <v>3433008.1765157403</v>
      </c>
      <c r="AH22" s="72">
        <f>IFERROR(INDEX('(참조)CS_인건비'!$A$3:$O$40,MATCH(CS_인건비!$A22,'(참조)CS_인건비'!$A$3:$A$40,0),MATCH('(참조)CS_인건비'!O$2,'(참조)CS_인건비'!$A$2:$O$2,0)),0)</f>
        <v>3519900.2225495679</v>
      </c>
      <c r="AI22" s="72">
        <f>IFERROR(INDEX('(참조)CS_인건비'!$A$3:$O$40,MATCH(CS_인건비!$A22,'(참조)CS_인건비'!$A$3:$A$40,0),MATCH('(참조)CS_인건비'!P$2,'(참조)CS_인건비'!$A$2:$O$2,0)),0)</f>
        <v>0</v>
      </c>
      <c r="AJ22" s="72">
        <v>12</v>
      </c>
      <c r="AK22" s="72">
        <v>12</v>
      </c>
      <c r="AL22" s="72">
        <v>12</v>
      </c>
      <c r="AM22" s="72">
        <v>12</v>
      </c>
      <c r="AN22" s="72">
        <v>12</v>
      </c>
      <c r="AO22" s="72">
        <v>12</v>
      </c>
      <c r="AP22" s="72">
        <v>12</v>
      </c>
      <c r="AQ22" s="72">
        <v>12</v>
      </c>
      <c r="AR22" s="72">
        <v>12</v>
      </c>
      <c r="AS22" s="72">
        <v>12</v>
      </c>
      <c r="AT22" s="72">
        <v>12</v>
      </c>
      <c r="AU22" s="73">
        <v>1</v>
      </c>
      <c r="AV22" s="70">
        <v>0</v>
      </c>
      <c r="AW22" s="70">
        <v>0</v>
      </c>
      <c r="AX22" s="56">
        <v>1513702293.8351283</v>
      </c>
      <c r="AY22" s="56">
        <v>134918640</v>
      </c>
      <c r="AZ22" s="56">
        <v>138333533.31656638</v>
      </c>
      <c r="BA22" s="56">
        <v>141834860.178294</v>
      </c>
      <c r="BB22" s="56">
        <v>145424808.28390035</v>
      </c>
      <c r="BC22" s="56">
        <v>149105620.70442015</v>
      </c>
      <c r="BD22" s="56">
        <v>152879597.28472081</v>
      </c>
      <c r="BE22" s="56">
        <v>156749096.08049101</v>
      </c>
      <c r="BF22" s="56">
        <v>160716534.83160123</v>
      </c>
      <c r="BG22" s="56">
        <v>164784392.47275555</v>
      </c>
      <c r="BH22" s="56">
        <v>168955210.68237925</v>
      </c>
      <c r="BI22" s="56">
        <v>0</v>
      </c>
      <c r="BJ22" s="74">
        <v>11243220</v>
      </c>
      <c r="BK22" s="56">
        <v>11243220</v>
      </c>
      <c r="BL22" s="56">
        <v>11243220</v>
      </c>
      <c r="BM22" s="56">
        <v>11243220</v>
      </c>
      <c r="BN22" s="56">
        <v>11243220</v>
      </c>
      <c r="BO22" s="56">
        <v>11243220</v>
      </c>
      <c r="BP22" s="56">
        <v>11243220</v>
      </c>
      <c r="BQ22" s="56">
        <v>11243220</v>
      </c>
      <c r="BR22" s="56">
        <v>11243220</v>
      </c>
      <c r="BS22" s="56">
        <v>11243220</v>
      </c>
      <c r="BT22" s="56">
        <v>11243220</v>
      </c>
      <c r="BU22" s="56">
        <v>11243220</v>
      </c>
      <c r="BV22" s="56">
        <v>11527794.443047199</v>
      </c>
      <c r="BW22" s="56">
        <v>11527794.443047199</v>
      </c>
      <c r="BX22" s="56">
        <v>11527794.443047199</v>
      </c>
      <c r="BY22" s="56">
        <v>11527794.443047199</v>
      </c>
      <c r="BZ22" s="56">
        <v>11527794.443047199</v>
      </c>
      <c r="CA22" s="56">
        <v>11527794.443047199</v>
      </c>
      <c r="CB22" s="56">
        <v>11527794.443047199</v>
      </c>
      <c r="CC22" s="56">
        <v>11527794.443047199</v>
      </c>
      <c r="CD22" s="56">
        <v>11527794.443047199</v>
      </c>
      <c r="CE22" s="56">
        <v>11527794.443047199</v>
      </c>
      <c r="CF22" s="56">
        <v>11527794.443047199</v>
      </c>
      <c r="CG22" s="56">
        <v>11527794.443047199</v>
      </c>
      <c r="CH22" s="56">
        <v>11819571.6815245</v>
      </c>
      <c r="CI22" s="56">
        <v>11819571.6815245</v>
      </c>
      <c r="CJ22" s="56">
        <v>11819571.6815245</v>
      </c>
      <c r="CK22" s="56">
        <v>11819571.6815245</v>
      </c>
      <c r="CL22" s="56">
        <v>11819571.6815245</v>
      </c>
      <c r="CM22" s="56">
        <v>11819571.6815245</v>
      </c>
      <c r="CN22" s="56">
        <v>11819571.6815245</v>
      </c>
      <c r="CO22" s="56">
        <v>11819571.6815245</v>
      </c>
      <c r="CP22" s="56">
        <v>11819571.6815245</v>
      </c>
      <c r="CQ22" s="56">
        <v>11819571.6815245</v>
      </c>
      <c r="CR22" s="56">
        <v>11819571.6815245</v>
      </c>
      <c r="CS22" s="56">
        <v>11819571.6815245</v>
      </c>
      <c r="CT22" s="56">
        <v>12118734.023658363</v>
      </c>
      <c r="CU22" s="56">
        <v>12118734.023658363</v>
      </c>
      <c r="CV22" s="56">
        <v>12118734.023658363</v>
      </c>
      <c r="CW22" s="56">
        <v>12118734.023658363</v>
      </c>
      <c r="CX22" s="56">
        <v>12118734.023658363</v>
      </c>
      <c r="CY22" s="56">
        <v>12118734.023658363</v>
      </c>
      <c r="CZ22" s="56">
        <v>12118734.023658363</v>
      </c>
      <c r="DA22" s="56">
        <v>12118734.023658363</v>
      </c>
      <c r="DB22" s="56">
        <v>12118734.023658363</v>
      </c>
      <c r="DC22" s="56">
        <v>12118734.023658363</v>
      </c>
      <c r="DD22" s="56">
        <v>12118734.023658363</v>
      </c>
      <c r="DE22" s="56">
        <v>12118734.023658363</v>
      </c>
      <c r="DF22" s="56">
        <v>12425468.392035015</v>
      </c>
      <c r="DG22" s="56">
        <v>12425468.392035015</v>
      </c>
      <c r="DH22" s="56">
        <v>12425468.392035015</v>
      </c>
      <c r="DI22" s="56">
        <v>12425468.392035015</v>
      </c>
      <c r="DJ22" s="56">
        <v>12425468.392035015</v>
      </c>
      <c r="DK22" s="56">
        <v>12425468.392035015</v>
      </c>
      <c r="DL22" s="56">
        <v>12425468.392035015</v>
      </c>
      <c r="DM22" s="56">
        <v>12425468.392035015</v>
      </c>
      <c r="DN22" s="56">
        <v>12425468.392035015</v>
      </c>
      <c r="DO22" s="56">
        <v>12425468.392035015</v>
      </c>
      <c r="DP22" s="56">
        <v>12425468.392035015</v>
      </c>
      <c r="DQ22" s="56">
        <v>12425468.392035015</v>
      </c>
      <c r="DR22" s="56">
        <v>12739966.440393399</v>
      </c>
      <c r="DS22" s="56">
        <v>12739966.440393399</v>
      </c>
      <c r="DT22" s="56">
        <v>12739966.440393399</v>
      </c>
      <c r="DU22" s="56">
        <v>12739966.440393399</v>
      </c>
      <c r="DV22" s="56">
        <v>12739966.440393399</v>
      </c>
      <c r="DW22" s="56">
        <v>12739966.440393399</v>
      </c>
      <c r="DX22" s="56">
        <v>12739966.440393399</v>
      </c>
      <c r="DY22" s="56">
        <v>12739966.440393399</v>
      </c>
      <c r="DZ22" s="56">
        <v>12739966.440393399</v>
      </c>
      <c r="EA22" s="56">
        <v>12739966.440393399</v>
      </c>
      <c r="EB22" s="56">
        <v>12739966.440393399</v>
      </c>
      <c r="EC22" s="56">
        <v>12739966.440393399</v>
      </c>
      <c r="ED22" s="56">
        <v>13062424.673374251</v>
      </c>
      <c r="EE22" s="56">
        <v>13062424.673374251</v>
      </c>
      <c r="EF22" s="56">
        <v>13062424.673374251</v>
      </c>
      <c r="EG22" s="56">
        <v>13062424.673374251</v>
      </c>
      <c r="EH22" s="56">
        <v>13062424.673374251</v>
      </c>
      <c r="EI22" s="56">
        <v>13062424.673374251</v>
      </c>
      <c r="EJ22" s="56">
        <v>13062424.673374251</v>
      </c>
      <c r="EK22" s="56">
        <v>13062424.673374251</v>
      </c>
      <c r="EL22" s="56">
        <v>13062424.673374251</v>
      </c>
      <c r="EM22" s="56">
        <v>13062424.673374251</v>
      </c>
      <c r="EN22" s="56">
        <v>13062424.673374251</v>
      </c>
      <c r="EO22" s="56">
        <v>13062424.673374251</v>
      </c>
      <c r="EP22" s="56">
        <v>13393044.569300104</v>
      </c>
      <c r="EQ22" s="56">
        <v>13393044.569300104</v>
      </c>
      <c r="ER22" s="56">
        <v>13393044.569300104</v>
      </c>
      <c r="ES22" s="56">
        <v>13393044.569300104</v>
      </c>
      <c r="ET22" s="56">
        <v>13393044.569300104</v>
      </c>
      <c r="EU22" s="56">
        <v>13393044.569300104</v>
      </c>
      <c r="EV22" s="56">
        <v>13393044.569300104</v>
      </c>
      <c r="EW22" s="56">
        <v>13393044.569300104</v>
      </c>
      <c r="EX22" s="56">
        <v>13393044.569300104</v>
      </c>
      <c r="EY22" s="56">
        <v>13393044.569300104</v>
      </c>
      <c r="EZ22" s="56">
        <v>13393044.569300104</v>
      </c>
      <c r="FA22" s="56">
        <v>13393044.569300104</v>
      </c>
      <c r="FB22" s="56">
        <v>13732032.706062961</v>
      </c>
      <c r="FC22" s="56">
        <v>13732032.706062961</v>
      </c>
      <c r="FD22" s="56">
        <v>13732032.706062961</v>
      </c>
      <c r="FE22" s="56">
        <v>13732032.706062961</v>
      </c>
      <c r="FF22" s="56">
        <v>13732032.706062961</v>
      </c>
      <c r="FG22" s="56">
        <v>13732032.706062961</v>
      </c>
      <c r="FH22" s="56">
        <v>13732032.706062961</v>
      </c>
      <c r="FI22" s="56">
        <v>13732032.706062961</v>
      </c>
      <c r="FJ22" s="56">
        <v>13732032.706062961</v>
      </c>
      <c r="FK22" s="56">
        <v>13732032.706062961</v>
      </c>
      <c r="FL22" s="56">
        <v>13732032.706062961</v>
      </c>
      <c r="FM22" s="56">
        <v>13732032.706062961</v>
      </c>
      <c r="FN22" s="56">
        <v>14079600.890198272</v>
      </c>
      <c r="FO22" s="56">
        <v>14079600.890198272</v>
      </c>
      <c r="FP22" s="56">
        <v>14079600.890198272</v>
      </c>
      <c r="FQ22" s="56">
        <v>14079600.890198272</v>
      </c>
      <c r="FR22" s="56">
        <v>14079600.890198272</v>
      </c>
      <c r="FS22" s="56">
        <v>14079600.890198272</v>
      </c>
      <c r="FT22" s="56">
        <v>14079600.890198272</v>
      </c>
      <c r="FU22" s="56">
        <v>14079600.890198272</v>
      </c>
      <c r="FV22" s="56">
        <v>14079600.890198272</v>
      </c>
      <c r="FW22" s="56">
        <v>14079600.890198272</v>
      </c>
      <c r="FX22" s="56">
        <v>14079600.890198272</v>
      </c>
      <c r="FY22" s="56">
        <v>14079600.890198272</v>
      </c>
      <c r="FZ22" s="56">
        <v>0</v>
      </c>
      <c r="GA22" s="56">
        <v>0</v>
      </c>
      <c r="GB22" s="56">
        <v>0</v>
      </c>
      <c r="GC22" s="56">
        <v>0</v>
      </c>
      <c r="GD22" s="56">
        <v>0</v>
      </c>
      <c r="GE22" s="56">
        <v>0</v>
      </c>
      <c r="GF22" s="56">
        <v>0</v>
      </c>
      <c r="GG22" s="56">
        <v>0</v>
      </c>
      <c r="GH22" s="56">
        <v>0</v>
      </c>
      <c r="GI22" s="56">
        <v>0</v>
      </c>
      <c r="GJ22" s="56">
        <v>0</v>
      </c>
      <c r="GK22" s="85">
        <v>0</v>
      </c>
      <c r="GL22" s="40"/>
    </row>
    <row r="23" spans="1:194" x14ac:dyDescent="0.4">
      <c r="A23" s="84" t="s">
        <v>260</v>
      </c>
      <c r="B23" s="75" t="s">
        <v>256</v>
      </c>
      <c r="C23" s="70" t="s">
        <v>398</v>
      </c>
      <c r="D23" s="70" t="s">
        <v>209</v>
      </c>
      <c r="E23" s="75" t="s">
        <v>175</v>
      </c>
      <c r="F23" s="75" t="s">
        <v>252</v>
      </c>
      <c r="G23" s="75" t="s">
        <v>253</v>
      </c>
      <c r="H23" s="75">
        <v>0</v>
      </c>
      <c r="I23" s="70">
        <v>0</v>
      </c>
      <c r="J23" s="70" t="s">
        <v>210</v>
      </c>
      <c r="K23" s="70">
        <v>0</v>
      </c>
      <c r="L23" s="70" t="s">
        <v>211</v>
      </c>
      <c r="M23" s="71">
        <f>IFERROR(INDEX('(참조)CS_인건비'!$S$3:$AG$40,MATCH(CS_인건비!$A23,'(참조)CS_인건비'!$S$3:$S$40,0),MATCH('(참조)CS_인건비'!X$2,'(참조)CS_인건비'!$S$2:$AG$2,0)),0)</f>
        <v>2</v>
      </c>
      <c r="N23" s="71">
        <f>IFERROR(INDEX('(참조)CS_인건비'!$S$3:$AG$40,MATCH(CS_인건비!$A23,'(참조)CS_인건비'!$S$3:$S$40,0),MATCH('(참조)CS_인건비'!Y$2,'(참조)CS_인건비'!$S$2:$AG$2,0)),0)</f>
        <v>2</v>
      </c>
      <c r="O23" s="71">
        <f>IFERROR(INDEX('(참조)CS_인건비'!$S$3:$AG$40,MATCH(CS_인건비!$A23,'(참조)CS_인건비'!$S$3:$S$40,0),MATCH('(참조)CS_인건비'!Z$2,'(참조)CS_인건비'!$S$2:$AG$2,0)),0)</f>
        <v>2</v>
      </c>
      <c r="P23" s="71">
        <f>IFERROR(INDEX('(참조)CS_인건비'!$S$3:$AG$40,MATCH(CS_인건비!$A23,'(참조)CS_인건비'!$S$3:$S$40,0),MATCH('(참조)CS_인건비'!AA$2,'(참조)CS_인건비'!$S$2:$AG$2,0)),0)</f>
        <v>2</v>
      </c>
      <c r="Q23" s="71">
        <f>IFERROR(INDEX('(참조)CS_인건비'!$S$3:$AG$40,MATCH(CS_인건비!$A23,'(참조)CS_인건비'!$S$3:$S$40,0),MATCH('(참조)CS_인건비'!AB$2,'(참조)CS_인건비'!$S$2:$AG$2,0)),0)</f>
        <v>2</v>
      </c>
      <c r="R23" s="71">
        <f>IFERROR(INDEX('(참조)CS_인건비'!$S$3:$AG$40,MATCH(CS_인건비!$A23,'(참조)CS_인건비'!$S$3:$S$40,0),MATCH('(참조)CS_인건비'!AC$2,'(참조)CS_인건비'!$S$2:$AG$2,0)),0)</f>
        <v>2</v>
      </c>
      <c r="S23" s="71">
        <f>IFERROR(INDEX('(참조)CS_인건비'!$S$3:$AG$40,MATCH(CS_인건비!$A23,'(참조)CS_인건비'!$S$3:$S$40,0),MATCH('(참조)CS_인건비'!AD$2,'(참조)CS_인건비'!$S$2:$AG$2,0)),0)</f>
        <v>2</v>
      </c>
      <c r="T23" s="71">
        <f>IFERROR(INDEX('(참조)CS_인건비'!$S$3:$AG$40,MATCH(CS_인건비!$A23,'(참조)CS_인건비'!$S$3:$S$40,0),MATCH('(참조)CS_인건비'!AE$2,'(참조)CS_인건비'!$S$2:$AG$2,0)),0)</f>
        <v>2</v>
      </c>
      <c r="U23" s="71">
        <f>IFERROR(INDEX('(참조)CS_인건비'!$S$3:$AG$40,MATCH(CS_인건비!$A23,'(참조)CS_인건비'!$S$3:$S$40,0),MATCH('(참조)CS_인건비'!AF$2,'(참조)CS_인건비'!$S$2:$AG$2,0)),0)</f>
        <v>2</v>
      </c>
      <c r="V23" s="71">
        <f>IFERROR(INDEX('(참조)CS_인건비'!$S$3:$AG$40,MATCH(CS_인건비!$A23,'(참조)CS_인건비'!$S$3:$S$40,0),MATCH('(참조)CS_인건비'!AG$2,'(참조)CS_인건비'!$S$2:$AG$2,0)),0)</f>
        <v>2</v>
      </c>
      <c r="W23" s="71">
        <f>IFERROR(INDEX('(참조)CS_인건비'!$S$3:$AG$40,MATCH(CS_인건비!$A23,'(참조)CS_인건비'!$S$3:$S$40,0),MATCH('(참조)CS_인건비'!AH$2,'(참조)CS_인건비'!$S$2:$AG$2,0)),0)</f>
        <v>0</v>
      </c>
      <c r="X23" s="72">
        <v>0</v>
      </c>
      <c r="Y23" s="72">
        <f>IFERROR(INDEX('(참조)CS_인건비'!$A$3:$O$40,MATCH(CS_인건비!$A23,'(참조)CS_인건비'!$A$3:$A$40,0),MATCH('(참조)CS_인건비'!F$2,'(참조)CS_인건비'!$A$2:$O$2,0)),0)</f>
        <v>2268632</v>
      </c>
      <c r="Z23" s="72">
        <f>IFERROR(INDEX('(참조)CS_인건비'!$A$3:$O$40,MATCH(CS_인건비!$A23,'(참조)CS_인건비'!$A$3:$A$40,0),MATCH('(참조)CS_인건비'!G$2,'(참조)CS_인건비'!$A$2:$O$2,0)),0)</f>
        <v>2326052.8000803199</v>
      </c>
      <c r="AA23" s="72">
        <f>IFERROR(INDEX('(참조)CS_인건비'!$A$3:$O$40,MATCH(CS_인건비!$A23,'(참조)CS_인건비'!$A$3:$A$40,0),MATCH('(참조)CS_인건비'!H$2,'(참조)CS_인건비'!$A$2:$O$2,0)),0)</f>
        <v>2384926.9642504808</v>
      </c>
      <c r="AB23" s="72">
        <f>IFERROR(INDEX('(참조)CS_인건비'!$A$3:$O$40,MATCH(CS_인건비!$A23,'(참조)CS_인건비'!$A$3:$A$40,0),MATCH('(참조)CS_인건비'!I$2,'(참조)CS_인건비'!$A$2:$O$2,0)),0)</f>
        <v>2445291.2782601533</v>
      </c>
      <c r="AC23" s="72">
        <f>IFERROR(INDEX('(참조)CS_인건비'!$A$3:$O$40,MATCH(CS_인건비!$A23,'(참조)CS_인건비'!$A$3:$A$40,0),MATCH('(참조)CS_인건비'!J$2,'(참조)CS_인건비'!$A$2:$O$2,0)),0)</f>
        <v>2507183.4589342894</v>
      </c>
      <c r="AD23" s="72">
        <f>IFERROR(INDEX('(참조)CS_인건비'!$A$3:$O$40,MATCH(CS_인건비!$A23,'(참조)CS_인건비'!$A$3:$A$40,0),MATCH('(참조)CS_인건비'!K$2,'(참조)CS_인건비'!$A$2:$O$2,0)),0)</f>
        <v>2570642.177739345</v>
      </c>
      <c r="AE23" s="72">
        <f>IFERROR(INDEX('(참조)CS_인건비'!$A$3:$O$40,MATCH(CS_인건비!$A23,'(참조)CS_인건비'!$A$3:$A$40,0),MATCH('(참조)CS_인건비'!L$2,'(참조)CS_인건비'!$A$2:$O$2,0)),0)</f>
        <v>2635707.0849459828</v>
      </c>
      <c r="AF23" s="72">
        <f>IFERROR(INDEX('(참조)CS_인건비'!$A$3:$O$40,MATCH(CS_인건비!$A23,'(참조)CS_인건비'!$A$3:$A$40,0),MATCH('(참조)CS_인건비'!M$2,'(참조)CS_인건비'!$A$2:$O$2,0)),0)</f>
        <v>2702418.83440335</v>
      </c>
      <c r="AG23" s="72">
        <f>IFERROR(INDEX('(참조)CS_인건비'!$A$3:$O$40,MATCH(CS_인건비!$A23,'(참조)CS_인건비'!$A$3:$A$40,0),MATCH('(참조)CS_인건비'!N$2,'(참조)CS_인건비'!$A$2:$O$2,0)),0)</f>
        <v>2770819.1089404128</v>
      </c>
      <c r="AH23" s="72">
        <f>IFERROR(INDEX('(참조)CS_인건비'!$A$3:$O$40,MATCH(CS_인건비!$A23,'(참조)CS_인건비'!$A$3:$A$40,0),MATCH('(참조)CS_인건비'!O$2,'(참조)CS_인건비'!$A$2:$O$2,0)),0)</f>
        <v>2840950.6464102175</v>
      </c>
      <c r="AI23" s="72">
        <f>IFERROR(INDEX('(참조)CS_인건비'!$A$3:$O$40,MATCH(CS_인건비!$A23,'(참조)CS_인건비'!$A$3:$A$40,0),MATCH('(참조)CS_인건비'!P$2,'(참조)CS_인건비'!$A$2:$O$2,0)),0)</f>
        <v>0</v>
      </c>
      <c r="AJ23" s="72">
        <v>12</v>
      </c>
      <c r="AK23" s="72">
        <v>12</v>
      </c>
      <c r="AL23" s="72">
        <v>12</v>
      </c>
      <c r="AM23" s="72">
        <v>12</v>
      </c>
      <c r="AN23" s="72">
        <v>12</v>
      </c>
      <c r="AO23" s="72">
        <v>12</v>
      </c>
      <c r="AP23" s="72">
        <v>12</v>
      </c>
      <c r="AQ23" s="72">
        <v>12</v>
      </c>
      <c r="AR23" s="72">
        <v>12</v>
      </c>
      <c r="AS23" s="72">
        <v>12</v>
      </c>
      <c r="AT23" s="72">
        <v>12</v>
      </c>
      <c r="AU23" s="73">
        <v>1</v>
      </c>
      <c r="AV23" s="70">
        <v>0</v>
      </c>
      <c r="AW23" s="70">
        <v>0</v>
      </c>
      <c r="AX23" s="56">
        <v>610862984.49514925</v>
      </c>
      <c r="AY23" s="56">
        <v>54447168</v>
      </c>
      <c r="AZ23" s="56">
        <v>55825267.201927692</v>
      </c>
      <c r="BA23" s="56">
        <v>57238247.142011553</v>
      </c>
      <c r="BB23" s="56">
        <v>58686990.678243674</v>
      </c>
      <c r="BC23" s="56">
        <v>60172403.014422931</v>
      </c>
      <c r="BD23" s="56">
        <v>61695412.265744276</v>
      </c>
      <c r="BE23" s="56">
        <v>63256970.038703598</v>
      </c>
      <c r="BF23" s="56">
        <v>64858052.025680415</v>
      </c>
      <c r="BG23" s="56">
        <v>66499658.614569895</v>
      </c>
      <c r="BH23" s="56">
        <v>68182815.513845235</v>
      </c>
      <c r="BI23" s="56">
        <v>0</v>
      </c>
      <c r="BJ23" s="74">
        <v>4537264</v>
      </c>
      <c r="BK23" s="56">
        <v>4537264</v>
      </c>
      <c r="BL23" s="56">
        <v>4537264</v>
      </c>
      <c r="BM23" s="56">
        <v>4537264</v>
      </c>
      <c r="BN23" s="56">
        <v>4537264</v>
      </c>
      <c r="BO23" s="56">
        <v>4537264</v>
      </c>
      <c r="BP23" s="56">
        <v>4537264</v>
      </c>
      <c r="BQ23" s="56">
        <v>4537264</v>
      </c>
      <c r="BR23" s="56">
        <v>4537264</v>
      </c>
      <c r="BS23" s="56">
        <v>4537264</v>
      </c>
      <c r="BT23" s="56">
        <v>4537264</v>
      </c>
      <c r="BU23" s="56">
        <v>4537264</v>
      </c>
      <c r="BV23" s="56">
        <v>4652105.6001606397</v>
      </c>
      <c r="BW23" s="56">
        <v>4652105.6001606397</v>
      </c>
      <c r="BX23" s="56">
        <v>4652105.6001606397</v>
      </c>
      <c r="BY23" s="56">
        <v>4652105.6001606397</v>
      </c>
      <c r="BZ23" s="56">
        <v>4652105.6001606397</v>
      </c>
      <c r="CA23" s="56">
        <v>4652105.6001606397</v>
      </c>
      <c r="CB23" s="56">
        <v>4652105.6001606397</v>
      </c>
      <c r="CC23" s="56">
        <v>4652105.6001606397</v>
      </c>
      <c r="CD23" s="56">
        <v>4652105.6001606397</v>
      </c>
      <c r="CE23" s="56">
        <v>4652105.6001606397</v>
      </c>
      <c r="CF23" s="56">
        <v>4652105.6001606397</v>
      </c>
      <c r="CG23" s="56">
        <v>4652105.6001606397</v>
      </c>
      <c r="CH23" s="56">
        <v>4769853.9285009615</v>
      </c>
      <c r="CI23" s="56">
        <v>4769853.9285009615</v>
      </c>
      <c r="CJ23" s="56">
        <v>4769853.9285009615</v>
      </c>
      <c r="CK23" s="56">
        <v>4769853.9285009615</v>
      </c>
      <c r="CL23" s="56">
        <v>4769853.9285009615</v>
      </c>
      <c r="CM23" s="56">
        <v>4769853.9285009615</v>
      </c>
      <c r="CN23" s="56">
        <v>4769853.9285009615</v>
      </c>
      <c r="CO23" s="56">
        <v>4769853.9285009615</v>
      </c>
      <c r="CP23" s="56">
        <v>4769853.9285009615</v>
      </c>
      <c r="CQ23" s="56">
        <v>4769853.9285009615</v>
      </c>
      <c r="CR23" s="56">
        <v>4769853.9285009615</v>
      </c>
      <c r="CS23" s="56">
        <v>4769853.9285009615</v>
      </c>
      <c r="CT23" s="56">
        <v>4890582.5565203065</v>
      </c>
      <c r="CU23" s="56">
        <v>4890582.5565203065</v>
      </c>
      <c r="CV23" s="56">
        <v>4890582.5565203065</v>
      </c>
      <c r="CW23" s="56">
        <v>4890582.5565203065</v>
      </c>
      <c r="CX23" s="56">
        <v>4890582.5565203065</v>
      </c>
      <c r="CY23" s="56">
        <v>4890582.5565203065</v>
      </c>
      <c r="CZ23" s="56">
        <v>4890582.5565203065</v>
      </c>
      <c r="DA23" s="56">
        <v>4890582.5565203065</v>
      </c>
      <c r="DB23" s="56">
        <v>4890582.5565203065</v>
      </c>
      <c r="DC23" s="56">
        <v>4890582.5565203065</v>
      </c>
      <c r="DD23" s="56">
        <v>4890582.5565203065</v>
      </c>
      <c r="DE23" s="56">
        <v>4890582.5565203065</v>
      </c>
      <c r="DF23" s="56">
        <v>5014366.9178685788</v>
      </c>
      <c r="DG23" s="56">
        <v>5014366.9178685788</v>
      </c>
      <c r="DH23" s="56">
        <v>5014366.9178685788</v>
      </c>
      <c r="DI23" s="56">
        <v>5014366.9178685788</v>
      </c>
      <c r="DJ23" s="56">
        <v>5014366.9178685788</v>
      </c>
      <c r="DK23" s="56">
        <v>5014366.9178685788</v>
      </c>
      <c r="DL23" s="56">
        <v>5014366.9178685788</v>
      </c>
      <c r="DM23" s="56">
        <v>5014366.9178685788</v>
      </c>
      <c r="DN23" s="56">
        <v>5014366.9178685788</v>
      </c>
      <c r="DO23" s="56">
        <v>5014366.9178685788</v>
      </c>
      <c r="DP23" s="56">
        <v>5014366.9178685788</v>
      </c>
      <c r="DQ23" s="56">
        <v>5014366.9178685788</v>
      </c>
      <c r="DR23" s="56">
        <v>5141284.35547869</v>
      </c>
      <c r="DS23" s="56">
        <v>5141284.35547869</v>
      </c>
      <c r="DT23" s="56">
        <v>5141284.35547869</v>
      </c>
      <c r="DU23" s="56">
        <v>5141284.35547869</v>
      </c>
      <c r="DV23" s="56">
        <v>5141284.35547869</v>
      </c>
      <c r="DW23" s="56">
        <v>5141284.35547869</v>
      </c>
      <c r="DX23" s="56">
        <v>5141284.35547869</v>
      </c>
      <c r="DY23" s="56">
        <v>5141284.35547869</v>
      </c>
      <c r="DZ23" s="56">
        <v>5141284.35547869</v>
      </c>
      <c r="EA23" s="56">
        <v>5141284.35547869</v>
      </c>
      <c r="EB23" s="56">
        <v>5141284.35547869</v>
      </c>
      <c r="EC23" s="56">
        <v>5141284.35547869</v>
      </c>
      <c r="ED23" s="56">
        <v>5271414.1698919656</v>
      </c>
      <c r="EE23" s="56">
        <v>5271414.1698919656</v>
      </c>
      <c r="EF23" s="56">
        <v>5271414.1698919656</v>
      </c>
      <c r="EG23" s="56">
        <v>5271414.1698919656</v>
      </c>
      <c r="EH23" s="56">
        <v>5271414.1698919656</v>
      </c>
      <c r="EI23" s="56">
        <v>5271414.1698919656</v>
      </c>
      <c r="EJ23" s="56">
        <v>5271414.1698919656</v>
      </c>
      <c r="EK23" s="56">
        <v>5271414.1698919656</v>
      </c>
      <c r="EL23" s="56">
        <v>5271414.1698919656</v>
      </c>
      <c r="EM23" s="56">
        <v>5271414.1698919656</v>
      </c>
      <c r="EN23" s="56">
        <v>5271414.1698919656</v>
      </c>
      <c r="EO23" s="56">
        <v>5271414.1698919656</v>
      </c>
      <c r="EP23" s="56">
        <v>5404837.6688067</v>
      </c>
      <c r="EQ23" s="56">
        <v>5404837.6688067</v>
      </c>
      <c r="ER23" s="56">
        <v>5404837.6688067</v>
      </c>
      <c r="ES23" s="56">
        <v>5404837.6688067</v>
      </c>
      <c r="ET23" s="56">
        <v>5404837.6688067</v>
      </c>
      <c r="EU23" s="56">
        <v>5404837.6688067</v>
      </c>
      <c r="EV23" s="56">
        <v>5404837.6688067</v>
      </c>
      <c r="EW23" s="56">
        <v>5404837.6688067</v>
      </c>
      <c r="EX23" s="56">
        <v>5404837.6688067</v>
      </c>
      <c r="EY23" s="56">
        <v>5404837.6688067</v>
      </c>
      <c r="EZ23" s="56">
        <v>5404837.6688067</v>
      </c>
      <c r="FA23" s="56">
        <v>5404837.6688067</v>
      </c>
      <c r="FB23" s="56">
        <v>5541638.2178808255</v>
      </c>
      <c r="FC23" s="56">
        <v>5541638.2178808255</v>
      </c>
      <c r="FD23" s="56">
        <v>5541638.2178808255</v>
      </c>
      <c r="FE23" s="56">
        <v>5541638.2178808255</v>
      </c>
      <c r="FF23" s="56">
        <v>5541638.2178808255</v>
      </c>
      <c r="FG23" s="56">
        <v>5541638.2178808255</v>
      </c>
      <c r="FH23" s="56">
        <v>5541638.2178808255</v>
      </c>
      <c r="FI23" s="56">
        <v>5541638.2178808255</v>
      </c>
      <c r="FJ23" s="56">
        <v>5541638.2178808255</v>
      </c>
      <c r="FK23" s="56">
        <v>5541638.2178808255</v>
      </c>
      <c r="FL23" s="56">
        <v>5541638.2178808255</v>
      </c>
      <c r="FM23" s="56">
        <v>5541638.2178808255</v>
      </c>
      <c r="FN23" s="56">
        <v>5681901.292820435</v>
      </c>
      <c r="FO23" s="56">
        <v>5681901.292820435</v>
      </c>
      <c r="FP23" s="56">
        <v>5681901.292820435</v>
      </c>
      <c r="FQ23" s="56">
        <v>5681901.292820435</v>
      </c>
      <c r="FR23" s="56">
        <v>5681901.292820435</v>
      </c>
      <c r="FS23" s="56">
        <v>5681901.292820435</v>
      </c>
      <c r="FT23" s="56">
        <v>5681901.292820435</v>
      </c>
      <c r="FU23" s="56">
        <v>5681901.292820435</v>
      </c>
      <c r="FV23" s="56">
        <v>5681901.292820435</v>
      </c>
      <c r="FW23" s="56">
        <v>5681901.292820435</v>
      </c>
      <c r="FX23" s="56">
        <v>5681901.292820435</v>
      </c>
      <c r="FY23" s="56">
        <v>5681901.292820435</v>
      </c>
      <c r="FZ23" s="56">
        <v>0</v>
      </c>
      <c r="GA23" s="56">
        <v>0</v>
      </c>
      <c r="GB23" s="56">
        <v>0</v>
      </c>
      <c r="GC23" s="56">
        <v>0</v>
      </c>
      <c r="GD23" s="56">
        <v>0</v>
      </c>
      <c r="GE23" s="56">
        <v>0</v>
      </c>
      <c r="GF23" s="56">
        <v>0</v>
      </c>
      <c r="GG23" s="56">
        <v>0</v>
      </c>
      <c r="GH23" s="56">
        <v>0</v>
      </c>
      <c r="GI23" s="56">
        <v>0</v>
      </c>
      <c r="GJ23" s="56">
        <v>0</v>
      </c>
      <c r="GK23" s="85">
        <v>0</v>
      </c>
      <c r="GL23" s="40"/>
    </row>
    <row r="24" spans="1:194" x14ac:dyDescent="0.4">
      <c r="A24" s="84" t="s">
        <v>261</v>
      </c>
      <c r="B24" s="75" t="s">
        <v>256</v>
      </c>
      <c r="C24" s="70" t="s">
        <v>398</v>
      </c>
      <c r="D24" s="70" t="s">
        <v>209</v>
      </c>
      <c r="E24" s="75" t="s">
        <v>193</v>
      </c>
      <c r="F24" s="75" t="s">
        <v>194</v>
      </c>
      <c r="G24" s="75" t="s">
        <v>195</v>
      </c>
      <c r="H24" s="75">
        <v>0</v>
      </c>
      <c r="I24" s="70">
        <v>0</v>
      </c>
      <c r="J24" s="70" t="s">
        <v>210</v>
      </c>
      <c r="K24" s="70">
        <v>0</v>
      </c>
      <c r="L24" s="70" t="s">
        <v>211</v>
      </c>
      <c r="M24" s="71">
        <f>IFERROR(INDEX('(참조)CS_인건비'!$S$3:$AG$40,MATCH(CS_인건비!$A24,'(참조)CS_인건비'!$S$3:$S$40,0),MATCH('(참조)CS_인건비'!X$2,'(참조)CS_인건비'!$S$2:$AG$2,0)),0)</f>
        <v>1</v>
      </c>
      <c r="N24" s="71">
        <f>IFERROR(INDEX('(참조)CS_인건비'!$S$3:$AG$40,MATCH(CS_인건비!$A24,'(참조)CS_인건비'!$S$3:$S$40,0),MATCH('(참조)CS_인건비'!Y$2,'(참조)CS_인건비'!$S$2:$AG$2,0)),0)</f>
        <v>1</v>
      </c>
      <c r="O24" s="71">
        <f>IFERROR(INDEX('(참조)CS_인건비'!$S$3:$AG$40,MATCH(CS_인건비!$A24,'(참조)CS_인건비'!$S$3:$S$40,0),MATCH('(참조)CS_인건비'!Z$2,'(참조)CS_인건비'!$S$2:$AG$2,0)),0)</f>
        <v>1</v>
      </c>
      <c r="P24" s="71">
        <f>IFERROR(INDEX('(참조)CS_인건비'!$S$3:$AG$40,MATCH(CS_인건비!$A24,'(참조)CS_인건비'!$S$3:$S$40,0),MATCH('(참조)CS_인건비'!AA$2,'(참조)CS_인건비'!$S$2:$AG$2,0)),0)</f>
        <v>1</v>
      </c>
      <c r="Q24" s="71">
        <f>IFERROR(INDEX('(참조)CS_인건비'!$S$3:$AG$40,MATCH(CS_인건비!$A24,'(참조)CS_인건비'!$S$3:$S$40,0),MATCH('(참조)CS_인건비'!AB$2,'(참조)CS_인건비'!$S$2:$AG$2,0)),0)</f>
        <v>1</v>
      </c>
      <c r="R24" s="71">
        <f>IFERROR(INDEX('(참조)CS_인건비'!$S$3:$AG$40,MATCH(CS_인건비!$A24,'(참조)CS_인건비'!$S$3:$S$40,0),MATCH('(참조)CS_인건비'!AC$2,'(참조)CS_인건비'!$S$2:$AG$2,0)),0)</f>
        <v>1</v>
      </c>
      <c r="S24" s="71">
        <f>IFERROR(INDEX('(참조)CS_인건비'!$S$3:$AG$40,MATCH(CS_인건비!$A24,'(참조)CS_인건비'!$S$3:$S$40,0),MATCH('(참조)CS_인건비'!AD$2,'(참조)CS_인건비'!$S$2:$AG$2,0)),0)</f>
        <v>1</v>
      </c>
      <c r="T24" s="71">
        <f>IFERROR(INDEX('(참조)CS_인건비'!$S$3:$AG$40,MATCH(CS_인건비!$A24,'(참조)CS_인건비'!$S$3:$S$40,0),MATCH('(참조)CS_인건비'!AE$2,'(참조)CS_인건비'!$S$2:$AG$2,0)),0)</f>
        <v>1</v>
      </c>
      <c r="U24" s="71">
        <f>IFERROR(INDEX('(참조)CS_인건비'!$S$3:$AG$40,MATCH(CS_인건비!$A24,'(참조)CS_인건비'!$S$3:$S$40,0),MATCH('(참조)CS_인건비'!AF$2,'(참조)CS_인건비'!$S$2:$AG$2,0)),0)</f>
        <v>1</v>
      </c>
      <c r="V24" s="71">
        <f>IFERROR(INDEX('(참조)CS_인건비'!$S$3:$AG$40,MATCH(CS_인건비!$A24,'(참조)CS_인건비'!$S$3:$S$40,0),MATCH('(참조)CS_인건비'!AG$2,'(참조)CS_인건비'!$S$2:$AG$2,0)),0)</f>
        <v>1</v>
      </c>
      <c r="W24" s="71">
        <f>IFERROR(INDEX('(참조)CS_인건비'!$S$3:$AG$40,MATCH(CS_인건비!$A24,'(참조)CS_인건비'!$S$3:$S$40,0),MATCH('(참조)CS_인건비'!AH$2,'(참조)CS_인건비'!$S$2:$AG$2,0)),0)</f>
        <v>0</v>
      </c>
      <c r="X24" s="72">
        <v>0</v>
      </c>
      <c r="Y24" s="72">
        <f>IFERROR(INDEX('(참조)CS_인건비'!$A$3:$O$40,MATCH(CS_인건비!$A24,'(참조)CS_인건비'!$A$3:$A$40,0),MATCH('(참조)CS_인건비'!F$2,'(참조)CS_인건비'!$A$2:$O$2,0)),0)</f>
        <v>3934599</v>
      </c>
      <c r="Z24" s="72">
        <f>IFERROR(INDEX('(참조)CS_인건비'!$A$3:$O$40,MATCH(CS_인건비!$A24,'(참조)CS_인건비'!$A$3:$A$40,0),MATCH('(참조)CS_인건비'!G$2,'(참조)CS_인건비'!$A$2:$O$2,0)),0)</f>
        <v>4034186.69098524</v>
      </c>
      <c r="AA24" s="72">
        <f>IFERROR(INDEX('(참조)CS_인건비'!$A$3:$O$40,MATCH(CS_인건비!$A24,'(참조)CS_인건비'!$A$3:$A$40,0),MATCH('(참조)CS_인건비'!H$2,'(참조)CS_인건비'!$A$2:$O$2,0)),0)</f>
        <v>4136295.0221159616</v>
      </c>
      <c r="AB24" s="72">
        <f>IFERROR(INDEX('(참조)CS_인건비'!$A$3:$O$40,MATCH(CS_인건비!$A24,'(참조)CS_인건비'!$A$3:$A$40,0),MATCH('(참조)CS_인건비'!I$2,'(참조)CS_인건비'!$A$2:$O$2,0)),0)</f>
        <v>4240987.7927099336</v>
      </c>
      <c r="AC24" s="72">
        <f>IFERROR(INDEX('(참조)CS_인건비'!$A$3:$O$40,MATCH(CS_인건비!$A24,'(참조)CS_인건비'!$A$3:$A$40,0),MATCH('(참조)CS_인건비'!J$2,'(참조)CS_인건비'!$A$2:$O$2,0)),0)</f>
        <v>4348330.4168941444</v>
      </c>
      <c r="AD24" s="72">
        <f>IFERROR(INDEX('(참조)CS_인건비'!$A$3:$O$40,MATCH(CS_인건비!$A24,'(참조)CS_인건비'!$A$3:$A$40,0),MATCH('(참조)CS_인건비'!K$2,'(참조)CS_인건비'!$A$2:$O$2,0)),0)</f>
        <v>4458389.9644768517</v>
      </c>
      <c r="AE24" s="72">
        <f>IFERROR(INDEX('(참조)CS_인건비'!$A$3:$O$40,MATCH(CS_인건비!$A24,'(참조)CS_인건비'!$A$3:$A$40,0),MATCH('(참조)CS_인건비'!L$2,'(참조)CS_인건비'!$A$2:$O$2,0)),0)</f>
        <v>4571235.2028541341</v>
      </c>
      <c r="AF24" s="72">
        <f>IFERROR(INDEX('(참조)CS_인건비'!$A$3:$O$40,MATCH(CS_인건비!$A24,'(참조)CS_인건비'!$A$3:$A$40,0),MATCH('(참조)CS_인건비'!M$2,'(참조)CS_인건비'!$A$2:$O$2,0)),0)</f>
        <v>4686936.6399771264</v>
      </c>
      <c r="AG24" s="72">
        <f>IFERROR(INDEX('(참조)CS_인건비'!$A$3:$O$40,MATCH(CS_인건비!$A24,'(참조)CS_인건비'!$A$3:$A$40,0),MATCH('(참조)CS_인건비'!N$2,'(참조)CS_인건비'!$A$2:$O$2,0)),0)</f>
        <v>4805566.5684067942</v>
      </c>
      <c r="AH24" s="72">
        <f>IFERROR(INDEX('(참조)CS_인건비'!$A$3:$O$40,MATCH(CS_인건비!$A24,'(참조)CS_인건비'!$A$3:$A$40,0),MATCH('(참조)CS_인건비'!O$2,'(참조)CS_인건비'!$A$2:$O$2,0)),0)</f>
        <v>4927199.1104837619</v>
      </c>
      <c r="AI24" s="72">
        <f>IFERROR(INDEX('(참조)CS_인건비'!$A$3:$O$40,MATCH(CS_인건비!$A24,'(참조)CS_인건비'!$A$3:$A$40,0),MATCH('(참조)CS_인건비'!P$2,'(참조)CS_인건비'!$A$2:$O$2,0)),0)</f>
        <v>0</v>
      </c>
      <c r="AJ24" s="72">
        <v>12</v>
      </c>
      <c r="AK24" s="72">
        <v>12</v>
      </c>
      <c r="AL24" s="72">
        <v>12</v>
      </c>
      <c r="AM24" s="72">
        <v>12</v>
      </c>
      <c r="AN24" s="72">
        <v>12</v>
      </c>
      <c r="AO24" s="72">
        <v>12</v>
      </c>
      <c r="AP24" s="72">
        <v>12</v>
      </c>
      <c r="AQ24" s="72">
        <v>12</v>
      </c>
      <c r="AR24" s="72">
        <v>12</v>
      </c>
      <c r="AS24" s="72">
        <v>12</v>
      </c>
      <c r="AT24" s="72">
        <v>12</v>
      </c>
      <c r="AU24" s="73">
        <v>1</v>
      </c>
      <c r="AV24" s="70">
        <v>0</v>
      </c>
      <c r="AW24" s="70">
        <v>0</v>
      </c>
      <c r="AX24" s="56">
        <v>529724716.90684736</v>
      </c>
      <c r="AY24" s="56">
        <v>47215188</v>
      </c>
      <c r="AZ24" s="56">
        <v>48410240.291822881</v>
      </c>
      <c r="BA24" s="56">
        <v>49635540.265391536</v>
      </c>
      <c r="BB24" s="56">
        <v>50891853.512519188</v>
      </c>
      <c r="BC24" s="56">
        <v>52179965.002729736</v>
      </c>
      <c r="BD24" s="56">
        <v>53500679.573722236</v>
      </c>
      <c r="BE24" s="56">
        <v>54854822.43424961</v>
      </c>
      <c r="BF24" s="56">
        <v>56243239.67972552</v>
      </c>
      <c r="BG24" s="56">
        <v>57666798.820881516</v>
      </c>
      <c r="BH24" s="56">
        <v>59126389.325805157</v>
      </c>
      <c r="BI24" s="56">
        <v>0</v>
      </c>
      <c r="BJ24" s="74">
        <v>3934599</v>
      </c>
      <c r="BK24" s="56">
        <v>3934599</v>
      </c>
      <c r="BL24" s="56">
        <v>3934599</v>
      </c>
      <c r="BM24" s="56">
        <v>3934599</v>
      </c>
      <c r="BN24" s="56">
        <v>3934599</v>
      </c>
      <c r="BO24" s="56">
        <v>3934599</v>
      </c>
      <c r="BP24" s="56">
        <v>3934599</v>
      </c>
      <c r="BQ24" s="56">
        <v>3934599</v>
      </c>
      <c r="BR24" s="56">
        <v>3934599</v>
      </c>
      <c r="BS24" s="56">
        <v>3934599</v>
      </c>
      <c r="BT24" s="56">
        <v>3934599</v>
      </c>
      <c r="BU24" s="56">
        <v>3934599</v>
      </c>
      <c r="BV24" s="56">
        <v>4034186.69098524</v>
      </c>
      <c r="BW24" s="56">
        <v>4034186.69098524</v>
      </c>
      <c r="BX24" s="56">
        <v>4034186.69098524</v>
      </c>
      <c r="BY24" s="56">
        <v>4034186.69098524</v>
      </c>
      <c r="BZ24" s="56">
        <v>4034186.69098524</v>
      </c>
      <c r="CA24" s="56">
        <v>4034186.69098524</v>
      </c>
      <c r="CB24" s="56">
        <v>4034186.69098524</v>
      </c>
      <c r="CC24" s="56">
        <v>4034186.69098524</v>
      </c>
      <c r="CD24" s="56">
        <v>4034186.69098524</v>
      </c>
      <c r="CE24" s="56">
        <v>4034186.69098524</v>
      </c>
      <c r="CF24" s="56">
        <v>4034186.69098524</v>
      </c>
      <c r="CG24" s="56">
        <v>4034186.69098524</v>
      </c>
      <c r="CH24" s="56">
        <v>4136295.0221159616</v>
      </c>
      <c r="CI24" s="56">
        <v>4136295.0221159616</v>
      </c>
      <c r="CJ24" s="56">
        <v>4136295.0221159616</v>
      </c>
      <c r="CK24" s="56">
        <v>4136295.0221159616</v>
      </c>
      <c r="CL24" s="56">
        <v>4136295.0221159616</v>
      </c>
      <c r="CM24" s="56">
        <v>4136295.0221159616</v>
      </c>
      <c r="CN24" s="56">
        <v>4136295.0221159616</v>
      </c>
      <c r="CO24" s="56">
        <v>4136295.0221159616</v>
      </c>
      <c r="CP24" s="56">
        <v>4136295.0221159616</v>
      </c>
      <c r="CQ24" s="56">
        <v>4136295.0221159616</v>
      </c>
      <c r="CR24" s="56">
        <v>4136295.0221159616</v>
      </c>
      <c r="CS24" s="56">
        <v>4136295.0221159616</v>
      </c>
      <c r="CT24" s="56">
        <v>4240987.7927099336</v>
      </c>
      <c r="CU24" s="56">
        <v>4240987.7927099336</v>
      </c>
      <c r="CV24" s="56">
        <v>4240987.7927099336</v>
      </c>
      <c r="CW24" s="56">
        <v>4240987.7927099336</v>
      </c>
      <c r="CX24" s="56">
        <v>4240987.7927099336</v>
      </c>
      <c r="CY24" s="56">
        <v>4240987.7927099336</v>
      </c>
      <c r="CZ24" s="56">
        <v>4240987.7927099336</v>
      </c>
      <c r="DA24" s="56">
        <v>4240987.7927099336</v>
      </c>
      <c r="DB24" s="56">
        <v>4240987.7927099336</v>
      </c>
      <c r="DC24" s="56">
        <v>4240987.7927099336</v>
      </c>
      <c r="DD24" s="56">
        <v>4240987.7927099336</v>
      </c>
      <c r="DE24" s="56">
        <v>4240987.7927099336</v>
      </c>
      <c r="DF24" s="56">
        <v>4348330.4168941444</v>
      </c>
      <c r="DG24" s="56">
        <v>4348330.4168941444</v>
      </c>
      <c r="DH24" s="56">
        <v>4348330.4168941444</v>
      </c>
      <c r="DI24" s="56">
        <v>4348330.4168941444</v>
      </c>
      <c r="DJ24" s="56">
        <v>4348330.4168941444</v>
      </c>
      <c r="DK24" s="56">
        <v>4348330.4168941444</v>
      </c>
      <c r="DL24" s="56">
        <v>4348330.4168941444</v>
      </c>
      <c r="DM24" s="56">
        <v>4348330.4168941444</v>
      </c>
      <c r="DN24" s="56">
        <v>4348330.4168941444</v>
      </c>
      <c r="DO24" s="56">
        <v>4348330.4168941444</v>
      </c>
      <c r="DP24" s="56">
        <v>4348330.4168941444</v>
      </c>
      <c r="DQ24" s="56">
        <v>4348330.4168941444</v>
      </c>
      <c r="DR24" s="56">
        <v>4458389.9644768517</v>
      </c>
      <c r="DS24" s="56">
        <v>4458389.9644768517</v>
      </c>
      <c r="DT24" s="56">
        <v>4458389.9644768517</v>
      </c>
      <c r="DU24" s="56">
        <v>4458389.9644768517</v>
      </c>
      <c r="DV24" s="56">
        <v>4458389.9644768517</v>
      </c>
      <c r="DW24" s="56">
        <v>4458389.9644768517</v>
      </c>
      <c r="DX24" s="56">
        <v>4458389.9644768517</v>
      </c>
      <c r="DY24" s="56">
        <v>4458389.9644768517</v>
      </c>
      <c r="DZ24" s="56">
        <v>4458389.9644768517</v>
      </c>
      <c r="EA24" s="56">
        <v>4458389.9644768517</v>
      </c>
      <c r="EB24" s="56">
        <v>4458389.9644768517</v>
      </c>
      <c r="EC24" s="56">
        <v>4458389.9644768517</v>
      </c>
      <c r="ED24" s="56">
        <v>4571235.2028541341</v>
      </c>
      <c r="EE24" s="56">
        <v>4571235.2028541341</v>
      </c>
      <c r="EF24" s="56">
        <v>4571235.2028541341</v>
      </c>
      <c r="EG24" s="56">
        <v>4571235.2028541341</v>
      </c>
      <c r="EH24" s="56">
        <v>4571235.2028541341</v>
      </c>
      <c r="EI24" s="56">
        <v>4571235.2028541341</v>
      </c>
      <c r="EJ24" s="56">
        <v>4571235.2028541341</v>
      </c>
      <c r="EK24" s="56">
        <v>4571235.2028541341</v>
      </c>
      <c r="EL24" s="56">
        <v>4571235.2028541341</v>
      </c>
      <c r="EM24" s="56">
        <v>4571235.2028541341</v>
      </c>
      <c r="EN24" s="56">
        <v>4571235.2028541341</v>
      </c>
      <c r="EO24" s="56">
        <v>4571235.2028541341</v>
      </c>
      <c r="EP24" s="56">
        <v>4686936.6399771264</v>
      </c>
      <c r="EQ24" s="56">
        <v>4686936.6399771264</v>
      </c>
      <c r="ER24" s="56">
        <v>4686936.6399771264</v>
      </c>
      <c r="ES24" s="56">
        <v>4686936.6399771264</v>
      </c>
      <c r="ET24" s="56">
        <v>4686936.6399771264</v>
      </c>
      <c r="EU24" s="56">
        <v>4686936.6399771264</v>
      </c>
      <c r="EV24" s="56">
        <v>4686936.6399771264</v>
      </c>
      <c r="EW24" s="56">
        <v>4686936.6399771264</v>
      </c>
      <c r="EX24" s="56">
        <v>4686936.6399771264</v>
      </c>
      <c r="EY24" s="56">
        <v>4686936.6399771264</v>
      </c>
      <c r="EZ24" s="56">
        <v>4686936.6399771264</v>
      </c>
      <c r="FA24" s="56">
        <v>4686936.6399771264</v>
      </c>
      <c r="FB24" s="56">
        <v>4805566.5684067942</v>
      </c>
      <c r="FC24" s="56">
        <v>4805566.5684067942</v>
      </c>
      <c r="FD24" s="56">
        <v>4805566.5684067942</v>
      </c>
      <c r="FE24" s="56">
        <v>4805566.5684067942</v>
      </c>
      <c r="FF24" s="56">
        <v>4805566.5684067942</v>
      </c>
      <c r="FG24" s="56">
        <v>4805566.5684067942</v>
      </c>
      <c r="FH24" s="56">
        <v>4805566.5684067942</v>
      </c>
      <c r="FI24" s="56">
        <v>4805566.5684067942</v>
      </c>
      <c r="FJ24" s="56">
        <v>4805566.5684067942</v>
      </c>
      <c r="FK24" s="56">
        <v>4805566.5684067942</v>
      </c>
      <c r="FL24" s="56">
        <v>4805566.5684067942</v>
      </c>
      <c r="FM24" s="56">
        <v>4805566.5684067942</v>
      </c>
      <c r="FN24" s="56">
        <v>4927199.1104837619</v>
      </c>
      <c r="FO24" s="56">
        <v>4927199.1104837619</v>
      </c>
      <c r="FP24" s="56">
        <v>4927199.1104837619</v>
      </c>
      <c r="FQ24" s="56">
        <v>4927199.1104837619</v>
      </c>
      <c r="FR24" s="56">
        <v>4927199.1104837619</v>
      </c>
      <c r="FS24" s="56">
        <v>4927199.1104837619</v>
      </c>
      <c r="FT24" s="56">
        <v>4927199.1104837619</v>
      </c>
      <c r="FU24" s="56">
        <v>4927199.1104837619</v>
      </c>
      <c r="FV24" s="56">
        <v>4927199.1104837619</v>
      </c>
      <c r="FW24" s="56">
        <v>4927199.1104837619</v>
      </c>
      <c r="FX24" s="56">
        <v>4927199.1104837619</v>
      </c>
      <c r="FY24" s="56">
        <v>4927199.1104837619</v>
      </c>
      <c r="FZ24" s="56">
        <v>0</v>
      </c>
      <c r="GA24" s="56">
        <v>0</v>
      </c>
      <c r="GB24" s="56">
        <v>0</v>
      </c>
      <c r="GC24" s="56">
        <v>0</v>
      </c>
      <c r="GD24" s="56">
        <v>0</v>
      </c>
      <c r="GE24" s="56">
        <v>0</v>
      </c>
      <c r="GF24" s="56">
        <v>0</v>
      </c>
      <c r="GG24" s="56">
        <v>0</v>
      </c>
      <c r="GH24" s="56">
        <v>0</v>
      </c>
      <c r="GI24" s="56">
        <v>0</v>
      </c>
      <c r="GJ24" s="56">
        <v>0</v>
      </c>
      <c r="GK24" s="85">
        <v>0</v>
      </c>
      <c r="GL24" s="40"/>
    </row>
    <row r="25" spans="1:194" x14ac:dyDescent="0.4">
      <c r="A25" s="84" t="s">
        <v>262</v>
      </c>
      <c r="B25" s="75" t="s">
        <v>256</v>
      </c>
      <c r="C25" s="70" t="s">
        <v>398</v>
      </c>
      <c r="D25" s="70" t="s">
        <v>209</v>
      </c>
      <c r="E25" s="75" t="s">
        <v>193</v>
      </c>
      <c r="F25" s="75" t="s">
        <v>194</v>
      </c>
      <c r="G25" s="75" t="s">
        <v>197</v>
      </c>
      <c r="H25" s="75">
        <v>0</v>
      </c>
      <c r="I25" s="70">
        <v>0</v>
      </c>
      <c r="J25" s="70" t="s">
        <v>210</v>
      </c>
      <c r="K25" s="70">
        <v>0</v>
      </c>
      <c r="L25" s="70" t="s">
        <v>211</v>
      </c>
      <c r="M25" s="71">
        <f>IFERROR(INDEX('(참조)CS_인건비'!$S$3:$AG$40,MATCH(CS_인건비!$A25,'(참조)CS_인건비'!$S$3:$S$40,0),MATCH('(참조)CS_인건비'!X$2,'(참조)CS_인건비'!$S$2:$AG$2,0)),0)</f>
        <v>2.25</v>
      </c>
      <c r="N25" s="71">
        <f>IFERROR(INDEX('(참조)CS_인건비'!$S$3:$AG$40,MATCH(CS_인건비!$A25,'(참조)CS_인건비'!$S$3:$S$40,0),MATCH('(참조)CS_인건비'!Y$2,'(참조)CS_인건비'!$S$2:$AG$2,0)),0)</f>
        <v>1</v>
      </c>
      <c r="O25" s="71">
        <f>IFERROR(INDEX('(참조)CS_인건비'!$S$3:$AG$40,MATCH(CS_인건비!$A25,'(참조)CS_인건비'!$S$3:$S$40,0),MATCH('(참조)CS_인건비'!Z$2,'(참조)CS_인건비'!$S$2:$AG$2,0)),0)</f>
        <v>1</v>
      </c>
      <c r="P25" s="71">
        <f>IFERROR(INDEX('(참조)CS_인건비'!$S$3:$AG$40,MATCH(CS_인건비!$A25,'(참조)CS_인건비'!$S$3:$S$40,0),MATCH('(참조)CS_인건비'!AA$2,'(참조)CS_인건비'!$S$2:$AG$2,0)),0)</f>
        <v>1</v>
      </c>
      <c r="Q25" s="71">
        <f>IFERROR(INDEX('(참조)CS_인건비'!$S$3:$AG$40,MATCH(CS_인건비!$A25,'(참조)CS_인건비'!$S$3:$S$40,0),MATCH('(참조)CS_인건비'!AB$2,'(참조)CS_인건비'!$S$2:$AG$2,0)),0)</f>
        <v>1</v>
      </c>
      <c r="R25" s="71">
        <f>IFERROR(INDEX('(참조)CS_인건비'!$S$3:$AG$40,MATCH(CS_인건비!$A25,'(참조)CS_인건비'!$S$3:$S$40,0),MATCH('(참조)CS_인건비'!AC$2,'(참조)CS_인건비'!$S$2:$AG$2,0)),0)</f>
        <v>1</v>
      </c>
      <c r="S25" s="71">
        <f>IFERROR(INDEX('(참조)CS_인건비'!$S$3:$AG$40,MATCH(CS_인건비!$A25,'(참조)CS_인건비'!$S$3:$S$40,0),MATCH('(참조)CS_인건비'!AD$2,'(참조)CS_인건비'!$S$2:$AG$2,0)),0)</f>
        <v>1</v>
      </c>
      <c r="T25" s="71">
        <f>IFERROR(INDEX('(참조)CS_인건비'!$S$3:$AG$40,MATCH(CS_인건비!$A25,'(참조)CS_인건비'!$S$3:$S$40,0),MATCH('(참조)CS_인건비'!AE$2,'(참조)CS_인건비'!$S$2:$AG$2,0)),0)</f>
        <v>1</v>
      </c>
      <c r="U25" s="71">
        <f>IFERROR(INDEX('(참조)CS_인건비'!$S$3:$AG$40,MATCH(CS_인건비!$A25,'(참조)CS_인건비'!$S$3:$S$40,0),MATCH('(참조)CS_인건비'!AF$2,'(참조)CS_인건비'!$S$2:$AG$2,0)),0)</f>
        <v>1</v>
      </c>
      <c r="V25" s="71">
        <f>IFERROR(INDEX('(참조)CS_인건비'!$S$3:$AG$40,MATCH(CS_인건비!$A25,'(참조)CS_인건비'!$S$3:$S$40,0),MATCH('(참조)CS_인건비'!AG$2,'(참조)CS_인건비'!$S$2:$AG$2,0)),0)</f>
        <v>1</v>
      </c>
      <c r="W25" s="71">
        <f>IFERROR(INDEX('(참조)CS_인건비'!$S$3:$AG$40,MATCH(CS_인건비!$A25,'(참조)CS_인건비'!$S$3:$S$40,0),MATCH('(참조)CS_인건비'!AH$2,'(참조)CS_인건비'!$S$2:$AG$2,0)),0)</f>
        <v>0</v>
      </c>
      <c r="X25" s="72">
        <v>0</v>
      </c>
      <c r="Y25" s="72">
        <f>IFERROR(INDEX('(참조)CS_인건비'!$A$3:$O$40,MATCH(CS_인건비!$A25,'(참조)CS_인건비'!$A$3:$A$40,0),MATCH('(참조)CS_인건비'!F$2,'(참조)CS_인건비'!$A$2:$O$2,0)),0)</f>
        <v>2822414</v>
      </c>
      <c r="Z25" s="72">
        <f>IFERROR(INDEX('(참조)CS_인건비'!$A$3:$O$40,MATCH(CS_인건비!$A25,'(참조)CS_인건비'!$A$3:$A$40,0),MATCH('(참조)CS_인건비'!G$2,'(참조)CS_인건비'!$A$2:$O$2,0)),0)</f>
        <v>2893851.4433746398</v>
      </c>
      <c r="AA25" s="72">
        <f>IFERROR(INDEX('(참조)CS_인건비'!$A$3:$O$40,MATCH(CS_인건비!$A25,'(참조)CS_인건비'!$A$3:$A$40,0),MATCH('(참조)CS_인건비'!H$2,'(참조)CS_인건비'!$A$2:$O$2,0)),0)</f>
        <v>2967097.0227335491</v>
      </c>
      <c r="AB25" s="72">
        <f>IFERROR(INDEX('(참조)CS_인건비'!$A$3:$O$40,MATCH(CS_인건비!$A25,'(참조)CS_인건비'!$A$3:$A$40,0),MATCH('(참조)CS_인건비'!I$2,'(참조)CS_인건비'!$A$2:$O$2,0)),0)</f>
        <v>3042196.5033726725</v>
      </c>
      <c r="AC25" s="72">
        <f>IFERROR(INDEX('(참조)CS_인건비'!$A$3:$O$40,MATCH(CS_인건비!$A25,'(참조)CS_인건비'!$A$3:$A$40,0),MATCH('(참조)CS_인건비'!J$2,'(참조)CS_인건비'!$A$2:$O$2,0)),0)</f>
        <v>3119196.8089423776</v>
      </c>
      <c r="AD25" s="72">
        <f>IFERROR(INDEX('(참조)CS_인건비'!$A$3:$O$40,MATCH(CS_인건비!$A25,'(참조)CS_인건비'!$A$3:$A$40,0),MATCH('(참조)CS_인건비'!K$2,'(참조)CS_인건비'!$A$2:$O$2,0)),0)</f>
        <v>3198146.0507662841</v>
      </c>
      <c r="AE25" s="72">
        <f>IFERROR(INDEX('(참조)CS_인건비'!$A$3:$O$40,MATCH(CS_인건비!$A25,'(참조)CS_인건비'!$A$3:$A$40,0),MATCH('(참조)CS_인건비'!L$2,'(참조)CS_인건비'!$A$2:$O$2,0)),0)</f>
        <v>3279093.5579021773</v>
      </c>
      <c r="AF25" s="72">
        <f>IFERROR(INDEX('(참조)CS_인건비'!$A$3:$O$40,MATCH(CS_인건비!$A25,'(참조)CS_인건비'!$A$3:$A$40,0),MATCH('(참조)CS_인건비'!M$2,'(참조)CS_인건비'!$A$2:$O$2,0)),0)</f>
        <v>3362089.9079637853</v>
      </c>
      <c r="AG25" s="72">
        <f>IFERROR(INDEX('(참조)CS_인건비'!$A$3:$O$40,MATCH(CS_인건비!$A25,'(참조)CS_인건비'!$A$3:$A$40,0),MATCH('(참조)CS_인건비'!N$2,'(참조)CS_인건비'!$A$2:$O$2,0)),0)</f>
        <v>3447186.9587226789</v>
      </c>
      <c r="AH25" s="72">
        <f>IFERROR(INDEX('(참조)CS_인건비'!$A$3:$O$40,MATCH(CS_인건비!$A25,'(참조)CS_인건비'!$A$3:$A$40,0),MATCH('(참조)CS_인건비'!O$2,'(참조)CS_인건비'!$A$2:$O$2,0)),0)</f>
        <v>3534437.8805100387</v>
      </c>
      <c r="AI25" s="72">
        <f>IFERROR(INDEX('(참조)CS_인건비'!$A$3:$O$40,MATCH(CS_인건비!$A25,'(참조)CS_인건비'!$A$3:$A$40,0),MATCH('(참조)CS_인건비'!P$2,'(참조)CS_인건비'!$A$2:$O$2,0)),0)</f>
        <v>0</v>
      </c>
      <c r="AJ25" s="72">
        <v>12</v>
      </c>
      <c r="AK25" s="72">
        <v>12</v>
      </c>
      <c r="AL25" s="72">
        <v>12</v>
      </c>
      <c r="AM25" s="72">
        <v>12</v>
      </c>
      <c r="AN25" s="72">
        <v>12</v>
      </c>
      <c r="AO25" s="72">
        <v>12</v>
      </c>
      <c r="AP25" s="72">
        <v>12</v>
      </c>
      <c r="AQ25" s="72">
        <v>12</v>
      </c>
      <c r="AR25" s="72">
        <v>12</v>
      </c>
      <c r="AS25" s="72">
        <v>12</v>
      </c>
      <c r="AT25" s="72">
        <v>12</v>
      </c>
      <c r="AU25" s="73">
        <v>1</v>
      </c>
      <c r="AV25" s="70">
        <v>0</v>
      </c>
      <c r="AW25" s="70">
        <v>0</v>
      </c>
      <c r="AX25" s="56">
        <v>422324731.61145848</v>
      </c>
      <c r="AY25" s="56">
        <v>76205178</v>
      </c>
      <c r="AZ25" s="56">
        <v>34726217.320495687</v>
      </c>
      <c r="BA25" s="56">
        <v>35605164.272802599</v>
      </c>
      <c r="BB25" s="56">
        <v>36506358.040472068</v>
      </c>
      <c r="BC25" s="56">
        <v>37430361.707308531</v>
      </c>
      <c r="BD25" s="56">
        <v>38377752.609195411</v>
      </c>
      <c r="BE25" s="56">
        <v>39349122.694826126</v>
      </c>
      <c r="BF25" s="56">
        <v>40345078.89556542</v>
      </c>
      <c r="BG25" s="56">
        <v>41366243.504672162</v>
      </c>
      <c r="BH25" s="56">
        <v>42413254.566120468</v>
      </c>
      <c r="BI25" s="56">
        <v>0</v>
      </c>
      <c r="BJ25" s="74">
        <v>6350431.5</v>
      </c>
      <c r="BK25" s="56">
        <v>6350431.5</v>
      </c>
      <c r="BL25" s="56">
        <v>6350431.5</v>
      </c>
      <c r="BM25" s="56">
        <v>6350431.5</v>
      </c>
      <c r="BN25" s="56">
        <v>6350431.5</v>
      </c>
      <c r="BO25" s="56">
        <v>6350431.5</v>
      </c>
      <c r="BP25" s="56">
        <v>6350431.5</v>
      </c>
      <c r="BQ25" s="56">
        <v>6350431.5</v>
      </c>
      <c r="BR25" s="56">
        <v>6350431.5</v>
      </c>
      <c r="BS25" s="56">
        <v>6350431.5</v>
      </c>
      <c r="BT25" s="56">
        <v>6350431.5</v>
      </c>
      <c r="BU25" s="56">
        <v>6350431.5</v>
      </c>
      <c r="BV25" s="56">
        <v>2893851.4433746398</v>
      </c>
      <c r="BW25" s="56">
        <v>2893851.4433746398</v>
      </c>
      <c r="BX25" s="56">
        <v>2893851.4433746398</v>
      </c>
      <c r="BY25" s="56">
        <v>2893851.4433746398</v>
      </c>
      <c r="BZ25" s="56">
        <v>2893851.4433746398</v>
      </c>
      <c r="CA25" s="56">
        <v>2893851.4433746398</v>
      </c>
      <c r="CB25" s="56">
        <v>2893851.4433746398</v>
      </c>
      <c r="CC25" s="56">
        <v>2893851.4433746398</v>
      </c>
      <c r="CD25" s="56">
        <v>2893851.4433746398</v>
      </c>
      <c r="CE25" s="56">
        <v>2893851.4433746398</v>
      </c>
      <c r="CF25" s="56">
        <v>2893851.4433746398</v>
      </c>
      <c r="CG25" s="56">
        <v>2893851.4433746398</v>
      </c>
      <c r="CH25" s="56">
        <v>2967097.0227335491</v>
      </c>
      <c r="CI25" s="56">
        <v>2967097.0227335491</v>
      </c>
      <c r="CJ25" s="56">
        <v>2967097.0227335491</v>
      </c>
      <c r="CK25" s="56">
        <v>2967097.0227335491</v>
      </c>
      <c r="CL25" s="56">
        <v>2967097.0227335491</v>
      </c>
      <c r="CM25" s="56">
        <v>2967097.0227335491</v>
      </c>
      <c r="CN25" s="56">
        <v>2967097.0227335491</v>
      </c>
      <c r="CO25" s="56">
        <v>2967097.0227335491</v>
      </c>
      <c r="CP25" s="56">
        <v>2967097.0227335491</v>
      </c>
      <c r="CQ25" s="56">
        <v>2967097.0227335491</v>
      </c>
      <c r="CR25" s="56">
        <v>2967097.0227335491</v>
      </c>
      <c r="CS25" s="56">
        <v>2967097.0227335491</v>
      </c>
      <c r="CT25" s="56">
        <v>3042196.5033726725</v>
      </c>
      <c r="CU25" s="56">
        <v>3042196.5033726725</v>
      </c>
      <c r="CV25" s="56">
        <v>3042196.5033726725</v>
      </c>
      <c r="CW25" s="56">
        <v>3042196.5033726725</v>
      </c>
      <c r="CX25" s="56">
        <v>3042196.5033726725</v>
      </c>
      <c r="CY25" s="56">
        <v>3042196.5033726725</v>
      </c>
      <c r="CZ25" s="56">
        <v>3042196.5033726725</v>
      </c>
      <c r="DA25" s="56">
        <v>3042196.5033726725</v>
      </c>
      <c r="DB25" s="56">
        <v>3042196.5033726725</v>
      </c>
      <c r="DC25" s="56">
        <v>3042196.5033726725</v>
      </c>
      <c r="DD25" s="56">
        <v>3042196.5033726725</v>
      </c>
      <c r="DE25" s="56">
        <v>3042196.5033726725</v>
      </c>
      <c r="DF25" s="56">
        <v>3119196.8089423776</v>
      </c>
      <c r="DG25" s="56">
        <v>3119196.8089423776</v>
      </c>
      <c r="DH25" s="56">
        <v>3119196.8089423776</v>
      </c>
      <c r="DI25" s="56">
        <v>3119196.8089423776</v>
      </c>
      <c r="DJ25" s="56">
        <v>3119196.8089423776</v>
      </c>
      <c r="DK25" s="56">
        <v>3119196.8089423776</v>
      </c>
      <c r="DL25" s="56">
        <v>3119196.8089423776</v>
      </c>
      <c r="DM25" s="56">
        <v>3119196.8089423776</v>
      </c>
      <c r="DN25" s="56">
        <v>3119196.8089423776</v>
      </c>
      <c r="DO25" s="56">
        <v>3119196.8089423776</v>
      </c>
      <c r="DP25" s="56">
        <v>3119196.8089423776</v>
      </c>
      <c r="DQ25" s="56">
        <v>3119196.8089423776</v>
      </c>
      <c r="DR25" s="56">
        <v>3198146.0507662841</v>
      </c>
      <c r="DS25" s="56">
        <v>3198146.0507662841</v>
      </c>
      <c r="DT25" s="56">
        <v>3198146.0507662841</v>
      </c>
      <c r="DU25" s="56">
        <v>3198146.0507662841</v>
      </c>
      <c r="DV25" s="56">
        <v>3198146.0507662841</v>
      </c>
      <c r="DW25" s="56">
        <v>3198146.0507662841</v>
      </c>
      <c r="DX25" s="56">
        <v>3198146.0507662841</v>
      </c>
      <c r="DY25" s="56">
        <v>3198146.0507662841</v>
      </c>
      <c r="DZ25" s="56">
        <v>3198146.0507662841</v>
      </c>
      <c r="EA25" s="56">
        <v>3198146.0507662841</v>
      </c>
      <c r="EB25" s="56">
        <v>3198146.0507662841</v>
      </c>
      <c r="EC25" s="56">
        <v>3198146.0507662841</v>
      </c>
      <c r="ED25" s="56">
        <v>3279093.5579021773</v>
      </c>
      <c r="EE25" s="56">
        <v>3279093.5579021773</v>
      </c>
      <c r="EF25" s="56">
        <v>3279093.5579021773</v>
      </c>
      <c r="EG25" s="56">
        <v>3279093.5579021773</v>
      </c>
      <c r="EH25" s="56">
        <v>3279093.5579021773</v>
      </c>
      <c r="EI25" s="56">
        <v>3279093.5579021773</v>
      </c>
      <c r="EJ25" s="56">
        <v>3279093.5579021773</v>
      </c>
      <c r="EK25" s="56">
        <v>3279093.5579021773</v>
      </c>
      <c r="EL25" s="56">
        <v>3279093.5579021773</v>
      </c>
      <c r="EM25" s="56">
        <v>3279093.5579021773</v>
      </c>
      <c r="EN25" s="56">
        <v>3279093.5579021773</v>
      </c>
      <c r="EO25" s="56">
        <v>3279093.5579021773</v>
      </c>
      <c r="EP25" s="56">
        <v>3362089.9079637853</v>
      </c>
      <c r="EQ25" s="56">
        <v>3362089.9079637853</v>
      </c>
      <c r="ER25" s="56">
        <v>3362089.9079637853</v>
      </c>
      <c r="ES25" s="56">
        <v>3362089.9079637853</v>
      </c>
      <c r="ET25" s="56">
        <v>3362089.9079637853</v>
      </c>
      <c r="EU25" s="56">
        <v>3362089.9079637853</v>
      </c>
      <c r="EV25" s="56">
        <v>3362089.9079637853</v>
      </c>
      <c r="EW25" s="56">
        <v>3362089.9079637853</v>
      </c>
      <c r="EX25" s="56">
        <v>3362089.9079637853</v>
      </c>
      <c r="EY25" s="56">
        <v>3362089.9079637853</v>
      </c>
      <c r="EZ25" s="56">
        <v>3362089.9079637853</v>
      </c>
      <c r="FA25" s="56">
        <v>3362089.9079637853</v>
      </c>
      <c r="FB25" s="56">
        <v>3447186.9587226789</v>
      </c>
      <c r="FC25" s="56">
        <v>3447186.9587226789</v>
      </c>
      <c r="FD25" s="56">
        <v>3447186.9587226789</v>
      </c>
      <c r="FE25" s="56">
        <v>3447186.9587226789</v>
      </c>
      <c r="FF25" s="56">
        <v>3447186.9587226789</v>
      </c>
      <c r="FG25" s="56">
        <v>3447186.9587226789</v>
      </c>
      <c r="FH25" s="56">
        <v>3447186.9587226789</v>
      </c>
      <c r="FI25" s="56">
        <v>3447186.9587226789</v>
      </c>
      <c r="FJ25" s="56">
        <v>3447186.9587226789</v>
      </c>
      <c r="FK25" s="56">
        <v>3447186.9587226789</v>
      </c>
      <c r="FL25" s="56">
        <v>3447186.9587226789</v>
      </c>
      <c r="FM25" s="56">
        <v>3447186.9587226789</v>
      </c>
      <c r="FN25" s="56">
        <v>3534437.8805100387</v>
      </c>
      <c r="FO25" s="56">
        <v>3534437.8805100387</v>
      </c>
      <c r="FP25" s="56">
        <v>3534437.8805100387</v>
      </c>
      <c r="FQ25" s="56">
        <v>3534437.8805100387</v>
      </c>
      <c r="FR25" s="56">
        <v>3534437.8805100387</v>
      </c>
      <c r="FS25" s="56">
        <v>3534437.8805100387</v>
      </c>
      <c r="FT25" s="56">
        <v>3534437.8805100387</v>
      </c>
      <c r="FU25" s="56">
        <v>3534437.8805100387</v>
      </c>
      <c r="FV25" s="56">
        <v>3534437.8805100387</v>
      </c>
      <c r="FW25" s="56">
        <v>3534437.8805100387</v>
      </c>
      <c r="FX25" s="56">
        <v>3534437.8805100387</v>
      </c>
      <c r="FY25" s="56">
        <v>3534437.8805100387</v>
      </c>
      <c r="FZ25" s="56">
        <v>0</v>
      </c>
      <c r="GA25" s="56">
        <v>0</v>
      </c>
      <c r="GB25" s="56">
        <v>0</v>
      </c>
      <c r="GC25" s="56">
        <v>0</v>
      </c>
      <c r="GD25" s="56">
        <v>0</v>
      </c>
      <c r="GE25" s="56">
        <v>0</v>
      </c>
      <c r="GF25" s="56">
        <v>0</v>
      </c>
      <c r="GG25" s="56">
        <v>0</v>
      </c>
      <c r="GH25" s="56">
        <v>0</v>
      </c>
      <c r="GI25" s="56">
        <v>0</v>
      </c>
      <c r="GJ25" s="56">
        <v>0</v>
      </c>
      <c r="GK25" s="85">
        <v>0</v>
      </c>
      <c r="GL25" s="40"/>
    </row>
    <row r="26" spans="1:194" x14ac:dyDescent="0.4">
      <c r="A26" s="84" t="s">
        <v>263</v>
      </c>
      <c r="B26" s="75" t="s">
        <v>256</v>
      </c>
      <c r="C26" s="70" t="s">
        <v>398</v>
      </c>
      <c r="D26" s="70" t="s">
        <v>209</v>
      </c>
      <c r="E26" s="75" t="s">
        <v>193</v>
      </c>
      <c r="F26" s="75" t="s">
        <v>250</v>
      </c>
      <c r="G26" s="75" t="s">
        <v>198</v>
      </c>
      <c r="H26" s="75">
        <v>0</v>
      </c>
      <c r="I26" s="70">
        <v>0</v>
      </c>
      <c r="J26" s="70" t="s">
        <v>210</v>
      </c>
      <c r="K26" s="70">
        <v>0</v>
      </c>
      <c r="L26" s="70" t="s">
        <v>211</v>
      </c>
      <c r="M26" s="71">
        <f>IFERROR(INDEX('(참조)CS_인건비'!$S$3:$AG$40,MATCH(CS_인건비!$A26,'(참조)CS_인건비'!$S$3:$S$40,0),MATCH('(참조)CS_인건비'!X$2,'(참조)CS_인건비'!$S$2:$AG$2,0)),0)</f>
        <v>3.5</v>
      </c>
      <c r="N26" s="71">
        <f>IFERROR(INDEX('(참조)CS_인건비'!$S$3:$AG$40,MATCH(CS_인건비!$A26,'(참조)CS_인건비'!$S$3:$S$40,0),MATCH('(참조)CS_인건비'!Y$2,'(참조)CS_인건비'!$S$2:$AG$2,0)),0)</f>
        <v>3</v>
      </c>
      <c r="O26" s="71">
        <f>IFERROR(INDEX('(참조)CS_인건비'!$S$3:$AG$40,MATCH(CS_인건비!$A26,'(참조)CS_인건비'!$S$3:$S$40,0),MATCH('(참조)CS_인건비'!Z$2,'(참조)CS_인건비'!$S$2:$AG$2,0)),0)</f>
        <v>3</v>
      </c>
      <c r="P26" s="71">
        <f>IFERROR(INDEX('(참조)CS_인건비'!$S$3:$AG$40,MATCH(CS_인건비!$A26,'(참조)CS_인건비'!$S$3:$S$40,0),MATCH('(참조)CS_인건비'!AA$2,'(참조)CS_인건비'!$S$2:$AG$2,0)),0)</f>
        <v>3</v>
      </c>
      <c r="Q26" s="71">
        <f>IFERROR(INDEX('(참조)CS_인건비'!$S$3:$AG$40,MATCH(CS_인건비!$A26,'(참조)CS_인건비'!$S$3:$S$40,0),MATCH('(참조)CS_인건비'!AB$2,'(참조)CS_인건비'!$S$2:$AG$2,0)),0)</f>
        <v>3</v>
      </c>
      <c r="R26" s="71">
        <f>IFERROR(INDEX('(참조)CS_인건비'!$S$3:$AG$40,MATCH(CS_인건비!$A26,'(참조)CS_인건비'!$S$3:$S$40,0),MATCH('(참조)CS_인건비'!AC$2,'(참조)CS_인건비'!$S$2:$AG$2,0)),0)</f>
        <v>3</v>
      </c>
      <c r="S26" s="71">
        <f>IFERROR(INDEX('(참조)CS_인건비'!$S$3:$AG$40,MATCH(CS_인건비!$A26,'(참조)CS_인건비'!$S$3:$S$40,0),MATCH('(참조)CS_인건비'!AD$2,'(참조)CS_인건비'!$S$2:$AG$2,0)),0)</f>
        <v>3</v>
      </c>
      <c r="T26" s="71">
        <f>IFERROR(INDEX('(참조)CS_인건비'!$S$3:$AG$40,MATCH(CS_인건비!$A26,'(참조)CS_인건비'!$S$3:$S$40,0),MATCH('(참조)CS_인건비'!AE$2,'(참조)CS_인건비'!$S$2:$AG$2,0)),0)</f>
        <v>3</v>
      </c>
      <c r="U26" s="71">
        <f>IFERROR(INDEX('(참조)CS_인건비'!$S$3:$AG$40,MATCH(CS_인건비!$A26,'(참조)CS_인건비'!$S$3:$S$40,0),MATCH('(참조)CS_인건비'!AF$2,'(참조)CS_인건비'!$S$2:$AG$2,0)),0)</f>
        <v>3</v>
      </c>
      <c r="V26" s="71">
        <f>IFERROR(INDEX('(참조)CS_인건비'!$S$3:$AG$40,MATCH(CS_인건비!$A26,'(참조)CS_인건비'!$S$3:$S$40,0),MATCH('(참조)CS_인건비'!AG$2,'(참조)CS_인건비'!$S$2:$AG$2,0)),0)</f>
        <v>3</v>
      </c>
      <c r="W26" s="71">
        <f>IFERROR(INDEX('(참조)CS_인건비'!$S$3:$AG$40,MATCH(CS_인건비!$A26,'(참조)CS_인건비'!$S$3:$S$40,0),MATCH('(참조)CS_인건비'!AH$2,'(참조)CS_인건비'!$S$2:$AG$2,0)),0)</f>
        <v>0</v>
      </c>
      <c r="X26" s="72">
        <v>0</v>
      </c>
      <c r="Y26" s="72">
        <f>IFERROR(INDEX('(참조)CS_인건비'!$A$3:$O$40,MATCH(CS_인건비!$A26,'(참조)CS_인건비'!$A$3:$A$40,0),MATCH('(참조)CS_인건비'!F$2,'(참조)CS_인건비'!$A$2:$O$2,0)),0)</f>
        <v>2822414</v>
      </c>
      <c r="Z26" s="72">
        <f>IFERROR(INDEX('(참조)CS_인건비'!$A$3:$O$40,MATCH(CS_인건비!$A26,'(참조)CS_인건비'!$A$3:$A$40,0),MATCH('(참조)CS_인건비'!G$2,'(참조)CS_인건비'!$A$2:$O$2,0)),0)</f>
        <v>2893851.4433746398</v>
      </c>
      <c r="AA26" s="72">
        <f>IFERROR(INDEX('(참조)CS_인건비'!$A$3:$O$40,MATCH(CS_인건비!$A26,'(참조)CS_인건비'!$A$3:$A$40,0),MATCH('(참조)CS_인건비'!H$2,'(참조)CS_인건비'!$A$2:$O$2,0)),0)</f>
        <v>2967097.0227335491</v>
      </c>
      <c r="AB26" s="72">
        <f>IFERROR(INDEX('(참조)CS_인건비'!$A$3:$O$40,MATCH(CS_인건비!$A26,'(참조)CS_인건비'!$A$3:$A$40,0),MATCH('(참조)CS_인건비'!I$2,'(참조)CS_인건비'!$A$2:$O$2,0)),0)</f>
        <v>3042196.5033726725</v>
      </c>
      <c r="AC26" s="72">
        <f>IFERROR(INDEX('(참조)CS_인건비'!$A$3:$O$40,MATCH(CS_인건비!$A26,'(참조)CS_인건비'!$A$3:$A$40,0),MATCH('(참조)CS_인건비'!J$2,'(참조)CS_인건비'!$A$2:$O$2,0)),0)</f>
        <v>3119196.8089423776</v>
      </c>
      <c r="AD26" s="72">
        <f>IFERROR(INDEX('(참조)CS_인건비'!$A$3:$O$40,MATCH(CS_인건비!$A26,'(참조)CS_인건비'!$A$3:$A$40,0),MATCH('(참조)CS_인건비'!K$2,'(참조)CS_인건비'!$A$2:$O$2,0)),0)</f>
        <v>3198146.0507662841</v>
      </c>
      <c r="AE26" s="72">
        <f>IFERROR(INDEX('(참조)CS_인건비'!$A$3:$O$40,MATCH(CS_인건비!$A26,'(참조)CS_인건비'!$A$3:$A$40,0),MATCH('(참조)CS_인건비'!L$2,'(참조)CS_인건비'!$A$2:$O$2,0)),0)</f>
        <v>3279093.5579021773</v>
      </c>
      <c r="AF26" s="72">
        <f>IFERROR(INDEX('(참조)CS_인건비'!$A$3:$O$40,MATCH(CS_인건비!$A26,'(참조)CS_인건비'!$A$3:$A$40,0),MATCH('(참조)CS_인건비'!M$2,'(참조)CS_인건비'!$A$2:$O$2,0)),0)</f>
        <v>3362089.9079637853</v>
      </c>
      <c r="AG26" s="72">
        <f>IFERROR(INDEX('(참조)CS_인건비'!$A$3:$O$40,MATCH(CS_인건비!$A26,'(참조)CS_인건비'!$A$3:$A$40,0),MATCH('(참조)CS_인건비'!N$2,'(참조)CS_인건비'!$A$2:$O$2,0)),0)</f>
        <v>3447186.9587226789</v>
      </c>
      <c r="AH26" s="72">
        <f>IFERROR(INDEX('(참조)CS_인건비'!$A$3:$O$40,MATCH(CS_인건비!$A26,'(참조)CS_인건비'!$A$3:$A$40,0),MATCH('(참조)CS_인건비'!O$2,'(참조)CS_인건비'!$A$2:$O$2,0)),0)</f>
        <v>3534437.8805100387</v>
      </c>
      <c r="AI26" s="72">
        <f>IFERROR(INDEX('(참조)CS_인건비'!$A$3:$O$40,MATCH(CS_인건비!$A26,'(참조)CS_인건비'!$A$3:$A$40,0),MATCH('(참조)CS_인건비'!P$2,'(참조)CS_인건비'!$A$2:$O$2,0)),0)</f>
        <v>0</v>
      </c>
      <c r="AJ26" s="72">
        <v>12</v>
      </c>
      <c r="AK26" s="72">
        <v>12</v>
      </c>
      <c r="AL26" s="72">
        <v>12</v>
      </c>
      <c r="AM26" s="72">
        <v>12</v>
      </c>
      <c r="AN26" s="72">
        <v>12</v>
      </c>
      <c r="AO26" s="72">
        <v>12</v>
      </c>
      <c r="AP26" s="72">
        <v>12</v>
      </c>
      <c r="AQ26" s="72">
        <v>12</v>
      </c>
      <c r="AR26" s="72">
        <v>12</v>
      </c>
      <c r="AS26" s="72">
        <v>12</v>
      </c>
      <c r="AT26" s="72">
        <v>12</v>
      </c>
      <c r="AU26" s="73">
        <v>1</v>
      </c>
      <c r="AV26" s="70">
        <v>0</v>
      </c>
      <c r="AW26" s="70">
        <v>0</v>
      </c>
      <c r="AX26" s="56">
        <v>1156900048.8343751</v>
      </c>
      <c r="AY26" s="56">
        <v>118541388</v>
      </c>
      <c r="AZ26" s="56">
        <v>104178651.96148701</v>
      </c>
      <c r="BA26" s="56">
        <v>106815492.81840777</v>
      </c>
      <c r="BB26" s="56">
        <v>109519074.12141623</v>
      </c>
      <c r="BC26" s="56">
        <v>112291085.12192559</v>
      </c>
      <c r="BD26" s="56">
        <v>115133257.82758623</v>
      </c>
      <c r="BE26" s="56">
        <v>118047368.08447838</v>
      </c>
      <c r="BF26" s="56">
        <v>121035236.68669623</v>
      </c>
      <c r="BG26" s="56">
        <v>124098730.51401646</v>
      </c>
      <c r="BH26" s="56">
        <v>127239763.69836135</v>
      </c>
      <c r="BI26" s="56">
        <v>0</v>
      </c>
      <c r="BJ26" s="74">
        <v>9878449</v>
      </c>
      <c r="BK26" s="56">
        <v>9878449</v>
      </c>
      <c r="BL26" s="56">
        <v>9878449</v>
      </c>
      <c r="BM26" s="56">
        <v>9878449</v>
      </c>
      <c r="BN26" s="56">
        <v>9878449</v>
      </c>
      <c r="BO26" s="56">
        <v>9878449</v>
      </c>
      <c r="BP26" s="56">
        <v>9878449</v>
      </c>
      <c r="BQ26" s="56">
        <v>9878449</v>
      </c>
      <c r="BR26" s="56">
        <v>9878449</v>
      </c>
      <c r="BS26" s="56">
        <v>9878449</v>
      </c>
      <c r="BT26" s="56">
        <v>9878449</v>
      </c>
      <c r="BU26" s="56">
        <v>9878449</v>
      </c>
      <c r="BV26" s="56">
        <v>8681554.33012392</v>
      </c>
      <c r="BW26" s="56">
        <v>8681554.33012392</v>
      </c>
      <c r="BX26" s="56">
        <v>8681554.33012392</v>
      </c>
      <c r="BY26" s="56">
        <v>8681554.33012392</v>
      </c>
      <c r="BZ26" s="56">
        <v>8681554.33012392</v>
      </c>
      <c r="CA26" s="56">
        <v>8681554.33012392</v>
      </c>
      <c r="CB26" s="56">
        <v>8681554.33012392</v>
      </c>
      <c r="CC26" s="56">
        <v>8681554.33012392</v>
      </c>
      <c r="CD26" s="56">
        <v>8681554.33012392</v>
      </c>
      <c r="CE26" s="56">
        <v>8681554.33012392</v>
      </c>
      <c r="CF26" s="56">
        <v>8681554.33012392</v>
      </c>
      <c r="CG26" s="56">
        <v>8681554.33012392</v>
      </c>
      <c r="CH26" s="56">
        <v>8901291.0682006478</v>
      </c>
      <c r="CI26" s="56">
        <v>8901291.0682006478</v>
      </c>
      <c r="CJ26" s="56">
        <v>8901291.0682006478</v>
      </c>
      <c r="CK26" s="56">
        <v>8901291.0682006478</v>
      </c>
      <c r="CL26" s="56">
        <v>8901291.0682006478</v>
      </c>
      <c r="CM26" s="56">
        <v>8901291.0682006478</v>
      </c>
      <c r="CN26" s="56">
        <v>8901291.0682006478</v>
      </c>
      <c r="CO26" s="56">
        <v>8901291.0682006478</v>
      </c>
      <c r="CP26" s="56">
        <v>8901291.0682006478</v>
      </c>
      <c r="CQ26" s="56">
        <v>8901291.0682006478</v>
      </c>
      <c r="CR26" s="56">
        <v>8901291.0682006478</v>
      </c>
      <c r="CS26" s="56">
        <v>8901291.0682006478</v>
      </c>
      <c r="CT26" s="56">
        <v>9126589.510118017</v>
      </c>
      <c r="CU26" s="56">
        <v>9126589.510118017</v>
      </c>
      <c r="CV26" s="56">
        <v>9126589.510118017</v>
      </c>
      <c r="CW26" s="56">
        <v>9126589.510118017</v>
      </c>
      <c r="CX26" s="56">
        <v>9126589.510118017</v>
      </c>
      <c r="CY26" s="56">
        <v>9126589.510118017</v>
      </c>
      <c r="CZ26" s="56">
        <v>9126589.510118017</v>
      </c>
      <c r="DA26" s="56">
        <v>9126589.510118017</v>
      </c>
      <c r="DB26" s="56">
        <v>9126589.510118017</v>
      </c>
      <c r="DC26" s="56">
        <v>9126589.510118017</v>
      </c>
      <c r="DD26" s="56">
        <v>9126589.510118017</v>
      </c>
      <c r="DE26" s="56">
        <v>9126589.510118017</v>
      </c>
      <c r="DF26" s="56">
        <v>9357590.4268271327</v>
      </c>
      <c r="DG26" s="56">
        <v>9357590.4268271327</v>
      </c>
      <c r="DH26" s="56">
        <v>9357590.4268271327</v>
      </c>
      <c r="DI26" s="56">
        <v>9357590.4268271327</v>
      </c>
      <c r="DJ26" s="56">
        <v>9357590.4268271327</v>
      </c>
      <c r="DK26" s="56">
        <v>9357590.4268271327</v>
      </c>
      <c r="DL26" s="56">
        <v>9357590.4268271327</v>
      </c>
      <c r="DM26" s="56">
        <v>9357590.4268271327</v>
      </c>
      <c r="DN26" s="56">
        <v>9357590.4268271327</v>
      </c>
      <c r="DO26" s="56">
        <v>9357590.4268271327</v>
      </c>
      <c r="DP26" s="56">
        <v>9357590.4268271327</v>
      </c>
      <c r="DQ26" s="56">
        <v>9357590.4268271327</v>
      </c>
      <c r="DR26" s="56">
        <v>9594438.1522988528</v>
      </c>
      <c r="DS26" s="56">
        <v>9594438.1522988528</v>
      </c>
      <c r="DT26" s="56">
        <v>9594438.1522988528</v>
      </c>
      <c r="DU26" s="56">
        <v>9594438.1522988528</v>
      </c>
      <c r="DV26" s="56">
        <v>9594438.1522988528</v>
      </c>
      <c r="DW26" s="56">
        <v>9594438.1522988528</v>
      </c>
      <c r="DX26" s="56">
        <v>9594438.1522988528</v>
      </c>
      <c r="DY26" s="56">
        <v>9594438.1522988528</v>
      </c>
      <c r="DZ26" s="56">
        <v>9594438.1522988528</v>
      </c>
      <c r="EA26" s="56">
        <v>9594438.1522988528</v>
      </c>
      <c r="EB26" s="56">
        <v>9594438.1522988528</v>
      </c>
      <c r="EC26" s="56">
        <v>9594438.1522988528</v>
      </c>
      <c r="ED26" s="56">
        <v>9837280.6737065315</v>
      </c>
      <c r="EE26" s="56">
        <v>9837280.6737065315</v>
      </c>
      <c r="EF26" s="56">
        <v>9837280.6737065315</v>
      </c>
      <c r="EG26" s="56">
        <v>9837280.6737065315</v>
      </c>
      <c r="EH26" s="56">
        <v>9837280.6737065315</v>
      </c>
      <c r="EI26" s="56">
        <v>9837280.6737065315</v>
      </c>
      <c r="EJ26" s="56">
        <v>9837280.6737065315</v>
      </c>
      <c r="EK26" s="56">
        <v>9837280.6737065315</v>
      </c>
      <c r="EL26" s="56">
        <v>9837280.6737065315</v>
      </c>
      <c r="EM26" s="56">
        <v>9837280.6737065315</v>
      </c>
      <c r="EN26" s="56">
        <v>9837280.6737065315</v>
      </c>
      <c r="EO26" s="56">
        <v>9837280.6737065315</v>
      </c>
      <c r="EP26" s="56">
        <v>10086269.723891355</v>
      </c>
      <c r="EQ26" s="56">
        <v>10086269.723891355</v>
      </c>
      <c r="ER26" s="56">
        <v>10086269.723891355</v>
      </c>
      <c r="ES26" s="56">
        <v>10086269.723891355</v>
      </c>
      <c r="ET26" s="56">
        <v>10086269.723891355</v>
      </c>
      <c r="EU26" s="56">
        <v>10086269.723891355</v>
      </c>
      <c r="EV26" s="56">
        <v>10086269.723891355</v>
      </c>
      <c r="EW26" s="56">
        <v>10086269.723891355</v>
      </c>
      <c r="EX26" s="56">
        <v>10086269.723891355</v>
      </c>
      <c r="EY26" s="56">
        <v>10086269.723891355</v>
      </c>
      <c r="EZ26" s="56">
        <v>10086269.723891355</v>
      </c>
      <c r="FA26" s="56">
        <v>10086269.723891355</v>
      </c>
      <c r="FB26" s="56">
        <v>10341560.876168037</v>
      </c>
      <c r="FC26" s="56">
        <v>10341560.876168037</v>
      </c>
      <c r="FD26" s="56">
        <v>10341560.876168037</v>
      </c>
      <c r="FE26" s="56">
        <v>10341560.876168037</v>
      </c>
      <c r="FF26" s="56">
        <v>10341560.876168037</v>
      </c>
      <c r="FG26" s="56">
        <v>10341560.876168037</v>
      </c>
      <c r="FH26" s="56">
        <v>10341560.876168037</v>
      </c>
      <c r="FI26" s="56">
        <v>10341560.876168037</v>
      </c>
      <c r="FJ26" s="56">
        <v>10341560.876168037</v>
      </c>
      <c r="FK26" s="56">
        <v>10341560.876168037</v>
      </c>
      <c r="FL26" s="56">
        <v>10341560.876168037</v>
      </c>
      <c r="FM26" s="56">
        <v>10341560.876168037</v>
      </c>
      <c r="FN26" s="56">
        <v>10603313.641530115</v>
      </c>
      <c r="FO26" s="56">
        <v>10603313.641530115</v>
      </c>
      <c r="FP26" s="56">
        <v>10603313.641530115</v>
      </c>
      <c r="FQ26" s="56">
        <v>10603313.641530115</v>
      </c>
      <c r="FR26" s="56">
        <v>10603313.641530115</v>
      </c>
      <c r="FS26" s="56">
        <v>10603313.641530115</v>
      </c>
      <c r="FT26" s="56">
        <v>10603313.641530115</v>
      </c>
      <c r="FU26" s="56">
        <v>10603313.641530115</v>
      </c>
      <c r="FV26" s="56">
        <v>10603313.641530115</v>
      </c>
      <c r="FW26" s="56">
        <v>10603313.641530115</v>
      </c>
      <c r="FX26" s="56">
        <v>10603313.641530115</v>
      </c>
      <c r="FY26" s="56">
        <v>10603313.641530115</v>
      </c>
      <c r="FZ26" s="56">
        <v>0</v>
      </c>
      <c r="GA26" s="56">
        <v>0</v>
      </c>
      <c r="GB26" s="56">
        <v>0</v>
      </c>
      <c r="GC26" s="56">
        <v>0</v>
      </c>
      <c r="GD26" s="56">
        <v>0</v>
      </c>
      <c r="GE26" s="56">
        <v>0</v>
      </c>
      <c r="GF26" s="56">
        <v>0</v>
      </c>
      <c r="GG26" s="56">
        <v>0</v>
      </c>
      <c r="GH26" s="56">
        <v>0</v>
      </c>
      <c r="GI26" s="56">
        <v>0</v>
      </c>
      <c r="GJ26" s="56">
        <v>0</v>
      </c>
      <c r="GK26" s="85">
        <v>0</v>
      </c>
      <c r="GL26" s="40"/>
    </row>
    <row r="27" spans="1:194" x14ac:dyDescent="0.4">
      <c r="A27" s="84" t="s">
        <v>264</v>
      </c>
      <c r="B27" s="75" t="s">
        <v>256</v>
      </c>
      <c r="C27" s="70" t="s">
        <v>398</v>
      </c>
      <c r="D27" s="70" t="s">
        <v>209</v>
      </c>
      <c r="E27" s="75" t="s">
        <v>193</v>
      </c>
      <c r="F27" s="75" t="s">
        <v>252</v>
      </c>
      <c r="G27" s="75" t="s">
        <v>198</v>
      </c>
      <c r="H27" s="75">
        <v>0</v>
      </c>
      <c r="I27" s="70">
        <v>0</v>
      </c>
      <c r="J27" s="70" t="s">
        <v>210</v>
      </c>
      <c r="K27" s="70">
        <v>0</v>
      </c>
      <c r="L27" s="70" t="s">
        <v>211</v>
      </c>
      <c r="M27" s="71">
        <f>IFERROR(INDEX('(참조)CS_인건비'!$S$3:$AG$40,MATCH(CS_인건비!$A27,'(참조)CS_인건비'!$S$3:$S$40,0),MATCH('(참조)CS_인건비'!X$2,'(참조)CS_인건비'!$S$2:$AG$2,0)),0)</f>
        <v>2</v>
      </c>
      <c r="N27" s="71">
        <f>IFERROR(INDEX('(참조)CS_인건비'!$S$3:$AG$40,MATCH(CS_인건비!$A27,'(참조)CS_인건비'!$S$3:$S$40,0),MATCH('(참조)CS_인건비'!Y$2,'(참조)CS_인건비'!$S$2:$AG$2,0)),0)</f>
        <v>2</v>
      </c>
      <c r="O27" s="71">
        <f>IFERROR(INDEX('(참조)CS_인건비'!$S$3:$AG$40,MATCH(CS_인건비!$A27,'(참조)CS_인건비'!$S$3:$S$40,0),MATCH('(참조)CS_인건비'!Z$2,'(참조)CS_인건비'!$S$2:$AG$2,0)),0)</f>
        <v>2</v>
      </c>
      <c r="P27" s="71">
        <f>IFERROR(INDEX('(참조)CS_인건비'!$S$3:$AG$40,MATCH(CS_인건비!$A27,'(참조)CS_인건비'!$S$3:$S$40,0),MATCH('(참조)CS_인건비'!AA$2,'(참조)CS_인건비'!$S$2:$AG$2,0)),0)</f>
        <v>2</v>
      </c>
      <c r="Q27" s="71">
        <f>IFERROR(INDEX('(참조)CS_인건비'!$S$3:$AG$40,MATCH(CS_인건비!$A27,'(참조)CS_인건비'!$S$3:$S$40,0),MATCH('(참조)CS_인건비'!AB$2,'(참조)CS_인건비'!$S$2:$AG$2,0)),0)</f>
        <v>2</v>
      </c>
      <c r="R27" s="71">
        <f>IFERROR(INDEX('(참조)CS_인건비'!$S$3:$AG$40,MATCH(CS_인건비!$A27,'(참조)CS_인건비'!$S$3:$S$40,0),MATCH('(참조)CS_인건비'!AC$2,'(참조)CS_인건비'!$S$2:$AG$2,0)),0)</f>
        <v>2</v>
      </c>
      <c r="S27" s="71">
        <f>IFERROR(INDEX('(참조)CS_인건비'!$S$3:$AG$40,MATCH(CS_인건비!$A27,'(참조)CS_인건비'!$S$3:$S$40,0),MATCH('(참조)CS_인건비'!AD$2,'(참조)CS_인건비'!$S$2:$AG$2,0)),0)</f>
        <v>2</v>
      </c>
      <c r="T27" s="71">
        <f>IFERROR(INDEX('(참조)CS_인건비'!$S$3:$AG$40,MATCH(CS_인건비!$A27,'(참조)CS_인건비'!$S$3:$S$40,0),MATCH('(참조)CS_인건비'!AE$2,'(참조)CS_인건비'!$S$2:$AG$2,0)),0)</f>
        <v>2</v>
      </c>
      <c r="U27" s="71">
        <f>IFERROR(INDEX('(참조)CS_인건비'!$S$3:$AG$40,MATCH(CS_인건비!$A27,'(참조)CS_인건비'!$S$3:$S$40,0),MATCH('(참조)CS_인건비'!AF$2,'(참조)CS_인건비'!$S$2:$AG$2,0)),0)</f>
        <v>2</v>
      </c>
      <c r="V27" s="71">
        <f>IFERROR(INDEX('(참조)CS_인건비'!$S$3:$AG$40,MATCH(CS_인건비!$A27,'(참조)CS_인건비'!$S$3:$S$40,0),MATCH('(참조)CS_인건비'!AG$2,'(참조)CS_인건비'!$S$2:$AG$2,0)),0)</f>
        <v>2</v>
      </c>
      <c r="W27" s="71">
        <f>IFERROR(INDEX('(참조)CS_인건비'!$S$3:$AG$40,MATCH(CS_인건비!$A27,'(참조)CS_인건비'!$S$3:$S$40,0),MATCH('(참조)CS_인건비'!AH$2,'(참조)CS_인건비'!$S$2:$AG$2,0)),0)</f>
        <v>0</v>
      </c>
      <c r="X27" s="72">
        <v>0</v>
      </c>
      <c r="Y27" s="72">
        <f>IFERROR(INDEX('(참조)CS_인건비'!$A$3:$O$40,MATCH(CS_인건비!$A27,'(참조)CS_인건비'!$A$3:$A$40,0),MATCH('(참조)CS_인건비'!F$2,'(참조)CS_인건비'!$A$2:$O$2,0)),0)</f>
        <v>2822414</v>
      </c>
      <c r="Z27" s="72">
        <f>IFERROR(INDEX('(참조)CS_인건비'!$A$3:$O$40,MATCH(CS_인건비!$A27,'(참조)CS_인건비'!$A$3:$A$40,0),MATCH('(참조)CS_인건비'!G$2,'(참조)CS_인건비'!$A$2:$O$2,0)),0)</f>
        <v>2893851.4433746398</v>
      </c>
      <c r="AA27" s="72">
        <f>IFERROR(INDEX('(참조)CS_인건비'!$A$3:$O$40,MATCH(CS_인건비!$A27,'(참조)CS_인건비'!$A$3:$A$40,0),MATCH('(참조)CS_인건비'!H$2,'(참조)CS_인건비'!$A$2:$O$2,0)),0)</f>
        <v>2967097.0227335491</v>
      </c>
      <c r="AB27" s="72">
        <f>IFERROR(INDEX('(참조)CS_인건비'!$A$3:$O$40,MATCH(CS_인건비!$A27,'(참조)CS_인건비'!$A$3:$A$40,0),MATCH('(참조)CS_인건비'!I$2,'(참조)CS_인건비'!$A$2:$O$2,0)),0)</f>
        <v>3042196.5033726725</v>
      </c>
      <c r="AC27" s="72">
        <f>IFERROR(INDEX('(참조)CS_인건비'!$A$3:$O$40,MATCH(CS_인건비!$A27,'(참조)CS_인건비'!$A$3:$A$40,0),MATCH('(참조)CS_인건비'!J$2,'(참조)CS_인건비'!$A$2:$O$2,0)),0)</f>
        <v>3119196.8089423776</v>
      </c>
      <c r="AD27" s="72">
        <f>IFERROR(INDEX('(참조)CS_인건비'!$A$3:$O$40,MATCH(CS_인건비!$A27,'(참조)CS_인건비'!$A$3:$A$40,0),MATCH('(참조)CS_인건비'!K$2,'(참조)CS_인건비'!$A$2:$O$2,0)),0)</f>
        <v>3198146.0507662841</v>
      </c>
      <c r="AE27" s="72">
        <f>IFERROR(INDEX('(참조)CS_인건비'!$A$3:$O$40,MATCH(CS_인건비!$A27,'(참조)CS_인건비'!$A$3:$A$40,0),MATCH('(참조)CS_인건비'!L$2,'(참조)CS_인건비'!$A$2:$O$2,0)),0)</f>
        <v>3279093.5579021773</v>
      </c>
      <c r="AF27" s="72">
        <f>IFERROR(INDEX('(참조)CS_인건비'!$A$3:$O$40,MATCH(CS_인건비!$A27,'(참조)CS_인건비'!$A$3:$A$40,0),MATCH('(참조)CS_인건비'!M$2,'(참조)CS_인건비'!$A$2:$O$2,0)),0)</f>
        <v>3362089.9079637853</v>
      </c>
      <c r="AG27" s="72">
        <f>IFERROR(INDEX('(참조)CS_인건비'!$A$3:$O$40,MATCH(CS_인건비!$A27,'(참조)CS_인건비'!$A$3:$A$40,0),MATCH('(참조)CS_인건비'!N$2,'(참조)CS_인건비'!$A$2:$O$2,0)),0)</f>
        <v>3447186.9587226789</v>
      </c>
      <c r="AH27" s="72">
        <f>IFERROR(INDEX('(참조)CS_인건비'!$A$3:$O$40,MATCH(CS_인건비!$A27,'(참조)CS_인건비'!$A$3:$A$40,0),MATCH('(참조)CS_인건비'!O$2,'(참조)CS_인건비'!$A$2:$O$2,0)),0)</f>
        <v>3534437.8805100387</v>
      </c>
      <c r="AI27" s="72">
        <f>IFERROR(INDEX('(참조)CS_인건비'!$A$3:$O$40,MATCH(CS_인건비!$A27,'(참조)CS_인건비'!$A$3:$A$40,0),MATCH('(참조)CS_인건비'!P$2,'(참조)CS_인건비'!$A$2:$O$2,0)),0)</f>
        <v>0</v>
      </c>
      <c r="AJ27" s="72">
        <v>12</v>
      </c>
      <c r="AK27" s="72">
        <v>12</v>
      </c>
      <c r="AL27" s="72">
        <v>12</v>
      </c>
      <c r="AM27" s="72">
        <v>12</v>
      </c>
      <c r="AN27" s="72">
        <v>12</v>
      </c>
      <c r="AO27" s="72">
        <v>12</v>
      </c>
      <c r="AP27" s="72">
        <v>12</v>
      </c>
      <c r="AQ27" s="72">
        <v>12</v>
      </c>
      <c r="AR27" s="72">
        <v>12</v>
      </c>
      <c r="AS27" s="72">
        <v>12</v>
      </c>
      <c r="AT27" s="72">
        <v>12</v>
      </c>
      <c r="AU27" s="73">
        <v>1</v>
      </c>
      <c r="AV27" s="70">
        <v>0</v>
      </c>
      <c r="AW27" s="70">
        <v>0</v>
      </c>
      <c r="AX27" s="56">
        <v>759977043.22291696</v>
      </c>
      <c r="AY27" s="56">
        <v>67737936</v>
      </c>
      <c r="AZ27" s="56">
        <v>69452434.640991375</v>
      </c>
      <c r="BA27" s="56">
        <v>71210328.545605198</v>
      </c>
      <c r="BB27" s="56">
        <v>73012716.080944136</v>
      </c>
      <c r="BC27" s="56">
        <v>74860723.414617062</v>
      </c>
      <c r="BD27" s="56">
        <v>76755505.218390822</v>
      </c>
      <c r="BE27" s="56">
        <v>78698245.389652252</v>
      </c>
      <c r="BF27" s="56">
        <v>80690157.791130841</v>
      </c>
      <c r="BG27" s="56">
        <v>82732487.009344324</v>
      </c>
      <c r="BH27" s="56">
        <v>84826509.132240936</v>
      </c>
      <c r="BI27" s="56">
        <v>0</v>
      </c>
      <c r="BJ27" s="74">
        <v>5644828</v>
      </c>
      <c r="BK27" s="56">
        <v>5644828</v>
      </c>
      <c r="BL27" s="56">
        <v>5644828</v>
      </c>
      <c r="BM27" s="56">
        <v>5644828</v>
      </c>
      <c r="BN27" s="56">
        <v>5644828</v>
      </c>
      <c r="BO27" s="56">
        <v>5644828</v>
      </c>
      <c r="BP27" s="56">
        <v>5644828</v>
      </c>
      <c r="BQ27" s="56">
        <v>5644828</v>
      </c>
      <c r="BR27" s="56">
        <v>5644828</v>
      </c>
      <c r="BS27" s="56">
        <v>5644828</v>
      </c>
      <c r="BT27" s="56">
        <v>5644828</v>
      </c>
      <c r="BU27" s="56">
        <v>5644828</v>
      </c>
      <c r="BV27" s="56">
        <v>5787702.8867492797</v>
      </c>
      <c r="BW27" s="56">
        <v>5787702.8867492797</v>
      </c>
      <c r="BX27" s="56">
        <v>5787702.8867492797</v>
      </c>
      <c r="BY27" s="56">
        <v>5787702.8867492797</v>
      </c>
      <c r="BZ27" s="56">
        <v>5787702.8867492797</v>
      </c>
      <c r="CA27" s="56">
        <v>5787702.8867492797</v>
      </c>
      <c r="CB27" s="56">
        <v>5787702.8867492797</v>
      </c>
      <c r="CC27" s="56">
        <v>5787702.8867492797</v>
      </c>
      <c r="CD27" s="56">
        <v>5787702.8867492797</v>
      </c>
      <c r="CE27" s="56">
        <v>5787702.8867492797</v>
      </c>
      <c r="CF27" s="56">
        <v>5787702.8867492797</v>
      </c>
      <c r="CG27" s="56">
        <v>5787702.8867492797</v>
      </c>
      <c r="CH27" s="56">
        <v>5934194.0454670982</v>
      </c>
      <c r="CI27" s="56">
        <v>5934194.0454670982</v>
      </c>
      <c r="CJ27" s="56">
        <v>5934194.0454670982</v>
      </c>
      <c r="CK27" s="56">
        <v>5934194.0454670982</v>
      </c>
      <c r="CL27" s="56">
        <v>5934194.0454670982</v>
      </c>
      <c r="CM27" s="56">
        <v>5934194.0454670982</v>
      </c>
      <c r="CN27" s="56">
        <v>5934194.0454670982</v>
      </c>
      <c r="CO27" s="56">
        <v>5934194.0454670982</v>
      </c>
      <c r="CP27" s="56">
        <v>5934194.0454670982</v>
      </c>
      <c r="CQ27" s="56">
        <v>5934194.0454670982</v>
      </c>
      <c r="CR27" s="56">
        <v>5934194.0454670982</v>
      </c>
      <c r="CS27" s="56">
        <v>5934194.0454670982</v>
      </c>
      <c r="CT27" s="56">
        <v>6084393.006745345</v>
      </c>
      <c r="CU27" s="56">
        <v>6084393.006745345</v>
      </c>
      <c r="CV27" s="56">
        <v>6084393.006745345</v>
      </c>
      <c r="CW27" s="56">
        <v>6084393.006745345</v>
      </c>
      <c r="CX27" s="56">
        <v>6084393.006745345</v>
      </c>
      <c r="CY27" s="56">
        <v>6084393.006745345</v>
      </c>
      <c r="CZ27" s="56">
        <v>6084393.006745345</v>
      </c>
      <c r="DA27" s="56">
        <v>6084393.006745345</v>
      </c>
      <c r="DB27" s="56">
        <v>6084393.006745345</v>
      </c>
      <c r="DC27" s="56">
        <v>6084393.006745345</v>
      </c>
      <c r="DD27" s="56">
        <v>6084393.006745345</v>
      </c>
      <c r="DE27" s="56">
        <v>6084393.006745345</v>
      </c>
      <c r="DF27" s="56">
        <v>6238393.6178847551</v>
      </c>
      <c r="DG27" s="56">
        <v>6238393.6178847551</v>
      </c>
      <c r="DH27" s="56">
        <v>6238393.6178847551</v>
      </c>
      <c r="DI27" s="56">
        <v>6238393.6178847551</v>
      </c>
      <c r="DJ27" s="56">
        <v>6238393.6178847551</v>
      </c>
      <c r="DK27" s="56">
        <v>6238393.6178847551</v>
      </c>
      <c r="DL27" s="56">
        <v>6238393.6178847551</v>
      </c>
      <c r="DM27" s="56">
        <v>6238393.6178847551</v>
      </c>
      <c r="DN27" s="56">
        <v>6238393.6178847551</v>
      </c>
      <c r="DO27" s="56">
        <v>6238393.6178847551</v>
      </c>
      <c r="DP27" s="56">
        <v>6238393.6178847551</v>
      </c>
      <c r="DQ27" s="56">
        <v>6238393.6178847551</v>
      </c>
      <c r="DR27" s="56">
        <v>6396292.1015325682</v>
      </c>
      <c r="DS27" s="56">
        <v>6396292.1015325682</v>
      </c>
      <c r="DT27" s="56">
        <v>6396292.1015325682</v>
      </c>
      <c r="DU27" s="56">
        <v>6396292.1015325682</v>
      </c>
      <c r="DV27" s="56">
        <v>6396292.1015325682</v>
      </c>
      <c r="DW27" s="56">
        <v>6396292.1015325682</v>
      </c>
      <c r="DX27" s="56">
        <v>6396292.1015325682</v>
      </c>
      <c r="DY27" s="56">
        <v>6396292.1015325682</v>
      </c>
      <c r="DZ27" s="56">
        <v>6396292.1015325682</v>
      </c>
      <c r="EA27" s="56">
        <v>6396292.1015325682</v>
      </c>
      <c r="EB27" s="56">
        <v>6396292.1015325682</v>
      </c>
      <c r="EC27" s="56">
        <v>6396292.1015325682</v>
      </c>
      <c r="ED27" s="56">
        <v>6558187.1158043547</v>
      </c>
      <c r="EE27" s="56">
        <v>6558187.1158043547</v>
      </c>
      <c r="EF27" s="56">
        <v>6558187.1158043547</v>
      </c>
      <c r="EG27" s="56">
        <v>6558187.1158043547</v>
      </c>
      <c r="EH27" s="56">
        <v>6558187.1158043547</v>
      </c>
      <c r="EI27" s="56">
        <v>6558187.1158043547</v>
      </c>
      <c r="EJ27" s="56">
        <v>6558187.1158043547</v>
      </c>
      <c r="EK27" s="56">
        <v>6558187.1158043547</v>
      </c>
      <c r="EL27" s="56">
        <v>6558187.1158043547</v>
      </c>
      <c r="EM27" s="56">
        <v>6558187.1158043547</v>
      </c>
      <c r="EN27" s="56">
        <v>6558187.1158043547</v>
      </c>
      <c r="EO27" s="56">
        <v>6558187.1158043547</v>
      </c>
      <c r="EP27" s="56">
        <v>6724179.8159275707</v>
      </c>
      <c r="EQ27" s="56">
        <v>6724179.8159275707</v>
      </c>
      <c r="ER27" s="56">
        <v>6724179.8159275707</v>
      </c>
      <c r="ES27" s="56">
        <v>6724179.8159275707</v>
      </c>
      <c r="ET27" s="56">
        <v>6724179.8159275707</v>
      </c>
      <c r="EU27" s="56">
        <v>6724179.8159275707</v>
      </c>
      <c r="EV27" s="56">
        <v>6724179.8159275707</v>
      </c>
      <c r="EW27" s="56">
        <v>6724179.8159275707</v>
      </c>
      <c r="EX27" s="56">
        <v>6724179.8159275707</v>
      </c>
      <c r="EY27" s="56">
        <v>6724179.8159275707</v>
      </c>
      <c r="EZ27" s="56">
        <v>6724179.8159275707</v>
      </c>
      <c r="FA27" s="56">
        <v>6724179.8159275707</v>
      </c>
      <c r="FB27" s="56">
        <v>6894373.9174453579</v>
      </c>
      <c r="FC27" s="56">
        <v>6894373.9174453579</v>
      </c>
      <c r="FD27" s="56">
        <v>6894373.9174453579</v>
      </c>
      <c r="FE27" s="56">
        <v>6894373.9174453579</v>
      </c>
      <c r="FF27" s="56">
        <v>6894373.9174453579</v>
      </c>
      <c r="FG27" s="56">
        <v>6894373.9174453579</v>
      </c>
      <c r="FH27" s="56">
        <v>6894373.9174453579</v>
      </c>
      <c r="FI27" s="56">
        <v>6894373.9174453579</v>
      </c>
      <c r="FJ27" s="56">
        <v>6894373.9174453579</v>
      </c>
      <c r="FK27" s="56">
        <v>6894373.9174453579</v>
      </c>
      <c r="FL27" s="56">
        <v>6894373.9174453579</v>
      </c>
      <c r="FM27" s="56">
        <v>6894373.9174453579</v>
      </c>
      <c r="FN27" s="56">
        <v>7068875.7610200774</v>
      </c>
      <c r="FO27" s="56">
        <v>7068875.7610200774</v>
      </c>
      <c r="FP27" s="56">
        <v>7068875.7610200774</v>
      </c>
      <c r="FQ27" s="56">
        <v>7068875.7610200774</v>
      </c>
      <c r="FR27" s="56">
        <v>7068875.7610200774</v>
      </c>
      <c r="FS27" s="56">
        <v>7068875.7610200774</v>
      </c>
      <c r="FT27" s="56">
        <v>7068875.7610200774</v>
      </c>
      <c r="FU27" s="56">
        <v>7068875.7610200774</v>
      </c>
      <c r="FV27" s="56">
        <v>7068875.7610200774</v>
      </c>
      <c r="FW27" s="56">
        <v>7068875.7610200774</v>
      </c>
      <c r="FX27" s="56">
        <v>7068875.7610200774</v>
      </c>
      <c r="FY27" s="56">
        <v>7068875.7610200774</v>
      </c>
      <c r="FZ27" s="56">
        <v>0</v>
      </c>
      <c r="GA27" s="56">
        <v>0</v>
      </c>
      <c r="GB27" s="56">
        <v>0</v>
      </c>
      <c r="GC27" s="56">
        <v>0</v>
      </c>
      <c r="GD27" s="56">
        <v>0</v>
      </c>
      <c r="GE27" s="56">
        <v>0</v>
      </c>
      <c r="GF27" s="56">
        <v>0</v>
      </c>
      <c r="GG27" s="56">
        <v>0</v>
      </c>
      <c r="GH27" s="56">
        <v>0</v>
      </c>
      <c r="GI27" s="56">
        <v>0</v>
      </c>
      <c r="GJ27" s="56">
        <v>0</v>
      </c>
      <c r="GK27" s="85">
        <v>0</v>
      </c>
      <c r="GL27" s="40"/>
    </row>
    <row r="28" spans="1:194" x14ac:dyDescent="0.4">
      <c r="A28" s="84" t="s">
        <v>300</v>
      </c>
      <c r="B28" s="75" t="s">
        <v>316</v>
      </c>
      <c r="C28" s="70" t="s">
        <v>398</v>
      </c>
      <c r="D28" s="70" t="s">
        <v>209</v>
      </c>
      <c r="E28" s="75" t="s">
        <v>193</v>
      </c>
      <c r="F28" s="75" t="s">
        <v>250</v>
      </c>
      <c r="G28" s="75" t="s">
        <v>251</v>
      </c>
      <c r="H28" s="75">
        <v>0</v>
      </c>
      <c r="I28" s="70">
        <v>0</v>
      </c>
      <c r="J28" s="70" t="s">
        <v>210</v>
      </c>
      <c r="K28" s="70">
        <v>0</v>
      </c>
      <c r="L28" s="70" t="s">
        <v>211</v>
      </c>
      <c r="M28" s="71">
        <f>IFERROR(INDEX('(참조)CS_인건비'!$S$3:$AG$40,MATCH(CS_인건비!$A28,'(참조)CS_인건비'!$S$3:$S$40,0),MATCH('(참조)CS_인건비'!X$2,'(참조)CS_인건비'!$S$2:$AG$2,0)),0)</f>
        <v>0</v>
      </c>
      <c r="N28" s="71">
        <f>IFERROR(INDEX('(참조)CS_인건비'!$S$3:$AG$40,MATCH(CS_인건비!$A28,'(참조)CS_인건비'!$S$3:$S$40,0),MATCH('(참조)CS_인건비'!Y$2,'(참조)CS_인건비'!$S$2:$AG$2,0)),0)</f>
        <v>0</v>
      </c>
      <c r="O28" s="71">
        <f>IFERROR(INDEX('(참조)CS_인건비'!$S$3:$AG$40,MATCH(CS_인건비!$A28,'(참조)CS_인건비'!$S$3:$S$40,0),MATCH('(참조)CS_인건비'!Z$2,'(참조)CS_인건비'!$S$2:$AG$2,0)),0)</f>
        <v>0</v>
      </c>
      <c r="P28" s="71">
        <f>IFERROR(INDEX('(참조)CS_인건비'!$S$3:$AG$40,MATCH(CS_인건비!$A28,'(참조)CS_인건비'!$S$3:$S$40,0),MATCH('(참조)CS_인건비'!AA$2,'(참조)CS_인건비'!$S$2:$AG$2,0)),0)</f>
        <v>0</v>
      </c>
      <c r="Q28" s="71">
        <f>IFERROR(INDEX('(참조)CS_인건비'!$S$3:$AG$40,MATCH(CS_인건비!$A28,'(참조)CS_인건비'!$S$3:$S$40,0),MATCH('(참조)CS_인건비'!AB$2,'(참조)CS_인건비'!$S$2:$AG$2,0)),0)</f>
        <v>0</v>
      </c>
      <c r="R28" s="71">
        <f>IFERROR(INDEX('(참조)CS_인건비'!$S$3:$AG$40,MATCH(CS_인건비!$A28,'(참조)CS_인건비'!$S$3:$S$40,0),MATCH('(참조)CS_인건비'!AC$2,'(참조)CS_인건비'!$S$2:$AG$2,0)),0)</f>
        <v>0</v>
      </c>
      <c r="S28" s="71">
        <f>IFERROR(INDEX('(참조)CS_인건비'!$S$3:$AG$40,MATCH(CS_인건비!$A28,'(참조)CS_인건비'!$S$3:$S$40,0),MATCH('(참조)CS_인건비'!AD$2,'(참조)CS_인건비'!$S$2:$AG$2,0)),0)</f>
        <v>0</v>
      </c>
      <c r="T28" s="71">
        <f>IFERROR(INDEX('(참조)CS_인건비'!$S$3:$AG$40,MATCH(CS_인건비!$A28,'(참조)CS_인건비'!$S$3:$S$40,0),MATCH('(참조)CS_인건비'!AE$2,'(참조)CS_인건비'!$S$2:$AG$2,0)),0)</f>
        <v>0</v>
      </c>
      <c r="U28" s="71">
        <f>IFERROR(INDEX('(참조)CS_인건비'!$S$3:$AG$40,MATCH(CS_인건비!$A28,'(참조)CS_인건비'!$S$3:$S$40,0),MATCH('(참조)CS_인건비'!AF$2,'(참조)CS_인건비'!$S$2:$AG$2,0)),0)</f>
        <v>0</v>
      </c>
      <c r="V28" s="71">
        <f>IFERROR(INDEX('(참조)CS_인건비'!$S$3:$AG$40,MATCH(CS_인건비!$A28,'(참조)CS_인건비'!$S$3:$S$40,0),MATCH('(참조)CS_인건비'!AG$2,'(참조)CS_인건비'!$S$2:$AG$2,0)),0)</f>
        <v>0</v>
      </c>
      <c r="W28" s="71">
        <f>IFERROR(INDEX('(참조)CS_인건비'!$S$3:$AG$40,MATCH(CS_인건비!$A28,'(참조)CS_인건비'!$S$3:$S$40,0),MATCH('(참조)CS_인건비'!AH$2,'(참조)CS_인건비'!$S$2:$AG$2,0)),0)</f>
        <v>0</v>
      </c>
      <c r="X28" s="72">
        <v>0</v>
      </c>
      <c r="Y28" s="72">
        <f>IFERROR(INDEX('(참조)CS_인건비'!$A$3:$O$40,MATCH(CS_인건비!$A28,'(참조)CS_인건비'!$A$3:$A$40,0),MATCH('(참조)CS_인건비'!F$2,'(참조)CS_인건비'!$A$2:$O$2,0)),0)</f>
        <v>2839546</v>
      </c>
      <c r="Z28" s="72">
        <f>IFERROR(INDEX('(참조)CS_인건비'!$A$3:$O$40,MATCH(CS_인건비!$A28,'(참조)CS_인건비'!$A$3:$A$40,0),MATCH('(참조)CS_인건비'!G$2,'(참조)CS_인건비'!$A$2:$O$2,0)),0)</f>
        <v>2911417.0673149601</v>
      </c>
      <c r="AA28" s="72">
        <f>IFERROR(INDEX('(참조)CS_인건비'!$A$3:$O$40,MATCH(CS_인건비!$A28,'(참조)CS_인건비'!$A$3:$A$40,0),MATCH('(참조)CS_인건비'!H$2,'(참조)CS_인건비'!$A$2:$O$2,0)),0)</f>
        <v>2985107.2459656727</v>
      </c>
      <c r="AB28" s="72">
        <f>IFERROR(INDEX('(참조)CS_인건비'!$A$3:$O$40,MATCH(CS_인건비!$A28,'(참조)CS_인건비'!$A$3:$A$40,0),MATCH('(참조)CS_인건비'!I$2,'(참조)CS_인건비'!$A$2:$O$2,0)),0)</f>
        <v>3060662.5790425707</v>
      </c>
      <c r="AC28" s="72">
        <f>IFERROR(INDEX('(참조)CS_인건비'!$A$3:$O$40,MATCH(CS_인건비!$A28,'(참조)CS_인건비'!$A$3:$A$40,0),MATCH('(참조)CS_인건비'!J$2,'(참조)CS_인건비'!$A$2:$O$2,0)),0)</f>
        <v>3138130.2750216983</v>
      </c>
      <c r="AD28" s="72">
        <f>IFERROR(INDEX('(참조)CS_인건비'!$A$3:$O$40,MATCH(CS_인건비!$A28,'(참조)CS_인건비'!$A$3:$A$40,0),MATCH('(참조)CS_인건비'!K$2,'(참조)CS_인건비'!$A$2:$O$2,0)),0)</f>
        <v>3217558.7372615063</v>
      </c>
      <c r="AE28" s="72">
        <f>IFERROR(INDEX('(참조)CS_인건비'!$A$3:$O$40,MATCH(CS_인건비!$A28,'(참조)CS_인건비'!$A$3:$A$40,0),MATCH('(참조)CS_인건비'!L$2,'(참조)CS_인건비'!$A$2:$O$2,0)),0)</f>
        <v>3298997.5942462352</v>
      </c>
      <c r="AF28" s="72">
        <f>IFERROR(INDEX('(참조)CS_인건비'!$A$3:$O$40,MATCH(CS_인건비!$A28,'(참조)CS_인건비'!$A$3:$A$40,0),MATCH('(참조)CS_인건비'!M$2,'(참조)CS_인건비'!$A$2:$O$2,0)),0)</f>
        <v>3382497.7305947789</v>
      </c>
      <c r="AG28" s="72">
        <f>IFERROR(INDEX('(참조)CS_인건비'!$A$3:$O$40,MATCH(CS_인건비!$A28,'(참조)CS_인건비'!$A$3:$A$40,0),MATCH('(참조)CS_인건비'!N$2,'(참조)CS_인건비'!$A$2:$O$2,0)),0)</f>
        <v>3468111.3188544079</v>
      </c>
      <c r="AH28" s="72">
        <f>IFERROR(INDEX('(참조)CS_인건비'!$A$3:$O$40,MATCH(CS_인건비!$A28,'(참조)CS_인건비'!$A$3:$A$40,0),MATCH('(참조)CS_인건비'!O$2,'(참조)CS_인건비'!$A$2:$O$2,0)),0)</f>
        <v>3555891.8520992151</v>
      </c>
      <c r="AI28" s="72">
        <f>IFERROR(INDEX('(참조)CS_인건비'!$A$3:$O$40,MATCH(CS_인건비!$A28,'(참조)CS_인건비'!$A$3:$A$40,0),MATCH('(참조)CS_인건비'!P$2,'(참조)CS_인건비'!$A$2:$O$2,0)),0)</f>
        <v>0</v>
      </c>
      <c r="AJ28" s="72">
        <v>12</v>
      </c>
      <c r="AK28" s="72">
        <v>12</v>
      </c>
      <c r="AL28" s="72">
        <v>12</v>
      </c>
      <c r="AM28" s="72">
        <v>12</v>
      </c>
      <c r="AN28" s="72">
        <v>12</v>
      </c>
      <c r="AO28" s="72">
        <v>12</v>
      </c>
      <c r="AP28" s="72">
        <v>12</v>
      </c>
      <c r="AQ28" s="72">
        <v>12</v>
      </c>
      <c r="AR28" s="72">
        <v>12</v>
      </c>
      <c r="AS28" s="72">
        <v>12</v>
      </c>
      <c r="AT28" s="72">
        <v>12</v>
      </c>
      <c r="AU28" s="73">
        <v>1</v>
      </c>
      <c r="AV28" s="70">
        <v>0</v>
      </c>
      <c r="AW28" s="70">
        <v>0</v>
      </c>
      <c r="AX28" s="56">
        <v>0</v>
      </c>
      <c r="AY28" s="56">
        <v>0</v>
      </c>
      <c r="AZ28" s="56">
        <v>0</v>
      </c>
      <c r="BA28" s="56">
        <v>0</v>
      </c>
      <c r="BB28" s="56">
        <v>0</v>
      </c>
      <c r="BC28" s="56">
        <v>0</v>
      </c>
      <c r="BD28" s="56">
        <v>0</v>
      </c>
      <c r="BE28" s="56">
        <v>0</v>
      </c>
      <c r="BF28" s="56">
        <v>0</v>
      </c>
      <c r="BG28" s="56">
        <v>0</v>
      </c>
      <c r="BH28" s="56">
        <v>0</v>
      </c>
      <c r="BI28" s="56">
        <v>0</v>
      </c>
      <c r="BJ28" s="74">
        <v>0</v>
      </c>
      <c r="BK28" s="56">
        <v>0</v>
      </c>
      <c r="BL28" s="56">
        <v>0</v>
      </c>
      <c r="BM28" s="56">
        <v>0</v>
      </c>
      <c r="BN28" s="56">
        <v>0</v>
      </c>
      <c r="BO28" s="56">
        <v>0</v>
      </c>
      <c r="BP28" s="56">
        <v>0</v>
      </c>
      <c r="BQ28" s="56">
        <v>0</v>
      </c>
      <c r="BR28" s="56">
        <v>0</v>
      </c>
      <c r="BS28" s="56">
        <v>0</v>
      </c>
      <c r="BT28" s="56">
        <v>0</v>
      </c>
      <c r="BU28" s="56">
        <v>0</v>
      </c>
      <c r="BV28" s="56">
        <v>0</v>
      </c>
      <c r="BW28" s="56">
        <v>0</v>
      </c>
      <c r="BX28" s="56">
        <v>0</v>
      </c>
      <c r="BY28" s="56">
        <v>0</v>
      </c>
      <c r="BZ28" s="56">
        <v>0</v>
      </c>
      <c r="CA28" s="56">
        <v>0</v>
      </c>
      <c r="CB28" s="56">
        <v>0</v>
      </c>
      <c r="CC28" s="56">
        <v>0</v>
      </c>
      <c r="CD28" s="56">
        <v>0</v>
      </c>
      <c r="CE28" s="56">
        <v>0</v>
      </c>
      <c r="CF28" s="56">
        <v>0</v>
      </c>
      <c r="CG28" s="56">
        <v>0</v>
      </c>
      <c r="CH28" s="56">
        <v>0</v>
      </c>
      <c r="CI28" s="56">
        <v>0</v>
      </c>
      <c r="CJ28" s="56">
        <v>0</v>
      </c>
      <c r="CK28" s="56">
        <v>0</v>
      </c>
      <c r="CL28" s="56">
        <v>0</v>
      </c>
      <c r="CM28" s="56">
        <v>0</v>
      </c>
      <c r="CN28" s="56">
        <v>0</v>
      </c>
      <c r="CO28" s="56">
        <v>0</v>
      </c>
      <c r="CP28" s="56">
        <v>0</v>
      </c>
      <c r="CQ28" s="56">
        <v>0</v>
      </c>
      <c r="CR28" s="56">
        <v>0</v>
      </c>
      <c r="CS28" s="56">
        <v>0</v>
      </c>
      <c r="CT28" s="56">
        <v>0</v>
      </c>
      <c r="CU28" s="56">
        <v>0</v>
      </c>
      <c r="CV28" s="56">
        <v>0</v>
      </c>
      <c r="CW28" s="56">
        <v>0</v>
      </c>
      <c r="CX28" s="56">
        <v>0</v>
      </c>
      <c r="CY28" s="56">
        <v>0</v>
      </c>
      <c r="CZ28" s="56">
        <v>0</v>
      </c>
      <c r="DA28" s="56">
        <v>0</v>
      </c>
      <c r="DB28" s="56">
        <v>0</v>
      </c>
      <c r="DC28" s="56">
        <v>0</v>
      </c>
      <c r="DD28" s="56">
        <v>0</v>
      </c>
      <c r="DE28" s="56">
        <v>0</v>
      </c>
      <c r="DF28" s="56">
        <v>0</v>
      </c>
      <c r="DG28" s="56">
        <v>0</v>
      </c>
      <c r="DH28" s="56">
        <v>0</v>
      </c>
      <c r="DI28" s="56">
        <v>0</v>
      </c>
      <c r="DJ28" s="56">
        <v>0</v>
      </c>
      <c r="DK28" s="56">
        <v>0</v>
      </c>
      <c r="DL28" s="56">
        <v>0</v>
      </c>
      <c r="DM28" s="56">
        <v>0</v>
      </c>
      <c r="DN28" s="56">
        <v>0</v>
      </c>
      <c r="DO28" s="56">
        <v>0</v>
      </c>
      <c r="DP28" s="56">
        <v>0</v>
      </c>
      <c r="DQ28" s="56">
        <v>0</v>
      </c>
      <c r="DR28" s="56">
        <v>0</v>
      </c>
      <c r="DS28" s="56">
        <v>0</v>
      </c>
      <c r="DT28" s="56">
        <v>0</v>
      </c>
      <c r="DU28" s="56">
        <v>0</v>
      </c>
      <c r="DV28" s="56">
        <v>0</v>
      </c>
      <c r="DW28" s="56">
        <v>0</v>
      </c>
      <c r="DX28" s="56">
        <v>0</v>
      </c>
      <c r="DY28" s="56">
        <v>0</v>
      </c>
      <c r="DZ28" s="56">
        <v>0</v>
      </c>
      <c r="EA28" s="56">
        <v>0</v>
      </c>
      <c r="EB28" s="56">
        <v>0</v>
      </c>
      <c r="EC28" s="56">
        <v>0</v>
      </c>
      <c r="ED28" s="56">
        <v>0</v>
      </c>
      <c r="EE28" s="56">
        <v>0</v>
      </c>
      <c r="EF28" s="56">
        <v>0</v>
      </c>
      <c r="EG28" s="56">
        <v>0</v>
      </c>
      <c r="EH28" s="56">
        <v>0</v>
      </c>
      <c r="EI28" s="56">
        <v>0</v>
      </c>
      <c r="EJ28" s="56">
        <v>0</v>
      </c>
      <c r="EK28" s="56">
        <v>0</v>
      </c>
      <c r="EL28" s="56">
        <v>0</v>
      </c>
      <c r="EM28" s="56">
        <v>0</v>
      </c>
      <c r="EN28" s="56">
        <v>0</v>
      </c>
      <c r="EO28" s="56">
        <v>0</v>
      </c>
      <c r="EP28" s="56">
        <v>0</v>
      </c>
      <c r="EQ28" s="56">
        <v>0</v>
      </c>
      <c r="ER28" s="56">
        <v>0</v>
      </c>
      <c r="ES28" s="56">
        <v>0</v>
      </c>
      <c r="ET28" s="56">
        <v>0</v>
      </c>
      <c r="EU28" s="56">
        <v>0</v>
      </c>
      <c r="EV28" s="56">
        <v>0</v>
      </c>
      <c r="EW28" s="56">
        <v>0</v>
      </c>
      <c r="EX28" s="56">
        <v>0</v>
      </c>
      <c r="EY28" s="56">
        <v>0</v>
      </c>
      <c r="EZ28" s="56">
        <v>0</v>
      </c>
      <c r="FA28" s="56">
        <v>0</v>
      </c>
      <c r="FB28" s="56">
        <v>0</v>
      </c>
      <c r="FC28" s="56">
        <v>0</v>
      </c>
      <c r="FD28" s="56">
        <v>0</v>
      </c>
      <c r="FE28" s="56">
        <v>0</v>
      </c>
      <c r="FF28" s="56">
        <v>0</v>
      </c>
      <c r="FG28" s="56">
        <v>0</v>
      </c>
      <c r="FH28" s="56">
        <v>0</v>
      </c>
      <c r="FI28" s="56">
        <v>0</v>
      </c>
      <c r="FJ28" s="56">
        <v>0</v>
      </c>
      <c r="FK28" s="56">
        <v>0</v>
      </c>
      <c r="FL28" s="56">
        <v>0</v>
      </c>
      <c r="FM28" s="56">
        <v>0</v>
      </c>
      <c r="FN28" s="56">
        <v>0</v>
      </c>
      <c r="FO28" s="56">
        <v>0</v>
      </c>
      <c r="FP28" s="56">
        <v>0</v>
      </c>
      <c r="FQ28" s="56">
        <v>0</v>
      </c>
      <c r="FR28" s="56">
        <v>0</v>
      </c>
      <c r="FS28" s="56">
        <v>0</v>
      </c>
      <c r="FT28" s="56">
        <v>0</v>
      </c>
      <c r="FU28" s="56">
        <v>0</v>
      </c>
      <c r="FV28" s="56">
        <v>0</v>
      </c>
      <c r="FW28" s="56">
        <v>0</v>
      </c>
      <c r="FX28" s="56">
        <v>0</v>
      </c>
      <c r="FY28" s="56">
        <v>0</v>
      </c>
      <c r="FZ28" s="56">
        <v>0</v>
      </c>
      <c r="GA28" s="56">
        <v>0</v>
      </c>
      <c r="GB28" s="56">
        <v>0</v>
      </c>
      <c r="GC28" s="56">
        <v>0</v>
      </c>
      <c r="GD28" s="56">
        <v>0</v>
      </c>
      <c r="GE28" s="56">
        <v>0</v>
      </c>
      <c r="GF28" s="56">
        <v>0</v>
      </c>
      <c r="GG28" s="56">
        <v>0</v>
      </c>
      <c r="GH28" s="56">
        <v>0</v>
      </c>
      <c r="GI28" s="56">
        <v>0</v>
      </c>
      <c r="GJ28" s="56">
        <v>0</v>
      </c>
      <c r="GK28" s="85">
        <v>0</v>
      </c>
      <c r="GL28" s="40"/>
    </row>
    <row r="29" spans="1:194" x14ac:dyDescent="0.4">
      <c r="A29" s="84" t="s">
        <v>302</v>
      </c>
      <c r="B29" s="75" t="s">
        <v>316</v>
      </c>
      <c r="C29" s="70" t="s">
        <v>398</v>
      </c>
      <c r="D29" s="70" t="s">
        <v>209</v>
      </c>
      <c r="E29" s="75" t="s">
        <v>175</v>
      </c>
      <c r="F29" s="75" t="s">
        <v>250</v>
      </c>
      <c r="G29" s="75" t="s">
        <v>286</v>
      </c>
      <c r="H29" s="75">
        <v>0</v>
      </c>
      <c r="I29" s="70">
        <v>0</v>
      </c>
      <c r="J29" s="70" t="s">
        <v>210</v>
      </c>
      <c r="K29" s="70">
        <v>0</v>
      </c>
      <c r="L29" s="70" t="s">
        <v>211</v>
      </c>
      <c r="M29" s="71">
        <f>IFERROR(INDEX('(참조)CS_인건비'!$S$3:$AG$40,MATCH(CS_인건비!$A29,'(참조)CS_인건비'!$S$3:$S$40,0),MATCH('(참조)CS_인건비'!X$2,'(참조)CS_인건비'!$S$2:$AG$2,0)),0)</f>
        <v>11.25</v>
      </c>
      <c r="N29" s="71">
        <f>IFERROR(INDEX('(참조)CS_인건비'!$S$3:$AG$40,MATCH(CS_인건비!$A29,'(참조)CS_인건비'!$S$3:$S$40,0),MATCH('(참조)CS_인건비'!Y$2,'(참조)CS_인건비'!$S$2:$AG$2,0)),0)</f>
        <v>15</v>
      </c>
      <c r="O29" s="71">
        <f>IFERROR(INDEX('(참조)CS_인건비'!$S$3:$AG$40,MATCH(CS_인건비!$A29,'(참조)CS_인건비'!$S$3:$S$40,0),MATCH('(참조)CS_인건비'!Z$2,'(참조)CS_인건비'!$S$2:$AG$2,0)),0)</f>
        <v>15</v>
      </c>
      <c r="P29" s="71">
        <f>IFERROR(INDEX('(참조)CS_인건비'!$S$3:$AG$40,MATCH(CS_인건비!$A29,'(참조)CS_인건비'!$S$3:$S$40,0),MATCH('(참조)CS_인건비'!AA$2,'(참조)CS_인건비'!$S$2:$AG$2,0)),0)</f>
        <v>15</v>
      </c>
      <c r="Q29" s="71">
        <f>IFERROR(INDEX('(참조)CS_인건비'!$S$3:$AG$40,MATCH(CS_인건비!$A29,'(참조)CS_인건비'!$S$3:$S$40,0),MATCH('(참조)CS_인건비'!AB$2,'(참조)CS_인건비'!$S$2:$AG$2,0)),0)</f>
        <v>15</v>
      </c>
      <c r="R29" s="71">
        <f>IFERROR(INDEX('(참조)CS_인건비'!$S$3:$AG$40,MATCH(CS_인건비!$A29,'(참조)CS_인건비'!$S$3:$S$40,0),MATCH('(참조)CS_인건비'!AC$2,'(참조)CS_인건비'!$S$2:$AG$2,0)),0)</f>
        <v>15</v>
      </c>
      <c r="S29" s="71">
        <f>IFERROR(INDEX('(참조)CS_인건비'!$S$3:$AG$40,MATCH(CS_인건비!$A29,'(참조)CS_인건비'!$S$3:$S$40,0),MATCH('(참조)CS_인건비'!AD$2,'(참조)CS_인건비'!$S$2:$AG$2,0)),0)</f>
        <v>15</v>
      </c>
      <c r="T29" s="71">
        <f>IFERROR(INDEX('(참조)CS_인건비'!$S$3:$AG$40,MATCH(CS_인건비!$A29,'(참조)CS_인건비'!$S$3:$S$40,0),MATCH('(참조)CS_인건비'!AE$2,'(참조)CS_인건비'!$S$2:$AG$2,0)),0)</f>
        <v>15</v>
      </c>
      <c r="U29" s="71">
        <f>IFERROR(INDEX('(참조)CS_인건비'!$S$3:$AG$40,MATCH(CS_인건비!$A29,'(참조)CS_인건비'!$S$3:$S$40,0),MATCH('(참조)CS_인건비'!AF$2,'(참조)CS_인건비'!$S$2:$AG$2,0)),0)</f>
        <v>15</v>
      </c>
      <c r="V29" s="71">
        <f>IFERROR(INDEX('(참조)CS_인건비'!$S$3:$AG$40,MATCH(CS_인건비!$A29,'(참조)CS_인건비'!$S$3:$S$40,0),MATCH('(참조)CS_인건비'!AG$2,'(참조)CS_인건비'!$S$2:$AG$2,0)),0)</f>
        <v>15</v>
      </c>
      <c r="W29" s="71">
        <f>IFERROR(INDEX('(참조)CS_인건비'!$S$3:$AG$40,MATCH(CS_인건비!$A29,'(참조)CS_인건비'!$S$3:$S$40,0),MATCH('(참조)CS_인건비'!AH$2,'(참조)CS_인건비'!$S$2:$AG$2,0)),0)</f>
        <v>0</v>
      </c>
      <c r="X29" s="72">
        <v>0</v>
      </c>
      <c r="Y29" s="72">
        <f>IFERROR(INDEX('(참조)CS_인건비'!$A$3:$O$40,MATCH(CS_인건비!$A29,'(참조)CS_인건비'!$A$3:$A$40,0),MATCH('(참조)CS_인건비'!F$2,'(참조)CS_인건비'!$A$2:$O$2,0)),0)</f>
        <v>2475401</v>
      </c>
      <c r="Z29" s="72">
        <f>IFERROR(INDEX('(참조)CS_인건비'!$A$3:$O$40,MATCH(CS_인건비!$A29,'(참조)CS_인건비'!$A$3:$A$40,0),MATCH('(참조)CS_인건비'!G$2,'(참조)CS_인건비'!$A$2:$O$2,0)),0)</f>
        <v>2538055.2806147598</v>
      </c>
      <c r="AA29" s="72">
        <f>IFERROR(INDEX('(참조)CS_인건비'!$A$3:$O$40,MATCH(CS_인건비!$A29,'(참조)CS_인건비'!$A$3:$A$40,0),MATCH('(참조)CS_인건비'!H$2,'(참조)CS_인건비'!$A$2:$O$2,0)),0)</f>
        <v>2602295.3886891324</v>
      </c>
      <c r="AB29" s="72">
        <f>IFERROR(INDEX('(참조)CS_인건비'!$A$3:$O$40,MATCH(CS_인건비!$A29,'(참조)CS_인건비'!$A$3:$A$40,0),MATCH('(참조)CS_인건비'!I$2,'(참조)CS_인건비'!$A$2:$O$2,0)),0)</f>
        <v>2668161.4627213497</v>
      </c>
      <c r="AC29" s="72">
        <f>IFERROR(INDEX('(참조)CS_인건비'!$A$3:$O$40,MATCH(CS_인건비!$A29,'(참조)CS_인건비'!$A$3:$A$40,0),MATCH('(참조)CS_인건비'!J$2,'(참조)CS_인건비'!$A$2:$O$2,0)),0)</f>
        <v>2735694.6571455388</v>
      </c>
      <c r="AD29" s="72">
        <f>IFERROR(INDEX('(참조)CS_인건비'!$A$3:$O$40,MATCH(CS_인건비!$A29,'(참조)CS_인건비'!$A$3:$A$40,0),MATCH('(참조)CS_인건비'!K$2,'(참조)CS_인건비'!$A$2:$O$2,0)),0)</f>
        <v>2804937.1680458318</v>
      </c>
      <c r="AE29" s="72">
        <f>IFERROR(INDEX('(참조)CS_인건비'!$A$3:$O$40,MATCH(CS_인건비!$A29,'(참조)CS_인건비'!$A$3:$A$40,0),MATCH('(참조)CS_인건비'!L$2,'(참조)CS_인건비'!$A$2:$O$2,0)),0)</f>
        <v>2875932.2595213195</v>
      </c>
      <c r="AF29" s="72">
        <f>IFERROR(INDEX('(참조)CS_인건비'!$A$3:$O$40,MATCH(CS_인건비!$A29,'(참조)CS_인건비'!$A$3:$A$40,0),MATCH('(참조)CS_인건비'!M$2,'(참조)CS_인건비'!$A$2:$O$2,0)),0)</f>
        <v>2948724.2907183212</v>
      </c>
      <c r="AG29" s="72">
        <f>IFERROR(INDEX('(참조)CS_인건비'!$A$3:$O$40,MATCH(CS_인건비!$A29,'(참조)CS_인건비'!$A$3:$A$40,0),MATCH('(참조)CS_인건비'!N$2,'(참조)CS_인건비'!$A$2:$O$2,0)),0)</f>
        <v>3023358.7435468626</v>
      </c>
      <c r="AH29" s="72">
        <f>IFERROR(INDEX('(참조)CS_인건비'!$A$3:$O$40,MATCH(CS_인건비!$A29,'(참조)CS_인건비'!$A$3:$A$40,0),MATCH('(참조)CS_인건비'!O$2,'(참조)CS_인건비'!$A$2:$O$2,0)),0)</f>
        <v>3099882.2510986789</v>
      </c>
      <c r="AI29" s="72">
        <f>IFERROR(INDEX('(참조)CS_인건비'!$A$3:$O$40,MATCH(CS_인건비!$A29,'(참조)CS_인건비'!$A$3:$A$40,0),MATCH('(참조)CS_인건비'!P$2,'(참조)CS_인건비'!$A$2:$O$2,0)),0)</f>
        <v>0</v>
      </c>
      <c r="AJ29" s="72">
        <v>12</v>
      </c>
      <c r="AK29" s="72">
        <v>12</v>
      </c>
      <c r="AL29" s="72">
        <v>12</v>
      </c>
      <c r="AM29" s="72">
        <v>12</v>
      </c>
      <c r="AN29" s="72">
        <v>12</v>
      </c>
      <c r="AO29" s="72">
        <v>12</v>
      </c>
      <c r="AP29" s="72">
        <v>12</v>
      </c>
      <c r="AQ29" s="72">
        <v>12</v>
      </c>
      <c r="AR29" s="72">
        <v>12</v>
      </c>
      <c r="AS29" s="72">
        <v>12</v>
      </c>
      <c r="AT29" s="72">
        <v>12</v>
      </c>
      <c r="AU29" s="73">
        <v>1</v>
      </c>
      <c r="AV29" s="70">
        <v>0</v>
      </c>
      <c r="AW29" s="70">
        <v>0</v>
      </c>
      <c r="AX29" s="56">
        <v>4887646605.3783226</v>
      </c>
      <c r="AY29" s="56">
        <v>334179135</v>
      </c>
      <c r="AZ29" s="56">
        <v>456849950.5106566</v>
      </c>
      <c r="BA29" s="56">
        <v>468413169.96404386</v>
      </c>
      <c r="BB29" s="56">
        <v>480269063.28984284</v>
      </c>
      <c r="BC29" s="56">
        <v>492425038.28619713</v>
      </c>
      <c r="BD29" s="56">
        <v>504888690.24824959</v>
      </c>
      <c r="BE29" s="56">
        <v>517667806.71383739</v>
      </c>
      <c r="BF29" s="56">
        <v>530770372.32929778</v>
      </c>
      <c r="BG29" s="56">
        <v>544204573.83843529</v>
      </c>
      <c r="BH29" s="56">
        <v>557978805.19776237</v>
      </c>
      <c r="BI29" s="56">
        <v>0</v>
      </c>
      <c r="BJ29" s="74">
        <v>27848261.25</v>
      </c>
      <c r="BK29" s="56">
        <v>27848261.25</v>
      </c>
      <c r="BL29" s="56">
        <v>27848261.25</v>
      </c>
      <c r="BM29" s="56">
        <v>27848261.25</v>
      </c>
      <c r="BN29" s="56">
        <v>27848261.25</v>
      </c>
      <c r="BO29" s="56">
        <v>27848261.25</v>
      </c>
      <c r="BP29" s="56">
        <v>27848261.25</v>
      </c>
      <c r="BQ29" s="56">
        <v>27848261.25</v>
      </c>
      <c r="BR29" s="56">
        <v>27848261.25</v>
      </c>
      <c r="BS29" s="56">
        <v>27848261.25</v>
      </c>
      <c r="BT29" s="56">
        <v>27848261.25</v>
      </c>
      <c r="BU29" s="56">
        <v>27848261.25</v>
      </c>
      <c r="BV29" s="56">
        <v>38070829.209221393</v>
      </c>
      <c r="BW29" s="56">
        <v>38070829.209221393</v>
      </c>
      <c r="BX29" s="56">
        <v>38070829.209221393</v>
      </c>
      <c r="BY29" s="56">
        <v>38070829.209221393</v>
      </c>
      <c r="BZ29" s="56">
        <v>38070829.209221393</v>
      </c>
      <c r="CA29" s="56">
        <v>38070829.209221393</v>
      </c>
      <c r="CB29" s="56">
        <v>38070829.209221393</v>
      </c>
      <c r="CC29" s="56">
        <v>38070829.209221393</v>
      </c>
      <c r="CD29" s="56">
        <v>38070829.209221393</v>
      </c>
      <c r="CE29" s="56">
        <v>38070829.209221393</v>
      </c>
      <c r="CF29" s="56">
        <v>38070829.209221393</v>
      </c>
      <c r="CG29" s="56">
        <v>38070829.209221393</v>
      </c>
      <c r="CH29" s="56">
        <v>39034430.830336988</v>
      </c>
      <c r="CI29" s="56">
        <v>39034430.830336988</v>
      </c>
      <c r="CJ29" s="56">
        <v>39034430.830336988</v>
      </c>
      <c r="CK29" s="56">
        <v>39034430.830336988</v>
      </c>
      <c r="CL29" s="56">
        <v>39034430.830336988</v>
      </c>
      <c r="CM29" s="56">
        <v>39034430.830336988</v>
      </c>
      <c r="CN29" s="56">
        <v>39034430.830336988</v>
      </c>
      <c r="CO29" s="56">
        <v>39034430.830336988</v>
      </c>
      <c r="CP29" s="56">
        <v>39034430.830336988</v>
      </c>
      <c r="CQ29" s="56">
        <v>39034430.830336988</v>
      </c>
      <c r="CR29" s="56">
        <v>39034430.830336988</v>
      </c>
      <c r="CS29" s="56">
        <v>39034430.830336988</v>
      </c>
      <c r="CT29" s="56">
        <v>40022421.940820247</v>
      </c>
      <c r="CU29" s="56">
        <v>40022421.940820247</v>
      </c>
      <c r="CV29" s="56">
        <v>40022421.940820247</v>
      </c>
      <c r="CW29" s="56">
        <v>40022421.940820247</v>
      </c>
      <c r="CX29" s="56">
        <v>40022421.940820247</v>
      </c>
      <c r="CY29" s="56">
        <v>40022421.940820247</v>
      </c>
      <c r="CZ29" s="56">
        <v>40022421.940820247</v>
      </c>
      <c r="DA29" s="56">
        <v>40022421.940820247</v>
      </c>
      <c r="DB29" s="56">
        <v>40022421.940820247</v>
      </c>
      <c r="DC29" s="56">
        <v>40022421.940820247</v>
      </c>
      <c r="DD29" s="56">
        <v>40022421.940820247</v>
      </c>
      <c r="DE29" s="56">
        <v>40022421.940820247</v>
      </c>
      <c r="DF29" s="56">
        <v>41035419.857183084</v>
      </c>
      <c r="DG29" s="56">
        <v>41035419.857183084</v>
      </c>
      <c r="DH29" s="56">
        <v>41035419.857183084</v>
      </c>
      <c r="DI29" s="56">
        <v>41035419.857183084</v>
      </c>
      <c r="DJ29" s="56">
        <v>41035419.857183084</v>
      </c>
      <c r="DK29" s="56">
        <v>41035419.857183084</v>
      </c>
      <c r="DL29" s="56">
        <v>41035419.857183084</v>
      </c>
      <c r="DM29" s="56">
        <v>41035419.857183084</v>
      </c>
      <c r="DN29" s="56">
        <v>41035419.857183084</v>
      </c>
      <c r="DO29" s="56">
        <v>41035419.857183084</v>
      </c>
      <c r="DP29" s="56">
        <v>41035419.857183084</v>
      </c>
      <c r="DQ29" s="56">
        <v>41035419.857183084</v>
      </c>
      <c r="DR29" s="56">
        <v>42074057.520687476</v>
      </c>
      <c r="DS29" s="56">
        <v>42074057.520687476</v>
      </c>
      <c r="DT29" s="56">
        <v>42074057.520687476</v>
      </c>
      <c r="DU29" s="56">
        <v>42074057.520687476</v>
      </c>
      <c r="DV29" s="56">
        <v>42074057.520687476</v>
      </c>
      <c r="DW29" s="56">
        <v>42074057.520687476</v>
      </c>
      <c r="DX29" s="56">
        <v>42074057.520687476</v>
      </c>
      <c r="DY29" s="56">
        <v>42074057.520687476</v>
      </c>
      <c r="DZ29" s="56">
        <v>42074057.520687476</v>
      </c>
      <c r="EA29" s="56">
        <v>42074057.520687476</v>
      </c>
      <c r="EB29" s="56">
        <v>42074057.520687476</v>
      </c>
      <c r="EC29" s="56">
        <v>42074057.520687476</v>
      </c>
      <c r="ED29" s="56">
        <v>43138983.892819792</v>
      </c>
      <c r="EE29" s="56">
        <v>43138983.892819792</v>
      </c>
      <c r="EF29" s="56">
        <v>43138983.892819792</v>
      </c>
      <c r="EG29" s="56">
        <v>43138983.892819792</v>
      </c>
      <c r="EH29" s="56">
        <v>43138983.892819792</v>
      </c>
      <c r="EI29" s="56">
        <v>43138983.892819792</v>
      </c>
      <c r="EJ29" s="56">
        <v>43138983.892819792</v>
      </c>
      <c r="EK29" s="56">
        <v>43138983.892819792</v>
      </c>
      <c r="EL29" s="56">
        <v>43138983.892819792</v>
      </c>
      <c r="EM29" s="56">
        <v>43138983.892819792</v>
      </c>
      <c r="EN29" s="56">
        <v>43138983.892819792</v>
      </c>
      <c r="EO29" s="56">
        <v>43138983.892819792</v>
      </c>
      <c r="EP29" s="56">
        <v>44230864.360774815</v>
      </c>
      <c r="EQ29" s="56">
        <v>44230864.360774815</v>
      </c>
      <c r="ER29" s="56">
        <v>44230864.360774815</v>
      </c>
      <c r="ES29" s="56">
        <v>44230864.360774815</v>
      </c>
      <c r="ET29" s="56">
        <v>44230864.360774815</v>
      </c>
      <c r="EU29" s="56">
        <v>44230864.360774815</v>
      </c>
      <c r="EV29" s="56">
        <v>44230864.360774815</v>
      </c>
      <c r="EW29" s="56">
        <v>44230864.360774815</v>
      </c>
      <c r="EX29" s="56">
        <v>44230864.360774815</v>
      </c>
      <c r="EY29" s="56">
        <v>44230864.360774815</v>
      </c>
      <c r="EZ29" s="56">
        <v>44230864.360774815</v>
      </c>
      <c r="FA29" s="56">
        <v>44230864.360774815</v>
      </c>
      <c r="FB29" s="56">
        <v>45350381.153202936</v>
      </c>
      <c r="FC29" s="56">
        <v>45350381.153202936</v>
      </c>
      <c r="FD29" s="56">
        <v>45350381.153202936</v>
      </c>
      <c r="FE29" s="56">
        <v>45350381.153202936</v>
      </c>
      <c r="FF29" s="56">
        <v>45350381.153202936</v>
      </c>
      <c r="FG29" s="56">
        <v>45350381.153202936</v>
      </c>
      <c r="FH29" s="56">
        <v>45350381.153202936</v>
      </c>
      <c r="FI29" s="56">
        <v>45350381.153202936</v>
      </c>
      <c r="FJ29" s="56">
        <v>45350381.153202936</v>
      </c>
      <c r="FK29" s="56">
        <v>45350381.153202936</v>
      </c>
      <c r="FL29" s="56">
        <v>45350381.153202936</v>
      </c>
      <c r="FM29" s="56">
        <v>45350381.153202936</v>
      </c>
      <c r="FN29" s="56">
        <v>46498233.766480185</v>
      </c>
      <c r="FO29" s="56">
        <v>46498233.766480185</v>
      </c>
      <c r="FP29" s="56">
        <v>46498233.766480185</v>
      </c>
      <c r="FQ29" s="56">
        <v>46498233.766480185</v>
      </c>
      <c r="FR29" s="56">
        <v>46498233.766480185</v>
      </c>
      <c r="FS29" s="56">
        <v>46498233.766480185</v>
      </c>
      <c r="FT29" s="56">
        <v>46498233.766480185</v>
      </c>
      <c r="FU29" s="56">
        <v>46498233.766480185</v>
      </c>
      <c r="FV29" s="56">
        <v>46498233.766480185</v>
      </c>
      <c r="FW29" s="56">
        <v>46498233.766480185</v>
      </c>
      <c r="FX29" s="56">
        <v>46498233.766480185</v>
      </c>
      <c r="FY29" s="56">
        <v>46498233.766480185</v>
      </c>
      <c r="FZ29" s="56">
        <v>0</v>
      </c>
      <c r="GA29" s="56">
        <v>0</v>
      </c>
      <c r="GB29" s="56">
        <v>0</v>
      </c>
      <c r="GC29" s="56">
        <v>0</v>
      </c>
      <c r="GD29" s="56">
        <v>0</v>
      </c>
      <c r="GE29" s="56">
        <v>0</v>
      </c>
      <c r="GF29" s="56">
        <v>0</v>
      </c>
      <c r="GG29" s="56">
        <v>0</v>
      </c>
      <c r="GH29" s="56">
        <v>0</v>
      </c>
      <c r="GI29" s="56">
        <v>0</v>
      </c>
      <c r="GJ29" s="56">
        <v>0</v>
      </c>
      <c r="GK29" s="85">
        <v>0</v>
      </c>
      <c r="GL29" s="40"/>
    </row>
    <row r="30" spans="1:194" x14ac:dyDescent="0.4">
      <c r="A30" s="84" t="s">
        <v>303</v>
      </c>
      <c r="B30" s="75" t="s">
        <v>316</v>
      </c>
      <c r="C30" s="70" t="s">
        <v>398</v>
      </c>
      <c r="D30" s="70" t="s">
        <v>209</v>
      </c>
      <c r="E30" s="75" t="s">
        <v>175</v>
      </c>
      <c r="F30" s="75" t="s">
        <v>250</v>
      </c>
      <c r="G30" s="75" t="s">
        <v>287</v>
      </c>
      <c r="H30" s="75">
        <v>0</v>
      </c>
      <c r="I30" s="70">
        <v>0</v>
      </c>
      <c r="J30" s="70" t="s">
        <v>210</v>
      </c>
      <c r="K30" s="70">
        <v>0</v>
      </c>
      <c r="L30" s="70" t="s">
        <v>211</v>
      </c>
      <c r="M30" s="71">
        <f>IFERROR(INDEX('(참조)CS_인건비'!$S$3:$AG$40,MATCH(CS_인건비!$A30,'(참조)CS_인건비'!$S$3:$S$40,0),MATCH('(참조)CS_인건비'!X$2,'(참조)CS_인건비'!$S$2:$AG$2,0)),0)</f>
        <v>2.25</v>
      </c>
      <c r="N30" s="71">
        <f>IFERROR(INDEX('(참조)CS_인건비'!$S$3:$AG$40,MATCH(CS_인건비!$A30,'(참조)CS_인건비'!$S$3:$S$40,0),MATCH('(참조)CS_인건비'!Y$2,'(참조)CS_인건비'!$S$2:$AG$2,0)),0)</f>
        <v>3</v>
      </c>
      <c r="O30" s="71">
        <f>IFERROR(INDEX('(참조)CS_인건비'!$S$3:$AG$40,MATCH(CS_인건비!$A30,'(참조)CS_인건비'!$S$3:$S$40,0),MATCH('(참조)CS_인건비'!Z$2,'(참조)CS_인건비'!$S$2:$AG$2,0)),0)</f>
        <v>3</v>
      </c>
      <c r="P30" s="71">
        <f>IFERROR(INDEX('(참조)CS_인건비'!$S$3:$AG$40,MATCH(CS_인건비!$A30,'(참조)CS_인건비'!$S$3:$S$40,0),MATCH('(참조)CS_인건비'!AA$2,'(참조)CS_인건비'!$S$2:$AG$2,0)),0)</f>
        <v>3</v>
      </c>
      <c r="Q30" s="71">
        <f>IFERROR(INDEX('(참조)CS_인건비'!$S$3:$AG$40,MATCH(CS_인건비!$A30,'(참조)CS_인건비'!$S$3:$S$40,0),MATCH('(참조)CS_인건비'!AB$2,'(참조)CS_인건비'!$S$2:$AG$2,0)),0)</f>
        <v>3</v>
      </c>
      <c r="R30" s="71">
        <f>IFERROR(INDEX('(참조)CS_인건비'!$S$3:$AG$40,MATCH(CS_인건비!$A30,'(참조)CS_인건비'!$S$3:$S$40,0),MATCH('(참조)CS_인건비'!AC$2,'(참조)CS_인건비'!$S$2:$AG$2,0)),0)</f>
        <v>3</v>
      </c>
      <c r="S30" s="71">
        <f>IFERROR(INDEX('(참조)CS_인건비'!$S$3:$AG$40,MATCH(CS_인건비!$A30,'(참조)CS_인건비'!$S$3:$S$40,0),MATCH('(참조)CS_인건비'!AD$2,'(참조)CS_인건비'!$S$2:$AG$2,0)),0)</f>
        <v>3</v>
      </c>
      <c r="T30" s="71">
        <f>IFERROR(INDEX('(참조)CS_인건비'!$S$3:$AG$40,MATCH(CS_인건비!$A30,'(참조)CS_인건비'!$S$3:$S$40,0),MATCH('(참조)CS_인건비'!AE$2,'(참조)CS_인건비'!$S$2:$AG$2,0)),0)</f>
        <v>3</v>
      </c>
      <c r="U30" s="71">
        <f>IFERROR(INDEX('(참조)CS_인건비'!$S$3:$AG$40,MATCH(CS_인건비!$A30,'(참조)CS_인건비'!$S$3:$S$40,0),MATCH('(참조)CS_인건비'!AF$2,'(참조)CS_인건비'!$S$2:$AG$2,0)),0)</f>
        <v>3</v>
      </c>
      <c r="V30" s="71">
        <f>IFERROR(INDEX('(참조)CS_인건비'!$S$3:$AG$40,MATCH(CS_인건비!$A30,'(참조)CS_인건비'!$S$3:$S$40,0),MATCH('(참조)CS_인건비'!AG$2,'(참조)CS_인건비'!$S$2:$AG$2,0)),0)</f>
        <v>3</v>
      </c>
      <c r="W30" s="71">
        <f>IFERROR(INDEX('(참조)CS_인건비'!$S$3:$AG$40,MATCH(CS_인건비!$A30,'(참조)CS_인건비'!$S$3:$S$40,0),MATCH('(참조)CS_인건비'!AH$2,'(참조)CS_인건비'!$S$2:$AG$2,0)),0)</f>
        <v>0</v>
      </c>
      <c r="X30" s="72">
        <v>0</v>
      </c>
      <c r="Y30" s="72">
        <f>IFERROR(INDEX('(참조)CS_인건비'!$A$3:$O$40,MATCH(CS_인건비!$A30,'(참조)CS_인건비'!$A$3:$A$40,0),MATCH('(참조)CS_인건비'!F$2,'(참조)CS_인건비'!$A$2:$O$2,0)),0)</f>
        <v>2475401</v>
      </c>
      <c r="Z30" s="72">
        <f>IFERROR(INDEX('(참조)CS_인건비'!$A$3:$O$40,MATCH(CS_인건비!$A30,'(참조)CS_인건비'!$A$3:$A$40,0),MATCH('(참조)CS_인건비'!G$2,'(참조)CS_인건비'!$A$2:$O$2,0)),0)</f>
        <v>2538055.2806147598</v>
      </c>
      <c r="AA30" s="72">
        <f>IFERROR(INDEX('(참조)CS_인건비'!$A$3:$O$40,MATCH(CS_인건비!$A30,'(참조)CS_인건비'!$A$3:$A$40,0),MATCH('(참조)CS_인건비'!H$2,'(참조)CS_인건비'!$A$2:$O$2,0)),0)</f>
        <v>2602295.3886891324</v>
      </c>
      <c r="AB30" s="72">
        <f>IFERROR(INDEX('(참조)CS_인건비'!$A$3:$O$40,MATCH(CS_인건비!$A30,'(참조)CS_인건비'!$A$3:$A$40,0),MATCH('(참조)CS_인건비'!I$2,'(참조)CS_인건비'!$A$2:$O$2,0)),0)</f>
        <v>2668161.4627213497</v>
      </c>
      <c r="AC30" s="72">
        <f>IFERROR(INDEX('(참조)CS_인건비'!$A$3:$O$40,MATCH(CS_인건비!$A30,'(참조)CS_인건비'!$A$3:$A$40,0),MATCH('(참조)CS_인건비'!J$2,'(참조)CS_인건비'!$A$2:$O$2,0)),0)</f>
        <v>2735694.6571455388</v>
      </c>
      <c r="AD30" s="72">
        <f>IFERROR(INDEX('(참조)CS_인건비'!$A$3:$O$40,MATCH(CS_인건비!$A30,'(참조)CS_인건비'!$A$3:$A$40,0),MATCH('(참조)CS_인건비'!K$2,'(참조)CS_인건비'!$A$2:$O$2,0)),0)</f>
        <v>2804937.1680458318</v>
      </c>
      <c r="AE30" s="72">
        <f>IFERROR(INDEX('(참조)CS_인건비'!$A$3:$O$40,MATCH(CS_인건비!$A30,'(참조)CS_인건비'!$A$3:$A$40,0),MATCH('(참조)CS_인건비'!L$2,'(참조)CS_인건비'!$A$2:$O$2,0)),0)</f>
        <v>2875932.2595213195</v>
      </c>
      <c r="AF30" s="72">
        <f>IFERROR(INDEX('(참조)CS_인건비'!$A$3:$O$40,MATCH(CS_인건비!$A30,'(참조)CS_인건비'!$A$3:$A$40,0),MATCH('(참조)CS_인건비'!M$2,'(참조)CS_인건비'!$A$2:$O$2,0)),0)</f>
        <v>2948724.2907183212</v>
      </c>
      <c r="AG30" s="72">
        <f>IFERROR(INDEX('(참조)CS_인건비'!$A$3:$O$40,MATCH(CS_인건비!$A30,'(참조)CS_인건비'!$A$3:$A$40,0),MATCH('(참조)CS_인건비'!N$2,'(참조)CS_인건비'!$A$2:$O$2,0)),0)</f>
        <v>3023358.7435468626</v>
      </c>
      <c r="AH30" s="72">
        <f>IFERROR(INDEX('(참조)CS_인건비'!$A$3:$O$40,MATCH(CS_인건비!$A30,'(참조)CS_인건비'!$A$3:$A$40,0),MATCH('(참조)CS_인건비'!O$2,'(참조)CS_인건비'!$A$2:$O$2,0)),0)</f>
        <v>3099882.2510986789</v>
      </c>
      <c r="AI30" s="72">
        <f>IFERROR(INDEX('(참조)CS_인건비'!$A$3:$O$40,MATCH(CS_인건비!$A30,'(참조)CS_인건비'!$A$3:$A$40,0),MATCH('(참조)CS_인건비'!P$2,'(참조)CS_인건비'!$A$2:$O$2,0)),0)</f>
        <v>0</v>
      </c>
      <c r="AJ30" s="72">
        <v>12</v>
      </c>
      <c r="AK30" s="72">
        <v>12</v>
      </c>
      <c r="AL30" s="72">
        <v>12</v>
      </c>
      <c r="AM30" s="72">
        <v>12</v>
      </c>
      <c r="AN30" s="72">
        <v>12</v>
      </c>
      <c r="AO30" s="72">
        <v>12</v>
      </c>
      <c r="AP30" s="72">
        <v>12</v>
      </c>
      <c r="AQ30" s="72">
        <v>12</v>
      </c>
      <c r="AR30" s="72">
        <v>12</v>
      </c>
      <c r="AS30" s="72">
        <v>12</v>
      </c>
      <c r="AT30" s="72">
        <v>12</v>
      </c>
      <c r="AU30" s="73">
        <v>1</v>
      </c>
      <c r="AV30" s="70">
        <v>0</v>
      </c>
      <c r="AW30" s="70">
        <v>0</v>
      </c>
      <c r="AX30" s="56">
        <v>977529321.07566464</v>
      </c>
      <c r="AY30" s="56">
        <v>66835827</v>
      </c>
      <c r="AZ30" s="56">
        <v>91369990.102131322</v>
      </c>
      <c r="BA30" s="56">
        <v>93682633.992808759</v>
      </c>
      <c r="BB30" s="56">
        <v>96053812.657968581</v>
      </c>
      <c r="BC30" s="56">
        <v>98485007.657239422</v>
      </c>
      <c r="BD30" s="56">
        <v>100977738.04964997</v>
      </c>
      <c r="BE30" s="56">
        <v>103533561.34276752</v>
      </c>
      <c r="BF30" s="56">
        <v>106154074.46585958</v>
      </c>
      <c r="BG30" s="56">
        <v>108840914.76768707</v>
      </c>
      <c r="BH30" s="56">
        <v>111595761.03955241</v>
      </c>
      <c r="BI30" s="56">
        <v>0</v>
      </c>
      <c r="BJ30" s="74">
        <v>5569652.25</v>
      </c>
      <c r="BK30" s="56">
        <v>5569652.25</v>
      </c>
      <c r="BL30" s="56">
        <v>5569652.25</v>
      </c>
      <c r="BM30" s="56">
        <v>5569652.25</v>
      </c>
      <c r="BN30" s="56">
        <v>5569652.25</v>
      </c>
      <c r="BO30" s="56">
        <v>5569652.25</v>
      </c>
      <c r="BP30" s="56">
        <v>5569652.25</v>
      </c>
      <c r="BQ30" s="56">
        <v>5569652.25</v>
      </c>
      <c r="BR30" s="56">
        <v>5569652.25</v>
      </c>
      <c r="BS30" s="56">
        <v>5569652.25</v>
      </c>
      <c r="BT30" s="56">
        <v>5569652.25</v>
      </c>
      <c r="BU30" s="56">
        <v>5569652.25</v>
      </c>
      <c r="BV30" s="56">
        <v>7614165.8418442793</v>
      </c>
      <c r="BW30" s="56">
        <v>7614165.8418442793</v>
      </c>
      <c r="BX30" s="56">
        <v>7614165.8418442793</v>
      </c>
      <c r="BY30" s="56">
        <v>7614165.8418442793</v>
      </c>
      <c r="BZ30" s="56">
        <v>7614165.8418442793</v>
      </c>
      <c r="CA30" s="56">
        <v>7614165.8418442793</v>
      </c>
      <c r="CB30" s="56">
        <v>7614165.8418442793</v>
      </c>
      <c r="CC30" s="56">
        <v>7614165.8418442793</v>
      </c>
      <c r="CD30" s="56">
        <v>7614165.8418442793</v>
      </c>
      <c r="CE30" s="56">
        <v>7614165.8418442793</v>
      </c>
      <c r="CF30" s="56">
        <v>7614165.8418442793</v>
      </c>
      <c r="CG30" s="56">
        <v>7614165.8418442793</v>
      </c>
      <c r="CH30" s="56">
        <v>7806886.1660673972</v>
      </c>
      <c r="CI30" s="56">
        <v>7806886.1660673972</v>
      </c>
      <c r="CJ30" s="56">
        <v>7806886.1660673972</v>
      </c>
      <c r="CK30" s="56">
        <v>7806886.1660673972</v>
      </c>
      <c r="CL30" s="56">
        <v>7806886.1660673972</v>
      </c>
      <c r="CM30" s="56">
        <v>7806886.1660673972</v>
      </c>
      <c r="CN30" s="56">
        <v>7806886.1660673972</v>
      </c>
      <c r="CO30" s="56">
        <v>7806886.1660673972</v>
      </c>
      <c r="CP30" s="56">
        <v>7806886.1660673972</v>
      </c>
      <c r="CQ30" s="56">
        <v>7806886.1660673972</v>
      </c>
      <c r="CR30" s="56">
        <v>7806886.1660673972</v>
      </c>
      <c r="CS30" s="56">
        <v>7806886.1660673972</v>
      </c>
      <c r="CT30" s="56">
        <v>8004484.388164049</v>
      </c>
      <c r="CU30" s="56">
        <v>8004484.388164049</v>
      </c>
      <c r="CV30" s="56">
        <v>8004484.388164049</v>
      </c>
      <c r="CW30" s="56">
        <v>8004484.388164049</v>
      </c>
      <c r="CX30" s="56">
        <v>8004484.388164049</v>
      </c>
      <c r="CY30" s="56">
        <v>8004484.388164049</v>
      </c>
      <c r="CZ30" s="56">
        <v>8004484.388164049</v>
      </c>
      <c r="DA30" s="56">
        <v>8004484.388164049</v>
      </c>
      <c r="DB30" s="56">
        <v>8004484.388164049</v>
      </c>
      <c r="DC30" s="56">
        <v>8004484.388164049</v>
      </c>
      <c r="DD30" s="56">
        <v>8004484.388164049</v>
      </c>
      <c r="DE30" s="56">
        <v>8004484.388164049</v>
      </c>
      <c r="DF30" s="56">
        <v>8207083.971436616</v>
      </c>
      <c r="DG30" s="56">
        <v>8207083.971436616</v>
      </c>
      <c r="DH30" s="56">
        <v>8207083.971436616</v>
      </c>
      <c r="DI30" s="56">
        <v>8207083.971436616</v>
      </c>
      <c r="DJ30" s="56">
        <v>8207083.971436616</v>
      </c>
      <c r="DK30" s="56">
        <v>8207083.971436616</v>
      </c>
      <c r="DL30" s="56">
        <v>8207083.971436616</v>
      </c>
      <c r="DM30" s="56">
        <v>8207083.971436616</v>
      </c>
      <c r="DN30" s="56">
        <v>8207083.971436616</v>
      </c>
      <c r="DO30" s="56">
        <v>8207083.971436616</v>
      </c>
      <c r="DP30" s="56">
        <v>8207083.971436616</v>
      </c>
      <c r="DQ30" s="56">
        <v>8207083.971436616</v>
      </c>
      <c r="DR30" s="56">
        <v>8414811.5041374955</v>
      </c>
      <c r="DS30" s="56">
        <v>8414811.5041374955</v>
      </c>
      <c r="DT30" s="56">
        <v>8414811.5041374955</v>
      </c>
      <c r="DU30" s="56">
        <v>8414811.5041374955</v>
      </c>
      <c r="DV30" s="56">
        <v>8414811.5041374955</v>
      </c>
      <c r="DW30" s="56">
        <v>8414811.5041374955</v>
      </c>
      <c r="DX30" s="56">
        <v>8414811.5041374955</v>
      </c>
      <c r="DY30" s="56">
        <v>8414811.5041374955</v>
      </c>
      <c r="DZ30" s="56">
        <v>8414811.5041374955</v>
      </c>
      <c r="EA30" s="56">
        <v>8414811.5041374955</v>
      </c>
      <c r="EB30" s="56">
        <v>8414811.5041374955</v>
      </c>
      <c r="EC30" s="56">
        <v>8414811.5041374955</v>
      </c>
      <c r="ED30" s="56">
        <v>8627796.7785639577</v>
      </c>
      <c r="EE30" s="56">
        <v>8627796.7785639577</v>
      </c>
      <c r="EF30" s="56">
        <v>8627796.7785639577</v>
      </c>
      <c r="EG30" s="56">
        <v>8627796.7785639577</v>
      </c>
      <c r="EH30" s="56">
        <v>8627796.7785639577</v>
      </c>
      <c r="EI30" s="56">
        <v>8627796.7785639577</v>
      </c>
      <c r="EJ30" s="56">
        <v>8627796.7785639577</v>
      </c>
      <c r="EK30" s="56">
        <v>8627796.7785639577</v>
      </c>
      <c r="EL30" s="56">
        <v>8627796.7785639577</v>
      </c>
      <c r="EM30" s="56">
        <v>8627796.7785639577</v>
      </c>
      <c r="EN30" s="56">
        <v>8627796.7785639577</v>
      </c>
      <c r="EO30" s="56">
        <v>8627796.7785639577</v>
      </c>
      <c r="EP30" s="56">
        <v>8846172.8721549641</v>
      </c>
      <c r="EQ30" s="56">
        <v>8846172.8721549641</v>
      </c>
      <c r="ER30" s="56">
        <v>8846172.8721549641</v>
      </c>
      <c r="ES30" s="56">
        <v>8846172.8721549641</v>
      </c>
      <c r="ET30" s="56">
        <v>8846172.8721549641</v>
      </c>
      <c r="EU30" s="56">
        <v>8846172.8721549641</v>
      </c>
      <c r="EV30" s="56">
        <v>8846172.8721549641</v>
      </c>
      <c r="EW30" s="56">
        <v>8846172.8721549641</v>
      </c>
      <c r="EX30" s="56">
        <v>8846172.8721549641</v>
      </c>
      <c r="EY30" s="56">
        <v>8846172.8721549641</v>
      </c>
      <c r="EZ30" s="56">
        <v>8846172.8721549641</v>
      </c>
      <c r="FA30" s="56">
        <v>8846172.8721549641</v>
      </c>
      <c r="FB30" s="56">
        <v>9070076.2306405883</v>
      </c>
      <c r="FC30" s="56">
        <v>9070076.2306405883</v>
      </c>
      <c r="FD30" s="56">
        <v>9070076.2306405883</v>
      </c>
      <c r="FE30" s="56">
        <v>9070076.2306405883</v>
      </c>
      <c r="FF30" s="56">
        <v>9070076.2306405883</v>
      </c>
      <c r="FG30" s="56">
        <v>9070076.2306405883</v>
      </c>
      <c r="FH30" s="56">
        <v>9070076.2306405883</v>
      </c>
      <c r="FI30" s="56">
        <v>9070076.2306405883</v>
      </c>
      <c r="FJ30" s="56">
        <v>9070076.2306405883</v>
      </c>
      <c r="FK30" s="56">
        <v>9070076.2306405883</v>
      </c>
      <c r="FL30" s="56">
        <v>9070076.2306405883</v>
      </c>
      <c r="FM30" s="56">
        <v>9070076.2306405883</v>
      </c>
      <c r="FN30" s="56">
        <v>9299646.7532960363</v>
      </c>
      <c r="FO30" s="56">
        <v>9299646.7532960363</v>
      </c>
      <c r="FP30" s="56">
        <v>9299646.7532960363</v>
      </c>
      <c r="FQ30" s="56">
        <v>9299646.7532960363</v>
      </c>
      <c r="FR30" s="56">
        <v>9299646.7532960363</v>
      </c>
      <c r="FS30" s="56">
        <v>9299646.7532960363</v>
      </c>
      <c r="FT30" s="56">
        <v>9299646.7532960363</v>
      </c>
      <c r="FU30" s="56">
        <v>9299646.7532960363</v>
      </c>
      <c r="FV30" s="56">
        <v>9299646.7532960363</v>
      </c>
      <c r="FW30" s="56">
        <v>9299646.7532960363</v>
      </c>
      <c r="FX30" s="56">
        <v>9299646.7532960363</v>
      </c>
      <c r="FY30" s="56">
        <v>9299646.7532960363</v>
      </c>
      <c r="FZ30" s="56">
        <v>0</v>
      </c>
      <c r="GA30" s="56">
        <v>0</v>
      </c>
      <c r="GB30" s="56">
        <v>0</v>
      </c>
      <c r="GC30" s="56">
        <v>0</v>
      </c>
      <c r="GD30" s="56">
        <v>0</v>
      </c>
      <c r="GE30" s="56">
        <v>0</v>
      </c>
      <c r="GF30" s="56">
        <v>0</v>
      </c>
      <c r="GG30" s="56">
        <v>0</v>
      </c>
      <c r="GH30" s="56">
        <v>0</v>
      </c>
      <c r="GI30" s="56">
        <v>0</v>
      </c>
      <c r="GJ30" s="56">
        <v>0</v>
      </c>
      <c r="GK30" s="85">
        <v>0</v>
      </c>
      <c r="GL30" s="40"/>
    </row>
    <row r="31" spans="1:194" x14ac:dyDescent="0.4">
      <c r="A31" s="84" t="s">
        <v>304</v>
      </c>
      <c r="B31" s="70" t="s">
        <v>316</v>
      </c>
      <c r="C31" s="70" t="s">
        <v>398</v>
      </c>
      <c r="D31" s="70" t="s">
        <v>209</v>
      </c>
      <c r="E31" s="70" t="s">
        <v>175</v>
      </c>
      <c r="F31" s="70" t="s">
        <v>250</v>
      </c>
      <c r="G31" s="70" t="s">
        <v>288</v>
      </c>
      <c r="H31" s="70">
        <v>0</v>
      </c>
      <c r="I31" s="70">
        <v>0</v>
      </c>
      <c r="J31" s="70" t="s">
        <v>210</v>
      </c>
      <c r="K31" s="70">
        <v>0</v>
      </c>
      <c r="L31" s="70" t="s">
        <v>211</v>
      </c>
      <c r="M31" s="71">
        <f>IFERROR(INDEX('(참조)CS_인건비'!$S$3:$AG$40,MATCH(CS_인건비!$A31,'(참조)CS_인건비'!$S$3:$S$40,0),MATCH('(참조)CS_인건비'!X$2,'(참조)CS_인건비'!$S$2:$AG$2,0)),0)</f>
        <v>8.25</v>
      </c>
      <c r="N31" s="71">
        <f>IFERROR(INDEX('(참조)CS_인건비'!$S$3:$AG$40,MATCH(CS_인건비!$A31,'(참조)CS_인건비'!$S$3:$S$40,0),MATCH('(참조)CS_인건비'!Y$2,'(참조)CS_인건비'!$S$2:$AG$2,0)),0)</f>
        <v>11</v>
      </c>
      <c r="O31" s="71">
        <f>IFERROR(INDEX('(참조)CS_인건비'!$S$3:$AG$40,MATCH(CS_인건비!$A31,'(참조)CS_인건비'!$S$3:$S$40,0),MATCH('(참조)CS_인건비'!Z$2,'(참조)CS_인건비'!$S$2:$AG$2,0)),0)</f>
        <v>11</v>
      </c>
      <c r="P31" s="71">
        <f>IFERROR(INDEX('(참조)CS_인건비'!$S$3:$AG$40,MATCH(CS_인건비!$A31,'(참조)CS_인건비'!$S$3:$S$40,0),MATCH('(참조)CS_인건비'!AA$2,'(참조)CS_인건비'!$S$2:$AG$2,0)),0)</f>
        <v>11</v>
      </c>
      <c r="Q31" s="71">
        <f>IFERROR(INDEX('(참조)CS_인건비'!$S$3:$AG$40,MATCH(CS_인건비!$A31,'(참조)CS_인건비'!$S$3:$S$40,0),MATCH('(참조)CS_인건비'!AB$2,'(참조)CS_인건비'!$S$2:$AG$2,0)),0)</f>
        <v>11</v>
      </c>
      <c r="R31" s="71">
        <f>IFERROR(INDEX('(참조)CS_인건비'!$S$3:$AG$40,MATCH(CS_인건비!$A31,'(참조)CS_인건비'!$S$3:$S$40,0),MATCH('(참조)CS_인건비'!AC$2,'(참조)CS_인건비'!$S$2:$AG$2,0)),0)</f>
        <v>11</v>
      </c>
      <c r="S31" s="71">
        <f>IFERROR(INDEX('(참조)CS_인건비'!$S$3:$AG$40,MATCH(CS_인건비!$A31,'(참조)CS_인건비'!$S$3:$S$40,0),MATCH('(참조)CS_인건비'!AD$2,'(참조)CS_인건비'!$S$2:$AG$2,0)),0)</f>
        <v>11</v>
      </c>
      <c r="T31" s="71">
        <f>IFERROR(INDEX('(참조)CS_인건비'!$S$3:$AG$40,MATCH(CS_인건비!$A31,'(참조)CS_인건비'!$S$3:$S$40,0),MATCH('(참조)CS_인건비'!AE$2,'(참조)CS_인건비'!$S$2:$AG$2,0)),0)</f>
        <v>11</v>
      </c>
      <c r="U31" s="71">
        <f>IFERROR(INDEX('(참조)CS_인건비'!$S$3:$AG$40,MATCH(CS_인건비!$A31,'(참조)CS_인건비'!$S$3:$S$40,0),MATCH('(참조)CS_인건비'!AF$2,'(참조)CS_인건비'!$S$2:$AG$2,0)),0)</f>
        <v>11</v>
      </c>
      <c r="V31" s="71">
        <f>IFERROR(INDEX('(참조)CS_인건비'!$S$3:$AG$40,MATCH(CS_인건비!$A31,'(참조)CS_인건비'!$S$3:$S$40,0),MATCH('(참조)CS_인건비'!AG$2,'(참조)CS_인건비'!$S$2:$AG$2,0)),0)</f>
        <v>11</v>
      </c>
      <c r="W31" s="71">
        <f>IFERROR(INDEX('(참조)CS_인건비'!$S$3:$AG$40,MATCH(CS_인건비!$A31,'(참조)CS_인건비'!$S$3:$S$40,0),MATCH('(참조)CS_인건비'!AH$2,'(참조)CS_인건비'!$S$2:$AG$2,0)),0)</f>
        <v>0</v>
      </c>
      <c r="X31" s="72">
        <v>0</v>
      </c>
      <c r="Y31" s="72">
        <f>IFERROR(INDEX('(참조)CS_인건비'!$A$3:$O$40,MATCH(CS_인건비!$A31,'(참조)CS_인건비'!$A$3:$A$40,0),MATCH('(참조)CS_인건비'!F$2,'(참조)CS_인건비'!$A$2:$O$2,0)),0)</f>
        <v>1289775</v>
      </c>
      <c r="Z31" s="72">
        <f>IFERROR(INDEX('(참조)CS_인건비'!$A$3:$O$40,MATCH(CS_인건비!$A31,'(참조)CS_인건비'!$A$3:$A$40,0),MATCH('(참조)CS_인건비'!G$2,'(참조)CS_인건비'!$A$2:$O$2,0)),0)</f>
        <v>1322420.185479</v>
      </c>
      <c r="AA31" s="72">
        <f>IFERROR(INDEX('(참조)CS_인건비'!$A$3:$O$40,MATCH(CS_인건비!$A31,'(참조)CS_인건비'!$A$3:$A$40,0),MATCH('(참조)CS_인건비'!H$2,'(참조)CS_인건비'!$A$2:$O$2,0)),0)</f>
        <v>1355891.6454128143</v>
      </c>
      <c r="AB31" s="72">
        <f>IFERROR(INDEX('(참조)CS_인건비'!$A$3:$O$40,MATCH(CS_인건비!$A31,'(참조)CS_인건비'!$A$3:$A$40,0),MATCH('(참조)CS_인건비'!I$2,'(참조)CS_인건비'!$A$2:$O$2,0)),0)</f>
        <v>1390210.2934358632</v>
      </c>
      <c r="AC31" s="72">
        <f>IFERROR(INDEX('(참조)CS_인건비'!$A$3:$O$40,MATCH(CS_인건비!$A31,'(참조)CS_인건비'!$A$3:$A$40,0),MATCH('(참조)CS_인건비'!J$2,'(참조)CS_인건비'!$A$2:$O$2,0)),0)</f>
        <v>1425397.572522548</v>
      </c>
      <c r="AD31" s="72">
        <f>IFERROR(INDEX('(참조)CS_인건비'!$A$3:$O$40,MATCH(CS_인건비!$A31,'(참조)CS_인건비'!$A$3:$A$40,0),MATCH('(참조)CS_인건비'!K$2,'(참조)CS_인건비'!$A$2:$O$2,0)),0)</f>
        <v>1461475.4683852489</v>
      </c>
      <c r="AE31" s="72">
        <f>IFERROR(INDEX('(참조)CS_인건비'!$A$3:$O$40,MATCH(CS_인건비!$A31,'(참조)CS_인건비'!$A$3:$A$40,0),MATCH('(참조)CS_인건비'!L$2,'(참조)CS_인건비'!$A$2:$O$2,0)),0)</f>
        <v>1498466.5232114354</v>
      </c>
      <c r="AF31" s="72">
        <f>IFERROR(INDEX('(참조)CS_인건비'!$A$3:$O$40,MATCH(CS_인건비!$A31,'(참조)CS_인건비'!$A$3:$A$40,0),MATCH('(참조)CS_인건비'!M$2,'(참조)CS_인건비'!$A$2:$O$2,0)),0)</f>
        <v>1536393.8497484745</v>
      </c>
      <c r="AG31" s="72">
        <f>IFERROR(INDEX('(참조)CS_인건비'!$A$3:$O$40,MATCH(CS_인건비!$A31,'(참조)CS_인건비'!$A$3:$A$40,0),MATCH('(참조)CS_인건비'!N$2,'(참조)CS_인건비'!$A$2:$O$2,0)),0)</f>
        <v>1575281.1457449342</v>
      </c>
      <c r="AH31" s="72">
        <f>IFERROR(INDEX('(참조)CS_인건비'!$A$3:$O$40,MATCH(CS_인건비!$A31,'(참조)CS_인건비'!$A$3:$A$40,0),MATCH('(참조)CS_인건비'!O$2,'(참조)CS_인건비'!$A$2:$O$2,0)),0)</f>
        <v>1615152.7087574094</v>
      </c>
      <c r="AI31" s="72">
        <f>IFERROR(INDEX('(참조)CS_인건비'!$A$3:$O$40,MATCH(CS_인건비!$A31,'(참조)CS_인건비'!$A$3:$A$40,0),MATCH('(참조)CS_인건비'!P$2,'(참조)CS_인건비'!$A$2:$O$2,0)),0)</f>
        <v>0</v>
      </c>
      <c r="AJ31" s="72">
        <v>12</v>
      </c>
      <c r="AK31" s="72">
        <v>12</v>
      </c>
      <c r="AL31" s="72">
        <v>12</v>
      </c>
      <c r="AM31" s="72">
        <v>12</v>
      </c>
      <c r="AN31" s="72">
        <v>12</v>
      </c>
      <c r="AO31" s="72">
        <v>12</v>
      </c>
      <c r="AP31" s="72">
        <v>12</v>
      </c>
      <c r="AQ31" s="72">
        <v>12</v>
      </c>
      <c r="AR31" s="72">
        <v>12</v>
      </c>
      <c r="AS31" s="72">
        <v>12</v>
      </c>
      <c r="AT31" s="72">
        <v>12</v>
      </c>
      <c r="AU31" s="73">
        <v>1</v>
      </c>
      <c r="AV31" s="70">
        <v>0</v>
      </c>
      <c r="AW31" s="70">
        <v>0</v>
      </c>
      <c r="AX31" s="56">
        <v>1867538724.8361003</v>
      </c>
      <c r="AY31" s="56">
        <v>127687725</v>
      </c>
      <c r="AZ31" s="56">
        <v>174559464.48322797</v>
      </c>
      <c r="BA31" s="56">
        <v>178977697.19449148</v>
      </c>
      <c r="BB31" s="56">
        <v>183507758.73353395</v>
      </c>
      <c r="BC31" s="56">
        <v>188152479.57297635</v>
      </c>
      <c r="BD31" s="56">
        <v>192914761.82685289</v>
      </c>
      <c r="BE31" s="56">
        <v>197797581.0639095</v>
      </c>
      <c r="BF31" s="56">
        <v>202803988.16679871</v>
      </c>
      <c r="BG31" s="56">
        <v>207937111.23833129</v>
      </c>
      <c r="BH31" s="56">
        <v>213200157.55597797</v>
      </c>
      <c r="BI31" s="56">
        <v>0</v>
      </c>
      <c r="BJ31" s="74">
        <v>10640643.75</v>
      </c>
      <c r="BK31" s="56">
        <v>10640643.75</v>
      </c>
      <c r="BL31" s="56">
        <v>10640643.75</v>
      </c>
      <c r="BM31" s="56">
        <v>10640643.75</v>
      </c>
      <c r="BN31" s="56">
        <v>10640643.75</v>
      </c>
      <c r="BO31" s="56">
        <v>10640643.75</v>
      </c>
      <c r="BP31" s="56">
        <v>10640643.75</v>
      </c>
      <c r="BQ31" s="56">
        <v>10640643.75</v>
      </c>
      <c r="BR31" s="56">
        <v>10640643.75</v>
      </c>
      <c r="BS31" s="56">
        <v>10640643.75</v>
      </c>
      <c r="BT31" s="56">
        <v>10640643.75</v>
      </c>
      <c r="BU31" s="56">
        <v>10640643.75</v>
      </c>
      <c r="BV31" s="56">
        <v>14546622.040269</v>
      </c>
      <c r="BW31" s="56">
        <v>14546622.040269</v>
      </c>
      <c r="BX31" s="56">
        <v>14546622.040269</v>
      </c>
      <c r="BY31" s="56">
        <v>14546622.040269</v>
      </c>
      <c r="BZ31" s="56">
        <v>14546622.040269</v>
      </c>
      <c r="CA31" s="56">
        <v>14546622.040269</v>
      </c>
      <c r="CB31" s="56">
        <v>14546622.040269</v>
      </c>
      <c r="CC31" s="56">
        <v>14546622.040269</v>
      </c>
      <c r="CD31" s="56">
        <v>14546622.040269</v>
      </c>
      <c r="CE31" s="56">
        <v>14546622.040269</v>
      </c>
      <c r="CF31" s="56">
        <v>14546622.040269</v>
      </c>
      <c r="CG31" s="56">
        <v>14546622.040269</v>
      </c>
      <c r="CH31" s="56">
        <v>14914808.099540958</v>
      </c>
      <c r="CI31" s="56">
        <v>14914808.099540958</v>
      </c>
      <c r="CJ31" s="56">
        <v>14914808.099540958</v>
      </c>
      <c r="CK31" s="56">
        <v>14914808.099540958</v>
      </c>
      <c r="CL31" s="56">
        <v>14914808.099540958</v>
      </c>
      <c r="CM31" s="56">
        <v>14914808.099540958</v>
      </c>
      <c r="CN31" s="56">
        <v>14914808.099540958</v>
      </c>
      <c r="CO31" s="56">
        <v>14914808.099540958</v>
      </c>
      <c r="CP31" s="56">
        <v>14914808.099540958</v>
      </c>
      <c r="CQ31" s="56">
        <v>14914808.099540958</v>
      </c>
      <c r="CR31" s="56">
        <v>14914808.099540958</v>
      </c>
      <c r="CS31" s="56">
        <v>14914808.099540958</v>
      </c>
      <c r="CT31" s="56">
        <v>15292313.227794494</v>
      </c>
      <c r="CU31" s="56">
        <v>15292313.227794494</v>
      </c>
      <c r="CV31" s="56">
        <v>15292313.227794494</v>
      </c>
      <c r="CW31" s="56">
        <v>15292313.227794494</v>
      </c>
      <c r="CX31" s="56">
        <v>15292313.227794494</v>
      </c>
      <c r="CY31" s="56">
        <v>15292313.227794494</v>
      </c>
      <c r="CZ31" s="56">
        <v>15292313.227794494</v>
      </c>
      <c r="DA31" s="56">
        <v>15292313.227794494</v>
      </c>
      <c r="DB31" s="56">
        <v>15292313.227794494</v>
      </c>
      <c r="DC31" s="56">
        <v>15292313.227794494</v>
      </c>
      <c r="DD31" s="56">
        <v>15292313.227794494</v>
      </c>
      <c r="DE31" s="56">
        <v>15292313.227794494</v>
      </c>
      <c r="DF31" s="56">
        <v>15679373.297748029</v>
      </c>
      <c r="DG31" s="56">
        <v>15679373.297748029</v>
      </c>
      <c r="DH31" s="56">
        <v>15679373.297748029</v>
      </c>
      <c r="DI31" s="56">
        <v>15679373.297748029</v>
      </c>
      <c r="DJ31" s="56">
        <v>15679373.297748029</v>
      </c>
      <c r="DK31" s="56">
        <v>15679373.297748029</v>
      </c>
      <c r="DL31" s="56">
        <v>15679373.297748029</v>
      </c>
      <c r="DM31" s="56">
        <v>15679373.297748029</v>
      </c>
      <c r="DN31" s="56">
        <v>15679373.297748029</v>
      </c>
      <c r="DO31" s="56">
        <v>15679373.297748029</v>
      </c>
      <c r="DP31" s="56">
        <v>15679373.297748029</v>
      </c>
      <c r="DQ31" s="56">
        <v>15679373.297748029</v>
      </c>
      <c r="DR31" s="56">
        <v>16076230.152237738</v>
      </c>
      <c r="DS31" s="56">
        <v>16076230.152237738</v>
      </c>
      <c r="DT31" s="56">
        <v>16076230.152237738</v>
      </c>
      <c r="DU31" s="56">
        <v>16076230.152237738</v>
      </c>
      <c r="DV31" s="56">
        <v>16076230.152237738</v>
      </c>
      <c r="DW31" s="56">
        <v>16076230.152237738</v>
      </c>
      <c r="DX31" s="56">
        <v>16076230.152237738</v>
      </c>
      <c r="DY31" s="56">
        <v>16076230.152237738</v>
      </c>
      <c r="DZ31" s="56">
        <v>16076230.152237738</v>
      </c>
      <c r="EA31" s="56">
        <v>16076230.152237738</v>
      </c>
      <c r="EB31" s="56">
        <v>16076230.152237738</v>
      </c>
      <c r="EC31" s="56">
        <v>16076230.152237738</v>
      </c>
      <c r="ED31" s="56">
        <v>16483131.75532579</v>
      </c>
      <c r="EE31" s="56">
        <v>16483131.75532579</v>
      </c>
      <c r="EF31" s="56">
        <v>16483131.75532579</v>
      </c>
      <c r="EG31" s="56">
        <v>16483131.75532579</v>
      </c>
      <c r="EH31" s="56">
        <v>16483131.75532579</v>
      </c>
      <c r="EI31" s="56">
        <v>16483131.75532579</v>
      </c>
      <c r="EJ31" s="56">
        <v>16483131.75532579</v>
      </c>
      <c r="EK31" s="56">
        <v>16483131.75532579</v>
      </c>
      <c r="EL31" s="56">
        <v>16483131.75532579</v>
      </c>
      <c r="EM31" s="56">
        <v>16483131.75532579</v>
      </c>
      <c r="EN31" s="56">
        <v>16483131.75532579</v>
      </c>
      <c r="EO31" s="56">
        <v>16483131.75532579</v>
      </c>
      <c r="EP31" s="56">
        <v>16900332.347233221</v>
      </c>
      <c r="EQ31" s="56">
        <v>16900332.347233221</v>
      </c>
      <c r="ER31" s="56">
        <v>16900332.347233221</v>
      </c>
      <c r="ES31" s="56">
        <v>16900332.347233221</v>
      </c>
      <c r="ET31" s="56">
        <v>16900332.347233221</v>
      </c>
      <c r="EU31" s="56">
        <v>16900332.347233221</v>
      </c>
      <c r="EV31" s="56">
        <v>16900332.347233221</v>
      </c>
      <c r="EW31" s="56">
        <v>16900332.347233221</v>
      </c>
      <c r="EX31" s="56">
        <v>16900332.347233221</v>
      </c>
      <c r="EY31" s="56">
        <v>16900332.347233221</v>
      </c>
      <c r="EZ31" s="56">
        <v>16900332.347233221</v>
      </c>
      <c r="FA31" s="56">
        <v>16900332.347233221</v>
      </c>
      <c r="FB31" s="56">
        <v>17328092.603194278</v>
      </c>
      <c r="FC31" s="56">
        <v>17328092.603194278</v>
      </c>
      <c r="FD31" s="56">
        <v>17328092.603194278</v>
      </c>
      <c r="FE31" s="56">
        <v>17328092.603194278</v>
      </c>
      <c r="FF31" s="56">
        <v>17328092.603194278</v>
      </c>
      <c r="FG31" s="56">
        <v>17328092.603194278</v>
      </c>
      <c r="FH31" s="56">
        <v>17328092.603194278</v>
      </c>
      <c r="FI31" s="56">
        <v>17328092.603194278</v>
      </c>
      <c r="FJ31" s="56">
        <v>17328092.603194278</v>
      </c>
      <c r="FK31" s="56">
        <v>17328092.603194278</v>
      </c>
      <c r="FL31" s="56">
        <v>17328092.603194278</v>
      </c>
      <c r="FM31" s="56">
        <v>17328092.603194278</v>
      </c>
      <c r="FN31" s="56">
        <v>17766679.796331502</v>
      </c>
      <c r="FO31" s="56">
        <v>17766679.796331502</v>
      </c>
      <c r="FP31" s="56">
        <v>17766679.796331502</v>
      </c>
      <c r="FQ31" s="56">
        <v>17766679.796331502</v>
      </c>
      <c r="FR31" s="56">
        <v>17766679.796331502</v>
      </c>
      <c r="FS31" s="56">
        <v>17766679.796331502</v>
      </c>
      <c r="FT31" s="56">
        <v>17766679.796331502</v>
      </c>
      <c r="FU31" s="56">
        <v>17766679.796331502</v>
      </c>
      <c r="FV31" s="56">
        <v>17766679.796331502</v>
      </c>
      <c r="FW31" s="56">
        <v>17766679.796331502</v>
      </c>
      <c r="FX31" s="56">
        <v>17766679.796331502</v>
      </c>
      <c r="FY31" s="56">
        <v>17766679.796331502</v>
      </c>
      <c r="FZ31" s="56">
        <v>0</v>
      </c>
      <c r="GA31" s="56">
        <v>0</v>
      </c>
      <c r="GB31" s="56">
        <v>0</v>
      </c>
      <c r="GC31" s="56">
        <v>0</v>
      </c>
      <c r="GD31" s="56">
        <v>0</v>
      </c>
      <c r="GE31" s="56">
        <v>0</v>
      </c>
      <c r="GF31" s="56">
        <v>0</v>
      </c>
      <c r="GG31" s="56">
        <v>0</v>
      </c>
      <c r="GH31" s="56">
        <v>0</v>
      </c>
      <c r="GI31" s="56">
        <v>0</v>
      </c>
      <c r="GJ31" s="56">
        <v>0</v>
      </c>
      <c r="GK31" s="85">
        <v>0</v>
      </c>
      <c r="GL31" s="40"/>
    </row>
    <row r="32" spans="1:194" x14ac:dyDescent="0.4">
      <c r="A32" s="84" t="s">
        <v>305</v>
      </c>
      <c r="B32" s="70" t="s">
        <v>316</v>
      </c>
      <c r="C32" s="70" t="s">
        <v>398</v>
      </c>
      <c r="D32" s="70" t="s">
        <v>209</v>
      </c>
      <c r="E32" s="70" t="s">
        <v>175</v>
      </c>
      <c r="F32" s="70" t="s">
        <v>252</v>
      </c>
      <c r="G32" s="70" t="s">
        <v>289</v>
      </c>
      <c r="H32" s="70">
        <v>0</v>
      </c>
      <c r="I32" s="70">
        <v>0</v>
      </c>
      <c r="J32" s="70" t="s">
        <v>210</v>
      </c>
      <c r="K32" s="70">
        <v>0</v>
      </c>
      <c r="L32" s="70" t="s">
        <v>211</v>
      </c>
      <c r="M32" s="71">
        <f>IFERROR(INDEX('(참조)CS_인건비'!$S$3:$AG$40,MATCH(CS_인건비!$A32,'(참조)CS_인건비'!$S$3:$S$40,0),MATCH('(참조)CS_인건비'!X$2,'(참조)CS_인건비'!$S$2:$AG$2,0)),0)</f>
        <v>10.5</v>
      </c>
      <c r="N32" s="71">
        <f>IFERROR(INDEX('(참조)CS_인건비'!$S$3:$AG$40,MATCH(CS_인건비!$A32,'(참조)CS_인건비'!$S$3:$S$40,0),MATCH('(참조)CS_인건비'!Y$2,'(참조)CS_인건비'!$S$2:$AG$2,0)),0)</f>
        <v>24</v>
      </c>
      <c r="O32" s="71">
        <f>IFERROR(INDEX('(참조)CS_인건비'!$S$3:$AG$40,MATCH(CS_인건비!$A32,'(참조)CS_인건비'!$S$3:$S$40,0),MATCH('(참조)CS_인건비'!Z$2,'(참조)CS_인건비'!$S$2:$AG$2,0)),0)</f>
        <v>24</v>
      </c>
      <c r="P32" s="71">
        <f>IFERROR(INDEX('(참조)CS_인건비'!$S$3:$AG$40,MATCH(CS_인건비!$A32,'(참조)CS_인건비'!$S$3:$S$40,0),MATCH('(참조)CS_인건비'!AA$2,'(참조)CS_인건비'!$S$2:$AG$2,0)),0)</f>
        <v>24</v>
      </c>
      <c r="Q32" s="71">
        <f>IFERROR(INDEX('(참조)CS_인건비'!$S$3:$AG$40,MATCH(CS_인건비!$A32,'(참조)CS_인건비'!$S$3:$S$40,0),MATCH('(참조)CS_인건비'!AB$2,'(참조)CS_인건비'!$S$2:$AG$2,0)),0)</f>
        <v>24</v>
      </c>
      <c r="R32" s="71">
        <f>IFERROR(INDEX('(참조)CS_인건비'!$S$3:$AG$40,MATCH(CS_인건비!$A32,'(참조)CS_인건비'!$S$3:$S$40,0),MATCH('(참조)CS_인건비'!AC$2,'(참조)CS_인건비'!$S$2:$AG$2,0)),0)</f>
        <v>24</v>
      </c>
      <c r="S32" s="71">
        <f>IFERROR(INDEX('(참조)CS_인건비'!$S$3:$AG$40,MATCH(CS_인건비!$A32,'(참조)CS_인건비'!$S$3:$S$40,0),MATCH('(참조)CS_인건비'!AD$2,'(참조)CS_인건비'!$S$2:$AG$2,0)),0)</f>
        <v>24</v>
      </c>
      <c r="T32" s="71">
        <f>IFERROR(INDEX('(참조)CS_인건비'!$S$3:$AG$40,MATCH(CS_인건비!$A32,'(참조)CS_인건비'!$S$3:$S$40,0),MATCH('(참조)CS_인건비'!AE$2,'(참조)CS_인건비'!$S$2:$AG$2,0)),0)</f>
        <v>24</v>
      </c>
      <c r="U32" s="71">
        <f>IFERROR(INDEX('(참조)CS_인건비'!$S$3:$AG$40,MATCH(CS_인건비!$A32,'(참조)CS_인건비'!$S$3:$S$40,0),MATCH('(참조)CS_인건비'!AF$2,'(참조)CS_인건비'!$S$2:$AG$2,0)),0)</f>
        <v>24</v>
      </c>
      <c r="V32" s="71">
        <f>IFERROR(INDEX('(참조)CS_인건비'!$S$3:$AG$40,MATCH(CS_인건비!$A32,'(참조)CS_인건비'!$S$3:$S$40,0),MATCH('(참조)CS_인건비'!AG$2,'(참조)CS_인건비'!$S$2:$AG$2,0)),0)</f>
        <v>24</v>
      </c>
      <c r="W32" s="71">
        <f>IFERROR(INDEX('(참조)CS_인건비'!$S$3:$AG$40,MATCH(CS_인건비!$A32,'(참조)CS_인건비'!$S$3:$S$40,0),MATCH('(참조)CS_인건비'!AH$2,'(참조)CS_인건비'!$S$2:$AG$2,0)),0)</f>
        <v>0</v>
      </c>
      <c r="X32" s="72">
        <v>0</v>
      </c>
      <c r="Y32" s="72">
        <f>IFERROR(INDEX('(참조)CS_인건비'!$A$3:$O$40,MATCH(CS_인건비!$A32,'(참조)CS_인건비'!$A$3:$A$40,0),MATCH('(참조)CS_인건비'!F$2,'(참조)CS_인건비'!$A$2:$O$2,0)),0)</f>
        <v>2805282</v>
      </c>
      <c r="Z32" s="72">
        <f>IFERROR(INDEX('(참조)CS_인건비'!$A$3:$O$40,MATCH(CS_인건비!$A32,'(참조)CS_인건비'!$A$3:$A$40,0),MATCH('(참조)CS_인건비'!G$2,'(참조)CS_인건비'!$A$2:$O$2,0)),0)</f>
        <v>2876285.8194343201</v>
      </c>
      <c r="AA32" s="72">
        <f>IFERROR(INDEX('(참조)CS_인건비'!$A$3:$O$40,MATCH(CS_인건비!$A32,'(참조)CS_인건비'!$A$3:$A$40,0),MATCH('(참조)CS_인건비'!H$2,'(참조)CS_인건비'!$A$2:$O$2,0)),0)</f>
        <v>2949086.7995014256</v>
      </c>
      <c r="AB32" s="72">
        <f>IFERROR(INDEX('(참조)CS_인건비'!$A$3:$O$40,MATCH(CS_인건비!$A32,'(참조)CS_인건비'!$A$3:$A$40,0),MATCH('(참조)CS_인건비'!I$2,'(참조)CS_인건비'!$A$2:$O$2,0)),0)</f>
        <v>3023730.4277027743</v>
      </c>
      <c r="AC32" s="72">
        <f>IFERROR(INDEX('(참조)CS_인건비'!$A$3:$O$40,MATCH(CS_인건비!$A32,'(참조)CS_인건비'!$A$3:$A$40,0),MATCH('(참조)CS_인건비'!J$2,'(참조)CS_인건비'!$A$2:$O$2,0)),0)</f>
        <v>3100263.3428630563</v>
      </c>
      <c r="AD32" s="72">
        <f>IFERROR(INDEX('(참조)CS_인건비'!$A$3:$O$40,MATCH(CS_인건비!$A32,'(참조)CS_인건비'!$A$3:$A$40,0),MATCH('(참조)CS_인건비'!K$2,'(참조)CS_인건비'!$A$2:$O$2,0)),0)</f>
        <v>3178733.364271061</v>
      </c>
      <c r="AE32" s="72">
        <f>IFERROR(INDEX('(참조)CS_인건비'!$A$3:$O$40,MATCH(CS_인건비!$A32,'(참조)CS_인건비'!$A$3:$A$40,0),MATCH('(참조)CS_인건비'!L$2,'(참조)CS_인건비'!$A$2:$O$2,0)),0)</f>
        <v>3259189.5215581185</v>
      </c>
      <c r="AF32" s="72">
        <f>IFERROR(INDEX('(참조)CS_인건비'!$A$3:$O$40,MATCH(CS_인건비!$A32,'(참조)CS_인건비'!$A$3:$A$40,0),MATCH('(참조)CS_인건비'!M$2,'(참조)CS_인건비'!$A$2:$O$2,0)),0)</f>
        <v>3341682.0853327909</v>
      </c>
      <c r="AG32" s="72">
        <f>IFERROR(INDEX('(참조)CS_인건비'!$A$3:$O$40,MATCH(CS_인건비!$A32,'(참조)CS_인건비'!$A$3:$A$40,0),MATCH('(참조)CS_인건비'!N$2,'(참조)CS_인건비'!$A$2:$O$2,0)),0)</f>
        <v>3426262.5985909486</v>
      </c>
      <c r="AH32" s="72">
        <f>IFERROR(INDEX('(참조)CS_인건비'!$A$3:$O$40,MATCH(CS_인건비!$A32,'(참조)CS_인건비'!$A$3:$A$40,0),MATCH('(참조)CS_인건비'!O$2,'(참조)CS_인건비'!$A$2:$O$2,0)),0)</f>
        <v>3512983.9089208604</v>
      </c>
      <c r="AI32" s="72">
        <f>IFERROR(INDEX('(참조)CS_인건비'!$A$3:$O$40,MATCH(CS_인건비!$A32,'(참조)CS_인건비'!$A$3:$A$40,0),MATCH('(참조)CS_인건비'!P$2,'(참조)CS_인건비'!$A$2:$O$2,0)),0)</f>
        <v>0</v>
      </c>
      <c r="AJ32" s="72">
        <v>12</v>
      </c>
      <c r="AK32" s="72">
        <v>12</v>
      </c>
      <c r="AL32" s="72">
        <v>12</v>
      </c>
      <c r="AM32" s="72">
        <v>12</v>
      </c>
      <c r="AN32" s="72">
        <v>12</v>
      </c>
      <c r="AO32" s="72">
        <v>12</v>
      </c>
      <c r="AP32" s="72">
        <v>12</v>
      </c>
      <c r="AQ32" s="72">
        <v>12</v>
      </c>
      <c r="AR32" s="72">
        <v>12</v>
      </c>
      <c r="AS32" s="72">
        <v>12</v>
      </c>
      <c r="AT32" s="72">
        <v>12</v>
      </c>
      <c r="AU32" s="73">
        <v>1</v>
      </c>
      <c r="AV32" s="70">
        <v>0</v>
      </c>
      <c r="AW32" s="70">
        <v>0</v>
      </c>
      <c r="AX32" s="56">
        <v>8609912278.034502</v>
      </c>
      <c r="AY32" s="56">
        <v>353465532</v>
      </c>
      <c r="AZ32" s="56">
        <v>828370315.99708414</v>
      </c>
      <c r="BA32" s="56">
        <v>849336998.25641024</v>
      </c>
      <c r="BB32" s="56">
        <v>870834363.17839909</v>
      </c>
      <c r="BC32" s="56">
        <v>892875842.74456036</v>
      </c>
      <c r="BD32" s="56">
        <v>915475208.91006529</v>
      </c>
      <c r="BE32" s="56">
        <v>938646582.20873785</v>
      </c>
      <c r="BF32" s="56">
        <v>962404440.57584381</v>
      </c>
      <c r="BG32" s="56">
        <v>986763628.39419353</v>
      </c>
      <c r="BH32" s="56">
        <v>1011739365.7692076</v>
      </c>
      <c r="BI32" s="56">
        <v>0</v>
      </c>
      <c r="BJ32" s="74">
        <v>29455461</v>
      </c>
      <c r="BK32" s="56">
        <v>29455461</v>
      </c>
      <c r="BL32" s="56">
        <v>29455461</v>
      </c>
      <c r="BM32" s="56">
        <v>29455461</v>
      </c>
      <c r="BN32" s="56">
        <v>29455461</v>
      </c>
      <c r="BO32" s="56">
        <v>29455461</v>
      </c>
      <c r="BP32" s="56">
        <v>29455461</v>
      </c>
      <c r="BQ32" s="56">
        <v>29455461</v>
      </c>
      <c r="BR32" s="56">
        <v>29455461</v>
      </c>
      <c r="BS32" s="56">
        <v>29455461</v>
      </c>
      <c r="BT32" s="56">
        <v>29455461</v>
      </c>
      <c r="BU32" s="56">
        <v>29455461</v>
      </c>
      <c r="BV32" s="56">
        <v>69030859.666423678</v>
      </c>
      <c r="BW32" s="56">
        <v>69030859.666423678</v>
      </c>
      <c r="BX32" s="56">
        <v>69030859.666423678</v>
      </c>
      <c r="BY32" s="56">
        <v>69030859.666423678</v>
      </c>
      <c r="BZ32" s="56">
        <v>69030859.666423678</v>
      </c>
      <c r="CA32" s="56">
        <v>69030859.666423678</v>
      </c>
      <c r="CB32" s="56">
        <v>69030859.666423678</v>
      </c>
      <c r="CC32" s="56">
        <v>69030859.666423678</v>
      </c>
      <c r="CD32" s="56">
        <v>69030859.666423678</v>
      </c>
      <c r="CE32" s="56">
        <v>69030859.666423678</v>
      </c>
      <c r="CF32" s="56">
        <v>69030859.666423678</v>
      </c>
      <c r="CG32" s="56">
        <v>69030859.666423678</v>
      </c>
      <c r="CH32" s="56">
        <v>70778083.188034207</v>
      </c>
      <c r="CI32" s="56">
        <v>70778083.188034207</v>
      </c>
      <c r="CJ32" s="56">
        <v>70778083.188034207</v>
      </c>
      <c r="CK32" s="56">
        <v>70778083.188034207</v>
      </c>
      <c r="CL32" s="56">
        <v>70778083.188034207</v>
      </c>
      <c r="CM32" s="56">
        <v>70778083.188034207</v>
      </c>
      <c r="CN32" s="56">
        <v>70778083.188034207</v>
      </c>
      <c r="CO32" s="56">
        <v>70778083.188034207</v>
      </c>
      <c r="CP32" s="56">
        <v>70778083.188034207</v>
      </c>
      <c r="CQ32" s="56">
        <v>70778083.188034207</v>
      </c>
      <c r="CR32" s="56">
        <v>70778083.188034207</v>
      </c>
      <c r="CS32" s="56">
        <v>70778083.188034207</v>
      </c>
      <c r="CT32" s="56">
        <v>72569530.26486659</v>
      </c>
      <c r="CU32" s="56">
        <v>72569530.26486659</v>
      </c>
      <c r="CV32" s="56">
        <v>72569530.26486659</v>
      </c>
      <c r="CW32" s="56">
        <v>72569530.26486659</v>
      </c>
      <c r="CX32" s="56">
        <v>72569530.26486659</v>
      </c>
      <c r="CY32" s="56">
        <v>72569530.26486659</v>
      </c>
      <c r="CZ32" s="56">
        <v>72569530.26486659</v>
      </c>
      <c r="DA32" s="56">
        <v>72569530.26486659</v>
      </c>
      <c r="DB32" s="56">
        <v>72569530.26486659</v>
      </c>
      <c r="DC32" s="56">
        <v>72569530.26486659</v>
      </c>
      <c r="DD32" s="56">
        <v>72569530.26486659</v>
      </c>
      <c r="DE32" s="56">
        <v>72569530.26486659</v>
      </c>
      <c r="DF32" s="56">
        <v>74406320.228713349</v>
      </c>
      <c r="DG32" s="56">
        <v>74406320.228713349</v>
      </c>
      <c r="DH32" s="56">
        <v>74406320.228713349</v>
      </c>
      <c r="DI32" s="56">
        <v>74406320.228713349</v>
      </c>
      <c r="DJ32" s="56">
        <v>74406320.228713349</v>
      </c>
      <c r="DK32" s="56">
        <v>74406320.228713349</v>
      </c>
      <c r="DL32" s="56">
        <v>74406320.228713349</v>
      </c>
      <c r="DM32" s="56">
        <v>74406320.228713349</v>
      </c>
      <c r="DN32" s="56">
        <v>74406320.228713349</v>
      </c>
      <c r="DO32" s="56">
        <v>74406320.228713349</v>
      </c>
      <c r="DP32" s="56">
        <v>74406320.228713349</v>
      </c>
      <c r="DQ32" s="56">
        <v>74406320.228713349</v>
      </c>
      <c r="DR32" s="56">
        <v>76289600.742505461</v>
      </c>
      <c r="DS32" s="56">
        <v>76289600.742505461</v>
      </c>
      <c r="DT32" s="56">
        <v>76289600.742505461</v>
      </c>
      <c r="DU32" s="56">
        <v>76289600.742505461</v>
      </c>
      <c r="DV32" s="56">
        <v>76289600.742505461</v>
      </c>
      <c r="DW32" s="56">
        <v>76289600.742505461</v>
      </c>
      <c r="DX32" s="56">
        <v>76289600.742505461</v>
      </c>
      <c r="DY32" s="56">
        <v>76289600.742505461</v>
      </c>
      <c r="DZ32" s="56">
        <v>76289600.742505461</v>
      </c>
      <c r="EA32" s="56">
        <v>76289600.742505461</v>
      </c>
      <c r="EB32" s="56">
        <v>76289600.742505461</v>
      </c>
      <c r="EC32" s="56">
        <v>76289600.742505461</v>
      </c>
      <c r="ED32" s="56">
        <v>78220548.517394841</v>
      </c>
      <c r="EE32" s="56">
        <v>78220548.517394841</v>
      </c>
      <c r="EF32" s="56">
        <v>78220548.517394841</v>
      </c>
      <c r="EG32" s="56">
        <v>78220548.517394841</v>
      </c>
      <c r="EH32" s="56">
        <v>78220548.517394841</v>
      </c>
      <c r="EI32" s="56">
        <v>78220548.517394841</v>
      </c>
      <c r="EJ32" s="56">
        <v>78220548.517394841</v>
      </c>
      <c r="EK32" s="56">
        <v>78220548.517394841</v>
      </c>
      <c r="EL32" s="56">
        <v>78220548.517394841</v>
      </c>
      <c r="EM32" s="56">
        <v>78220548.517394841</v>
      </c>
      <c r="EN32" s="56">
        <v>78220548.517394841</v>
      </c>
      <c r="EO32" s="56">
        <v>78220548.517394841</v>
      </c>
      <c r="EP32" s="56">
        <v>80200370.047986984</v>
      </c>
      <c r="EQ32" s="56">
        <v>80200370.047986984</v>
      </c>
      <c r="ER32" s="56">
        <v>80200370.047986984</v>
      </c>
      <c r="ES32" s="56">
        <v>80200370.047986984</v>
      </c>
      <c r="ET32" s="56">
        <v>80200370.047986984</v>
      </c>
      <c r="EU32" s="56">
        <v>80200370.047986984</v>
      </c>
      <c r="EV32" s="56">
        <v>80200370.047986984</v>
      </c>
      <c r="EW32" s="56">
        <v>80200370.047986984</v>
      </c>
      <c r="EX32" s="56">
        <v>80200370.047986984</v>
      </c>
      <c r="EY32" s="56">
        <v>80200370.047986984</v>
      </c>
      <c r="EZ32" s="56">
        <v>80200370.047986984</v>
      </c>
      <c r="FA32" s="56">
        <v>80200370.047986984</v>
      </c>
      <c r="FB32" s="56">
        <v>82230302.366182774</v>
      </c>
      <c r="FC32" s="56">
        <v>82230302.366182774</v>
      </c>
      <c r="FD32" s="56">
        <v>82230302.366182774</v>
      </c>
      <c r="FE32" s="56">
        <v>82230302.366182774</v>
      </c>
      <c r="FF32" s="56">
        <v>82230302.366182774</v>
      </c>
      <c r="FG32" s="56">
        <v>82230302.366182774</v>
      </c>
      <c r="FH32" s="56">
        <v>82230302.366182774</v>
      </c>
      <c r="FI32" s="56">
        <v>82230302.366182774</v>
      </c>
      <c r="FJ32" s="56">
        <v>82230302.366182774</v>
      </c>
      <c r="FK32" s="56">
        <v>82230302.366182774</v>
      </c>
      <c r="FL32" s="56">
        <v>82230302.366182774</v>
      </c>
      <c r="FM32" s="56">
        <v>82230302.366182774</v>
      </c>
      <c r="FN32" s="56">
        <v>84311613.814100653</v>
      </c>
      <c r="FO32" s="56">
        <v>84311613.814100653</v>
      </c>
      <c r="FP32" s="56">
        <v>84311613.814100653</v>
      </c>
      <c r="FQ32" s="56">
        <v>84311613.814100653</v>
      </c>
      <c r="FR32" s="56">
        <v>84311613.814100653</v>
      </c>
      <c r="FS32" s="56">
        <v>84311613.814100653</v>
      </c>
      <c r="FT32" s="56">
        <v>84311613.814100653</v>
      </c>
      <c r="FU32" s="56">
        <v>84311613.814100653</v>
      </c>
      <c r="FV32" s="56">
        <v>84311613.814100653</v>
      </c>
      <c r="FW32" s="56">
        <v>84311613.814100653</v>
      </c>
      <c r="FX32" s="56">
        <v>84311613.814100653</v>
      </c>
      <c r="FY32" s="56">
        <v>84311613.814100653</v>
      </c>
      <c r="FZ32" s="56">
        <v>0</v>
      </c>
      <c r="GA32" s="56">
        <v>0</v>
      </c>
      <c r="GB32" s="56">
        <v>0</v>
      </c>
      <c r="GC32" s="56">
        <v>0</v>
      </c>
      <c r="GD32" s="56">
        <v>0</v>
      </c>
      <c r="GE32" s="56">
        <v>0</v>
      </c>
      <c r="GF32" s="56">
        <v>0</v>
      </c>
      <c r="GG32" s="56">
        <v>0</v>
      </c>
      <c r="GH32" s="56">
        <v>0</v>
      </c>
      <c r="GI32" s="56">
        <v>0</v>
      </c>
      <c r="GJ32" s="56">
        <v>0</v>
      </c>
      <c r="GK32" s="85">
        <v>0</v>
      </c>
      <c r="GL32" s="40"/>
    </row>
    <row r="33" spans="1:194" x14ac:dyDescent="0.4">
      <c r="A33" s="84" t="s">
        <v>306</v>
      </c>
      <c r="B33" s="70" t="s">
        <v>316</v>
      </c>
      <c r="C33" s="70" t="s">
        <v>398</v>
      </c>
      <c r="D33" s="70" t="s">
        <v>209</v>
      </c>
      <c r="E33" s="70" t="s">
        <v>175</v>
      </c>
      <c r="F33" s="70" t="s">
        <v>252</v>
      </c>
      <c r="G33" s="70" t="s">
        <v>290</v>
      </c>
      <c r="H33" s="70">
        <v>0</v>
      </c>
      <c r="I33" s="70">
        <v>0</v>
      </c>
      <c r="J33" s="70" t="s">
        <v>210</v>
      </c>
      <c r="K33" s="70">
        <v>0</v>
      </c>
      <c r="L33" s="70" t="s">
        <v>211</v>
      </c>
      <c r="M33" s="71">
        <f>IFERROR(INDEX('(참조)CS_인건비'!$S$3:$AG$40,MATCH(CS_인건비!$A33,'(참조)CS_인건비'!$S$3:$S$40,0),MATCH('(참조)CS_인건비'!X$2,'(참조)CS_인건비'!$S$2:$AG$2,0)),0)</f>
        <v>3.75</v>
      </c>
      <c r="N33" s="71">
        <f>IFERROR(INDEX('(참조)CS_인건비'!$S$3:$AG$40,MATCH(CS_인건비!$A33,'(참조)CS_인건비'!$S$3:$S$40,0),MATCH('(참조)CS_인건비'!Y$2,'(참조)CS_인건비'!$S$2:$AG$2,0)),0)</f>
        <v>0</v>
      </c>
      <c r="O33" s="71">
        <f>IFERROR(INDEX('(참조)CS_인건비'!$S$3:$AG$40,MATCH(CS_인건비!$A33,'(참조)CS_인건비'!$S$3:$S$40,0),MATCH('(참조)CS_인건비'!Z$2,'(참조)CS_인건비'!$S$2:$AG$2,0)),0)</f>
        <v>0</v>
      </c>
      <c r="P33" s="71">
        <f>IFERROR(INDEX('(참조)CS_인건비'!$S$3:$AG$40,MATCH(CS_인건비!$A33,'(참조)CS_인건비'!$S$3:$S$40,0),MATCH('(참조)CS_인건비'!AA$2,'(참조)CS_인건비'!$S$2:$AG$2,0)),0)</f>
        <v>0</v>
      </c>
      <c r="Q33" s="71">
        <f>IFERROR(INDEX('(참조)CS_인건비'!$S$3:$AG$40,MATCH(CS_인건비!$A33,'(참조)CS_인건비'!$S$3:$S$40,0),MATCH('(참조)CS_인건비'!AB$2,'(참조)CS_인건비'!$S$2:$AG$2,0)),0)</f>
        <v>0</v>
      </c>
      <c r="R33" s="71">
        <f>IFERROR(INDEX('(참조)CS_인건비'!$S$3:$AG$40,MATCH(CS_인건비!$A33,'(참조)CS_인건비'!$S$3:$S$40,0),MATCH('(참조)CS_인건비'!AC$2,'(참조)CS_인건비'!$S$2:$AG$2,0)),0)</f>
        <v>0</v>
      </c>
      <c r="S33" s="71">
        <f>IFERROR(INDEX('(참조)CS_인건비'!$S$3:$AG$40,MATCH(CS_인건비!$A33,'(참조)CS_인건비'!$S$3:$S$40,0),MATCH('(참조)CS_인건비'!AD$2,'(참조)CS_인건비'!$S$2:$AG$2,0)),0)</f>
        <v>0</v>
      </c>
      <c r="T33" s="71">
        <f>IFERROR(INDEX('(참조)CS_인건비'!$S$3:$AG$40,MATCH(CS_인건비!$A33,'(참조)CS_인건비'!$S$3:$S$40,0),MATCH('(참조)CS_인건비'!AE$2,'(참조)CS_인건비'!$S$2:$AG$2,0)),0)</f>
        <v>0</v>
      </c>
      <c r="U33" s="71">
        <f>IFERROR(INDEX('(참조)CS_인건비'!$S$3:$AG$40,MATCH(CS_인건비!$A33,'(참조)CS_인건비'!$S$3:$S$40,0),MATCH('(참조)CS_인건비'!AF$2,'(참조)CS_인건비'!$S$2:$AG$2,0)),0)</f>
        <v>0</v>
      </c>
      <c r="V33" s="71">
        <f>IFERROR(INDEX('(참조)CS_인건비'!$S$3:$AG$40,MATCH(CS_인건비!$A33,'(참조)CS_인건비'!$S$3:$S$40,0),MATCH('(참조)CS_인건비'!AG$2,'(참조)CS_인건비'!$S$2:$AG$2,0)),0)</f>
        <v>0</v>
      </c>
      <c r="W33" s="71">
        <f>IFERROR(INDEX('(참조)CS_인건비'!$S$3:$AG$40,MATCH(CS_인건비!$A33,'(참조)CS_인건비'!$S$3:$S$40,0),MATCH('(참조)CS_인건비'!AH$2,'(참조)CS_인건비'!$S$2:$AG$2,0)),0)</f>
        <v>0</v>
      </c>
      <c r="X33" s="72">
        <v>0</v>
      </c>
      <c r="Y33" s="72">
        <f>IFERROR(INDEX('(참조)CS_인건비'!$A$3:$O$40,MATCH(CS_인건비!$A33,'(참조)CS_인건비'!$A$3:$A$40,0),MATCH('(참조)CS_인건비'!F$2,'(참조)CS_인건비'!$A$2:$O$2,0)),0)</f>
        <v>2810805</v>
      </c>
      <c r="Z33" s="72">
        <f>IFERROR(INDEX('(참조)CS_인건비'!$A$3:$O$40,MATCH(CS_인건비!$A33,'(참조)CS_인건비'!$A$3:$A$40,0),MATCH('(참조)CS_인건비'!G$2,'(참조)CS_인건비'!$A$2:$O$2,0)),0)</f>
        <v>2881948.6107617998</v>
      </c>
      <c r="AA33" s="72">
        <f>IFERROR(INDEX('(참조)CS_인건비'!$A$3:$O$40,MATCH(CS_인건비!$A33,'(참조)CS_인건비'!$A$3:$A$40,0),MATCH('(참조)CS_인건비'!H$2,'(참조)CS_인건비'!$A$2:$O$2,0)),0)</f>
        <v>2954892.9203811251</v>
      </c>
      <c r="AB33" s="72">
        <f>IFERROR(INDEX('(참조)CS_인건비'!$A$3:$O$40,MATCH(CS_인건비!$A33,'(참조)CS_인건비'!$A$3:$A$40,0),MATCH('(참조)CS_인건비'!I$2,'(참조)CS_인건비'!$A$2:$O$2,0)),0)</f>
        <v>3029683.5059145908</v>
      </c>
      <c r="AC33" s="72">
        <f>IFERROR(INDEX('(참조)CS_인건비'!$A$3:$O$40,MATCH(CS_인건비!$A33,'(참조)CS_인건비'!$A$3:$A$40,0),MATCH('(참조)CS_인건비'!J$2,'(참조)CS_인건비'!$A$2:$O$2,0)),0)</f>
        <v>3106367.0980087537</v>
      </c>
      <c r="AD33" s="72">
        <f>IFERROR(INDEX('(참조)CS_인건비'!$A$3:$O$40,MATCH(CS_인건비!$A33,'(참조)CS_인건비'!$A$3:$A$40,0),MATCH('(참조)CS_인건비'!K$2,'(참조)CS_인건비'!$A$2:$O$2,0)),0)</f>
        <v>3184991.6100983499</v>
      </c>
      <c r="AE33" s="72">
        <f>IFERROR(INDEX('(참조)CS_인건비'!$A$3:$O$40,MATCH(CS_인건비!$A33,'(참조)CS_인건비'!$A$3:$A$40,0),MATCH('(참조)CS_인건비'!L$2,'(참조)CS_인건비'!$A$2:$O$2,0)),0)</f>
        <v>3265606.1683435626</v>
      </c>
      <c r="AF33" s="72">
        <f>IFERROR(INDEX('(참조)CS_인건비'!$A$3:$O$40,MATCH(CS_인건비!$A33,'(참조)CS_인건비'!$A$3:$A$40,0),MATCH('(참조)CS_인건비'!M$2,'(참조)CS_인건비'!$A$2:$O$2,0)),0)</f>
        <v>3348261.142325026</v>
      </c>
      <c r="AG33" s="72">
        <f>IFERROR(INDEX('(참조)CS_인건비'!$A$3:$O$40,MATCH(CS_인건비!$A33,'(참조)CS_인건비'!$A$3:$A$40,0),MATCH('(참조)CS_인건비'!N$2,'(참조)CS_인건비'!$A$2:$O$2,0)),0)</f>
        <v>3433008.1765157403</v>
      </c>
      <c r="AH33" s="72">
        <f>IFERROR(INDEX('(참조)CS_인건비'!$A$3:$O$40,MATCH(CS_인건비!$A33,'(참조)CS_인건비'!$A$3:$A$40,0),MATCH('(참조)CS_인건비'!O$2,'(참조)CS_인건비'!$A$2:$O$2,0)),0)</f>
        <v>3519900.2225495679</v>
      </c>
      <c r="AI33" s="72">
        <f>IFERROR(INDEX('(참조)CS_인건비'!$A$3:$O$40,MATCH(CS_인건비!$A33,'(참조)CS_인건비'!$A$3:$A$40,0),MATCH('(참조)CS_인건비'!P$2,'(참조)CS_인건비'!$A$2:$O$2,0)),0)</f>
        <v>0</v>
      </c>
      <c r="AJ33" s="72">
        <v>12</v>
      </c>
      <c r="AK33" s="72">
        <v>12</v>
      </c>
      <c r="AL33" s="72">
        <v>12</v>
      </c>
      <c r="AM33" s="72">
        <v>12</v>
      </c>
      <c r="AN33" s="72">
        <v>12</v>
      </c>
      <c r="AO33" s="72">
        <v>12</v>
      </c>
      <c r="AP33" s="72">
        <v>12</v>
      </c>
      <c r="AQ33" s="72">
        <v>12</v>
      </c>
      <c r="AR33" s="72">
        <v>12</v>
      </c>
      <c r="AS33" s="72">
        <v>12</v>
      </c>
      <c r="AT33" s="72">
        <v>12</v>
      </c>
      <c r="AU33" s="73">
        <v>1</v>
      </c>
      <c r="AV33" s="70">
        <v>0</v>
      </c>
      <c r="AW33" s="70">
        <v>0</v>
      </c>
      <c r="AX33" s="56">
        <v>126486225</v>
      </c>
      <c r="AY33" s="56">
        <v>126486225</v>
      </c>
      <c r="AZ33" s="56">
        <v>0</v>
      </c>
      <c r="BA33" s="56">
        <v>0</v>
      </c>
      <c r="BB33" s="56">
        <v>0</v>
      </c>
      <c r="BC33" s="56">
        <v>0</v>
      </c>
      <c r="BD33" s="56">
        <v>0</v>
      </c>
      <c r="BE33" s="56">
        <v>0</v>
      </c>
      <c r="BF33" s="56">
        <v>0</v>
      </c>
      <c r="BG33" s="56">
        <v>0</v>
      </c>
      <c r="BH33" s="56">
        <v>0</v>
      </c>
      <c r="BI33" s="56">
        <v>0</v>
      </c>
      <c r="BJ33" s="74">
        <v>10540518.75</v>
      </c>
      <c r="BK33" s="56">
        <v>10540518.75</v>
      </c>
      <c r="BL33" s="56">
        <v>10540518.75</v>
      </c>
      <c r="BM33" s="56">
        <v>10540518.75</v>
      </c>
      <c r="BN33" s="56">
        <v>10540518.75</v>
      </c>
      <c r="BO33" s="56">
        <v>10540518.75</v>
      </c>
      <c r="BP33" s="56">
        <v>10540518.75</v>
      </c>
      <c r="BQ33" s="56">
        <v>10540518.75</v>
      </c>
      <c r="BR33" s="56">
        <v>10540518.75</v>
      </c>
      <c r="BS33" s="56">
        <v>10540518.75</v>
      </c>
      <c r="BT33" s="56">
        <v>10540518.75</v>
      </c>
      <c r="BU33" s="56">
        <v>10540518.75</v>
      </c>
      <c r="BV33" s="56">
        <v>0</v>
      </c>
      <c r="BW33" s="56">
        <v>0</v>
      </c>
      <c r="BX33" s="56">
        <v>0</v>
      </c>
      <c r="BY33" s="56">
        <v>0</v>
      </c>
      <c r="BZ33" s="56">
        <v>0</v>
      </c>
      <c r="CA33" s="56">
        <v>0</v>
      </c>
      <c r="CB33" s="56">
        <v>0</v>
      </c>
      <c r="CC33" s="56">
        <v>0</v>
      </c>
      <c r="CD33" s="56">
        <v>0</v>
      </c>
      <c r="CE33" s="56">
        <v>0</v>
      </c>
      <c r="CF33" s="56">
        <v>0</v>
      </c>
      <c r="CG33" s="56">
        <v>0</v>
      </c>
      <c r="CH33" s="56">
        <v>0</v>
      </c>
      <c r="CI33" s="56">
        <v>0</v>
      </c>
      <c r="CJ33" s="56">
        <v>0</v>
      </c>
      <c r="CK33" s="56">
        <v>0</v>
      </c>
      <c r="CL33" s="56">
        <v>0</v>
      </c>
      <c r="CM33" s="56">
        <v>0</v>
      </c>
      <c r="CN33" s="56">
        <v>0</v>
      </c>
      <c r="CO33" s="56">
        <v>0</v>
      </c>
      <c r="CP33" s="56">
        <v>0</v>
      </c>
      <c r="CQ33" s="56">
        <v>0</v>
      </c>
      <c r="CR33" s="56">
        <v>0</v>
      </c>
      <c r="CS33" s="56">
        <v>0</v>
      </c>
      <c r="CT33" s="56">
        <v>0</v>
      </c>
      <c r="CU33" s="56">
        <v>0</v>
      </c>
      <c r="CV33" s="56">
        <v>0</v>
      </c>
      <c r="CW33" s="56">
        <v>0</v>
      </c>
      <c r="CX33" s="56">
        <v>0</v>
      </c>
      <c r="CY33" s="56">
        <v>0</v>
      </c>
      <c r="CZ33" s="56">
        <v>0</v>
      </c>
      <c r="DA33" s="56">
        <v>0</v>
      </c>
      <c r="DB33" s="56">
        <v>0</v>
      </c>
      <c r="DC33" s="56">
        <v>0</v>
      </c>
      <c r="DD33" s="56">
        <v>0</v>
      </c>
      <c r="DE33" s="56">
        <v>0</v>
      </c>
      <c r="DF33" s="56">
        <v>0</v>
      </c>
      <c r="DG33" s="56">
        <v>0</v>
      </c>
      <c r="DH33" s="56">
        <v>0</v>
      </c>
      <c r="DI33" s="56">
        <v>0</v>
      </c>
      <c r="DJ33" s="56">
        <v>0</v>
      </c>
      <c r="DK33" s="56">
        <v>0</v>
      </c>
      <c r="DL33" s="56">
        <v>0</v>
      </c>
      <c r="DM33" s="56">
        <v>0</v>
      </c>
      <c r="DN33" s="56">
        <v>0</v>
      </c>
      <c r="DO33" s="56">
        <v>0</v>
      </c>
      <c r="DP33" s="56">
        <v>0</v>
      </c>
      <c r="DQ33" s="56">
        <v>0</v>
      </c>
      <c r="DR33" s="56">
        <v>0</v>
      </c>
      <c r="DS33" s="56">
        <v>0</v>
      </c>
      <c r="DT33" s="56">
        <v>0</v>
      </c>
      <c r="DU33" s="56">
        <v>0</v>
      </c>
      <c r="DV33" s="56">
        <v>0</v>
      </c>
      <c r="DW33" s="56">
        <v>0</v>
      </c>
      <c r="DX33" s="56">
        <v>0</v>
      </c>
      <c r="DY33" s="56">
        <v>0</v>
      </c>
      <c r="DZ33" s="56">
        <v>0</v>
      </c>
      <c r="EA33" s="56">
        <v>0</v>
      </c>
      <c r="EB33" s="56">
        <v>0</v>
      </c>
      <c r="EC33" s="56">
        <v>0</v>
      </c>
      <c r="ED33" s="56">
        <v>0</v>
      </c>
      <c r="EE33" s="56">
        <v>0</v>
      </c>
      <c r="EF33" s="56">
        <v>0</v>
      </c>
      <c r="EG33" s="56">
        <v>0</v>
      </c>
      <c r="EH33" s="56">
        <v>0</v>
      </c>
      <c r="EI33" s="56">
        <v>0</v>
      </c>
      <c r="EJ33" s="56">
        <v>0</v>
      </c>
      <c r="EK33" s="56">
        <v>0</v>
      </c>
      <c r="EL33" s="56">
        <v>0</v>
      </c>
      <c r="EM33" s="56">
        <v>0</v>
      </c>
      <c r="EN33" s="56">
        <v>0</v>
      </c>
      <c r="EO33" s="56">
        <v>0</v>
      </c>
      <c r="EP33" s="56">
        <v>0</v>
      </c>
      <c r="EQ33" s="56">
        <v>0</v>
      </c>
      <c r="ER33" s="56">
        <v>0</v>
      </c>
      <c r="ES33" s="56">
        <v>0</v>
      </c>
      <c r="ET33" s="56">
        <v>0</v>
      </c>
      <c r="EU33" s="56">
        <v>0</v>
      </c>
      <c r="EV33" s="56">
        <v>0</v>
      </c>
      <c r="EW33" s="56">
        <v>0</v>
      </c>
      <c r="EX33" s="56">
        <v>0</v>
      </c>
      <c r="EY33" s="56">
        <v>0</v>
      </c>
      <c r="EZ33" s="56">
        <v>0</v>
      </c>
      <c r="FA33" s="56">
        <v>0</v>
      </c>
      <c r="FB33" s="56">
        <v>0</v>
      </c>
      <c r="FC33" s="56">
        <v>0</v>
      </c>
      <c r="FD33" s="56">
        <v>0</v>
      </c>
      <c r="FE33" s="56">
        <v>0</v>
      </c>
      <c r="FF33" s="56">
        <v>0</v>
      </c>
      <c r="FG33" s="56">
        <v>0</v>
      </c>
      <c r="FH33" s="56">
        <v>0</v>
      </c>
      <c r="FI33" s="56">
        <v>0</v>
      </c>
      <c r="FJ33" s="56">
        <v>0</v>
      </c>
      <c r="FK33" s="56">
        <v>0</v>
      </c>
      <c r="FL33" s="56">
        <v>0</v>
      </c>
      <c r="FM33" s="56">
        <v>0</v>
      </c>
      <c r="FN33" s="56">
        <v>0</v>
      </c>
      <c r="FO33" s="56">
        <v>0</v>
      </c>
      <c r="FP33" s="56">
        <v>0</v>
      </c>
      <c r="FQ33" s="56">
        <v>0</v>
      </c>
      <c r="FR33" s="56">
        <v>0</v>
      </c>
      <c r="FS33" s="56">
        <v>0</v>
      </c>
      <c r="FT33" s="56">
        <v>0</v>
      </c>
      <c r="FU33" s="56">
        <v>0</v>
      </c>
      <c r="FV33" s="56">
        <v>0</v>
      </c>
      <c r="FW33" s="56">
        <v>0</v>
      </c>
      <c r="FX33" s="56">
        <v>0</v>
      </c>
      <c r="FY33" s="56">
        <v>0</v>
      </c>
      <c r="FZ33" s="56">
        <v>0</v>
      </c>
      <c r="GA33" s="56">
        <v>0</v>
      </c>
      <c r="GB33" s="56">
        <v>0</v>
      </c>
      <c r="GC33" s="56">
        <v>0</v>
      </c>
      <c r="GD33" s="56">
        <v>0</v>
      </c>
      <c r="GE33" s="56">
        <v>0</v>
      </c>
      <c r="GF33" s="56">
        <v>0</v>
      </c>
      <c r="GG33" s="56">
        <v>0</v>
      </c>
      <c r="GH33" s="56">
        <v>0</v>
      </c>
      <c r="GI33" s="56">
        <v>0</v>
      </c>
      <c r="GJ33" s="56">
        <v>0</v>
      </c>
      <c r="GK33" s="85">
        <v>0</v>
      </c>
      <c r="GL33" s="40"/>
    </row>
    <row r="34" spans="1:194" x14ac:dyDescent="0.4">
      <c r="A34" s="84" t="s">
        <v>307</v>
      </c>
      <c r="B34" s="70" t="s">
        <v>316</v>
      </c>
      <c r="C34" s="70" t="s">
        <v>398</v>
      </c>
      <c r="D34" s="70" t="s">
        <v>209</v>
      </c>
      <c r="E34" s="70" t="s">
        <v>175</v>
      </c>
      <c r="F34" s="70" t="s">
        <v>252</v>
      </c>
      <c r="G34" s="70" t="s">
        <v>291</v>
      </c>
      <c r="H34" s="70">
        <v>0</v>
      </c>
      <c r="I34" s="70">
        <v>0</v>
      </c>
      <c r="J34" s="70" t="s">
        <v>210</v>
      </c>
      <c r="K34" s="70">
        <v>0</v>
      </c>
      <c r="L34" s="70" t="s">
        <v>211</v>
      </c>
      <c r="M34" s="71">
        <f>IFERROR(INDEX('(참조)CS_인건비'!$S$3:$AG$40,MATCH(CS_인건비!$A34,'(참조)CS_인건비'!$S$3:$S$40,0),MATCH('(참조)CS_인건비'!X$2,'(참조)CS_인건비'!$S$2:$AG$2,0)),0)</f>
        <v>7.5</v>
      </c>
      <c r="N34" s="71">
        <f>IFERROR(INDEX('(참조)CS_인건비'!$S$3:$AG$40,MATCH(CS_인건비!$A34,'(참조)CS_인건비'!$S$3:$S$40,0),MATCH('(참조)CS_인건비'!Y$2,'(참조)CS_인건비'!$S$2:$AG$2,0)),0)</f>
        <v>0</v>
      </c>
      <c r="O34" s="71">
        <f>IFERROR(INDEX('(참조)CS_인건비'!$S$3:$AG$40,MATCH(CS_인건비!$A34,'(참조)CS_인건비'!$S$3:$S$40,0),MATCH('(참조)CS_인건비'!Z$2,'(참조)CS_인건비'!$S$2:$AG$2,0)),0)</f>
        <v>0</v>
      </c>
      <c r="P34" s="71">
        <f>IFERROR(INDEX('(참조)CS_인건비'!$S$3:$AG$40,MATCH(CS_인건비!$A34,'(참조)CS_인건비'!$S$3:$S$40,0),MATCH('(참조)CS_인건비'!AA$2,'(참조)CS_인건비'!$S$2:$AG$2,0)),0)</f>
        <v>0</v>
      </c>
      <c r="Q34" s="71">
        <f>IFERROR(INDEX('(참조)CS_인건비'!$S$3:$AG$40,MATCH(CS_인건비!$A34,'(참조)CS_인건비'!$S$3:$S$40,0),MATCH('(참조)CS_인건비'!AB$2,'(참조)CS_인건비'!$S$2:$AG$2,0)),0)</f>
        <v>0</v>
      </c>
      <c r="R34" s="71">
        <f>IFERROR(INDEX('(참조)CS_인건비'!$S$3:$AG$40,MATCH(CS_인건비!$A34,'(참조)CS_인건비'!$S$3:$S$40,0),MATCH('(참조)CS_인건비'!AC$2,'(참조)CS_인건비'!$S$2:$AG$2,0)),0)</f>
        <v>0</v>
      </c>
      <c r="S34" s="71">
        <f>IFERROR(INDEX('(참조)CS_인건비'!$S$3:$AG$40,MATCH(CS_인건비!$A34,'(참조)CS_인건비'!$S$3:$S$40,0),MATCH('(참조)CS_인건비'!AD$2,'(참조)CS_인건비'!$S$2:$AG$2,0)),0)</f>
        <v>0</v>
      </c>
      <c r="T34" s="71">
        <f>IFERROR(INDEX('(참조)CS_인건비'!$S$3:$AG$40,MATCH(CS_인건비!$A34,'(참조)CS_인건비'!$S$3:$S$40,0),MATCH('(참조)CS_인건비'!AE$2,'(참조)CS_인건비'!$S$2:$AG$2,0)),0)</f>
        <v>0</v>
      </c>
      <c r="U34" s="71">
        <f>IFERROR(INDEX('(참조)CS_인건비'!$S$3:$AG$40,MATCH(CS_인건비!$A34,'(참조)CS_인건비'!$S$3:$S$40,0),MATCH('(참조)CS_인건비'!AF$2,'(참조)CS_인건비'!$S$2:$AG$2,0)),0)</f>
        <v>0</v>
      </c>
      <c r="V34" s="71">
        <f>IFERROR(INDEX('(참조)CS_인건비'!$S$3:$AG$40,MATCH(CS_인건비!$A34,'(참조)CS_인건비'!$S$3:$S$40,0),MATCH('(참조)CS_인건비'!AG$2,'(참조)CS_인건비'!$S$2:$AG$2,0)),0)</f>
        <v>0</v>
      </c>
      <c r="W34" s="71">
        <f>IFERROR(INDEX('(참조)CS_인건비'!$S$3:$AG$40,MATCH(CS_인건비!$A34,'(참조)CS_인건비'!$S$3:$S$40,0),MATCH('(참조)CS_인건비'!AH$2,'(참조)CS_인건비'!$S$2:$AG$2,0)),0)</f>
        <v>0</v>
      </c>
      <c r="X34" s="72">
        <v>0</v>
      </c>
      <c r="Y34" s="72">
        <f>IFERROR(INDEX('(참조)CS_인건비'!$A$3:$O$40,MATCH(CS_인건비!$A34,'(참조)CS_인건비'!$A$3:$A$40,0),MATCH('(참조)CS_인건비'!F$2,'(참조)CS_인건비'!$A$2:$O$2,0)),0)</f>
        <v>2268632</v>
      </c>
      <c r="Z34" s="72">
        <f>IFERROR(INDEX('(참조)CS_인건비'!$A$3:$O$40,MATCH(CS_인건비!$A34,'(참조)CS_인건비'!$A$3:$A$40,0),MATCH('(참조)CS_인건비'!G$2,'(참조)CS_인건비'!$A$2:$O$2,0)),0)</f>
        <v>2326052.8000803199</v>
      </c>
      <c r="AA34" s="72">
        <f>IFERROR(INDEX('(참조)CS_인건비'!$A$3:$O$40,MATCH(CS_인건비!$A34,'(참조)CS_인건비'!$A$3:$A$40,0),MATCH('(참조)CS_인건비'!H$2,'(참조)CS_인건비'!$A$2:$O$2,0)),0)</f>
        <v>2384926.9642504808</v>
      </c>
      <c r="AB34" s="72">
        <f>IFERROR(INDEX('(참조)CS_인건비'!$A$3:$O$40,MATCH(CS_인건비!$A34,'(참조)CS_인건비'!$A$3:$A$40,0),MATCH('(참조)CS_인건비'!I$2,'(참조)CS_인건비'!$A$2:$O$2,0)),0)</f>
        <v>2445291.2782601533</v>
      </c>
      <c r="AC34" s="72">
        <f>IFERROR(INDEX('(참조)CS_인건비'!$A$3:$O$40,MATCH(CS_인건비!$A34,'(참조)CS_인건비'!$A$3:$A$40,0),MATCH('(참조)CS_인건비'!J$2,'(참조)CS_인건비'!$A$2:$O$2,0)),0)</f>
        <v>2507183.4589342894</v>
      </c>
      <c r="AD34" s="72">
        <f>IFERROR(INDEX('(참조)CS_인건비'!$A$3:$O$40,MATCH(CS_인건비!$A34,'(참조)CS_인건비'!$A$3:$A$40,0),MATCH('(참조)CS_인건비'!K$2,'(참조)CS_인건비'!$A$2:$O$2,0)),0)</f>
        <v>2570642.177739345</v>
      </c>
      <c r="AE34" s="72">
        <f>IFERROR(INDEX('(참조)CS_인건비'!$A$3:$O$40,MATCH(CS_인건비!$A34,'(참조)CS_인건비'!$A$3:$A$40,0),MATCH('(참조)CS_인건비'!L$2,'(참조)CS_인건비'!$A$2:$O$2,0)),0)</f>
        <v>2635707.0849459828</v>
      </c>
      <c r="AF34" s="72">
        <f>IFERROR(INDEX('(참조)CS_인건비'!$A$3:$O$40,MATCH(CS_인건비!$A34,'(참조)CS_인건비'!$A$3:$A$40,0),MATCH('(참조)CS_인건비'!M$2,'(참조)CS_인건비'!$A$2:$O$2,0)),0)</f>
        <v>2702418.83440335</v>
      </c>
      <c r="AG34" s="72">
        <f>IFERROR(INDEX('(참조)CS_인건비'!$A$3:$O$40,MATCH(CS_인건비!$A34,'(참조)CS_인건비'!$A$3:$A$40,0),MATCH('(참조)CS_인건비'!N$2,'(참조)CS_인건비'!$A$2:$O$2,0)),0)</f>
        <v>2770819.1089404128</v>
      </c>
      <c r="AH34" s="72">
        <f>IFERROR(INDEX('(참조)CS_인건비'!$A$3:$O$40,MATCH(CS_인건비!$A34,'(참조)CS_인건비'!$A$3:$A$40,0),MATCH('(참조)CS_인건비'!O$2,'(참조)CS_인건비'!$A$2:$O$2,0)),0)</f>
        <v>2840950.6464102175</v>
      </c>
      <c r="AI34" s="72">
        <f>IFERROR(INDEX('(참조)CS_인건비'!$A$3:$O$40,MATCH(CS_인건비!$A34,'(참조)CS_인건비'!$A$3:$A$40,0),MATCH('(참조)CS_인건비'!P$2,'(참조)CS_인건비'!$A$2:$O$2,0)),0)</f>
        <v>0</v>
      </c>
      <c r="AJ34" s="72">
        <v>12</v>
      </c>
      <c r="AK34" s="72">
        <v>12</v>
      </c>
      <c r="AL34" s="72">
        <v>12</v>
      </c>
      <c r="AM34" s="72">
        <v>12</v>
      </c>
      <c r="AN34" s="72">
        <v>12</v>
      </c>
      <c r="AO34" s="72">
        <v>12</v>
      </c>
      <c r="AP34" s="72">
        <v>12</v>
      </c>
      <c r="AQ34" s="72">
        <v>12</v>
      </c>
      <c r="AR34" s="72">
        <v>12</v>
      </c>
      <c r="AS34" s="72">
        <v>12</v>
      </c>
      <c r="AT34" s="72">
        <v>12</v>
      </c>
      <c r="AU34" s="73">
        <v>1</v>
      </c>
      <c r="AV34" s="70">
        <v>0</v>
      </c>
      <c r="AW34" s="70">
        <v>0</v>
      </c>
      <c r="AX34" s="56">
        <v>204176880</v>
      </c>
      <c r="AY34" s="56">
        <v>204176880</v>
      </c>
      <c r="AZ34" s="56">
        <v>0</v>
      </c>
      <c r="BA34" s="56">
        <v>0</v>
      </c>
      <c r="BB34" s="56">
        <v>0</v>
      </c>
      <c r="BC34" s="56">
        <v>0</v>
      </c>
      <c r="BD34" s="56">
        <v>0</v>
      </c>
      <c r="BE34" s="56">
        <v>0</v>
      </c>
      <c r="BF34" s="56">
        <v>0</v>
      </c>
      <c r="BG34" s="56">
        <v>0</v>
      </c>
      <c r="BH34" s="56">
        <v>0</v>
      </c>
      <c r="BI34" s="56">
        <v>0</v>
      </c>
      <c r="BJ34" s="74">
        <v>17014740</v>
      </c>
      <c r="BK34" s="56">
        <v>17014740</v>
      </c>
      <c r="BL34" s="56">
        <v>17014740</v>
      </c>
      <c r="BM34" s="56">
        <v>17014740</v>
      </c>
      <c r="BN34" s="56">
        <v>17014740</v>
      </c>
      <c r="BO34" s="56">
        <v>17014740</v>
      </c>
      <c r="BP34" s="56">
        <v>17014740</v>
      </c>
      <c r="BQ34" s="56">
        <v>17014740</v>
      </c>
      <c r="BR34" s="56">
        <v>17014740</v>
      </c>
      <c r="BS34" s="56">
        <v>17014740</v>
      </c>
      <c r="BT34" s="56">
        <v>17014740</v>
      </c>
      <c r="BU34" s="56">
        <v>17014740</v>
      </c>
      <c r="BV34" s="56">
        <v>0</v>
      </c>
      <c r="BW34" s="56">
        <v>0</v>
      </c>
      <c r="BX34" s="56">
        <v>0</v>
      </c>
      <c r="BY34" s="56">
        <v>0</v>
      </c>
      <c r="BZ34" s="56">
        <v>0</v>
      </c>
      <c r="CA34" s="56">
        <v>0</v>
      </c>
      <c r="CB34" s="56">
        <v>0</v>
      </c>
      <c r="CC34" s="56">
        <v>0</v>
      </c>
      <c r="CD34" s="56">
        <v>0</v>
      </c>
      <c r="CE34" s="56">
        <v>0</v>
      </c>
      <c r="CF34" s="56">
        <v>0</v>
      </c>
      <c r="CG34" s="56">
        <v>0</v>
      </c>
      <c r="CH34" s="56">
        <v>0</v>
      </c>
      <c r="CI34" s="56">
        <v>0</v>
      </c>
      <c r="CJ34" s="56">
        <v>0</v>
      </c>
      <c r="CK34" s="56">
        <v>0</v>
      </c>
      <c r="CL34" s="56">
        <v>0</v>
      </c>
      <c r="CM34" s="56">
        <v>0</v>
      </c>
      <c r="CN34" s="56">
        <v>0</v>
      </c>
      <c r="CO34" s="56">
        <v>0</v>
      </c>
      <c r="CP34" s="56">
        <v>0</v>
      </c>
      <c r="CQ34" s="56">
        <v>0</v>
      </c>
      <c r="CR34" s="56">
        <v>0</v>
      </c>
      <c r="CS34" s="56">
        <v>0</v>
      </c>
      <c r="CT34" s="56">
        <v>0</v>
      </c>
      <c r="CU34" s="56">
        <v>0</v>
      </c>
      <c r="CV34" s="56">
        <v>0</v>
      </c>
      <c r="CW34" s="56">
        <v>0</v>
      </c>
      <c r="CX34" s="56">
        <v>0</v>
      </c>
      <c r="CY34" s="56">
        <v>0</v>
      </c>
      <c r="CZ34" s="56">
        <v>0</v>
      </c>
      <c r="DA34" s="56">
        <v>0</v>
      </c>
      <c r="DB34" s="56">
        <v>0</v>
      </c>
      <c r="DC34" s="56">
        <v>0</v>
      </c>
      <c r="DD34" s="56">
        <v>0</v>
      </c>
      <c r="DE34" s="56">
        <v>0</v>
      </c>
      <c r="DF34" s="56">
        <v>0</v>
      </c>
      <c r="DG34" s="56">
        <v>0</v>
      </c>
      <c r="DH34" s="56">
        <v>0</v>
      </c>
      <c r="DI34" s="56">
        <v>0</v>
      </c>
      <c r="DJ34" s="56">
        <v>0</v>
      </c>
      <c r="DK34" s="56">
        <v>0</v>
      </c>
      <c r="DL34" s="56">
        <v>0</v>
      </c>
      <c r="DM34" s="56">
        <v>0</v>
      </c>
      <c r="DN34" s="56">
        <v>0</v>
      </c>
      <c r="DO34" s="56">
        <v>0</v>
      </c>
      <c r="DP34" s="56">
        <v>0</v>
      </c>
      <c r="DQ34" s="56">
        <v>0</v>
      </c>
      <c r="DR34" s="56">
        <v>0</v>
      </c>
      <c r="DS34" s="56">
        <v>0</v>
      </c>
      <c r="DT34" s="56">
        <v>0</v>
      </c>
      <c r="DU34" s="56">
        <v>0</v>
      </c>
      <c r="DV34" s="56">
        <v>0</v>
      </c>
      <c r="DW34" s="56">
        <v>0</v>
      </c>
      <c r="DX34" s="56">
        <v>0</v>
      </c>
      <c r="DY34" s="56">
        <v>0</v>
      </c>
      <c r="DZ34" s="56">
        <v>0</v>
      </c>
      <c r="EA34" s="56">
        <v>0</v>
      </c>
      <c r="EB34" s="56">
        <v>0</v>
      </c>
      <c r="EC34" s="56">
        <v>0</v>
      </c>
      <c r="ED34" s="56">
        <v>0</v>
      </c>
      <c r="EE34" s="56">
        <v>0</v>
      </c>
      <c r="EF34" s="56">
        <v>0</v>
      </c>
      <c r="EG34" s="56">
        <v>0</v>
      </c>
      <c r="EH34" s="56">
        <v>0</v>
      </c>
      <c r="EI34" s="56">
        <v>0</v>
      </c>
      <c r="EJ34" s="56">
        <v>0</v>
      </c>
      <c r="EK34" s="56">
        <v>0</v>
      </c>
      <c r="EL34" s="56">
        <v>0</v>
      </c>
      <c r="EM34" s="56">
        <v>0</v>
      </c>
      <c r="EN34" s="56">
        <v>0</v>
      </c>
      <c r="EO34" s="56">
        <v>0</v>
      </c>
      <c r="EP34" s="56">
        <v>0</v>
      </c>
      <c r="EQ34" s="56">
        <v>0</v>
      </c>
      <c r="ER34" s="56">
        <v>0</v>
      </c>
      <c r="ES34" s="56">
        <v>0</v>
      </c>
      <c r="ET34" s="56">
        <v>0</v>
      </c>
      <c r="EU34" s="56">
        <v>0</v>
      </c>
      <c r="EV34" s="56">
        <v>0</v>
      </c>
      <c r="EW34" s="56">
        <v>0</v>
      </c>
      <c r="EX34" s="56">
        <v>0</v>
      </c>
      <c r="EY34" s="56">
        <v>0</v>
      </c>
      <c r="EZ34" s="56">
        <v>0</v>
      </c>
      <c r="FA34" s="56">
        <v>0</v>
      </c>
      <c r="FB34" s="56">
        <v>0</v>
      </c>
      <c r="FC34" s="56">
        <v>0</v>
      </c>
      <c r="FD34" s="56">
        <v>0</v>
      </c>
      <c r="FE34" s="56">
        <v>0</v>
      </c>
      <c r="FF34" s="56">
        <v>0</v>
      </c>
      <c r="FG34" s="56">
        <v>0</v>
      </c>
      <c r="FH34" s="56">
        <v>0</v>
      </c>
      <c r="FI34" s="56">
        <v>0</v>
      </c>
      <c r="FJ34" s="56">
        <v>0</v>
      </c>
      <c r="FK34" s="56">
        <v>0</v>
      </c>
      <c r="FL34" s="56">
        <v>0</v>
      </c>
      <c r="FM34" s="56">
        <v>0</v>
      </c>
      <c r="FN34" s="56">
        <v>0</v>
      </c>
      <c r="FO34" s="56">
        <v>0</v>
      </c>
      <c r="FP34" s="56">
        <v>0</v>
      </c>
      <c r="FQ34" s="56">
        <v>0</v>
      </c>
      <c r="FR34" s="56">
        <v>0</v>
      </c>
      <c r="FS34" s="56">
        <v>0</v>
      </c>
      <c r="FT34" s="56">
        <v>0</v>
      </c>
      <c r="FU34" s="56">
        <v>0</v>
      </c>
      <c r="FV34" s="56">
        <v>0</v>
      </c>
      <c r="FW34" s="56">
        <v>0</v>
      </c>
      <c r="FX34" s="56">
        <v>0</v>
      </c>
      <c r="FY34" s="56">
        <v>0</v>
      </c>
      <c r="FZ34" s="56">
        <v>0</v>
      </c>
      <c r="GA34" s="56">
        <v>0</v>
      </c>
      <c r="GB34" s="56">
        <v>0</v>
      </c>
      <c r="GC34" s="56">
        <v>0</v>
      </c>
      <c r="GD34" s="56">
        <v>0</v>
      </c>
      <c r="GE34" s="56">
        <v>0</v>
      </c>
      <c r="GF34" s="56">
        <v>0</v>
      </c>
      <c r="GG34" s="56">
        <v>0</v>
      </c>
      <c r="GH34" s="56">
        <v>0</v>
      </c>
      <c r="GI34" s="56">
        <v>0</v>
      </c>
      <c r="GJ34" s="56">
        <v>0</v>
      </c>
      <c r="GK34" s="85">
        <v>0</v>
      </c>
      <c r="GL34" s="40"/>
    </row>
    <row r="35" spans="1:194" x14ac:dyDescent="0.4">
      <c r="A35" s="84" t="s">
        <v>308</v>
      </c>
      <c r="B35" s="70" t="s">
        <v>316</v>
      </c>
      <c r="C35" s="70" t="s">
        <v>398</v>
      </c>
      <c r="D35" s="70" t="s">
        <v>209</v>
      </c>
      <c r="E35" s="70" t="s">
        <v>193</v>
      </c>
      <c r="F35" s="70" t="s">
        <v>194</v>
      </c>
      <c r="G35" s="70" t="s">
        <v>292</v>
      </c>
      <c r="H35" s="70">
        <v>0</v>
      </c>
      <c r="I35" s="70">
        <v>0</v>
      </c>
      <c r="J35" s="70" t="s">
        <v>210</v>
      </c>
      <c r="K35" s="70">
        <v>0</v>
      </c>
      <c r="L35" s="70" t="s">
        <v>211</v>
      </c>
      <c r="M35" s="71">
        <f>IFERROR(INDEX('(참조)CS_인건비'!$S$3:$AG$40,MATCH(CS_인건비!$A35,'(참조)CS_인건비'!$S$3:$S$40,0),MATCH('(참조)CS_인건비'!X$2,'(참조)CS_인건비'!$S$2:$AG$2,0)),0)</f>
        <v>1.5</v>
      </c>
      <c r="N35" s="71">
        <f>IFERROR(INDEX('(참조)CS_인건비'!$S$3:$AG$40,MATCH(CS_인건비!$A35,'(참조)CS_인건비'!$S$3:$S$40,0),MATCH('(참조)CS_인건비'!Y$2,'(참조)CS_인건비'!$S$2:$AG$2,0)),0)</f>
        <v>1</v>
      </c>
      <c r="O35" s="71">
        <f>IFERROR(INDEX('(참조)CS_인건비'!$S$3:$AG$40,MATCH(CS_인건비!$A35,'(참조)CS_인건비'!$S$3:$S$40,0),MATCH('(참조)CS_인건비'!Z$2,'(참조)CS_인건비'!$S$2:$AG$2,0)),0)</f>
        <v>1</v>
      </c>
      <c r="P35" s="71">
        <f>IFERROR(INDEX('(참조)CS_인건비'!$S$3:$AG$40,MATCH(CS_인건비!$A35,'(참조)CS_인건비'!$S$3:$S$40,0),MATCH('(참조)CS_인건비'!AA$2,'(참조)CS_인건비'!$S$2:$AG$2,0)),0)</f>
        <v>1</v>
      </c>
      <c r="Q35" s="71">
        <f>IFERROR(INDEX('(참조)CS_인건비'!$S$3:$AG$40,MATCH(CS_인건비!$A35,'(참조)CS_인건비'!$S$3:$S$40,0),MATCH('(참조)CS_인건비'!AB$2,'(참조)CS_인건비'!$S$2:$AG$2,0)),0)</f>
        <v>1</v>
      </c>
      <c r="R35" s="71">
        <f>IFERROR(INDEX('(참조)CS_인건비'!$S$3:$AG$40,MATCH(CS_인건비!$A35,'(참조)CS_인건비'!$S$3:$S$40,0),MATCH('(참조)CS_인건비'!AC$2,'(참조)CS_인건비'!$S$2:$AG$2,0)),0)</f>
        <v>1</v>
      </c>
      <c r="S35" s="71">
        <f>IFERROR(INDEX('(참조)CS_인건비'!$S$3:$AG$40,MATCH(CS_인건비!$A35,'(참조)CS_인건비'!$S$3:$S$40,0),MATCH('(참조)CS_인건비'!AD$2,'(참조)CS_인건비'!$S$2:$AG$2,0)),0)</f>
        <v>1</v>
      </c>
      <c r="T35" s="71">
        <f>IFERROR(INDEX('(참조)CS_인건비'!$S$3:$AG$40,MATCH(CS_인건비!$A35,'(참조)CS_인건비'!$S$3:$S$40,0),MATCH('(참조)CS_인건비'!AE$2,'(참조)CS_인건비'!$S$2:$AG$2,0)),0)</f>
        <v>1</v>
      </c>
      <c r="U35" s="71">
        <f>IFERROR(INDEX('(참조)CS_인건비'!$S$3:$AG$40,MATCH(CS_인건비!$A35,'(참조)CS_인건비'!$S$3:$S$40,0),MATCH('(참조)CS_인건비'!AF$2,'(참조)CS_인건비'!$S$2:$AG$2,0)),0)</f>
        <v>1</v>
      </c>
      <c r="V35" s="71">
        <f>IFERROR(INDEX('(참조)CS_인건비'!$S$3:$AG$40,MATCH(CS_인건비!$A35,'(참조)CS_인건비'!$S$3:$S$40,0),MATCH('(참조)CS_인건비'!AG$2,'(참조)CS_인건비'!$S$2:$AG$2,0)),0)</f>
        <v>1</v>
      </c>
      <c r="W35" s="71">
        <f>IFERROR(INDEX('(참조)CS_인건비'!$S$3:$AG$40,MATCH(CS_인건비!$A35,'(참조)CS_인건비'!$S$3:$S$40,0),MATCH('(참조)CS_인건비'!AH$2,'(참조)CS_인건비'!$S$2:$AG$2,0)),0)</f>
        <v>0</v>
      </c>
      <c r="X35" s="72">
        <v>0</v>
      </c>
      <c r="Y35" s="72">
        <f>IFERROR(INDEX('(참조)CS_인건비'!$A$3:$O$40,MATCH(CS_인건비!$A35,'(참조)CS_인건비'!$A$3:$A$40,0),MATCH('(참조)CS_인건비'!F$2,'(참조)CS_인건비'!$A$2:$O$2,0)),0)</f>
        <v>2822414</v>
      </c>
      <c r="Z35" s="72">
        <f>IFERROR(INDEX('(참조)CS_인건비'!$A$3:$O$40,MATCH(CS_인건비!$A35,'(참조)CS_인건비'!$A$3:$A$40,0),MATCH('(참조)CS_인건비'!G$2,'(참조)CS_인건비'!$A$2:$O$2,0)),0)</f>
        <v>2893851.4433746398</v>
      </c>
      <c r="AA35" s="72">
        <f>IFERROR(INDEX('(참조)CS_인건비'!$A$3:$O$40,MATCH(CS_인건비!$A35,'(참조)CS_인건비'!$A$3:$A$40,0),MATCH('(참조)CS_인건비'!H$2,'(참조)CS_인건비'!$A$2:$O$2,0)),0)</f>
        <v>2967097.0227335491</v>
      </c>
      <c r="AB35" s="72">
        <f>IFERROR(INDEX('(참조)CS_인건비'!$A$3:$O$40,MATCH(CS_인건비!$A35,'(참조)CS_인건비'!$A$3:$A$40,0),MATCH('(참조)CS_인건비'!I$2,'(참조)CS_인건비'!$A$2:$O$2,0)),0)</f>
        <v>3042196.5033726725</v>
      </c>
      <c r="AC35" s="72">
        <f>IFERROR(INDEX('(참조)CS_인건비'!$A$3:$O$40,MATCH(CS_인건비!$A35,'(참조)CS_인건비'!$A$3:$A$40,0),MATCH('(참조)CS_인건비'!J$2,'(참조)CS_인건비'!$A$2:$O$2,0)),0)</f>
        <v>3119196.8089423776</v>
      </c>
      <c r="AD35" s="72">
        <f>IFERROR(INDEX('(참조)CS_인건비'!$A$3:$O$40,MATCH(CS_인건비!$A35,'(참조)CS_인건비'!$A$3:$A$40,0),MATCH('(참조)CS_인건비'!K$2,'(참조)CS_인건비'!$A$2:$O$2,0)),0)</f>
        <v>3198146.0507662841</v>
      </c>
      <c r="AE35" s="72">
        <f>IFERROR(INDEX('(참조)CS_인건비'!$A$3:$O$40,MATCH(CS_인건비!$A35,'(참조)CS_인건비'!$A$3:$A$40,0),MATCH('(참조)CS_인건비'!L$2,'(참조)CS_인건비'!$A$2:$O$2,0)),0)</f>
        <v>3279093.5579021773</v>
      </c>
      <c r="AF35" s="72">
        <f>IFERROR(INDEX('(참조)CS_인건비'!$A$3:$O$40,MATCH(CS_인건비!$A35,'(참조)CS_인건비'!$A$3:$A$40,0),MATCH('(참조)CS_인건비'!M$2,'(참조)CS_인건비'!$A$2:$O$2,0)),0)</f>
        <v>3362089.9079637853</v>
      </c>
      <c r="AG35" s="72">
        <f>IFERROR(INDEX('(참조)CS_인건비'!$A$3:$O$40,MATCH(CS_인건비!$A35,'(참조)CS_인건비'!$A$3:$A$40,0),MATCH('(참조)CS_인건비'!N$2,'(참조)CS_인건비'!$A$2:$O$2,0)),0)</f>
        <v>3447186.9587226789</v>
      </c>
      <c r="AH35" s="72">
        <f>IFERROR(INDEX('(참조)CS_인건비'!$A$3:$O$40,MATCH(CS_인건비!$A35,'(참조)CS_인건비'!$A$3:$A$40,0),MATCH('(참조)CS_인건비'!O$2,'(참조)CS_인건비'!$A$2:$O$2,0)),0)</f>
        <v>3534437.8805100387</v>
      </c>
      <c r="AI35" s="72">
        <f>IFERROR(INDEX('(참조)CS_인건비'!$A$3:$O$40,MATCH(CS_인건비!$A35,'(참조)CS_인건비'!$A$3:$A$40,0),MATCH('(참조)CS_인건비'!P$2,'(참조)CS_인건비'!$A$2:$O$2,0)),0)</f>
        <v>0</v>
      </c>
      <c r="AJ35" s="72">
        <v>12</v>
      </c>
      <c r="AK35" s="72">
        <v>12</v>
      </c>
      <c r="AL35" s="72">
        <v>12</v>
      </c>
      <c r="AM35" s="72">
        <v>12</v>
      </c>
      <c r="AN35" s="72">
        <v>12</v>
      </c>
      <c r="AO35" s="72">
        <v>12</v>
      </c>
      <c r="AP35" s="72">
        <v>12</v>
      </c>
      <c r="AQ35" s="72">
        <v>12</v>
      </c>
      <c r="AR35" s="72">
        <v>12</v>
      </c>
      <c r="AS35" s="72">
        <v>12</v>
      </c>
      <c r="AT35" s="72">
        <v>12</v>
      </c>
      <c r="AU35" s="73">
        <v>1</v>
      </c>
      <c r="AV35" s="70">
        <v>0</v>
      </c>
      <c r="AW35" s="70">
        <v>0</v>
      </c>
      <c r="AX35" s="56">
        <v>396923005.61145848</v>
      </c>
      <c r="AY35" s="56">
        <v>50803452</v>
      </c>
      <c r="AZ35" s="56">
        <v>34726217.320495687</v>
      </c>
      <c r="BA35" s="56">
        <v>35605164.272802599</v>
      </c>
      <c r="BB35" s="56">
        <v>36506358.040472068</v>
      </c>
      <c r="BC35" s="56">
        <v>37430361.707308531</v>
      </c>
      <c r="BD35" s="56">
        <v>38377752.609195411</v>
      </c>
      <c r="BE35" s="56">
        <v>39349122.694826126</v>
      </c>
      <c r="BF35" s="56">
        <v>40345078.89556542</v>
      </c>
      <c r="BG35" s="56">
        <v>41366243.504672162</v>
      </c>
      <c r="BH35" s="56">
        <v>42413254.566120468</v>
      </c>
      <c r="BI35" s="56">
        <v>0</v>
      </c>
      <c r="BJ35" s="74">
        <v>4233621</v>
      </c>
      <c r="BK35" s="56">
        <v>4233621</v>
      </c>
      <c r="BL35" s="56">
        <v>4233621</v>
      </c>
      <c r="BM35" s="56">
        <v>4233621</v>
      </c>
      <c r="BN35" s="56">
        <v>4233621</v>
      </c>
      <c r="BO35" s="56">
        <v>4233621</v>
      </c>
      <c r="BP35" s="56">
        <v>4233621</v>
      </c>
      <c r="BQ35" s="56">
        <v>4233621</v>
      </c>
      <c r="BR35" s="56">
        <v>4233621</v>
      </c>
      <c r="BS35" s="56">
        <v>4233621</v>
      </c>
      <c r="BT35" s="56">
        <v>4233621</v>
      </c>
      <c r="BU35" s="56">
        <v>4233621</v>
      </c>
      <c r="BV35" s="56">
        <v>2893851.4433746398</v>
      </c>
      <c r="BW35" s="56">
        <v>2893851.4433746398</v>
      </c>
      <c r="BX35" s="56">
        <v>2893851.4433746398</v>
      </c>
      <c r="BY35" s="56">
        <v>2893851.4433746398</v>
      </c>
      <c r="BZ35" s="56">
        <v>2893851.4433746398</v>
      </c>
      <c r="CA35" s="56">
        <v>2893851.4433746398</v>
      </c>
      <c r="CB35" s="56">
        <v>2893851.4433746398</v>
      </c>
      <c r="CC35" s="56">
        <v>2893851.4433746398</v>
      </c>
      <c r="CD35" s="56">
        <v>2893851.4433746398</v>
      </c>
      <c r="CE35" s="56">
        <v>2893851.4433746398</v>
      </c>
      <c r="CF35" s="56">
        <v>2893851.4433746398</v>
      </c>
      <c r="CG35" s="56">
        <v>2893851.4433746398</v>
      </c>
      <c r="CH35" s="56">
        <v>2967097.0227335491</v>
      </c>
      <c r="CI35" s="56">
        <v>2967097.0227335491</v>
      </c>
      <c r="CJ35" s="56">
        <v>2967097.0227335491</v>
      </c>
      <c r="CK35" s="56">
        <v>2967097.0227335491</v>
      </c>
      <c r="CL35" s="56">
        <v>2967097.0227335491</v>
      </c>
      <c r="CM35" s="56">
        <v>2967097.0227335491</v>
      </c>
      <c r="CN35" s="56">
        <v>2967097.0227335491</v>
      </c>
      <c r="CO35" s="56">
        <v>2967097.0227335491</v>
      </c>
      <c r="CP35" s="56">
        <v>2967097.0227335491</v>
      </c>
      <c r="CQ35" s="56">
        <v>2967097.0227335491</v>
      </c>
      <c r="CR35" s="56">
        <v>2967097.0227335491</v>
      </c>
      <c r="CS35" s="56">
        <v>2967097.0227335491</v>
      </c>
      <c r="CT35" s="56">
        <v>3042196.5033726725</v>
      </c>
      <c r="CU35" s="56">
        <v>3042196.5033726725</v>
      </c>
      <c r="CV35" s="56">
        <v>3042196.5033726725</v>
      </c>
      <c r="CW35" s="56">
        <v>3042196.5033726725</v>
      </c>
      <c r="CX35" s="56">
        <v>3042196.5033726725</v>
      </c>
      <c r="CY35" s="56">
        <v>3042196.5033726725</v>
      </c>
      <c r="CZ35" s="56">
        <v>3042196.5033726725</v>
      </c>
      <c r="DA35" s="56">
        <v>3042196.5033726725</v>
      </c>
      <c r="DB35" s="56">
        <v>3042196.5033726725</v>
      </c>
      <c r="DC35" s="56">
        <v>3042196.5033726725</v>
      </c>
      <c r="DD35" s="56">
        <v>3042196.5033726725</v>
      </c>
      <c r="DE35" s="56">
        <v>3042196.5033726725</v>
      </c>
      <c r="DF35" s="56">
        <v>3119196.8089423776</v>
      </c>
      <c r="DG35" s="56">
        <v>3119196.8089423776</v>
      </c>
      <c r="DH35" s="56">
        <v>3119196.8089423776</v>
      </c>
      <c r="DI35" s="56">
        <v>3119196.8089423776</v>
      </c>
      <c r="DJ35" s="56">
        <v>3119196.8089423776</v>
      </c>
      <c r="DK35" s="56">
        <v>3119196.8089423776</v>
      </c>
      <c r="DL35" s="56">
        <v>3119196.8089423776</v>
      </c>
      <c r="DM35" s="56">
        <v>3119196.8089423776</v>
      </c>
      <c r="DN35" s="56">
        <v>3119196.8089423776</v>
      </c>
      <c r="DO35" s="56">
        <v>3119196.8089423776</v>
      </c>
      <c r="DP35" s="56">
        <v>3119196.8089423776</v>
      </c>
      <c r="DQ35" s="56">
        <v>3119196.8089423776</v>
      </c>
      <c r="DR35" s="56">
        <v>3198146.0507662841</v>
      </c>
      <c r="DS35" s="56">
        <v>3198146.0507662841</v>
      </c>
      <c r="DT35" s="56">
        <v>3198146.0507662841</v>
      </c>
      <c r="DU35" s="56">
        <v>3198146.0507662841</v>
      </c>
      <c r="DV35" s="56">
        <v>3198146.0507662841</v>
      </c>
      <c r="DW35" s="56">
        <v>3198146.0507662841</v>
      </c>
      <c r="DX35" s="56">
        <v>3198146.0507662841</v>
      </c>
      <c r="DY35" s="56">
        <v>3198146.0507662841</v>
      </c>
      <c r="DZ35" s="56">
        <v>3198146.0507662841</v>
      </c>
      <c r="EA35" s="56">
        <v>3198146.0507662841</v>
      </c>
      <c r="EB35" s="56">
        <v>3198146.0507662841</v>
      </c>
      <c r="EC35" s="56">
        <v>3198146.0507662841</v>
      </c>
      <c r="ED35" s="56">
        <v>3279093.5579021773</v>
      </c>
      <c r="EE35" s="56">
        <v>3279093.5579021773</v>
      </c>
      <c r="EF35" s="56">
        <v>3279093.5579021773</v>
      </c>
      <c r="EG35" s="56">
        <v>3279093.5579021773</v>
      </c>
      <c r="EH35" s="56">
        <v>3279093.5579021773</v>
      </c>
      <c r="EI35" s="56">
        <v>3279093.5579021773</v>
      </c>
      <c r="EJ35" s="56">
        <v>3279093.5579021773</v>
      </c>
      <c r="EK35" s="56">
        <v>3279093.5579021773</v>
      </c>
      <c r="EL35" s="56">
        <v>3279093.5579021773</v>
      </c>
      <c r="EM35" s="56">
        <v>3279093.5579021773</v>
      </c>
      <c r="EN35" s="56">
        <v>3279093.5579021773</v>
      </c>
      <c r="EO35" s="56">
        <v>3279093.5579021773</v>
      </c>
      <c r="EP35" s="56">
        <v>3362089.9079637853</v>
      </c>
      <c r="EQ35" s="56">
        <v>3362089.9079637853</v>
      </c>
      <c r="ER35" s="56">
        <v>3362089.9079637853</v>
      </c>
      <c r="ES35" s="56">
        <v>3362089.9079637853</v>
      </c>
      <c r="ET35" s="56">
        <v>3362089.9079637853</v>
      </c>
      <c r="EU35" s="56">
        <v>3362089.9079637853</v>
      </c>
      <c r="EV35" s="56">
        <v>3362089.9079637853</v>
      </c>
      <c r="EW35" s="56">
        <v>3362089.9079637853</v>
      </c>
      <c r="EX35" s="56">
        <v>3362089.9079637853</v>
      </c>
      <c r="EY35" s="56">
        <v>3362089.9079637853</v>
      </c>
      <c r="EZ35" s="56">
        <v>3362089.9079637853</v>
      </c>
      <c r="FA35" s="56">
        <v>3362089.9079637853</v>
      </c>
      <c r="FB35" s="56">
        <v>3447186.9587226789</v>
      </c>
      <c r="FC35" s="56">
        <v>3447186.9587226789</v>
      </c>
      <c r="FD35" s="56">
        <v>3447186.9587226789</v>
      </c>
      <c r="FE35" s="56">
        <v>3447186.9587226789</v>
      </c>
      <c r="FF35" s="56">
        <v>3447186.9587226789</v>
      </c>
      <c r="FG35" s="56">
        <v>3447186.9587226789</v>
      </c>
      <c r="FH35" s="56">
        <v>3447186.9587226789</v>
      </c>
      <c r="FI35" s="56">
        <v>3447186.9587226789</v>
      </c>
      <c r="FJ35" s="56">
        <v>3447186.9587226789</v>
      </c>
      <c r="FK35" s="56">
        <v>3447186.9587226789</v>
      </c>
      <c r="FL35" s="56">
        <v>3447186.9587226789</v>
      </c>
      <c r="FM35" s="56">
        <v>3447186.9587226789</v>
      </c>
      <c r="FN35" s="56">
        <v>3534437.8805100387</v>
      </c>
      <c r="FO35" s="56">
        <v>3534437.8805100387</v>
      </c>
      <c r="FP35" s="56">
        <v>3534437.8805100387</v>
      </c>
      <c r="FQ35" s="56">
        <v>3534437.8805100387</v>
      </c>
      <c r="FR35" s="56">
        <v>3534437.8805100387</v>
      </c>
      <c r="FS35" s="56">
        <v>3534437.8805100387</v>
      </c>
      <c r="FT35" s="56">
        <v>3534437.8805100387</v>
      </c>
      <c r="FU35" s="56">
        <v>3534437.8805100387</v>
      </c>
      <c r="FV35" s="56">
        <v>3534437.8805100387</v>
      </c>
      <c r="FW35" s="56">
        <v>3534437.8805100387</v>
      </c>
      <c r="FX35" s="56">
        <v>3534437.8805100387</v>
      </c>
      <c r="FY35" s="56">
        <v>3534437.8805100387</v>
      </c>
      <c r="FZ35" s="56">
        <v>0</v>
      </c>
      <c r="GA35" s="56">
        <v>0</v>
      </c>
      <c r="GB35" s="56">
        <v>0</v>
      </c>
      <c r="GC35" s="56">
        <v>0</v>
      </c>
      <c r="GD35" s="56">
        <v>0</v>
      </c>
      <c r="GE35" s="56">
        <v>0</v>
      </c>
      <c r="GF35" s="56">
        <v>0</v>
      </c>
      <c r="GG35" s="56">
        <v>0</v>
      </c>
      <c r="GH35" s="56">
        <v>0</v>
      </c>
      <c r="GI35" s="56">
        <v>0</v>
      </c>
      <c r="GJ35" s="56">
        <v>0</v>
      </c>
      <c r="GK35" s="85">
        <v>0</v>
      </c>
      <c r="GL35" s="40"/>
    </row>
    <row r="36" spans="1:194" x14ac:dyDescent="0.4">
      <c r="A36" s="84" t="s">
        <v>309</v>
      </c>
      <c r="B36" s="70" t="s">
        <v>316</v>
      </c>
      <c r="C36" s="70" t="s">
        <v>398</v>
      </c>
      <c r="D36" s="70" t="s">
        <v>209</v>
      </c>
      <c r="E36" s="70" t="s">
        <v>193</v>
      </c>
      <c r="F36" s="70" t="s">
        <v>194</v>
      </c>
      <c r="G36" s="70" t="s">
        <v>293</v>
      </c>
      <c r="H36" s="70">
        <v>0</v>
      </c>
      <c r="I36" s="70">
        <v>0</v>
      </c>
      <c r="J36" s="70" t="s">
        <v>210</v>
      </c>
      <c r="K36" s="70">
        <v>0</v>
      </c>
      <c r="L36" s="70" t="s">
        <v>211</v>
      </c>
      <c r="M36" s="71">
        <f>IFERROR(INDEX('(참조)CS_인건비'!$S$3:$AG$40,MATCH(CS_인건비!$A36,'(참조)CS_인건비'!$S$3:$S$40,0),MATCH('(참조)CS_인건비'!X$2,'(참조)CS_인건비'!$S$2:$AG$2,0)),0)</f>
        <v>0.75</v>
      </c>
      <c r="N36" s="71">
        <f>IFERROR(INDEX('(참조)CS_인건비'!$S$3:$AG$40,MATCH(CS_인건비!$A36,'(참조)CS_인건비'!$S$3:$S$40,0),MATCH('(참조)CS_인건비'!Y$2,'(참조)CS_인건비'!$S$2:$AG$2,0)),0)</f>
        <v>1</v>
      </c>
      <c r="O36" s="71">
        <f>IFERROR(INDEX('(참조)CS_인건비'!$S$3:$AG$40,MATCH(CS_인건비!$A36,'(참조)CS_인건비'!$S$3:$S$40,0),MATCH('(참조)CS_인건비'!Z$2,'(참조)CS_인건비'!$S$2:$AG$2,0)),0)</f>
        <v>1</v>
      </c>
      <c r="P36" s="71">
        <f>IFERROR(INDEX('(참조)CS_인건비'!$S$3:$AG$40,MATCH(CS_인건비!$A36,'(참조)CS_인건비'!$S$3:$S$40,0),MATCH('(참조)CS_인건비'!AA$2,'(참조)CS_인건비'!$S$2:$AG$2,0)),0)</f>
        <v>1</v>
      </c>
      <c r="Q36" s="71">
        <f>IFERROR(INDEX('(참조)CS_인건비'!$S$3:$AG$40,MATCH(CS_인건비!$A36,'(참조)CS_인건비'!$S$3:$S$40,0),MATCH('(참조)CS_인건비'!AB$2,'(참조)CS_인건비'!$S$2:$AG$2,0)),0)</f>
        <v>1</v>
      </c>
      <c r="R36" s="71">
        <f>IFERROR(INDEX('(참조)CS_인건비'!$S$3:$AG$40,MATCH(CS_인건비!$A36,'(참조)CS_인건비'!$S$3:$S$40,0),MATCH('(참조)CS_인건비'!AC$2,'(참조)CS_인건비'!$S$2:$AG$2,0)),0)</f>
        <v>1</v>
      </c>
      <c r="S36" s="71">
        <f>IFERROR(INDEX('(참조)CS_인건비'!$S$3:$AG$40,MATCH(CS_인건비!$A36,'(참조)CS_인건비'!$S$3:$S$40,0),MATCH('(참조)CS_인건비'!AD$2,'(참조)CS_인건비'!$S$2:$AG$2,0)),0)</f>
        <v>1</v>
      </c>
      <c r="T36" s="71">
        <f>IFERROR(INDEX('(참조)CS_인건비'!$S$3:$AG$40,MATCH(CS_인건비!$A36,'(참조)CS_인건비'!$S$3:$S$40,0),MATCH('(참조)CS_인건비'!AE$2,'(참조)CS_인건비'!$S$2:$AG$2,0)),0)</f>
        <v>1</v>
      </c>
      <c r="U36" s="71">
        <f>IFERROR(INDEX('(참조)CS_인건비'!$S$3:$AG$40,MATCH(CS_인건비!$A36,'(참조)CS_인건비'!$S$3:$S$40,0),MATCH('(참조)CS_인건비'!AF$2,'(참조)CS_인건비'!$S$2:$AG$2,0)),0)</f>
        <v>1</v>
      </c>
      <c r="V36" s="71">
        <f>IFERROR(INDEX('(참조)CS_인건비'!$S$3:$AG$40,MATCH(CS_인건비!$A36,'(참조)CS_인건비'!$S$3:$S$40,0),MATCH('(참조)CS_인건비'!AG$2,'(참조)CS_인건비'!$S$2:$AG$2,0)),0)</f>
        <v>1</v>
      </c>
      <c r="W36" s="71">
        <f>IFERROR(INDEX('(참조)CS_인건비'!$S$3:$AG$40,MATCH(CS_인건비!$A36,'(참조)CS_인건비'!$S$3:$S$40,0),MATCH('(참조)CS_인건비'!AH$2,'(참조)CS_인건비'!$S$2:$AG$2,0)),0)</f>
        <v>0</v>
      </c>
      <c r="X36" s="72">
        <v>0</v>
      </c>
      <c r="Y36" s="72">
        <f>IFERROR(INDEX('(참조)CS_인건비'!$A$3:$O$40,MATCH(CS_인건비!$A36,'(참조)CS_인건비'!$A$3:$A$40,0),MATCH('(참조)CS_인건비'!F$2,'(참조)CS_인건비'!$A$2:$O$2,0)),0)</f>
        <v>2822414</v>
      </c>
      <c r="Z36" s="72">
        <f>IFERROR(INDEX('(참조)CS_인건비'!$A$3:$O$40,MATCH(CS_인건비!$A36,'(참조)CS_인건비'!$A$3:$A$40,0),MATCH('(참조)CS_인건비'!G$2,'(참조)CS_인건비'!$A$2:$O$2,0)),0)</f>
        <v>2893851.4433746398</v>
      </c>
      <c r="AA36" s="72">
        <f>IFERROR(INDEX('(참조)CS_인건비'!$A$3:$O$40,MATCH(CS_인건비!$A36,'(참조)CS_인건비'!$A$3:$A$40,0),MATCH('(참조)CS_인건비'!H$2,'(참조)CS_인건비'!$A$2:$O$2,0)),0)</f>
        <v>2967097.0227335491</v>
      </c>
      <c r="AB36" s="72">
        <f>IFERROR(INDEX('(참조)CS_인건비'!$A$3:$O$40,MATCH(CS_인건비!$A36,'(참조)CS_인건비'!$A$3:$A$40,0),MATCH('(참조)CS_인건비'!I$2,'(참조)CS_인건비'!$A$2:$O$2,0)),0)</f>
        <v>3042196.5033726725</v>
      </c>
      <c r="AC36" s="72">
        <f>IFERROR(INDEX('(참조)CS_인건비'!$A$3:$O$40,MATCH(CS_인건비!$A36,'(참조)CS_인건비'!$A$3:$A$40,0),MATCH('(참조)CS_인건비'!J$2,'(참조)CS_인건비'!$A$2:$O$2,0)),0)</f>
        <v>3119196.8089423776</v>
      </c>
      <c r="AD36" s="72">
        <f>IFERROR(INDEX('(참조)CS_인건비'!$A$3:$O$40,MATCH(CS_인건비!$A36,'(참조)CS_인건비'!$A$3:$A$40,0),MATCH('(참조)CS_인건비'!K$2,'(참조)CS_인건비'!$A$2:$O$2,0)),0)</f>
        <v>3198146.0507662841</v>
      </c>
      <c r="AE36" s="72">
        <f>IFERROR(INDEX('(참조)CS_인건비'!$A$3:$O$40,MATCH(CS_인건비!$A36,'(참조)CS_인건비'!$A$3:$A$40,0),MATCH('(참조)CS_인건비'!L$2,'(참조)CS_인건비'!$A$2:$O$2,0)),0)</f>
        <v>3279093.5579021773</v>
      </c>
      <c r="AF36" s="72">
        <f>IFERROR(INDEX('(참조)CS_인건비'!$A$3:$O$40,MATCH(CS_인건비!$A36,'(참조)CS_인건비'!$A$3:$A$40,0),MATCH('(참조)CS_인건비'!M$2,'(참조)CS_인건비'!$A$2:$O$2,0)),0)</f>
        <v>3362089.9079637853</v>
      </c>
      <c r="AG36" s="72">
        <f>IFERROR(INDEX('(참조)CS_인건비'!$A$3:$O$40,MATCH(CS_인건비!$A36,'(참조)CS_인건비'!$A$3:$A$40,0),MATCH('(참조)CS_인건비'!N$2,'(참조)CS_인건비'!$A$2:$O$2,0)),0)</f>
        <v>3447186.9587226789</v>
      </c>
      <c r="AH36" s="72">
        <f>IFERROR(INDEX('(참조)CS_인건비'!$A$3:$O$40,MATCH(CS_인건비!$A36,'(참조)CS_인건비'!$A$3:$A$40,0),MATCH('(참조)CS_인건비'!O$2,'(참조)CS_인건비'!$A$2:$O$2,0)),0)</f>
        <v>3534437.8805100387</v>
      </c>
      <c r="AI36" s="72">
        <f>IFERROR(INDEX('(참조)CS_인건비'!$A$3:$O$40,MATCH(CS_인건비!$A36,'(참조)CS_인건비'!$A$3:$A$40,0),MATCH('(참조)CS_인건비'!P$2,'(참조)CS_인건비'!$A$2:$O$2,0)),0)</f>
        <v>0</v>
      </c>
      <c r="AJ36" s="72">
        <v>12</v>
      </c>
      <c r="AK36" s="72">
        <v>12</v>
      </c>
      <c r="AL36" s="72">
        <v>12</v>
      </c>
      <c r="AM36" s="72">
        <v>12</v>
      </c>
      <c r="AN36" s="72">
        <v>12</v>
      </c>
      <c r="AO36" s="72">
        <v>12</v>
      </c>
      <c r="AP36" s="72">
        <v>12</v>
      </c>
      <c r="AQ36" s="72">
        <v>12</v>
      </c>
      <c r="AR36" s="72">
        <v>12</v>
      </c>
      <c r="AS36" s="72">
        <v>12</v>
      </c>
      <c r="AT36" s="72">
        <v>12</v>
      </c>
      <c r="AU36" s="73">
        <v>1</v>
      </c>
      <c r="AV36" s="70">
        <v>0</v>
      </c>
      <c r="AW36" s="70">
        <v>0</v>
      </c>
      <c r="AX36" s="56">
        <v>371521279.61145848</v>
      </c>
      <c r="AY36" s="56">
        <v>25401726</v>
      </c>
      <c r="AZ36" s="56">
        <v>34726217.320495687</v>
      </c>
      <c r="BA36" s="56">
        <v>35605164.272802599</v>
      </c>
      <c r="BB36" s="56">
        <v>36506358.040472068</v>
      </c>
      <c r="BC36" s="56">
        <v>37430361.707308531</v>
      </c>
      <c r="BD36" s="56">
        <v>38377752.609195411</v>
      </c>
      <c r="BE36" s="56">
        <v>39349122.694826126</v>
      </c>
      <c r="BF36" s="56">
        <v>40345078.89556542</v>
      </c>
      <c r="BG36" s="56">
        <v>41366243.504672162</v>
      </c>
      <c r="BH36" s="56">
        <v>42413254.566120468</v>
      </c>
      <c r="BI36" s="56">
        <v>0</v>
      </c>
      <c r="BJ36" s="74">
        <v>2116810.5</v>
      </c>
      <c r="BK36" s="56">
        <v>2116810.5</v>
      </c>
      <c r="BL36" s="56">
        <v>2116810.5</v>
      </c>
      <c r="BM36" s="56">
        <v>2116810.5</v>
      </c>
      <c r="BN36" s="56">
        <v>2116810.5</v>
      </c>
      <c r="BO36" s="56">
        <v>2116810.5</v>
      </c>
      <c r="BP36" s="56">
        <v>2116810.5</v>
      </c>
      <c r="BQ36" s="56">
        <v>2116810.5</v>
      </c>
      <c r="BR36" s="56">
        <v>2116810.5</v>
      </c>
      <c r="BS36" s="56">
        <v>2116810.5</v>
      </c>
      <c r="BT36" s="56">
        <v>2116810.5</v>
      </c>
      <c r="BU36" s="56">
        <v>2116810.5</v>
      </c>
      <c r="BV36" s="56">
        <v>2893851.4433746398</v>
      </c>
      <c r="BW36" s="56">
        <v>2893851.4433746398</v>
      </c>
      <c r="BX36" s="56">
        <v>2893851.4433746398</v>
      </c>
      <c r="BY36" s="56">
        <v>2893851.4433746398</v>
      </c>
      <c r="BZ36" s="56">
        <v>2893851.4433746398</v>
      </c>
      <c r="CA36" s="56">
        <v>2893851.4433746398</v>
      </c>
      <c r="CB36" s="56">
        <v>2893851.4433746398</v>
      </c>
      <c r="CC36" s="56">
        <v>2893851.4433746398</v>
      </c>
      <c r="CD36" s="56">
        <v>2893851.4433746398</v>
      </c>
      <c r="CE36" s="56">
        <v>2893851.4433746398</v>
      </c>
      <c r="CF36" s="56">
        <v>2893851.4433746398</v>
      </c>
      <c r="CG36" s="56">
        <v>2893851.4433746398</v>
      </c>
      <c r="CH36" s="56">
        <v>2967097.0227335491</v>
      </c>
      <c r="CI36" s="56">
        <v>2967097.0227335491</v>
      </c>
      <c r="CJ36" s="56">
        <v>2967097.0227335491</v>
      </c>
      <c r="CK36" s="56">
        <v>2967097.0227335491</v>
      </c>
      <c r="CL36" s="56">
        <v>2967097.0227335491</v>
      </c>
      <c r="CM36" s="56">
        <v>2967097.0227335491</v>
      </c>
      <c r="CN36" s="56">
        <v>2967097.0227335491</v>
      </c>
      <c r="CO36" s="56">
        <v>2967097.0227335491</v>
      </c>
      <c r="CP36" s="56">
        <v>2967097.0227335491</v>
      </c>
      <c r="CQ36" s="56">
        <v>2967097.0227335491</v>
      </c>
      <c r="CR36" s="56">
        <v>2967097.0227335491</v>
      </c>
      <c r="CS36" s="56">
        <v>2967097.0227335491</v>
      </c>
      <c r="CT36" s="56">
        <v>3042196.5033726725</v>
      </c>
      <c r="CU36" s="56">
        <v>3042196.5033726725</v>
      </c>
      <c r="CV36" s="56">
        <v>3042196.5033726725</v>
      </c>
      <c r="CW36" s="56">
        <v>3042196.5033726725</v>
      </c>
      <c r="CX36" s="56">
        <v>3042196.5033726725</v>
      </c>
      <c r="CY36" s="56">
        <v>3042196.5033726725</v>
      </c>
      <c r="CZ36" s="56">
        <v>3042196.5033726725</v>
      </c>
      <c r="DA36" s="56">
        <v>3042196.5033726725</v>
      </c>
      <c r="DB36" s="56">
        <v>3042196.5033726725</v>
      </c>
      <c r="DC36" s="56">
        <v>3042196.5033726725</v>
      </c>
      <c r="DD36" s="56">
        <v>3042196.5033726725</v>
      </c>
      <c r="DE36" s="56">
        <v>3042196.5033726725</v>
      </c>
      <c r="DF36" s="56">
        <v>3119196.8089423776</v>
      </c>
      <c r="DG36" s="56">
        <v>3119196.8089423776</v>
      </c>
      <c r="DH36" s="56">
        <v>3119196.8089423776</v>
      </c>
      <c r="DI36" s="56">
        <v>3119196.8089423776</v>
      </c>
      <c r="DJ36" s="56">
        <v>3119196.8089423776</v>
      </c>
      <c r="DK36" s="56">
        <v>3119196.8089423776</v>
      </c>
      <c r="DL36" s="56">
        <v>3119196.8089423776</v>
      </c>
      <c r="DM36" s="56">
        <v>3119196.8089423776</v>
      </c>
      <c r="DN36" s="56">
        <v>3119196.8089423776</v>
      </c>
      <c r="DO36" s="56">
        <v>3119196.8089423776</v>
      </c>
      <c r="DP36" s="56">
        <v>3119196.8089423776</v>
      </c>
      <c r="DQ36" s="56">
        <v>3119196.8089423776</v>
      </c>
      <c r="DR36" s="56">
        <v>3198146.0507662841</v>
      </c>
      <c r="DS36" s="56">
        <v>3198146.0507662841</v>
      </c>
      <c r="DT36" s="56">
        <v>3198146.0507662841</v>
      </c>
      <c r="DU36" s="56">
        <v>3198146.0507662841</v>
      </c>
      <c r="DV36" s="56">
        <v>3198146.0507662841</v>
      </c>
      <c r="DW36" s="56">
        <v>3198146.0507662841</v>
      </c>
      <c r="DX36" s="56">
        <v>3198146.0507662841</v>
      </c>
      <c r="DY36" s="56">
        <v>3198146.0507662841</v>
      </c>
      <c r="DZ36" s="56">
        <v>3198146.0507662841</v>
      </c>
      <c r="EA36" s="56">
        <v>3198146.0507662841</v>
      </c>
      <c r="EB36" s="56">
        <v>3198146.0507662841</v>
      </c>
      <c r="EC36" s="56">
        <v>3198146.0507662841</v>
      </c>
      <c r="ED36" s="56">
        <v>3279093.5579021773</v>
      </c>
      <c r="EE36" s="56">
        <v>3279093.5579021773</v>
      </c>
      <c r="EF36" s="56">
        <v>3279093.5579021773</v>
      </c>
      <c r="EG36" s="56">
        <v>3279093.5579021773</v>
      </c>
      <c r="EH36" s="56">
        <v>3279093.5579021773</v>
      </c>
      <c r="EI36" s="56">
        <v>3279093.5579021773</v>
      </c>
      <c r="EJ36" s="56">
        <v>3279093.5579021773</v>
      </c>
      <c r="EK36" s="56">
        <v>3279093.5579021773</v>
      </c>
      <c r="EL36" s="56">
        <v>3279093.5579021773</v>
      </c>
      <c r="EM36" s="56">
        <v>3279093.5579021773</v>
      </c>
      <c r="EN36" s="56">
        <v>3279093.5579021773</v>
      </c>
      <c r="EO36" s="56">
        <v>3279093.5579021773</v>
      </c>
      <c r="EP36" s="56">
        <v>3362089.9079637853</v>
      </c>
      <c r="EQ36" s="56">
        <v>3362089.9079637853</v>
      </c>
      <c r="ER36" s="56">
        <v>3362089.9079637853</v>
      </c>
      <c r="ES36" s="56">
        <v>3362089.9079637853</v>
      </c>
      <c r="ET36" s="56">
        <v>3362089.9079637853</v>
      </c>
      <c r="EU36" s="56">
        <v>3362089.9079637853</v>
      </c>
      <c r="EV36" s="56">
        <v>3362089.9079637853</v>
      </c>
      <c r="EW36" s="56">
        <v>3362089.9079637853</v>
      </c>
      <c r="EX36" s="56">
        <v>3362089.9079637853</v>
      </c>
      <c r="EY36" s="56">
        <v>3362089.9079637853</v>
      </c>
      <c r="EZ36" s="56">
        <v>3362089.9079637853</v>
      </c>
      <c r="FA36" s="56">
        <v>3362089.9079637853</v>
      </c>
      <c r="FB36" s="56">
        <v>3447186.9587226789</v>
      </c>
      <c r="FC36" s="56">
        <v>3447186.9587226789</v>
      </c>
      <c r="FD36" s="56">
        <v>3447186.9587226789</v>
      </c>
      <c r="FE36" s="56">
        <v>3447186.9587226789</v>
      </c>
      <c r="FF36" s="56">
        <v>3447186.9587226789</v>
      </c>
      <c r="FG36" s="56">
        <v>3447186.9587226789</v>
      </c>
      <c r="FH36" s="56">
        <v>3447186.9587226789</v>
      </c>
      <c r="FI36" s="56">
        <v>3447186.9587226789</v>
      </c>
      <c r="FJ36" s="56">
        <v>3447186.9587226789</v>
      </c>
      <c r="FK36" s="56">
        <v>3447186.9587226789</v>
      </c>
      <c r="FL36" s="56">
        <v>3447186.9587226789</v>
      </c>
      <c r="FM36" s="56">
        <v>3447186.9587226789</v>
      </c>
      <c r="FN36" s="56">
        <v>3534437.8805100387</v>
      </c>
      <c r="FO36" s="56">
        <v>3534437.8805100387</v>
      </c>
      <c r="FP36" s="56">
        <v>3534437.8805100387</v>
      </c>
      <c r="FQ36" s="56">
        <v>3534437.8805100387</v>
      </c>
      <c r="FR36" s="56">
        <v>3534437.8805100387</v>
      </c>
      <c r="FS36" s="56">
        <v>3534437.8805100387</v>
      </c>
      <c r="FT36" s="56">
        <v>3534437.8805100387</v>
      </c>
      <c r="FU36" s="56">
        <v>3534437.8805100387</v>
      </c>
      <c r="FV36" s="56">
        <v>3534437.8805100387</v>
      </c>
      <c r="FW36" s="56">
        <v>3534437.8805100387</v>
      </c>
      <c r="FX36" s="56">
        <v>3534437.8805100387</v>
      </c>
      <c r="FY36" s="56">
        <v>3534437.8805100387</v>
      </c>
      <c r="FZ36" s="56">
        <v>0</v>
      </c>
      <c r="GA36" s="56">
        <v>0</v>
      </c>
      <c r="GB36" s="56">
        <v>0</v>
      </c>
      <c r="GC36" s="56">
        <v>0</v>
      </c>
      <c r="GD36" s="56">
        <v>0</v>
      </c>
      <c r="GE36" s="56">
        <v>0</v>
      </c>
      <c r="GF36" s="56">
        <v>0</v>
      </c>
      <c r="GG36" s="56">
        <v>0</v>
      </c>
      <c r="GH36" s="56">
        <v>0</v>
      </c>
      <c r="GI36" s="56">
        <v>0</v>
      </c>
      <c r="GJ36" s="56">
        <v>0</v>
      </c>
      <c r="GK36" s="85">
        <v>0</v>
      </c>
      <c r="GL36" s="40"/>
    </row>
    <row r="37" spans="1:194" x14ac:dyDescent="0.4">
      <c r="A37" s="84" t="s">
        <v>310</v>
      </c>
      <c r="B37" s="70" t="s">
        <v>316</v>
      </c>
      <c r="C37" s="70" t="s">
        <v>398</v>
      </c>
      <c r="D37" s="70" t="s">
        <v>209</v>
      </c>
      <c r="E37" s="70" t="s">
        <v>193</v>
      </c>
      <c r="F37" s="70" t="s">
        <v>250</v>
      </c>
      <c r="G37" s="70" t="s">
        <v>294</v>
      </c>
      <c r="H37" s="70">
        <v>0</v>
      </c>
      <c r="I37" s="70">
        <v>0</v>
      </c>
      <c r="J37" s="70" t="s">
        <v>210</v>
      </c>
      <c r="K37" s="70">
        <v>0</v>
      </c>
      <c r="L37" s="70" t="s">
        <v>211</v>
      </c>
      <c r="M37" s="71">
        <f>IFERROR(INDEX('(참조)CS_인건비'!$S$3:$AG$40,MATCH(CS_인건비!$A37,'(참조)CS_인건비'!$S$3:$S$40,0),MATCH('(참조)CS_인건비'!X$2,'(참조)CS_인건비'!$S$2:$AG$2,0)),0)</f>
        <v>2.25</v>
      </c>
      <c r="N37" s="71">
        <f>IFERROR(INDEX('(참조)CS_인건비'!$S$3:$AG$40,MATCH(CS_인건비!$A37,'(참조)CS_인건비'!$S$3:$S$40,0),MATCH('(참조)CS_인건비'!Y$2,'(참조)CS_인건비'!$S$2:$AG$2,0)),0)</f>
        <v>2</v>
      </c>
      <c r="O37" s="71">
        <f>IFERROR(INDEX('(참조)CS_인건비'!$S$3:$AG$40,MATCH(CS_인건비!$A37,'(참조)CS_인건비'!$S$3:$S$40,0),MATCH('(참조)CS_인건비'!Z$2,'(참조)CS_인건비'!$S$2:$AG$2,0)),0)</f>
        <v>2</v>
      </c>
      <c r="P37" s="71">
        <f>IFERROR(INDEX('(참조)CS_인건비'!$S$3:$AG$40,MATCH(CS_인건비!$A37,'(참조)CS_인건비'!$S$3:$S$40,0),MATCH('(참조)CS_인건비'!AA$2,'(참조)CS_인건비'!$S$2:$AG$2,0)),0)</f>
        <v>2</v>
      </c>
      <c r="Q37" s="71">
        <f>IFERROR(INDEX('(참조)CS_인건비'!$S$3:$AG$40,MATCH(CS_인건비!$A37,'(참조)CS_인건비'!$S$3:$S$40,0),MATCH('(참조)CS_인건비'!AB$2,'(참조)CS_인건비'!$S$2:$AG$2,0)),0)</f>
        <v>2</v>
      </c>
      <c r="R37" s="71">
        <f>IFERROR(INDEX('(참조)CS_인건비'!$S$3:$AG$40,MATCH(CS_인건비!$A37,'(참조)CS_인건비'!$S$3:$S$40,0),MATCH('(참조)CS_인건비'!AC$2,'(참조)CS_인건비'!$S$2:$AG$2,0)),0)</f>
        <v>2</v>
      </c>
      <c r="S37" s="71">
        <f>IFERROR(INDEX('(참조)CS_인건비'!$S$3:$AG$40,MATCH(CS_인건비!$A37,'(참조)CS_인건비'!$S$3:$S$40,0),MATCH('(참조)CS_인건비'!AD$2,'(참조)CS_인건비'!$S$2:$AG$2,0)),0)</f>
        <v>2</v>
      </c>
      <c r="T37" s="71">
        <f>IFERROR(INDEX('(참조)CS_인건비'!$S$3:$AG$40,MATCH(CS_인건비!$A37,'(참조)CS_인건비'!$S$3:$S$40,0),MATCH('(참조)CS_인건비'!AE$2,'(참조)CS_인건비'!$S$2:$AG$2,0)),0)</f>
        <v>2</v>
      </c>
      <c r="U37" s="71">
        <f>IFERROR(INDEX('(참조)CS_인건비'!$S$3:$AG$40,MATCH(CS_인건비!$A37,'(참조)CS_인건비'!$S$3:$S$40,0),MATCH('(참조)CS_인건비'!AF$2,'(참조)CS_인건비'!$S$2:$AG$2,0)),0)</f>
        <v>2</v>
      </c>
      <c r="V37" s="71">
        <f>IFERROR(INDEX('(참조)CS_인건비'!$S$3:$AG$40,MATCH(CS_인건비!$A37,'(참조)CS_인건비'!$S$3:$S$40,0),MATCH('(참조)CS_인건비'!AG$2,'(참조)CS_인건비'!$S$2:$AG$2,0)),0)</f>
        <v>2</v>
      </c>
      <c r="W37" s="71">
        <f>IFERROR(INDEX('(참조)CS_인건비'!$S$3:$AG$40,MATCH(CS_인건비!$A37,'(참조)CS_인건비'!$S$3:$S$40,0),MATCH('(참조)CS_인건비'!AH$2,'(참조)CS_인건비'!$S$2:$AG$2,0)),0)</f>
        <v>0</v>
      </c>
      <c r="X37" s="72">
        <v>0</v>
      </c>
      <c r="Y37" s="72">
        <f>IFERROR(INDEX('(참조)CS_인건비'!$A$3:$O$40,MATCH(CS_인건비!$A37,'(참조)CS_인건비'!$A$3:$A$40,0),MATCH('(참조)CS_인건비'!F$2,'(참조)CS_인건비'!$A$2:$O$2,0)),0)</f>
        <v>2822414</v>
      </c>
      <c r="Z37" s="72">
        <f>IFERROR(INDEX('(참조)CS_인건비'!$A$3:$O$40,MATCH(CS_인건비!$A37,'(참조)CS_인건비'!$A$3:$A$40,0),MATCH('(참조)CS_인건비'!G$2,'(참조)CS_인건비'!$A$2:$O$2,0)),0)</f>
        <v>2893851.4433746398</v>
      </c>
      <c r="AA37" s="72">
        <f>IFERROR(INDEX('(참조)CS_인건비'!$A$3:$O$40,MATCH(CS_인건비!$A37,'(참조)CS_인건비'!$A$3:$A$40,0),MATCH('(참조)CS_인건비'!H$2,'(참조)CS_인건비'!$A$2:$O$2,0)),0)</f>
        <v>2967097.0227335491</v>
      </c>
      <c r="AB37" s="72">
        <f>IFERROR(INDEX('(참조)CS_인건비'!$A$3:$O$40,MATCH(CS_인건비!$A37,'(참조)CS_인건비'!$A$3:$A$40,0),MATCH('(참조)CS_인건비'!I$2,'(참조)CS_인건비'!$A$2:$O$2,0)),0)</f>
        <v>3042196.5033726725</v>
      </c>
      <c r="AC37" s="72">
        <f>IFERROR(INDEX('(참조)CS_인건비'!$A$3:$O$40,MATCH(CS_인건비!$A37,'(참조)CS_인건비'!$A$3:$A$40,0),MATCH('(참조)CS_인건비'!J$2,'(참조)CS_인건비'!$A$2:$O$2,0)),0)</f>
        <v>3119196.8089423776</v>
      </c>
      <c r="AD37" s="72">
        <f>IFERROR(INDEX('(참조)CS_인건비'!$A$3:$O$40,MATCH(CS_인건비!$A37,'(참조)CS_인건비'!$A$3:$A$40,0),MATCH('(참조)CS_인건비'!K$2,'(참조)CS_인건비'!$A$2:$O$2,0)),0)</f>
        <v>3198146.0507662841</v>
      </c>
      <c r="AE37" s="72">
        <f>IFERROR(INDEX('(참조)CS_인건비'!$A$3:$O$40,MATCH(CS_인건비!$A37,'(참조)CS_인건비'!$A$3:$A$40,0),MATCH('(참조)CS_인건비'!L$2,'(참조)CS_인건비'!$A$2:$O$2,0)),0)</f>
        <v>3279093.5579021773</v>
      </c>
      <c r="AF37" s="72">
        <f>IFERROR(INDEX('(참조)CS_인건비'!$A$3:$O$40,MATCH(CS_인건비!$A37,'(참조)CS_인건비'!$A$3:$A$40,0),MATCH('(참조)CS_인건비'!M$2,'(참조)CS_인건비'!$A$2:$O$2,0)),0)</f>
        <v>3362089.9079637853</v>
      </c>
      <c r="AG37" s="72">
        <f>IFERROR(INDEX('(참조)CS_인건비'!$A$3:$O$40,MATCH(CS_인건비!$A37,'(참조)CS_인건비'!$A$3:$A$40,0),MATCH('(참조)CS_인건비'!N$2,'(참조)CS_인건비'!$A$2:$O$2,0)),0)</f>
        <v>3447186.9587226789</v>
      </c>
      <c r="AH37" s="72">
        <f>IFERROR(INDEX('(참조)CS_인건비'!$A$3:$O$40,MATCH(CS_인건비!$A37,'(참조)CS_인건비'!$A$3:$A$40,0),MATCH('(참조)CS_인건비'!O$2,'(참조)CS_인건비'!$A$2:$O$2,0)),0)</f>
        <v>3534437.8805100387</v>
      </c>
      <c r="AI37" s="72">
        <f>IFERROR(INDEX('(참조)CS_인건비'!$A$3:$O$40,MATCH(CS_인건비!$A37,'(참조)CS_인건비'!$A$3:$A$40,0),MATCH('(참조)CS_인건비'!P$2,'(참조)CS_인건비'!$A$2:$O$2,0)),0)</f>
        <v>0</v>
      </c>
      <c r="AJ37" s="72">
        <v>12</v>
      </c>
      <c r="AK37" s="72">
        <v>12</v>
      </c>
      <c r="AL37" s="72">
        <v>12</v>
      </c>
      <c r="AM37" s="72">
        <v>12</v>
      </c>
      <c r="AN37" s="72">
        <v>12</v>
      </c>
      <c r="AO37" s="72">
        <v>12</v>
      </c>
      <c r="AP37" s="72">
        <v>12</v>
      </c>
      <c r="AQ37" s="72">
        <v>12</v>
      </c>
      <c r="AR37" s="72">
        <v>12</v>
      </c>
      <c r="AS37" s="72">
        <v>12</v>
      </c>
      <c r="AT37" s="72">
        <v>12</v>
      </c>
      <c r="AU37" s="73">
        <v>1</v>
      </c>
      <c r="AV37" s="70">
        <v>0</v>
      </c>
      <c r="AW37" s="70">
        <v>0</v>
      </c>
      <c r="AX37" s="56">
        <v>768444285.22291696</v>
      </c>
      <c r="AY37" s="56">
        <v>76205178</v>
      </c>
      <c r="AZ37" s="56">
        <v>69452434.640991375</v>
      </c>
      <c r="BA37" s="56">
        <v>71210328.545605198</v>
      </c>
      <c r="BB37" s="56">
        <v>73012716.080944136</v>
      </c>
      <c r="BC37" s="56">
        <v>74860723.414617062</v>
      </c>
      <c r="BD37" s="56">
        <v>76755505.218390822</v>
      </c>
      <c r="BE37" s="56">
        <v>78698245.389652252</v>
      </c>
      <c r="BF37" s="56">
        <v>80690157.791130841</v>
      </c>
      <c r="BG37" s="56">
        <v>82732487.009344324</v>
      </c>
      <c r="BH37" s="56">
        <v>84826509.132240936</v>
      </c>
      <c r="BI37" s="56">
        <v>0</v>
      </c>
      <c r="BJ37" s="74">
        <v>6350431.5</v>
      </c>
      <c r="BK37" s="56">
        <v>6350431.5</v>
      </c>
      <c r="BL37" s="56">
        <v>6350431.5</v>
      </c>
      <c r="BM37" s="56">
        <v>6350431.5</v>
      </c>
      <c r="BN37" s="56">
        <v>6350431.5</v>
      </c>
      <c r="BO37" s="56">
        <v>6350431.5</v>
      </c>
      <c r="BP37" s="56">
        <v>6350431.5</v>
      </c>
      <c r="BQ37" s="56">
        <v>6350431.5</v>
      </c>
      <c r="BR37" s="56">
        <v>6350431.5</v>
      </c>
      <c r="BS37" s="56">
        <v>6350431.5</v>
      </c>
      <c r="BT37" s="56">
        <v>6350431.5</v>
      </c>
      <c r="BU37" s="56">
        <v>6350431.5</v>
      </c>
      <c r="BV37" s="56">
        <v>5787702.8867492797</v>
      </c>
      <c r="BW37" s="56">
        <v>5787702.8867492797</v>
      </c>
      <c r="BX37" s="56">
        <v>5787702.8867492797</v>
      </c>
      <c r="BY37" s="56">
        <v>5787702.8867492797</v>
      </c>
      <c r="BZ37" s="56">
        <v>5787702.8867492797</v>
      </c>
      <c r="CA37" s="56">
        <v>5787702.8867492797</v>
      </c>
      <c r="CB37" s="56">
        <v>5787702.8867492797</v>
      </c>
      <c r="CC37" s="56">
        <v>5787702.8867492797</v>
      </c>
      <c r="CD37" s="56">
        <v>5787702.8867492797</v>
      </c>
      <c r="CE37" s="56">
        <v>5787702.8867492797</v>
      </c>
      <c r="CF37" s="56">
        <v>5787702.8867492797</v>
      </c>
      <c r="CG37" s="56">
        <v>5787702.8867492797</v>
      </c>
      <c r="CH37" s="56">
        <v>5934194.0454670982</v>
      </c>
      <c r="CI37" s="56">
        <v>5934194.0454670982</v>
      </c>
      <c r="CJ37" s="56">
        <v>5934194.0454670982</v>
      </c>
      <c r="CK37" s="56">
        <v>5934194.0454670982</v>
      </c>
      <c r="CL37" s="56">
        <v>5934194.0454670982</v>
      </c>
      <c r="CM37" s="56">
        <v>5934194.0454670982</v>
      </c>
      <c r="CN37" s="56">
        <v>5934194.0454670982</v>
      </c>
      <c r="CO37" s="56">
        <v>5934194.0454670982</v>
      </c>
      <c r="CP37" s="56">
        <v>5934194.0454670982</v>
      </c>
      <c r="CQ37" s="56">
        <v>5934194.0454670982</v>
      </c>
      <c r="CR37" s="56">
        <v>5934194.0454670982</v>
      </c>
      <c r="CS37" s="56">
        <v>5934194.0454670982</v>
      </c>
      <c r="CT37" s="56">
        <v>6084393.006745345</v>
      </c>
      <c r="CU37" s="56">
        <v>6084393.006745345</v>
      </c>
      <c r="CV37" s="56">
        <v>6084393.006745345</v>
      </c>
      <c r="CW37" s="56">
        <v>6084393.006745345</v>
      </c>
      <c r="CX37" s="56">
        <v>6084393.006745345</v>
      </c>
      <c r="CY37" s="56">
        <v>6084393.006745345</v>
      </c>
      <c r="CZ37" s="56">
        <v>6084393.006745345</v>
      </c>
      <c r="DA37" s="56">
        <v>6084393.006745345</v>
      </c>
      <c r="DB37" s="56">
        <v>6084393.006745345</v>
      </c>
      <c r="DC37" s="56">
        <v>6084393.006745345</v>
      </c>
      <c r="DD37" s="56">
        <v>6084393.006745345</v>
      </c>
      <c r="DE37" s="56">
        <v>6084393.006745345</v>
      </c>
      <c r="DF37" s="56">
        <v>6238393.6178847551</v>
      </c>
      <c r="DG37" s="56">
        <v>6238393.6178847551</v>
      </c>
      <c r="DH37" s="56">
        <v>6238393.6178847551</v>
      </c>
      <c r="DI37" s="56">
        <v>6238393.6178847551</v>
      </c>
      <c r="DJ37" s="56">
        <v>6238393.6178847551</v>
      </c>
      <c r="DK37" s="56">
        <v>6238393.6178847551</v>
      </c>
      <c r="DL37" s="56">
        <v>6238393.6178847551</v>
      </c>
      <c r="DM37" s="56">
        <v>6238393.6178847551</v>
      </c>
      <c r="DN37" s="56">
        <v>6238393.6178847551</v>
      </c>
      <c r="DO37" s="56">
        <v>6238393.6178847551</v>
      </c>
      <c r="DP37" s="56">
        <v>6238393.6178847551</v>
      </c>
      <c r="DQ37" s="56">
        <v>6238393.6178847551</v>
      </c>
      <c r="DR37" s="56">
        <v>6396292.1015325682</v>
      </c>
      <c r="DS37" s="56">
        <v>6396292.1015325682</v>
      </c>
      <c r="DT37" s="56">
        <v>6396292.1015325682</v>
      </c>
      <c r="DU37" s="56">
        <v>6396292.1015325682</v>
      </c>
      <c r="DV37" s="56">
        <v>6396292.1015325682</v>
      </c>
      <c r="DW37" s="56">
        <v>6396292.1015325682</v>
      </c>
      <c r="DX37" s="56">
        <v>6396292.1015325682</v>
      </c>
      <c r="DY37" s="56">
        <v>6396292.1015325682</v>
      </c>
      <c r="DZ37" s="56">
        <v>6396292.1015325682</v>
      </c>
      <c r="EA37" s="56">
        <v>6396292.1015325682</v>
      </c>
      <c r="EB37" s="56">
        <v>6396292.1015325682</v>
      </c>
      <c r="EC37" s="56">
        <v>6396292.1015325682</v>
      </c>
      <c r="ED37" s="56">
        <v>6558187.1158043547</v>
      </c>
      <c r="EE37" s="56">
        <v>6558187.1158043547</v>
      </c>
      <c r="EF37" s="56">
        <v>6558187.1158043547</v>
      </c>
      <c r="EG37" s="56">
        <v>6558187.1158043547</v>
      </c>
      <c r="EH37" s="56">
        <v>6558187.1158043547</v>
      </c>
      <c r="EI37" s="56">
        <v>6558187.1158043547</v>
      </c>
      <c r="EJ37" s="56">
        <v>6558187.1158043547</v>
      </c>
      <c r="EK37" s="56">
        <v>6558187.1158043547</v>
      </c>
      <c r="EL37" s="56">
        <v>6558187.1158043547</v>
      </c>
      <c r="EM37" s="56">
        <v>6558187.1158043547</v>
      </c>
      <c r="EN37" s="56">
        <v>6558187.1158043547</v>
      </c>
      <c r="EO37" s="56">
        <v>6558187.1158043547</v>
      </c>
      <c r="EP37" s="56">
        <v>6724179.8159275707</v>
      </c>
      <c r="EQ37" s="56">
        <v>6724179.8159275707</v>
      </c>
      <c r="ER37" s="56">
        <v>6724179.8159275707</v>
      </c>
      <c r="ES37" s="56">
        <v>6724179.8159275707</v>
      </c>
      <c r="ET37" s="56">
        <v>6724179.8159275707</v>
      </c>
      <c r="EU37" s="56">
        <v>6724179.8159275707</v>
      </c>
      <c r="EV37" s="56">
        <v>6724179.8159275707</v>
      </c>
      <c r="EW37" s="56">
        <v>6724179.8159275707</v>
      </c>
      <c r="EX37" s="56">
        <v>6724179.8159275707</v>
      </c>
      <c r="EY37" s="56">
        <v>6724179.8159275707</v>
      </c>
      <c r="EZ37" s="56">
        <v>6724179.8159275707</v>
      </c>
      <c r="FA37" s="56">
        <v>6724179.8159275707</v>
      </c>
      <c r="FB37" s="56">
        <v>6894373.9174453579</v>
      </c>
      <c r="FC37" s="56">
        <v>6894373.9174453579</v>
      </c>
      <c r="FD37" s="56">
        <v>6894373.9174453579</v>
      </c>
      <c r="FE37" s="56">
        <v>6894373.9174453579</v>
      </c>
      <c r="FF37" s="56">
        <v>6894373.9174453579</v>
      </c>
      <c r="FG37" s="56">
        <v>6894373.9174453579</v>
      </c>
      <c r="FH37" s="56">
        <v>6894373.9174453579</v>
      </c>
      <c r="FI37" s="56">
        <v>6894373.9174453579</v>
      </c>
      <c r="FJ37" s="56">
        <v>6894373.9174453579</v>
      </c>
      <c r="FK37" s="56">
        <v>6894373.9174453579</v>
      </c>
      <c r="FL37" s="56">
        <v>6894373.9174453579</v>
      </c>
      <c r="FM37" s="56">
        <v>6894373.9174453579</v>
      </c>
      <c r="FN37" s="56">
        <v>7068875.7610200774</v>
      </c>
      <c r="FO37" s="56">
        <v>7068875.7610200774</v>
      </c>
      <c r="FP37" s="56">
        <v>7068875.7610200774</v>
      </c>
      <c r="FQ37" s="56">
        <v>7068875.7610200774</v>
      </c>
      <c r="FR37" s="56">
        <v>7068875.7610200774</v>
      </c>
      <c r="FS37" s="56">
        <v>7068875.7610200774</v>
      </c>
      <c r="FT37" s="56">
        <v>7068875.7610200774</v>
      </c>
      <c r="FU37" s="56">
        <v>7068875.7610200774</v>
      </c>
      <c r="FV37" s="56">
        <v>7068875.7610200774</v>
      </c>
      <c r="FW37" s="56">
        <v>7068875.7610200774</v>
      </c>
      <c r="FX37" s="56">
        <v>7068875.7610200774</v>
      </c>
      <c r="FY37" s="56">
        <v>7068875.7610200774</v>
      </c>
      <c r="FZ37" s="56">
        <v>0</v>
      </c>
      <c r="GA37" s="56">
        <v>0</v>
      </c>
      <c r="GB37" s="56">
        <v>0</v>
      </c>
      <c r="GC37" s="56">
        <v>0</v>
      </c>
      <c r="GD37" s="56">
        <v>0</v>
      </c>
      <c r="GE37" s="56">
        <v>0</v>
      </c>
      <c r="GF37" s="56">
        <v>0</v>
      </c>
      <c r="GG37" s="56">
        <v>0</v>
      </c>
      <c r="GH37" s="56">
        <v>0</v>
      </c>
      <c r="GI37" s="56">
        <v>0</v>
      </c>
      <c r="GJ37" s="56">
        <v>0</v>
      </c>
      <c r="GK37" s="85">
        <v>0</v>
      </c>
      <c r="GL37" s="40"/>
    </row>
    <row r="38" spans="1:194" x14ac:dyDescent="0.4">
      <c r="A38" s="84" t="s">
        <v>311</v>
      </c>
      <c r="B38" s="70" t="s">
        <v>316</v>
      </c>
      <c r="C38" s="70" t="s">
        <v>398</v>
      </c>
      <c r="D38" s="70" t="s">
        <v>209</v>
      </c>
      <c r="E38" s="70" t="s">
        <v>193</v>
      </c>
      <c r="F38" s="70" t="s">
        <v>252</v>
      </c>
      <c r="G38" s="70" t="s">
        <v>295</v>
      </c>
      <c r="H38" s="70">
        <v>0</v>
      </c>
      <c r="I38" s="70">
        <v>0</v>
      </c>
      <c r="J38" s="70" t="s">
        <v>210</v>
      </c>
      <c r="K38" s="70">
        <v>0</v>
      </c>
      <c r="L38" s="70" t="s">
        <v>211</v>
      </c>
      <c r="M38" s="71">
        <f>IFERROR(INDEX('(참조)CS_인건비'!$S$3:$AG$40,MATCH(CS_인건비!$A38,'(참조)CS_인건비'!$S$3:$S$40,0),MATCH('(참조)CS_인건비'!X$2,'(참조)CS_인건비'!$S$2:$AG$2,0)),0)</f>
        <v>2.25</v>
      </c>
      <c r="N38" s="71">
        <f>IFERROR(INDEX('(참조)CS_인건비'!$S$3:$AG$40,MATCH(CS_인건비!$A38,'(참조)CS_인건비'!$S$3:$S$40,0),MATCH('(참조)CS_인건비'!Y$2,'(참조)CS_인건비'!$S$2:$AG$2,0)),0)</f>
        <v>3</v>
      </c>
      <c r="O38" s="71">
        <f>IFERROR(INDEX('(참조)CS_인건비'!$S$3:$AG$40,MATCH(CS_인건비!$A38,'(참조)CS_인건비'!$S$3:$S$40,0),MATCH('(참조)CS_인건비'!Z$2,'(참조)CS_인건비'!$S$2:$AG$2,0)),0)</f>
        <v>3</v>
      </c>
      <c r="P38" s="71">
        <f>IFERROR(INDEX('(참조)CS_인건비'!$S$3:$AG$40,MATCH(CS_인건비!$A38,'(참조)CS_인건비'!$S$3:$S$40,0),MATCH('(참조)CS_인건비'!AA$2,'(참조)CS_인건비'!$S$2:$AG$2,0)),0)</f>
        <v>3</v>
      </c>
      <c r="Q38" s="71">
        <f>IFERROR(INDEX('(참조)CS_인건비'!$S$3:$AG$40,MATCH(CS_인건비!$A38,'(참조)CS_인건비'!$S$3:$S$40,0),MATCH('(참조)CS_인건비'!AB$2,'(참조)CS_인건비'!$S$2:$AG$2,0)),0)</f>
        <v>3</v>
      </c>
      <c r="R38" s="71">
        <f>IFERROR(INDEX('(참조)CS_인건비'!$S$3:$AG$40,MATCH(CS_인건비!$A38,'(참조)CS_인건비'!$S$3:$S$40,0),MATCH('(참조)CS_인건비'!AC$2,'(참조)CS_인건비'!$S$2:$AG$2,0)),0)</f>
        <v>3</v>
      </c>
      <c r="S38" s="71">
        <f>IFERROR(INDEX('(참조)CS_인건비'!$S$3:$AG$40,MATCH(CS_인건비!$A38,'(참조)CS_인건비'!$S$3:$S$40,0),MATCH('(참조)CS_인건비'!AD$2,'(참조)CS_인건비'!$S$2:$AG$2,0)),0)</f>
        <v>3</v>
      </c>
      <c r="T38" s="71">
        <f>IFERROR(INDEX('(참조)CS_인건비'!$S$3:$AG$40,MATCH(CS_인건비!$A38,'(참조)CS_인건비'!$S$3:$S$40,0),MATCH('(참조)CS_인건비'!AE$2,'(참조)CS_인건비'!$S$2:$AG$2,0)),0)</f>
        <v>3</v>
      </c>
      <c r="U38" s="71">
        <f>IFERROR(INDEX('(참조)CS_인건비'!$S$3:$AG$40,MATCH(CS_인건비!$A38,'(참조)CS_인건비'!$S$3:$S$40,0),MATCH('(참조)CS_인건비'!AF$2,'(참조)CS_인건비'!$S$2:$AG$2,0)),0)</f>
        <v>3</v>
      </c>
      <c r="V38" s="71">
        <f>IFERROR(INDEX('(참조)CS_인건비'!$S$3:$AG$40,MATCH(CS_인건비!$A38,'(참조)CS_인건비'!$S$3:$S$40,0),MATCH('(참조)CS_인건비'!AG$2,'(참조)CS_인건비'!$S$2:$AG$2,0)),0)</f>
        <v>3</v>
      </c>
      <c r="W38" s="71">
        <f>IFERROR(INDEX('(참조)CS_인건비'!$S$3:$AG$40,MATCH(CS_인건비!$A38,'(참조)CS_인건비'!$S$3:$S$40,0),MATCH('(참조)CS_인건비'!AH$2,'(참조)CS_인건비'!$S$2:$AG$2,0)),0)</f>
        <v>0</v>
      </c>
      <c r="X38" s="72">
        <v>0</v>
      </c>
      <c r="Y38" s="72">
        <f>IFERROR(INDEX('(참조)CS_인건비'!$A$3:$O$40,MATCH(CS_인건비!$A38,'(참조)CS_인건비'!$A$3:$A$40,0),MATCH('(참조)CS_인건비'!F$2,'(참조)CS_인건비'!$A$2:$O$2,0)),0)</f>
        <v>2810805</v>
      </c>
      <c r="Z38" s="72">
        <f>IFERROR(INDEX('(참조)CS_인건비'!$A$3:$O$40,MATCH(CS_인건비!$A38,'(참조)CS_인건비'!$A$3:$A$40,0),MATCH('(참조)CS_인건비'!G$2,'(참조)CS_인건비'!$A$2:$O$2,0)),0)</f>
        <v>2881948.6107617998</v>
      </c>
      <c r="AA38" s="72">
        <f>IFERROR(INDEX('(참조)CS_인건비'!$A$3:$O$40,MATCH(CS_인건비!$A38,'(참조)CS_인건비'!$A$3:$A$40,0),MATCH('(참조)CS_인건비'!H$2,'(참조)CS_인건비'!$A$2:$O$2,0)),0)</f>
        <v>2954892.9203811251</v>
      </c>
      <c r="AB38" s="72">
        <f>IFERROR(INDEX('(참조)CS_인건비'!$A$3:$O$40,MATCH(CS_인건비!$A38,'(참조)CS_인건비'!$A$3:$A$40,0),MATCH('(참조)CS_인건비'!I$2,'(참조)CS_인건비'!$A$2:$O$2,0)),0)</f>
        <v>3029683.5059145908</v>
      </c>
      <c r="AC38" s="72">
        <f>IFERROR(INDEX('(참조)CS_인건비'!$A$3:$O$40,MATCH(CS_인건비!$A38,'(참조)CS_인건비'!$A$3:$A$40,0),MATCH('(참조)CS_인건비'!J$2,'(참조)CS_인건비'!$A$2:$O$2,0)),0)</f>
        <v>3106367.0980087537</v>
      </c>
      <c r="AD38" s="72">
        <f>IFERROR(INDEX('(참조)CS_인건비'!$A$3:$O$40,MATCH(CS_인건비!$A38,'(참조)CS_인건비'!$A$3:$A$40,0),MATCH('(참조)CS_인건비'!K$2,'(참조)CS_인건비'!$A$2:$O$2,0)),0)</f>
        <v>3184991.6100983499</v>
      </c>
      <c r="AE38" s="72">
        <f>IFERROR(INDEX('(참조)CS_인건비'!$A$3:$O$40,MATCH(CS_인건비!$A38,'(참조)CS_인건비'!$A$3:$A$40,0),MATCH('(참조)CS_인건비'!L$2,'(참조)CS_인건비'!$A$2:$O$2,0)),0)</f>
        <v>3265606.1683435626</v>
      </c>
      <c r="AF38" s="72">
        <f>IFERROR(INDEX('(참조)CS_인건비'!$A$3:$O$40,MATCH(CS_인건비!$A38,'(참조)CS_인건비'!$A$3:$A$40,0),MATCH('(참조)CS_인건비'!M$2,'(참조)CS_인건비'!$A$2:$O$2,0)),0)</f>
        <v>3348261.142325026</v>
      </c>
      <c r="AG38" s="72">
        <f>IFERROR(INDEX('(참조)CS_인건비'!$A$3:$O$40,MATCH(CS_인건비!$A38,'(참조)CS_인건비'!$A$3:$A$40,0),MATCH('(참조)CS_인건비'!N$2,'(참조)CS_인건비'!$A$2:$O$2,0)),0)</f>
        <v>3433008.1765157403</v>
      </c>
      <c r="AH38" s="72">
        <f>IFERROR(INDEX('(참조)CS_인건비'!$A$3:$O$40,MATCH(CS_인건비!$A38,'(참조)CS_인건비'!$A$3:$A$40,0),MATCH('(참조)CS_인건비'!O$2,'(참조)CS_인건비'!$A$2:$O$2,0)),0)</f>
        <v>3519900.2225495679</v>
      </c>
      <c r="AI38" s="72">
        <f>IFERROR(INDEX('(참조)CS_인건비'!$A$3:$O$40,MATCH(CS_인건비!$A38,'(참조)CS_인건비'!$A$3:$A$40,0),MATCH('(참조)CS_인건비'!P$2,'(참조)CS_인건비'!$A$2:$O$2,0)),0)</f>
        <v>0</v>
      </c>
      <c r="AJ38" s="72">
        <v>12</v>
      </c>
      <c r="AK38" s="72">
        <v>12</v>
      </c>
      <c r="AL38" s="72">
        <v>12</v>
      </c>
      <c r="AM38" s="72">
        <v>12</v>
      </c>
      <c r="AN38" s="72">
        <v>12</v>
      </c>
      <c r="AO38" s="72">
        <v>12</v>
      </c>
      <c r="AP38" s="72">
        <v>12</v>
      </c>
      <c r="AQ38" s="72">
        <v>12</v>
      </c>
      <c r="AR38" s="72">
        <v>12</v>
      </c>
      <c r="AS38" s="72">
        <v>12</v>
      </c>
      <c r="AT38" s="72">
        <v>12</v>
      </c>
      <c r="AU38" s="73">
        <v>1</v>
      </c>
      <c r="AV38" s="70">
        <v>0</v>
      </c>
      <c r="AW38" s="70">
        <v>0</v>
      </c>
      <c r="AX38" s="56">
        <v>1109979475.3763466</v>
      </c>
      <c r="AY38" s="56">
        <v>75891735</v>
      </c>
      <c r="AZ38" s="56">
        <v>103750149.98742484</v>
      </c>
      <c r="BA38" s="56">
        <v>106376145.13372047</v>
      </c>
      <c r="BB38" s="56">
        <v>109068606.21292524</v>
      </c>
      <c r="BC38" s="56">
        <v>111829215.52831511</v>
      </c>
      <c r="BD38" s="56">
        <v>114659697.96354061</v>
      </c>
      <c r="BE38" s="56">
        <v>117561822.06036828</v>
      </c>
      <c r="BF38" s="56">
        <v>120537401.12370092</v>
      </c>
      <c r="BG38" s="56">
        <v>123588294.35456663</v>
      </c>
      <c r="BH38" s="56">
        <v>126716408.01178443</v>
      </c>
      <c r="BI38" s="56">
        <v>0</v>
      </c>
      <c r="BJ38" s="74">
        <v>6324311.25</v>
      </c>
      <c r="BK38" s="56">
        <v>6324311.25</v>
      </c>
      <c r="BL38" s="56">
        <v>6324311.25</v>
      </c>
      <c r="BM38" s="56">
        <v>6324311.25</v>
      </c>
      <c r="BN38" s="56">
        <v>6324311.25</v>
      </c>
      <c r="BO38" s="56">
        <v>6324311.25</v>
      </c>
      <c r="BP38" s="56">
        <v>6324311.25</v>
      </c>
      <c r="BQ38" s="56">
        <v>6324311.25</v>
      </c>
      <c r="BR38" s="56">
        <v>6324311.25</v>
      </c>
      <c r="BS38" s="56">
        <v>6324311.25</v>
      </c>
      <c r="BT38" s="56">
        <v>6324311.25</v>
      </c>
      <c r="BU38" s="56">
        <v>6324311.25</v>
      </c>
      <c r="BV38" s="56">
        <v>8645845.8322854005</v>
      </c>
      <c r="BW38" s="56">
        <v>8645845.8322854005</v>
      </c>
      <c r="BX38" s="56">
        <v>8645845.8322854005</v>
      </c>
      <c r="BY38" s="56">
        <v>8645845.8322854005</v>
      </c>
      <c r="BZ38" s="56">
        <v>8645845.8322854005</v>
      </c>
      <c r="CA38" s="56">
        <v>8645845.8322854005</v>
      </c>
      <c r="CB38" s="56">
        <v>8645845.8322854005</v>
      </c>
      <c r="CC38" s="56">
        <v>8645845.8322854005</v>
      </c>
      <c r="CD38" s="56">
        <v>8645845.8322854005</v>
      </c>
      <c r="CE38" s="56">
        <v>8645845.8322854005</v>
      </c>
      <c r="CF38" s="56">
        <v>8645845.8322854005</v>
      </c>
      <c r="CG38" s="56">
        <v>8645845.8322854005</v>
      </c>
      <c r="CH38" s="56">
        <v>8864678.7611433752</v>
      </c>
      <c r="CI38" s="56">
        <v>8864678.7611433752</v>
      </c>
      <c r="CJ38" s="56">
        <v>8864678.7611433752</v>
      </c>
      <c r="CK38" s="56">
        <v>8864678.7611433752</v>
      </c>
      <c r="CL38" s="56">
        <v>8864678.7611433752</v>
      </c>
      <c r="CM38" s="56">
        <v>8864678.7611433752</v>
      </c>
      <c r="CN38" s="56">
        <v>8864678.7611433752</v>
      </c>
      <c r="CO38" s="56">
        <v>8864678.7611433752</v>
      </c>
      <c r="CP38" s="56">
        <v>8864678.7611433752</v>
      </c>
      <c r="CQ38" s="56">
        <v>8864678.7611433752</v>
      </c>
      <c r="CR38" s="56">
        <v>8864678.7611433752</v>
      </c>
      <c r="CS38" s="56">
        <v>8864678.7611433752</v>
      </c>
      <c r="CT38" s="56">
        <v>9089050.5177437719</v>
      </c>
      <c r="CU38" s="56">
        <v>9089050.5177437719</v>
      </c>
      <c r="CV38" s="56">
        <v>9089050.5177437719</v>
      </c>
      <c r="CW38" s="56">
        <v>9089050.5177437719</v>
      </c>
      <c r="CX38" s="56">
        <v>9089050.5177437719</v>
      </c>
      <c r="CY38" s="56">
        <v>9089050.5177437719</v>
      </c>
      <c r="CZ38" s="56">
        <v>9089050.5177437719</v>
      </c>
      <c r="DA38" s="56">
        <v>9089050.5177437719</v>
      </c>
      <c r="DB38" s="56">
        <v>9089050.5177437719</v>
      </c>
      <c r="DC38" s="56">
        <v>9089050.5177437719</v>
      </c>
      <c r="DD38" s="56">
        <v>9089050.5177437719</v>
      </c>
      <c r="DE38" s="56">
        <v>9089050.5177437719</v>
      </c>
      <c r="DF38" s="56">
        <v>9319101.2940262612</v>
      </c>
      <c r="DG38" s="56">
        <v>9319101.2940262612</v>
      </c>
      <c r="DH38" s="56">
        <v>9319101.2940262612</v>
      </c>
      <c r="DI38" s="56">
        <v>9319101.2940262612</v>
      </c>
      <c r="DJ38" s="56">
        <v>9319101.2940262612</v>
      </c>
      <c r="DK38" s="56">
        <v>9319101.2940262612</v>
      </c>
      <c r="DL38" s="56">
        <v>9319101.2940262612</v>
      </c>
      <c r="DM38" s="56">
        <v>9319101.2940262612</v>
      </c>
      <c r="DN38" s="56">
        <v>9319101.2940262612</v>
      </c>
      <c r="DO38" s="56">
        <v>9319101.2940262612</v>
      </c>
      <c r="DP38" s="56">
        <v>9319101.2940262612</v>
      </c>
      <c r="DQ38" s="56">
        <v>9319101.2940262612</v>
      </c>
      <c r="DR38" s="56">
        <v>9554974.8302950487</v>
      </c>
      <c r="DS38" s="56">
        <v>9554974.8302950487</v>
      </c>
      <c r="DT38" s="56">
        <v>9554974.8302950487</v>
      </c>
      <c r="DU38" s="56">
        <v>9554974.8302950487</v>
      </c>
      <c r="DV38" s="56">
        <v>9554974.8302950487</v>
      </c>
      <c r="DW38" s="56">
        <v>9554974.8302950487</v>
      </c>
      <c r="DX38" s="56">
        <v>9554974.8302950487</v>
      </c>
      <c r="DY38" s="56">
        <v>9554974.8302950487</v>
      </c>
      <c r="DZ38" s="56">
        <v>9554974.8302950487</v>
      </c>
      <c r="EA38" s="56">
        <v>9554974.8302950487</v>
      </c>
      <c r="EB38" s="56">
        <v>9554974.8302950487</v>
      </c>
      <c r="EC38" s="56">
        <v>9554974.8302950487</v>
      </c>
      <c r="ED38" s="56">
        <v>9796818.5050306879</v>
      </c>
      <c r="EE38" s="56">
        <v>9796818.5050306879</v>
      </c>
      <c r="EF38" s="56">
        <v>9796818.5050306879</v>
      </c>
      <c r="EG38" s="56">
        <v>9796818.5050306879</v>
      </c>
      <c r="EH38" s="56">
        <v>9796818.5050306879</v>
      </c>
      <c r="EI38" s="56">
        <v>9796818.5050306879</v>
      </c>
      <c r="EJ38" s="56">
        <v>9796818.5050306879</v>
      </c>
      <c r="EK38" s="56">
        <v>9796818.5050306879</v>
      </c>
      <c r="EL38" s="56">
        <v>9796818.5050306879</v>
      </c>
      <c r="EM38" s="56">
        <v>9796818.5050306879</v>
      </c>
      <c r="EN38" s="56">
        <v>9796818.5050306879</v>
      </c>
      <c r="EO38" s="56">
        <v>9796818.5050306879</v>
      </c>
      <c r="EP38" s="56">
        <v>10044783.426975079</v>
      </c>
      <c r="EQ38" s="56">
        <v>10044783.426975079</v>
      </c>
      <c r="ER38" s="56">
        <v>10044783.426975079</v>
      </c>
      <c r="ES38" s="56">
        <v>10044783.426975079</v>
      </c>
      <c r="ET38" s="56">
        <v>10044783.426975079</v>
      </c>
      <c r="EU38" s="56">
        <v>10044783.426975079</v>
      </c>
      <c r="EV38" s="56">
        <v>10044783.426975079</v>
      </c>
      <c r="EW38" s="56">
        <v>10044783.426975079</v>
      </c>
      <c r="EX38" s="56">
        <v>10044783.426975079</v>
      </c>
      <c r="EY38" s="56">
        <v>10044783.426975079</v>
      </c>
      <c r="EZ38" s="56">
        <v>10044783.426975079</v>
      </c>
      <c r="FA38" s="56">
        <v>10044783.426975079</v>
      </c>
      <c r="FB38" s="56">
        <v>10299024.529547222</v>
      </c>
      <c r="FC38" s="56">
        <v>10299024.529547222</v>
      </c>
      <c r="FD38" s="56">
        <v>10299024.529547222</v>
      </c>
      <c r="FE38" s="56">
        <v>10299024.529547222</v>
      </c>
      <c r="FF38" s="56">
        <v>10299024.529547222</v>
      </c>
      <c r="FG38" s="56">
        <v>10299024.529547222</v>
      </c>
      <c r="FH38" s="56">
        <v>10299024.529547222</v>
      </c>
      <c r="FI38" s="56">
        <v>10299024.529547222</v>
      </c>
      <c r="FJ38" s="56">
        <v>10299024.529547222</v>
      </c>
      <c r="FK38" s="56">
        <v>10299024.529547222</v>
      </c>
      <c r="FL38" s="56">
        <v>10299024.529547222</v>
      </c>
      <c r="FM38" s="56">
        <v>10299024.529547222</v>
      </c>
      <c r="FN38" s="56">
        <v>10559700.667648703</v>
      </c>
      <c r="FO38" s="56">
        <v>10559700.667648703</v>
      </c>
      <c r="FP38" s="56">
        <v>10559700.667648703</v>
      </c>
      <c r="FQ38" s="56">
        <v>10559700.667648703</v>
      </c>
      <c r="FR38" s="56">
        <v>10559700.667648703</v>
      </c>
      <c r="FS38" s="56">
        <v>10559700.667648703</v>
      </c>
      <c r="FT38" s="56">
        <v>10559700.667648703</v>
      </c>
      <c r="FU38" s="56">
        <v>10559700.667648703</v>
      </c>
      <c r="FV38" s="56">
        <v>10559700.667648703</v>
      </c>
      <c r="FW38" s="56">
        <v>10559700.667648703</v>
      </c>
      <c r="FX38" s="56">
        <v>10559700.667648703</v>
      </c>
      <c r="FY38" s="56">
        <v>10559700.667648703</v>
      </c>
      <c r="FZ38" s="56">
        <v>0</v>
      </c>
      <c r="GA38" s="56">
        <v>0</v>
      </c>
      <c r="GB38" s="56">
        <v>0</v>
      </c>
      <c r="GC38" s="56">
        <v>0</v>
      </c>
      <c r="GD38" s="56">
        <v>0</v>
      </c>
      <c r="GE38" s="56">
        <v>0</v>
      </c>
      <c r="GF38" s="56">
        <v>0</v>
      </c>
      <c r="GG38" s="56">
        <v>0</v>
      </c>
      <c r="GH38" s="56">
        <v>0</v>
      </c>
      <c r="GI38" s="56">
        <v>0</v>
      </c>
      <c r="GJ38" s="56">
        <v>0</v>
      </c>
      <c r="GK38" s="85">
        <v>0</v>
      </c>
      <c r="GL38" s="40"/>
    </row>
    <row r="39" spans="1:194" x14ac:dyDescent="0.4">
      <c r="A39" s="84" t="s">
        <v>312</v>
      </c>
      <c r="B39" s="70" t="s">
        <v>316</v>
      </c>
      <c r="C39" s="70" t="s">
        <v>398</v>
      </c>
      <c r="D39" s="70" t="s">
        <v>209</v>
      </c>
      <c r="E39" s="70" t="s">
        <v>193</v>
      </c>
      <c r="F39" s="70" t="s">
        <v>296</v>
      </c>
      <c r="G39" s="70" t="s">
        <v>297</v>
      </c>
      <c r="H39" s="70">
        <v>0</v>
      </c>
      <c r="I39" s="70">
        <v>0</v>
      </c>
      <c r="J39" s="70" t="s">
        <v>210</v>
      </c>
      <c r="K39" s="70">
        <v>0</v>
      </c>
      <c r="L39" s="70" t="s">
        <v>211</v>
      </c>
      <c r="M39" s="71">
        <f>IFERROR(INDEX('(참조)CS_인건비'!$S$3:$AG$40,MATCH(CS_인건비!$A39,'(참조)CS_인건비'!$S$3:$S$40,0),MATCH('(참조)CS_인건비'!X$2,'(참조)CS_인건비'!$S$2:$AG$2,0)),0)</f>
        <v>0.58333333333333337</v>
      </c>
      <c r="N39" s="71">
        <f>IFERROR(INDEX('(참조)CS_인건비'!$S$3:$AG$40,MATCH(CS_인건비!$A39,'(참조)CS_인건비'!$S$3:$S$40,0),MATCH('(참조)CS_인건비'!Y$2,'(참조)CS_인건비'!$S$2:$AG$2,0)),0)</f>
        <v>0.58333333333333337</v>
      </c>
      <c r="O39" s="71">
        <f>IFERROR(INDEX('(참조)CS_인건비'!$S$3:$AG$40,MATCH(CS_인건비!$A39,'(참조)CS_인건비'!$S$3:$S$40,0),MATCH('(참조)CS_인건비'!Z$2,'(참조)CS_인건비'!$S$2:$AG$2,0)),0)</f>
        <v>0.58333333333333337</v>
      </c>
      <c r="P39" s="71">
        <f>IFERROR(INDEX('(참조)CS_인건비'!$S$3:$AG$40,MATCH(CS_인건비!$A39,'(참조)CS_인건비'!$S$3:$S$40,0),MATCH('(참조)CS_인건비'!AA$2,'(참조)CS_인건비'!$S$2:$AG$2,0)),0)</f>
        <v>0.58333333333333337</v>
      </c>
      <c r="Q39" s="71">
        <f>IFERROR(INDEX('(참조)CS_인건비'!$S$3:$AG$40,MATCH(CS_인건비!$A39,'(참조)CS_인건비'!$S$3:$S$40,0),MATCH('(참조)CS_인건비'!AB$2,'(참조)CS_인건비'!$S$2:$AG$2,0)),0)</f>
        <v>0.58333333333333337</v>
      </c>
      <c r="R39" s="71">
        <f>IFERROR(INDEX('(참조)CS_인건비'!$S$3:$AG$40,MATCH(CS_인건비!$A39,'(참조)CS_인건비'!$S$3:$S$40,0),MATCH('(참조)CS_인건비'!AC$2,'(참조)CS_인건비'!$S$2:$AG$2,0)),0)</f>
        <v>0.58333333333333337</v>
      </c>
      <c r="S39" s="71">
        <f>IFERROR(INDEX('(참조)CS_인건비'!$S$3:$AG$40,MATCH(CS_인건비!$A39,'(참조)CS_인건비'!$S$3:$S$40,0),MATCH('(참조)CS_인건비'!AD$2,'(참조)CS_인건비'!$S$2:$AG$2,0)),0)</f>
        <v>0.58333333333333337</v>
      </c>
      <c r="T39" s="71">
        <f>IFERROR(INDEX('(참조)CS_인건비'!$S$3:$AG$40,MATCH(CS_인건비!$A39,'(참조)CS_인건비'!$S$3:$S$40,0),MATCH('(참조)CS_인건비'!AE$2,'(참조)CS_인건비'!$S$2:$AG$2,0)),0)</f>
        <v>0.58333333333333337</v>
      </c>
      <c r="U39" s="71">
        <f>IFERROR(INDEX('(참조)CS_인건비'!$S$3:$AG$40,MATCH(CS_인건비!$A39,'(참조)CS_인건비'!$S$3:$S$40,0),MATCH('(참조)CS_인건비'!AF$2,'(참조)CS_인건비'!$S$2:$AG$2,0)),0)</f>
        <v>0.58333333333333337</v>
      </c>
      <c r="V39" s="71">
        <f>IFERROR(INDEX('(참조)CS_인건비'!$S$3:$AG$40,MATCH(CS_인건비!$A39,'(참조)CS_인건비'!$S$3:$S$40,0),MATCH('(참조)CS_인건비'!AG$2,'(참조)CS_인건비'!$S$2:$AG$2,0)),0)</f>
        <v>0.58333333333333337</v>
      </c>
      <c r="W39" s="71">
        <f>IFERROR(INDEX('(참조)CS_인건비'!$S$3:$AG$40,MATCH(CS_인건비!$A39,'(참조)CS_인건비'!$S$3:$S$40,0),MATCH('(참조)CS_인건비'!AH$2,'(참조)CS_인건비'!$S$2:$AG$2,0)),0)</f>
        <v>0</v>
      </c>
      <c r="X39" s="72">
        <v>0</v>
      </c>
      <c r="Y39" s="72">
        <f>IFERROR(INDEX('(참조)CS_인건비'!$A$3:$O$40,MATCH(CS_인건비!$A39,'(참조)CS_인건비'!$A$3:$A$40,0),MATCH('(참조)CS_인건비'!F$2,'(참조)CS_인건비'!$A$2:$O$2,0)),0)</f>
        <v>2839546</v>
      </c>
      <c r="Z39" s="72">
        <f>IFERROR(INDEX('(참조)CS_인건비'!$A$3:$O$40,MATCH(CS_인건비!$A39,'(참조)CS_인건비'!$A$3:$A$40,0),MATCH('(참조)CS_인건비'!G$2,'(참조)CS_인건비'!$A$2:$O$2,0)),0)</f>
        <v>2911417.0673149601</v>
      </c>
      <c r="AA39" s="72">
        <f>IFERROR(INDEX('(참조)CS_인건비'!$A$3:$O$40,MATCH(CS_인건비!$A39,'(참조)CS_인건비'!$A$3:$A$40,0),MATCH('(참조)CS_인건비'!H$2,'(참조)CS_인건비'!$A$2:$O$2,0)),0)</f>
        <v>2985107.2459656727</v>
      </c>
      <c r="AB39" s="72">
        <f>IFERROR(INDEX('(참조)CS_인건비'!$A$3:$O$40,MATCH(CS_인건비!$A39,'(참조)CS_인건비'!$A$3:$A$40,0),MATCH('(참조)CS_인건비'!I$2,'(참조)CS_인건비'!$A$2:$O$2,0)),0)</f>
        <v>3060662.5790425707</v>
      </c>
      <c r="AC39" s="72">
        <f>IFERROR(INDEX('(참조)CS_인건비'!$A$3:$O$40,MATCH(CS_인건비!$A39,'(참조)CS_인건비'!$A$3:$A$40,0),MATCH('(참조)CS_인건비'!J$2,'(참조)CS_인건비'!$A$2:$O$2,0)),0)</f>
        <v>3138130.2750216983</v>
      </c>
      <c r="AD39" s="72">
        <f>IFERROR(INDEX('(참조)CS_인건비'!$A$3:$O$40,MATCH(CS_인건비!$A39,'(참조)CS_인건비'!$A$3:$A$40,0),MATCH('(참조)CS_인건비'!K$2,'(참조)CS_인건비'!$A$2:$O$2,0)),0)</f>
        <v>3217558.7372615063</v>
      </c>
      <c r="AE39" s="72">
        <f>IFERROR(INDEX('(참조)CS_인건비'!$A$3:$O$40,MATCH(CS_인건비!$A39,'(참조)CS_인건비'!$A$3:$A$40,0),MATCH('(참조)CS_인건비'!L$2,'(참조)CS_인건비'!$A$2:$O$2,0)),0)</f>
        <v>3298997.5942462352</v>
      </c>
      <c r="AF39" s="72">
        <f>IFERROR(INDEX('(참조)CS_인건비'!$A$3:$O$40,MATCH(CS_인건비!$A39,'(참조)CS_인건비'!$A$3:$A$40,0),MATCH('(참조)CS_인건비'!M$2,'(참조)CS_인건비'!$A$2:$O$2,0)),0)</f>
        <v>3382497.7305947789</v>
      </c>
      <c r="AG39" s="72">
        <f>IFERROR(INDEX('(참조)CS_인건비'!$A$3:$O$40,MATCH(CS_인건비!$A39,'(참조)CS_인건비'!$A$3:$A$40,0),MATCH('(참조)CS_인건비'!N$2,'(참조)CS_인건비'!$A$2:$O$2,0)),0)</f>
        <v>3468111.3188544079</v>
      </c>
      <c r="AH39" s="72">
        <f>IFERROR(INDEX('(참조)CS_인건비'!$A$3:$O$40,MATCH(CS_인건비!$A39,'(참조)CS_인건비'!$A$3:$A$40,0),MATCH('(참조)CS_인건비'!O$2,'(참조)CS_인건비'!$A$2:$O$2,0)),0)</f>
        <v>3555891.8520992151</v>
      </c>
      <c r="AI39" s="72">
        <f>IFERROR(INDEX('(참조)CS_인건비'!$A$3:$O$40,MATCH(CS_인건비!$A39,'(참조)CS_인건비'!$A$3:$A$40,0),MATCH('(참조)CS_인건비'!P$2,'(참조)CS_인건비'!$A$2:$O$2,0)),0)</f>
        <v>0</v>
      </c>
      <c r="AJ39" s="72">
        <v>12</v>
      </c>
      <c r="AK39" s="72">
        <v>12</v>
      </c>
      <c r="AL39" s="72">
        <v>12</v>
      </c>
      <c r="AM39" s="72">
        <v>12</v>
      </c>
      <c r="AN39" s="72">
        <v>12</v>
      </c>
      <c r="AO39" s="72">
        <v>12</v>
      </c>
      <c r="AP39" s="72">
        <v>12</v>
      </c>
      <c r="AQ39" s="72">
        <v>12</v>
      </c>
      <c r="AR39" s="72">
        <v>12</v>
      </c>
      <c r="AS39" s="72">
        <v>12</v>
      </c>
      <c r="AT39" s="72">
        <v>12</v>
      </c>
      <c r="AU39" s="73">
        <v>1</v>
      </c>
      <c r="AV39" s="70">
        <v>0</v>
      </c>
      <c r="AW39" s="70">
        <v>0</v>
      </c>
      <c r="AX39" s="56">
        <v>223005442.80280733</v>
      </c>
      <c r="AY39" s="56">
        <v>19876822.000000004</v>
      </c>
      <c r="AZ39" s="56">
        <v>20379919.47120472</v>
      </c>
      <c r="BA39" s="56">
        <v>20895750.721759707</v>
      </c>
      <c r="BB39" s="56">
        <v>21424638.053297997</v>
      </c>
      <c r="BC39" s="56">
        <v>21966911.925151888</v>
      </c>
      <c r="BD39" s="56">
        <v>22522911.160830542</v>
      </c>
      <c r="BE39" s="56">
        <v>23092983.159723654</v>
      </c>
      <c r="BF39" s="56">
        <v>23677484.114163455</v>
      </c>
      <c r="BG39" s="56">
        <v>24276779.23198086</v>
      </c>
      <c r="BH39" s="56">
        <v>24891242.964694515</v>
      </c>
      <c r="BI39" s="56">
        <v>0</v>
      </c>
      <c r="BJ39" s="74">
        <v>1656401.8333333335</v>
      </c>
      <c r="BK39" s="56">
        <v>1656401.8333333335</v>
      </c>
      <c r="BL39" s="56">
        <v>1656401.8333333335</v>
      </c>
      <c r="BM39" s="56">
        <v>1656401.8333333335</v>
      </c>
      <c r="BN39" s="56">
        <v>1656401.8333333335</v>
      </c>
      <c r="BO39" s="56">
        <v>1656401.8333333335</v>
      </c>
      <c r="BP39" s="56">
        <v>1656401.8333333335</v>
      </c>
      <c r="BQ39" s="56">
        <v>1656401.8333333335</v>
      </c>
      <c r="BR39" s="56">
        <v>1656401.8333333335</v>
      </c>
      <c r="BS39" s="56">
        <v>1656401.8333333335</v>
      </c>
      <c r="BT39" s="56">
        <v>1656401.8333333335</v>
      </c>
      <c r="BU39" s="56">
        <v>1656401.8333333335</v>
      </c>
      <c r="BV39" s="56">
        <v>1698326.6226003934</v>
      </c>
      <c r="BW39" s="56">
        <v>1698326.6226003934</v>
      </c>
      <c r="BX39" s="56">
        <v>1698326.6226003934</v>
      </c>
      <c r="BY39" s="56">
        <v>1698326.6226003934</v>
      </c>
      <c r="BZ39" s="56">
        <v>1698326.6226003934</v>
      </c>
      <c r="CA39" s="56">
        <v>1698326.6226003934</v>
      </c>
      <c r="CB39" s="56">
        <v>1698326.6226003934</v>
      </c>
      <c r="CC39" s="56">
        <v>1698326.6226003934</v>
      </c>
      <c r="CD39" s="56">
        <v>1698326.6226003934</v>
      </c>
      <c r="CE39" s="56">
        <v>1698326.6226003934</v>
      </c>
      <c r="CF39" s="56">
        <v>1698326.6226003934</v>
      </c>
      <c r="CG39" s="56">
        <v>1698326.6226003934</v>
      </c>
      <c r="CH39" s="56">
        <v>1741312.5601466424</v>
      </c>
      <c r="CI39" s="56">
        <v>1741312.5601466424</v>
      </c>
      <c r="CJ39" s="56">
        <v>1741312.5601466424</v>
      </c>
      <c r="CK39" s="56">
        <v>1741312.5601466424</v>
      </c>
      <c r="CL39" s="56">
        <v>1741312.5601466424</v>
      </c>
      <c r="CM39" s="56">
        <v>1741312.5601466424</v>
      </c>
      <c r="CN39" s="56">
        <v>1741312.5601466424</v>
      </c>
      <c r="CO39" s="56">
        <v>1741312.5601466424</v>
      </c>
      <c r="CP39" s="56">
        <v>1741312.5601466424</v>
      </c>
      <c r="CQ39" s="56">
        <v>1741312.5601466424</v>
      </c>
      <c r="CR39" s="56">
        <v>1741312.5601466424</v>
      </c>
      <c r="CS39" s="56">
        <v>1741312.5601466424</v>
      </c>
      <c r="CT39" s="56">
        <v>1785386.5044414997</v>
      </c>
      <c r="CU39" s="56">
        <v>1785386.5044414997</v>
      </c>
      <c r="CV39" s="56">
        <v>1785386.5044414997</v>
      </c>
      <c r="CW39" s="56">
        <v>1785386.5044414997</v>
      </c>
      <c r="CX39" s="56">
        <v>1785386.5044414997</v>
      </c>
      <c r="CY39" s="56">
        <v>1785386.5044414997</v>
      </c>
      <c r="CZ39" s="56">
        <v>1785386.5044414997</v>
      </c>
      <c r="DA39" s="56">
        <v>1785386.5044414997</v>
      </c>
      <c r="DB39" s="56">
        <v>1785386.5044414997</v>
      </c>
      <c r="DC39" s="56">
        <v>1785386.5044414997</v>
      </c>
      <c r="DD39" s="56">
        <v>1785386.5044414997</v>
      </c>
      <c r="DE39" s="56">
        <v>1785386.5044414997</v>
      </c>
      <c r="DF39" s="56">
        <v>1830575.9937626575</v>
      </c>
      <c r="DG39" s="56">
        <v>1830575.9937626575</v>
      </c>
      <c r="DH39" s="56">
        <v>1830575.9937626575</v>
      </c>
      <c r="DI39" s="56">
        <v>1830575.9937626575</v>
      </c>
      <c r="DJ39" s="56">
        <v>1830575.9937626575</v>
      </c>
      <c r="DK39" s="56">
        <v>1830575.9937626575</v>
      </c>
      <c r="DL39" s="56">
        <v>1830575.9937626575</v>
      </c>
      <c r="DM39" s="56">
        <v>1830575.9937626575</v>
      </c>
      <c r="DN39" s="56">
        <v>1830575.9937626575</v>
      </c>
      <c r="DO39" s="56">
        <v>1830575.9937626575</v>
      </c>
      <c r="DP39" s="56">
        <v>1830575.9937626575</v>
      </c>
      <c r="DQ39" s="56">
        <v>1830575.9937626575</v>
      </c>
      <c r="DR39" s="56">
        <v>1876909.2634025454</v>
      </c>
      <c r="DS39" s="56">
        <v>1876909.2634025454</v>
      </c>
      <c r="DT39" s="56">
        <v>1876909.2634025454</v>
      </c>
      <c r="DU39" s="56">
        <v>1876909.2634025454</v>
      </c>
      <c r="DV39" s="56">
        <v>1876909.2634025454</v>
      </c>
      <c r="DW39" s="56">
        <v>1876909.2634025454</v>
      </c>
      <c r="DX39" s="56">
        <v>1876909.2634025454</v>
      </c>
      <c r="DY39" s="56">
        <v>1876909.2634025454</v>
      </c>
      <c r="DZ39" s="56">
        <v>1876909.2634025454</v>
      </c>
      <c r="EA39" s="56">
        <v>1876909.2634025454</v>
      </c>
      <c r="EB39" s="56">
        <v>1876909.2634025454</v>
      </c>
      <c r="EC39" s="56">
        <v>1876909.2634025454</v>
      </c>
      <c r="ED39" s="56">
        <v>1924415.2633103039</v>
      </c>
      <c r="EE39" s="56">
        <v>1924415.2633103039</v>
      </c>
      <c r="EF39" s="56">
        <v>1924415.2633103039</v>
      </c>
      <c r="EG39" s="56">
        <v>1924415.2633103039</v>
      </c>
      <c r="EH39" s="56">
        <v>1924415.2633103039</v>
      </c>
      <c r="EI39" s="56">
        <v>1924415.2633103039</v>
      </c>
      <c r="EJ39" s="56">
        <v>1924415.2633103039</v>
      </c>
      <c r="EK39" s="56">
        <v>1924415.2633103039</v>
      </c>
      <c r="EL39" s="56">
        <v>1924415.2633103039</v>
      </c>
      <c r="EM39" s="56">
        <v>1924415.2633103039</v>
      </c>
      <c r="EN39" s="56">
        <v>1924415.2633103039</v>
      </c>
      <c r="EO39" s="56">
        <v>1924415.2633103039</v>
      </c>
      <c r="EP39" s="56">
        <v>1973123.6761802877</v>
      </c>
      <c r="EQ39" s="56">
        <v>1973123.6761802877</v>
      </c>
      <c r="ER39" s="56">
        <v>1973123.6761802877</v>
      </c>
      <c r="ES39" s="56">
        <v>1973123.6761802877</v>
      </c>
      <c r="ET39" s="56">
        <v>1973123.6761802877</v>
      </c>
      <c r="EU39" s="56">
        <v>1973123.6761802877</v>
      </c>
      <c r="EV39" s="56">
        <v>1973123.6761802877</v>
      </c>
      <c r="EW39" s="56">
        <v>1973123.6761802877</v>
      </c>
      <c r="EX39" s="56">
        <v>1973123.6761802877</v>
      </c>
      <c r="EY39" s="56">
        <v>1973123.6761802877</v>
      </c>
      <c r="EZ39" s="56">
        <v>1973123.6761802877</v>
      </c>
      <c r="FA39" s="56">
        <v>1973123.6761802877</v>
      </c>
      <c r="FB39" s="56">
        <v>2023064.9359984046</v>
      </c>
      <c r="FC39" s="56">
        <v>2023064.9359984046</v>
      </c>
      <c r="FD39" s="56">
        <v>2023064.9359984046</v>
      </c>
      <c r="FE39" s="56">
        <v>2023064.9359984046</v>
      </c>
      <c r="FF39" s="56">
        <v>2023064.9359984046</v>
      </c>
      <c r="FG39" s="56">
        <v>2023064.9359984046</v>
      </c>
      <c r="FH39" s="56">
        <v>2023064.9359984046</v>
      </c>
      <c r="FI39" s="56">
        <v>2023064.9359984046</v>
      </c>
      <c r="FJ39" s="56">
        <v>2023064.9359984046</v>
      </c>
      <c r="FK39" s="56">
        <v>2023064.9359984046</v>
      </c>
      <c r="FL39" s="56">
        <v>2023064.9359984046</v>
      </c>
      <c r="FM39" s="56">
        <v>2023064.9359984046</v>
      </c>
      <c r="FN39" s="56">
        <v>2074270.2470578756</v>
      </c>
      <c r="FO39" s="56">
        <v>2074270.2470578756</v>
      </c>
      <c r="FP39" s="56">
        <v>2074270.2470578756</v>
      </c>
      <c r="FQ39" s="56">
        <v>2074270.2470578756</v>
      </c>
      <c r="FR39" s="56">
        <v>2074270.2470578756</v>
      </c>
      <c r="FS39" s="56">
        <v>2074270.2470578756</v>
      </c>
      <c r="FT39" s="56">
        <v>2074270.2470578756</v>
      </c>
      <c r="FU39" s="56">
        <v>2074270.2470578756</v>
      </c>
      <c r="FV39" s="56">
        <v>2074270.2470578756</v>
      </c>
      <c r="FW39" s="56">
        <v>2074270.2470578756</v>
      </c>
      <c r="FX39" s="56">
        <v>2074270.2470578756</v>
      </c>
      <c r="FY39" s="56">
        <v>2074270.2470578756</v>
      </c>
      <c r="FZ39" s="56">
        <v>0</v>
      </c>
      <c r="GA39" s="56">
        <v>0</v>
      </c>
      <c r="GB39" s="56">
        <v>0</v>
      </c>
      <c r="GC39" s="56">
        <v>0</v>
      </c>
      <c r="GD39" s="56">
        <v>0</v>
      </c>
      <c r="GE39" s="56">
        <v>0</v>
      </c>
      <c r="GF39" s="56">
        <v>0</v>
      </c>
      <c r="GG39" s="56">
        <v>0</v>
      </c>
      <c r="GH39" s="56">
        <v>0</v>
      </c>
      <c r="GI39" s="56">
        <v>0</v>
      </c>
      <c r="GJ39" s="56">
        <v>0</v>
      </c>
      <c r="GK39" s="85">
        <v>0</v>
      </c>
      <c r="GL39" s="40"/>
    </row>
    <row r="40" spans="1:194" x14ac:dyDescent="0.4">
      <c r="A40" s="84" t="s">
        <v>313</v>
      </c>
      <c r="B40" s="70" t="s">
        <v>316</v>
      </c>
      <c r="C40" s="70" t="s">
        <v>398</v>
      </c>
      <c r="D40" s="70" t="s">
        <v>209</v>
      </c>
      <c r="E40" s="70" t="s">
        <v>175</v>
      </c>
      <c r="F40" s="70" t="s">
        <v>296</v>
      </c>
      <c r="G40" s="70" t="s">
        <v>298</v>
      </c>
      <c r="H40" s="70">
        <v>0</v>
      </c>
      <c r="I40" s="70">
        <v>0</v>
      </c>
      <c r="J40" s="70" t="s">
        <v>210</v>
      </c>
      <c r="K40" s="70">
        <v>0</v>
      </c>
      <c r="L40" s="70" t="s">
        <v>211</v>
      </c>
      <c r="M40" s="71">
        <f>IFERROR(INDEX('(참조)CS_인건비'!$S$3:$AG$40,MATCH(CS_인건비!$A40,'(참조)CS_인건비'!$S$3:$S$40,0),MATCH('(참조)CS_인건비'!X$2,'(참조)CS_인건비'!$S$2:$AG$2,0)),0)</f>
        <v>2.9166666666666665</v>
      </c>
      <c r="N40" s="71">
        <f>IFERROR(INDEX('(참조)CS_인건비'!$S$3:$AG$40,MATCH(CS_인건비!$A40,'(참조)CS_인건비'!$S$3:$S$40,0),MATCH('(참조)CS_인건비'!Y$2,'(참조)CS_인건비'!$S$2:$AG$2,0)),0)</f>
        <v>2.9166666666666665</v>
      </c>
      <c r="O40" s="71">
        <f>IFERROR(INDEX('(참조)CS_인건비'!$S$3:$AG$40,MATCH(CS_인건비!$A40,'(참조)CS_인건비'!$S$3:$S$40,0),MATCH('(참조)CS_인건비'!Z$2,'(참조)CS_인건비'!$S$2:$AG$2,0)),0)</f>
        <v>2.9166666666666665</v>
      </c>
      <c r="P40" s="71">
        <f>IFERROR(INDEX('(참조)CS_인건비'!$S$3:$AG$40,MATCH(CS_인건비!$A40,'(참조)CS_인건비'!$S$3:$S$40,0),MATCH('(참조)CS_인건비'!AA$2,'(참조)CS_인건비'!$S$2:$AG$2,0)),0)</f>
        <v>2.9166666666666665</v>
      </c>
      <c r="Q40" s="71">
        <f>IFERROR(INDEX('(참조)CS_인건비'!$S$3:$AG$40,MATCH(CS_인건비!$A40,'(참조)CS_인건비'!$S$3:$S$40,0),MATCH('(참조)CS_인건비'!AB$2,'(참조)CS_인건비'!$S$2:$AG$2,0)),0)</f>
        <v>2.9166666666666665</v>
      </c>
      <c r="R40" s="71">
        <f>IFERROR(INDEX('(참조)CS_인건비'!$S$3:$AG$40,MATCH(CS_인건비!$A40,'(참조)CS_인건비'!$S$3:$S$40,0),MATCH('(참조)CS_인건비'!AC$2,'(참조)CS_인건비'!$S$2:$AG$2,0)),0)</f>
        <v>2.9166666666666665</v>
      </c>
      <c r="S40" s="71">
        <f>IFERROR(INDEX('(참조)CS_인건비'!$S$3:$AG$40,MATCH(CS_인건비!$A40,'(참조)CS_인건비'!$S$3:$S$40,0),MATCH('(참조)CS_인건비'!AD$2,'(참조)CS_인건비'!$S$2:$AG$2,0)),0)</f>
        <v>2.9166666666666665</v>
      </c>
      <c r="T40" s="71">
        <f>IFERROR(INDEX('(참조)CS_인건비'!$S$3:$AG$40,MATCH(CS_인건비!$A40,'(참조)CS_인건비'!$S$3:$S$40,0),MATCH('(참조)CS_인건비'!AE$2,'(참조)CS_인건비'!$S$2:$AG$2,0)),0)</f>
        <v>2.9166666666666665</v>
      </c>
      <c r="U40" s="71">
        <f>IFERROR(INDEX('(참조)CS_인건비'!$S$3:$AG$40,MATCH(CS_인건비!$A40,'(참조)CS_인건비'!$S$3:$S$40,0),MATCH('(참조)CS_인건비'!AF$2,'(참조)CS_인건비'!$S$2:$AG$2,0)),0)</f>
        <v>2.9166666666666665</v>
      </c>
      <c r="V40" s="71">
        <f>IFERROR(INDEX('(참조)CS_인건비'!$S$3:$AG$40,MATCH(CS_인건비!$A40,'(참조)CS_인건비'!$S$3:$S$40,0),MATCH('(참조)CS_인건비'!AG$2,'(참조)CS_인건비'!$S$2:$AG$2,0)),0)</f>
        <v>2.9166666666666665</v>
      </c>
      <c r="W40" s="71">
        <f>IFERROR(INDEX('(참조)CS_인건비'!$S$3:$AG$40,MATCH(CS_인건비!$A40,'(참조)CS_인건비'!$S$3:$S$40,0),MATCH('(참조)CS_인건비'!AH$2,'(참조)CS_인건비'!$S$2:$AG$2,0)),0)</f>
        <v>0</v>
      </c>
      <c r="X40" s="72">
        <v>0</v>
      </c>
      <c r="Y40" s="72">
        <f>IFERROR(INDEX('(참조)CS_인건비'!$A$3:$O$40,MATCH(CS_인건비!$A40,'(참조)CS_인건비'!$A$3:$A$40,0),MATCH('(참조)CS_인건비'!F$2,'(참조)CS_인건비'!$A$2:$O$2,0)),0)</f>
        <v>2475401</v>
      </c>
      <c r="Z40" s="72">
        <f>IFERROR(INDEX('(참조)CS_인건비'!$A$3:$O$40,MATCH(CS_인건비!$A40,'(참조)CS_인건비'!$A$3:$A$40,0),MATCH('(참조)CS_인건비'!G$2,'(참조)CS_인건비'!$A$2:$O$2,0)),0)</f>
        <v>2538055.2806147598</v>
      </c>
      <c r="AA40" s="72">
        <f>IFERROR(INDEX('(참조)CS_인건비'!$A$3:$O$40,MATCH(CS_인건비!$A40,'(참조)CS_인건비'!$A$3:$A$40,0),MATCH('(참조)CS_인건비'!H$2,'(참조)CS_인건비'!$A$2:$O$2,0)),0)</f>
        <v>2602295.3886891324</v>
      </c>
      <c r="AB40" s="72">
        <f>IFERROR(INDEX('(참조)CS_인건비'!$A$3:$O$40,MATCH(CS_인건비!$A40,'(참조)CS_인건비'!$A$3:$A$40,0),MATCH('(참조)CS_인건비'!I$2,'(참조)CS_인건비'!$A$2:$O$2,0)),0)</f>
        <v>2668161.4627213497</v>
      </c>
      <c r="AC40" s="72">
        <f>IFERROR(INDEX('(참조)CS_인건비'!$A$3:$O$40,MATCH(CS_인건비!$A40,'(참조)CS_인건비'!$A$3:$A$40,0),MATCH('(참조)CS_인건비'!J$2,'(참조)CS_인건비'!$A$2:$O$2,0)),0)</f>
        <v>2735694.6571455388</v>
      </c>
      <c r="AD40" s="72">
        <f>IFERROR(INDEX('(참조)CS_인건비'!$A$3:$O$40,MATCH(CS_인건비!$A40,'(참조)CS_인건비'!$A$3:$A$40,0),MATCH('(참조)CS_인건비'!K$2,'(참조)CS_인건비'!$A$2:$O$2,0)),0)</f>
        <v>2804937.1680458318</v>
      </c>
      <c r="AE40" s="72">
        <f>IFERROR(INDEX('(참조)CS_인건비'!$A$3:$O$40,MATCH(CS_인건비!$A40,'(참조)CS_인건비'!$A$3:$A$40,0),MATCH('(참조)CS_인건비'!L$2,'(참조)CS_인건비'!$A$2:$O$2,0)),0)</f>
        <v>2875932.2595213195</v>
      </c>
      <c r="AF40" s="72">
        <f>IFERROR(INDEX('(참조)CS_인건비'!$A$3:$O$40,MATCH(CS_인건비!$A40,'(참조)CS_인건비'!$A$3:$A$40,0),MATCH('(참조)CS_인건비'!M$2,'(참조)CS_인건비'!$A$2:$O$2,0)),0)</f>
        <v>2948724.2907183212</v>
      </c>
      <c r="AG40" s="72">
        <f>IFERROR(INDEX('(참조)CS_인건비'!$A$3:$O$40,MATCH(CS_인건비!$A40,'(참조)CS_인건비'!$A$3:$A$40,0),MATCH('(참조)CS_인건비'!N$2,'(참조)CS_인건비'!$A$2:$O$2,0)),0)</f>
        <v>3023358.7435468626</v>
      </c>
      <c r="AH40" s="72">
        <f>IFERROR(INDEX('(참조)CS_인건비'!$A$3:$O$40,MATCH(CS_인건비!$A40,'(참조)CS_인건비'!$A$3:$A$40,0),MATCH('(참조)CS_인건비'!O$2,'(참조)CS_인건비'!$A$2:$O$2,0)),0)</f>
        <v>3099882.2510986789</v>
      </c>
      <c r="AI40" s="72">
        <f>IFERROR(INDEX('(참조)CS_인건비'!$A$3:$O$40,MATCH(CS_인건비!$A40,'(참조)CS_인건비'!$A$3:$A$40,0),MATCH('(참조)CS_인건비'!P$2,'(참조)CS_인건비'!$A$2:$O$2,0)),0)</f>
        <v>0</v>
      </c>
      <c r="AJ40" s="72">
        <v>12</v>
      </c>
      <c r="AK40" s="72">
        <v>12</v>
      </c>
      <c r="AL40" s="72">
        <v>12</v>
      </c>
      <c r="AM40" s="72">
        <v>12</v>
      </c>
      <c r="AN40" s="72">
        <v>12</v>
      </c>
      <c r="AO40" s="72">
        <v>12</v>
      </c>
      <c r="AP40" s="72">
        <v>12</v>
      </c>
      <c r="AQ40" s="72">
        <v>12</v>
      </c>
      <c r="AR40" s="72">
        <v>12</v>
      </c>
      <c r="AS40" s="72">
        <v>12</v>
      </c>
      <c r="AT40" s="72">
        <v>12</v>
      </c>
      <c r="AU40" s="73">
        <v>1</v>
      </c>
      <c r="AV40" s="70">
        <v>0</v>
      </c>
      <c r="AW40" s="70">
        <v>0</v>
      </c>
      <c r="AX40" s="56">
        <v>972035487.57356274</v>
      </c>
      <c r="AY40" s="56">
        <v>86639035</v>
      </c>
      <c r="AZ40" s="56">
        <v>88831934.821516573</v>
      </c>
      <c r="BA40" s="56">
        <v>91080338.604119599</v>
      </c>
      <c r="BB40" s="56">
        <v>93385651.195247233</v>
      </c>
      <c r="BC40" s="56">
        <v>95749313.000093877</v>
      </c>
      <c r="BD40" s="56">
        <v>98172800.88160409</v>
      </c>
      <c r="BE40" s="56">
        <v>100657629.08324617</v>
      </c>
      <c r="BF40" s="56">
        <v>103205350.17514123</v>
      </c>
      <c r="BG40" s="56">
        <v>105817556.02414016</v>
      </c>
      <c r="BH40" s="56">
        <v>108495878.78845377</v>
      </c>
      <c r="BI40" s="56">
        <v>0</v>
      </c>
      <c r="BJ40" s="74">
        <v>7219919.583333333</v>
      </c>
      <c r="BK40" s="56">
        <v>7219919.583333333</v>
      </c>
      <c r="BL40" s="56">
        <v>7219919.583333333</v>
      </c>
      <c r="BM40" s="56">
        <v>7219919.583333333</v>
      </c>
      <c r="BN40" s="56">
        <v>7219919.583333333</v>
      </c>
      <c r="BO40" s="56">
        <v>7219919.583333333</v>
      </c>
      <c r="BP40" s="56">
        <v>7219919.583333333</v>
      </c>
      <c r="BQ40" s="56">
        <v>7219919.583333333</v>
      </c>
      <c r="BR40" s="56">
        <v>7219919.583333333</v>
      </c>
      <c r="BS40" s="56">
        <v>7219919.583333333</v>
      </c>
      <c r="BT40" s="56">
        <v>7219919.583333333</v>
      </c>
      <c r="BU40" s="56">
        <v>7219919.583333333</v>
      </c>
      <c r="BV40" s="56">
        <v>7402661.2351263827</v>
      </c>
      <c r="BW40" s="56">
        <v>7402661.2351263827</v>
      </c>
      <c r="BX40" s="56">
        <v>7402661.2351263827</v>
      </c>
      <c r="BY40" s="56">
        <v>7402661.2351263827</v>
      </c>
      <c r="BZ40" s="56">
        <v>7402661.2351263827</v>
      </c>
      <c r="CA40" s="56">
        <v>7402661.2351263827</v>
      </c>
      <c r="CB40" s="56">
        <v>7402661.2351263827</v>
      </c>
      <c r="CC40" s="56">
        <v>7402661.2351263827</v>
      </c>
      <c r="CD40" s="56">
        <v>7402661.2351263827</v>
      </c>
      <c r="CE40" s="56">
        <v>7402661.2351263827</v>
      </c>
      <c r="CF40" s="56">
        <v>7402661.2351263827</v>
      </c>
      <c r="CG40" s="56">
        <v>7402661.2351263827</v>
      </c>
      <c r="CH40" s="56">
        <v>7590028.2170099691</v>
      </c>
      <c r="CI40" s="56">
        <v>7590028.2170099691</v>
      </c>
      <c r="CJ40" s="56">
        <v>7590028.2170099691</v>
      </c>
      <c r="CK40" s="56">
        <v>7590028.2170099691</v>
      </c>
      <c r="CL40" s="56">
        <v>7590028.2170099691</v>
      </c>
      <c r="CM40" s="56">
        <v>7590028.2170099691</v>
      </c>
      <c r="CN40" s="56">
        <v>7590028.2170099691</v>
      </c>
      <c r="CO40" s="56">
        <v>7590028.2170099691</v>
      </c>
      <c r="CP40" s="56">
        <v>7590028.2170099691</v>
      </c>
      <c r="CQ40" s="56">
        <v>7590028.2170099691</v>
      </c>
      <c r="CR40" s="56">
        <v>7590028.2170099691</v>
      </c>
      <c r="CS40" s="56">
        <v>7590028.2170099691</v>
      </c>
      <c r="CT40" s="56">
        <v>7782137.5996039361</v>
      </c>
      <c r="CU40" s="56">
        <v>7782137.5996039361</v>
      </c>
      <c r="CV40" s="56">
        <v>7782137.5996039361</v>
      </c>
      <c r="CW40" s="56">
        <v>7782137.5996039361</v>
      </c>
      <c r="CX40" s="56">
        <v>7782137.5996039361</v>
      </c>
      <c r="CY40" s="56">
        <v>7782137.5996039361</v>
      </c>
      <c r="CZ40" s="56">
        <v>7782137.5996039361</v>
      </c>
      <c r="DA40" s="56">
        <v>7782137.5996039361</v>
      </c>
      <c r="DB40" s="56">
        <v>7782137.5996039361</v>
      </c>
      <c r="DC40" s="56">
        <v>7782137.5996039361</v>
      </c>
      <c r="DD40" s="56">
        <v>7782137.5996039361</v>
      </c>
      <c r="DE40" s="56">
        <v>7782137.5996039361</v>
      </c>
      <c r="DF40" s="56">
        <v>7979109.4166744882</v>
      </c>
      <c r="DG40" s="56">
        <v>7979109.4166744882</v>
      </c>
      <c r="DH40" s="56">
        <v>7979109.4166744882</v>
      </c>
      <c r="DI40" s="56">
        <v>7979109.4166744882</v>
      </c>
      <c r="DJ40" s="56">
        <v>7979109.4166744882</v>
      </c>
      <c r="DK40" s="56">
        <v>7979109.4166744882</v>
      </c>
      <c r="DL40" s="56">
        <v>7979109.4166744882</v>
      </c>
      <c r="DM40" s="56">
        <v>7979109.4166744882</v>
      </c>
      <c r="DN40" s="56">
        <v>7979109.4166744882</v>
      </c>
      <c r="DO40" s="56">
        <v>7979109.4166744882</v>
      </c>
      <c r="DP40" s="56">
        <v>7979109.4166744882</v>
      </c>
      <c r="DQ40" s="56">
        <v>7979109.4166744882</v>
      </c>
      <c r="DR40" s="56">
        <v>8181066.7401336757</v>
      </c>
      <c r="DS40" s="56">
        <v>8181066.7401336757</v>
      </c>
      <c r="DT40" s="56">
        <v>8181066.7401336757</v>
      </c>
      <c r="DU40" s="56">
        <v>8181066.7401336757</v>
      </c>
      <c r="DV40" s="56">
        <v>8181066.7401336757</v>
      </c>
      <c r="DW40" s="56">
        <v>8181066.7401336757</v>
      </c>
      <c r="DX40" s="56">
        <v>8181066.7401336757</v>
      </c>
      <c r="DY40" s="56">
        <v>8181066.7401336757</v>
      </c>
      <c r="DZ40" s="56">
        <v>8181066.7401336757</v>
      </c>
      <c r="EA40" s="56">
        <v>8181066.7401336757</v>
      </c>
      <c r="EB40" s="56">
        <v>8181066.7401336757</v>
      </c>
      <c r="EC40" s="56">
        <v>8181066.7401336757</v>
      </c>
      <c r="ED40" s="56">
        <v>8388135.7569371816</v>
      </c>
      <c r="EE40" s="56">
        <v>8388135.7569371816</v>
      </c>
      <c r="EF40" s="56">
        <v>8388135.7569371816</v>
      </c>
      <c r="EG40" s="56">
        <v>8388135.7569371816</v>
      </c>
      <c r="EH40" s="56">
        <v>8388135.7569371816</v>
      </c>
      <c r="EI40" s="56">
        <v>8388135.7569371816</v>
      </c>
      <c r="EJ40" s="56">
        <v>8388135.7569371816</v>
      </c>
      <c r="EK40" s="56">
        <v>8388135.7569371816</v>
      </c>
      <c r="EL40" s="56">
        <v>8388135.7569371816</v>
      </c>
      <c r="EM40" s="56">
        <v>8388135.7569371816</v>
      </c>
      <c r="EN40" s="56">
        <v>8388135.7569371816</v>
      </c>
      <c r="EO40" s="56">
        <v>8388135.7569371816</v>
      </c>
      <c r="EP40" s="56">
        <v>8600445.8479284365</v>
      </c>
      <c r="EQ40" s="56">
        <v>8600445.8479284365</v>
      </c>
      <c r="ER40" s="56">
        <v>8600445.8479284365</v>
      </c>
      <c r="ES40" s="56">
        <v>8600445.8479284365</v>
      </c>
      <c r="ET40" s="56">
        <v>8600445.8479284365</v>
      </c>
      <c r="EU40" s="56">
        <v>8600445.8479284365</v>
      </c>
      <c r="EV40" s="56">
        <v>8600445.8479284365</v>
      </c>
      <c r="EW40" s="56">
        <v>8600445.8479284365</v>
      </c>
      <c r="EX40" s="56">
        <v>8600445.8479284365</v>
      </c>
      <c r="EY40" s="56">
        <v>8600445.8479284365</v>
      </c>
      <c r="EZ40" s="56">
        <v>8600445.8479284365</v>
      </c>
      <c r="FA40" s="56">
        <v>8600445.8479284365</v>
      </c>
      <c r="FB40" s="56">
        <v>8818129.6686783489</v>
      </c>
      <c r="FC40" s="56">
        <v>8818129.6686783489</v>
      </c>
      <c r="FD40" s="56">
        <v>8818129.6686783489</v>
      </c>
      <c r="FE40" s="56">
        <v>8818129.6686783489</v>
      </c>
      <c r="FF40" s="56">
        <v>8818129.6686783489</v>
      </c>
      <c r="FG40" s="56">
        <v>8818129.6686783489</v>
      </c>
      <c r="FH40" s="56">
        <v>8818129.6686783489</v>
      </c>
      <c r="FI40" s="56">
        <v>8818129.6686783489</v>
      </c>
      <c r="FJ40" s="56">
        <v>8818129.6686783489</v>
      </c>
      <c r="FK40" s="56">
        <v>8818129.6686783489</v>
      </c>
      <c r="FL40" s="56">
        <v>8818129.6686783489</v>
      </c>
      <c r="FM40" s="56">
        <v>8818129.6686783489</v>
      </c>
      <c r="FN40" s="56">
        <v>9041323.2323711459</v>
      </c>
      <c r="FO40" s="56">
        <v>9041323.2323711459</v>
      </c>
      <c r="FP40" s="56">
        <v>9041323.2323711459</v>
      </c>
      <c r="FQ40" s="56">
        <v>9041323.2323711459</v>
      </c>
      <c r="FR40" s="56">
        <v>9041323.2323711459</v>
      </c>
      <c r="FS40" s="56">
        <v>9041323.2323711459</v>
      </c>
      <c r="FT40" s="56">
        <v>9041323.2323711459</v>
      </c>
      <c r="FU40" s="56">
        <v>9041323.2323711459</v>
      </c>
      <c r="FV40" s="56">
        <v>9041323.2323711459</v>
      </c>
      <c r="FW40" s="56">
        <v>9041323.2323711459</v>
      </c>
      <c r="FX40" s="56">
        <v>9041323.2323711459</v>
      </c>
      <c r="FY40" s="56">
        <v>9041323.2323711459</v>
      </c>
      <c r="FZ40" s="56">
        <v>0</v>
      </c>
      <c r="GA40" s="56">
        <v>0</v>
      </c>
      <c r="GB40" s="56">
        <v>0</v>
      </c>
      <c r="GC40" s="56">
        <v>0</v>
      </c>
      <c r="GD40" s="56">
        <v>0</v>
      </c>
      <c r="GE40" s="56">
        <v>0</v>
      </c>
      <c r="GF40" s="56">
        <v>0</v>
      </c>
      <c r="GG40" s="56">
        <v>0</v>
      </c>
      <c r="GH40" s="56">
        <v>0</v>
      </c>
      <c r="GI40" s="56">
        <v>0</v>
      </c>
      <c r="GJ40" s="56">
        <v>0</v>
      </c>
      <c r="GK40" s="85">
        <v>0</v>
      </c>
      <c r="GL40" s="40"/>
    </row>
    <row r="41" spans="1:194" x14ac:dyDescent="0.4">
      <c r="A41" s="84" t="s">
        <v>314</v>
      </c>
      <c r="B41" s="70" t="s">
        <v>316</v>
      </c>
      <c r="C41" s="70" t="s">
        <v>398</v>
      </c>
      <c r="D41" s="70" t="s">
        <v>209</v>
      </c>
      <c r="E41" s="70" t="s">
        <v>193</v>
      </c>
      <c r="F41" s="70" t="s">
        <v>194</v>
      </c>
      <c r="G41" s="70" t="s">
        <v>152</v>
      </c>
      <c r="H41" s="70">
        <v>0</v>
      </c>
      <c r="I41" s="70">
        <v>0</v>
      </c>
      <c r="J41" s="70" t="s">
        <v>210</v>
      </c>
      <c r="K41" s="70">
        <v>0</v>
      </c>
      <c r="L41" s="70" t="s">
        <v>211</v>
      </c>
      <c r="M41" s="71">
        <f>IFERROR(INDEX('(참조)CS_인건비'!$S$3:$AG$40,MATCH(CS_인건비!$A41,'(참조)CS_인건비'!$S$3:$S$40,0),MATCH('(참조)CS_인건비'!X$2,'(참조)CS_인건비'!$S$2:$AG$2,0)),0)</f>
        <v>0.75</v>
      </c>
      <c r="N41" s="71">
        <f>IFERROR(INDEX('(참조)CS_인건비'!$S$3:$AG$40,MATCH(CS_인건비!$A41,'(참조)CS_인건비'!$S$3:$S$40,0),MATCH('(참조)CS_인건비'!Y$2,'(참조)CS_인건비'!$S$2:$AG$2,0)),0)</f>
        <v>1</v>
      </c>
      <c r="O41" s="71">
        <f>IFERROR(INDEX('(참조)CS_인건비'!$S$3:$AG$40,MATCH(CS_인건비!$A41,'(참조)CS_인건비'!$S$3:$S$40,0),MATCH('(참조)CS_인건비'!Z$2,'(참조)CS_인건비'!$S$2:$AG$2,0)),0)</f>
        <v>1</v>
      </c>
      <c r="P41" s="71">
        <f>IFERROR(INDEX('(참조)CS_인건비'!$S$3:$AG$40,MATCH(CS_인건비!$A41,'(참조)CS_인건비'!$S$3:$S$40,0),MATCH('(참조)CS_인건비'!AA$2,'(참조)CS_인건비'!$S$2:$AG$2,0)),0)</f>
        <v>1</v>
      </c>
      <c r="Q41" s="71">
        <f>IFERROR(INDEX('(참조)CS_인건비'!$S$3:$AG$40,MATCH(CS_인건비!$A41,'(참조)CS_인건비'!$S$3:$S$40,0),MATCH('(참조)CS_인건비'!AB$2,'(참조)CS_인건비'!$S$2:$AG$2,0)),0)</f>
        <v>1</v>
      </c>
      <c r="R41" s="71">
        <f>IFERROR(INDEX('(참조)CS_인건비'!$S$3:$AG$40,MATCH(CS_인건비!$A41,'(참조)CS_인건비'!$S$3:$S$40,0),MATCH('(참조)CS_인건비'!AC$2,'(참조)CS_인건비'!$S$2:$AG$2,0)),0)</f>
        <v>1</v>
      </c>
      <c r="S41" s="71">
        <f>IFERROR(INDEX('(참조)CS_인건비'!$S$3:$AG$40,MATCH(CS_인건비!$A41,'(참조)CS_인건비'!$S$3:$S$40,0),MATCH('(참조)CS_인건비'!AD$2,'(참조)CS_인건비'!$S$2:$AG$2,0)),0)</f>
        <v>1</v>
      </c>
      <c r="T41" s="71">
        <f>IFERROR(INDEX('(참조)CS_인건비'!$S$3:$AG$40,MATCH(CS_인건비!$A41,'(참조)CS_인건비'!$S$3:$S$40,0),MATCH('(참조)CS_인건비'!AE$2,'(참조)CS_인건비'!$S$2:$AG$2,0)),0)</f>
        <v>1</v>
      </c>
      <c r="U41" s="71">
        <f>IFERROR(INDEX('(참조)CS_인건비'!$S$3:$AG$40,MATCH(CS_인건비!$A41,'(참조)CS_인건비'!$S$3:$S$40,0),MATCH('(참조)CS_인건비'!AF$2,'(참조)CS_인건비'!$S$2:$AG$2,0)),0)</f>
        <v>1</v>
      </c>
      <c r="V41" s="71">
        <f>IFERROR(INDEX('(참조)CS_인건비'!$S$3:$AG$40,MATCH(CS_인건비!$A41,'(참조)CS_인건비'!$S$3:$S$40,0),MATCH('(참조)CS_인건비'!AG$2,'(참조)CS_인건비'!$S$2:$AG$2,0)),0)</f>
        <v>1</v>
      </c>
      <c r="W41" s="71">
        <f>IFERROR(INDEX('(참조)CS_인건비'!$S$3:$AG$40,MATCH(CS_인건비!$A41,'(참조)CS_인건비'!$S$3:$S$40,0),MATCH('(참조)CS_인건비'!AH$2,'(참조)CS_인건비'!$S$2:$AG$2,0)),0)</f>
        <v>0</v>
      </c>
      <c r="X41" s="72">
        <v>0</v>
      </c>
      <c r="Y41" s="72">
        <f>IFERROR(INDEX('(참조)CS_인건비'!$A$3:$O$40,MATCH(CS_인건비!$A41,'(참조)CS_인건비'!$A$3:$A$40,0),MATCH('(참조)CS_인건비'!F$2,'(참조)CS_인건비'!$A$2:$O$2,0)),0)</f>
        <v>2822414</v>
      </c>
      <c r="Z41" s="72">
        <f>IFERROR(INDEX('(참조)CS_인건비'!$A$3:$O$40,MATCH(CS_인건비!$A41,'(참조)CS_인건비'!$A$3:$A$40,0),MATCH('(참조)CS_인건비'!G$2,'(참조)CS_인건비'!$A$2:$O$2,0)),0)</f>
        <v>2893851.4433746398</v>
      </c>
      <c r="AA41" s="72">
        <f>IFERROR(INDEX('(참조)CS_인건비'!$A$3:$O$40,MATCH(CS_인건비!$A41,'(참조)CS_인건비'!$A$3:$A$40,0),MATCH('(참조)CS_인건비'!H$2,'(참조)CS_인건비'!$A$2:$O$2,0)),0)</f>
        <v>2967097.0227335491</v>
      </c>
      <c r="AB41" s="72">
        <f>IFERROR(INDEX('(참조)CS_인건비'!$A$3:$O$40,MATCH(CS_인건비!$A41,'(참조)CS_인건비'!$A$3:$A$40,0),MATCH('(참조)CS_인건비'!I$2,'(참조)CS_인건비'!$A$2:$O$2,0)),0)</f>
        <v>3042196.5033726725</v>
      </c>
      <c r="AC41" s="72">
        <f>IFERROR(INDEX('(참조)CS_인건비'!$A$3:$O$40,MATCH(CS_인건비!$A41,'(참조)CS_인건비'!$A$3:$A$40,0),MATCH('(참조)CS_인건비'!J$2,'(참조)CS_인건비'!$A$2:$O$2,0)),0)</f>
        <v>3119196.8089423776</v>
      </c>
      <c r="AD41" s="72">
        <f>IFERROR(INDEX('(참조)CS_인건비'!$A$3:$O$40,MATCH(CS_인건비!$A41,'(참조)CS_인건비'!$A$3:$A$40,0),MATCH('(참조)CS_인건비'!K$2,'(참조)CS_인건비'!$A$2:$O$2,0)),0)</f>
        <v>3198146.0507662841</v>
      </c>
      <c r="AE41" s="72">
        <f>IFERROR(INDEX('(참조)CS_인건비'!$A$3:$O$40,MATCH(CS_인건비!$A41,'(참조)CS_인건비'!$A$3:$A$40,0),MATCH('(참조)CS_인건비'!L$2,'(참조)CS_인건비'!$A$2:$O$2,0)),0)</f>
        <v>3279093.5579021773</v>
      </c>
      <c r="AF41" s="72">
        <f>IFERROR(INDEX('(참조)CS_인건비'!$A$3:$O$40,MATCH(CS_인건비!$A41,'(참조)CS_인건비'!$A$3:$A$40,0),MATCH('(참조)CS_인건비'!M$2,'(참조)CS_인건비'!$A$2:$O$2,0)),0)</f>
        <v>3362089.9079637853</v>
      </c>
      <c r="AG41" s="72">
        <f>IFERROR(INDEX('(참조)CS_인건비'!$A$3:$O$40,MATCH(CS_인건비!$A41,'(참조)CS_인건비'!$A$3:$A$40,0),MATCH('(참조)CS_인건비'!N$2,'(참조)CS_인건비'!$A$2:$O$2,0)),0)</f>
        <v>3447186.9587226789</v>
      </c>
      <c r="AH41" s="72">
        <f>IFERROR(INDEX('(참조)CS_인건비'!$A$3:$O$40,MATCH(CS_인건비!$A41,'(참조)CS_인건비'!$A$3:$A$40,0),MATCH('(참조)CS_인건비'!O$2,'(참조)CS_인건비'!$A$2:$O$2,0)),0)</f>
        <v>3534437.8805100387</v>
      </c>
      <c r="AI41" s="72">
        <f>IFERROR(INDEX('(참조)CS_인건비'!$A$3:$O$40,MATCH(CS_인건비!$A41,'(참조)CS_인건비'!$A$3:$A$40,0),MATCH('(참조)CS_인건비'!P$2,'(참조)CS_인건비'!$A$2:$O$2,0)),0)</f>
        <v>0</v>
      </c>
      <c r="AJ41" s="72">
        <v>12</v>
      </c>
      <c r="AK41" s="72">
        <v>12</v>
      </c>
      <c r="AL41" s="72">
        <v>12</v>
      </c>
      <c r="AM41" s="72">
        <v>12</v>
      </c>
      <c r="AN41" s="72">
        <v>12</v>
      </c>
      <c r="AO41" s="72">
        <v>12</v>
      </c>
      <c r="AP41" s="72">
        <v>12</v>
      </c>
      <c r="AQ41" s="72">
        <v>12</v>
      </c>
      <c r="AR41" s="72">
        <v>12</v>
      </c>
      <c r="AS41" s="72">
        <v>12</v>
      </c>
      <c r="AT41" s="72">
        <v>12</v>
      </c>
      <c r="AU41" s="73">
        <v>1</v>
      </c>
      <c r="AV41" s="70">
        <v>0</v>
      </c>
      <c r="AW41" s="70">
        <v>0</v>
      </c>
      <c r="AX41" s="56">
        <v>371521279.61145848</v>
      </c>
      <c r="AY41" s="56">
        <v>25401726</v>
      </c>
      <c r="AZ41" s="56">
        <v>34726217.320495687</v>
      </c>
      <c r="BA41" s="56">
        <v>35605164.272802599</v>
      </c>
      <c r="BB41" s="56">
        <v>36506358.040472068</v>
      </c>
      <c r="BC41" s="56">
        <v>37430361.707308531</v>
      </c>
      <c r="BD41" s="56">
        <v>38377752.609195411</v>
      </c>
      <c r="BE41" s="56">
        <v>39349122.694826126</v>
      </c>
      <c r="BF41" s="56">
        <v>40345078.89556542</v>
      </c>
      <c r="BG41" s="56">
        <v>41366243.504672162</v>
      </c>
      <c r="BH41" s="56">
        <v>42413254.566120468</v>
      </c>
      <c r="BI41" s="56">
        <v>0</v>
      </c>
      <c r="BJ41" s="74">
        <v>2116810.5</v>
      </c>
      <c r="BK41" s="56">
        <v>2116810.5</v>
      </c>
      <c r="BL41" s="56">
        <v>2116810.5</v>
      </c>
      <c r="BM41" s="56">
        <v>2116810.5</v>
      </c>
      <c r="BN41" s="56">
        <v>2116810.5</v>
      </c>
      <c r="BO41" s="56">
        <v>2116810.5</v>
      </c>
      <c r="BP41" s="56">
        <v>2116810.5</v>
      </c>
      <c r="BQ41" s="56">
        <v>2116810.5</v>
      </c>
      <c r="BR41" s="56">
        <v>2116810.5</v>
      </c>
      <c r="BS41" s="56">
        <v>2116810.5</v>
      </c>
      <c r="BT41" s="56">
        <v>2116810.5</v>
      </c>
      <c r="BU41" s="56">
        <v>2116810.5</v>
      </c>
      <c r="BV41" s="56">
        <v>2893851.4433746398</v>
      </c>
      <c r="BW41" s="56">
        <v>2893851.4433746398</v>
      </c>
      <c r="BX41" s="56">
        <v>2893851.4433746398</v>
      </c>
      <c r="BY41" s="56">
        <v>2893851.4433746398</v>
      </c>
      <c r="BZ41" s="56">
        <v>2893851.4433746398</v>
      </c>
      <c r="CA41" s="56">
        <v>2893851.4433746398</v>
      </c>
      <c r="CB41" s="56">
        <v>2893851.4433746398</v>
      </c>
      <c r="CC41" s="56">
        <v>2893851.4433746398</v>
      </c>
      <c r="CD41" s="56">
        <v>2893851.4433746398</v>
      </c>
      <c r="CE41" s="56">
        <v>2893851.4433746398</v>
      </c>
      <c r="CF41" s="56">
        <v>2893851.4433746398</v>
      </c>
      <c r="CG41" s="56">
        <v>2893851.4433746398</v>
      </c>
      <c r="CH41" s="56">
        <v>2967097.0227335491</v>
      </c>
      <c r="CI41" s="56">
        <v>2967097.0227335491</v>
      </c>
      <c r="CJ41" s="56">
        <v>2967097.0227335491</v>
      </c>
      <c r="CK41" s="56">
        <v>2967097.0227335491</v>
      </c>
      <c r="CL41" s="56">
        <v>2967097.0227335491</v>
      </c>
      <c r="CM41" s="56">
        <v>2967097.0227335491</v>
      </c>
      <c r="CN41" s="56">
        <v>2967097.0227335491</v>
      </c>
      <c r="CO41" s="56">
        <v>2967097.0227335491</v>
      </c>
      <c r="CP41" s="56">
        <v>2967097.0227335491</v>
      </c>
      <c r="CQ41" s="56">
        <v>2967097.0227335491</v>
      </c>
      <c r="CR41" s="56">
        <v>2967097.0227335491</v>
      </c>
      <c r="CS41" s="56">
        <v>2967097.0227335491</v>
      </c>
      <c r="CT41" s="56">
        <v>3042196.5033726725</v>
      </c>
      <c r="CU41" s="56">
        <v>3042196.5033726725</v>
      </c>
      <c r="CV41" s="56">
        <v>3042196.5033726725</v>
      </c>
      <c r="CW41" s="56">
        <v>3042196.5033726725</v>
      </c>
      <c r="CX41" s="56">
        <v>3042196.5033726725</v>
      </c>
      <c r="CY41" s="56">
        <v>3042196.5033726725</v>
      </c>
      <c r="CZ41" s="56">
        <v>3042196.5033726725</v>
      </c>
      <c r="DA41" s="56">
        <v>3042196.5033726725</v>
      </c>
      <c r="DB41" s="56">
        <v>3042196.5033726725</v>
      </c>
      <c r="DC41" s="56">
        <v>3042196.5033726725</v>
      </c>
      <c r="DD41" s="56">
        <v>3042196.5033726725</v>
      </c>
      <c r="DE41" s="56">
        <v>3042196.5033726725</v>
      </c>
      <c r="DF41" s="56">
        <v>3119196.8089423776</v>
      </c>
      <c r="DG41" s="56">
        <v>3119196.8089423776</v>
      </c>
      <c r="DH41" s="56">
        <v>3119196.8089423776</v>
      </c>
      <c r="DI41" s="56">
        <v>3119196.8089423776</v>
      </c>
      <c r="DJ41" s="56">
        <v>3119196.8089423776</v>
      </c>
      <c r="DK41" s="56">
        <v>3119196.8089423776</v>
      </c>
      <c r="DL41" s="56">
        <v>3119196.8089423776</v>
      </c>
      <c r="DM41" s="56">
        <v>3119196.8089423776</v>
      </c>
      <c r="DN41" s="56">
        <v>3119196.8089423776</v>
      </c>
      <c r="DO41" s="56">
        <v>3119196.8089423776</v>
      </c>
      <c r="DP41" s="56">
        <v>3119196.8089423776</v>
      </c>
      <c r="DQ41" s="56">
        <v>3119196.8089423776</v>
      </c>
      <c r="DR41" s="56">
        <v>3198146.0507662841</v>
      </c>
      <c r="DS41" s="56">
        <v>3198146.0507662841</v>
      </c>
      <c r="DT41" s="56">
        <v>3198146.0507662841</v>
      </c>
      <c r="DU41" s="56">
        <v>3198146.0507662841</v>
      </c>
      <c r="DV41" s="56">
        <v>3198146.0507662841</v>
      </c>
      <c r="DW41" s="56">
        <v>3198146.0507662841</v>
      </c>
      <c r="DX41" s="56">
        <v>3198146.0507662841</v>
      </c>
      <c r="DY41" s="56">
        <v>3198146.0507662841</v>
      </c>
      <c r="DZ41" s="56">
        <v>3198146.0507662841</v>
      </c>
      <c r="EA41" s="56">
        <v>3198146.0507662841</v>
      </c>
      <c r="EB41" s="56">
        <v>3198146.0507662841</v>
      </c>
      <c r="EC41" s="56">
        <v>3198146.0507662841</v>
      </c>
      <c r="ED41" s="56">
        <v>3279093.5579021773</v>
      </c>
      <c r="EE41" s="56">
        <v>3279093.5579021773</v>
      </c>
      <c r="EF41" s="56">
        <v>3279093.5579021773</v>
      </c>
      <c r="EG41" s="56">
        <v>3279093.5579021773</v>
      </c>
      <c r="EH41" s="56">
        <v>3279093.5579021773</v>
      </c>
      <c r="EI41" s="56">
        <v>3279093.5579021773</v>
      </c>
      <c r="EJ41" s="56">
        <v>3279093.5579021773</v>
      </c>
      <c r="EK41" s="56">
        <v>3279093.5579021773</v>
      </c>
      <c r="EL41" s="56">
        <v>3279093.5579021773</v>
      </c>
      <c r="EM41" s="56">
        <v>3279093.5579021773</v>
      </c>
      <c r="EN41" s="56">
        <v>3279093.5579021773</v>
      </c>
      <c r="EO41" s="56">
        <v>3279093.5579021773</v>
      </c>
      <c r="EP41" s="56">
        <v>3362089.9079637853</v>
      </c>
      <c r="EQ41" s="56">
        <v>3362089.9079637853</v>
      </c>
      <c r="ER41" s="56">
        <v>3362089.9079637853</v>
      </c>
      <c r="ES41" s="56">
        <v>3362089.9079637853</v>
      </c>
      <c r="ET41" s="56">
        <v>3362089.9079637853</v>
      </c>
      <c r="EU41" s="56">
        <v>3362089.9079637853</v>
      </c>
      <c r="EV41" s="56">
        <v>3362089.9079637853</v>
      </c>
      <c r="EW41" s="56">
        <v>3362089.9079637853</v>
      </c>
      <c r="EX41" s="56">
        <v>3362089.9079637853</v>
      </c>
      <c r="EY41" s="56">
        <v>3362089.9079637853</v>
      </c>
      <c r="EZ41" s="56">
        <v>3362089.9079637853</v>
      </c>
      <c r="FA41" s="56">
        <v>3362089.9079637853</v>
      </c>
      <c r="FB41" s="56">
        <v>3447186.9587226789</v>
      </c>
      <c r="FC41" s="56">
        <v>3447186.9587226789</v>
      </c>
      <c r="FD41" s="56">
        <v>3447186.9587226789</v>
      </c>
      <c r="FE41" s="56">
        <v>3447186.9587226789</v>
      </c>
      <c r="FF41" s="56">
        <v>3447186.9587226789</v>
      </c>
      <c r="FG41" s="56">
        <v>3447186.9587226789</v>
      </c>
      <c r="FH41" s="56">
        <v>3447186.9587226789</v>
      </c>
      <c r="FI41" s="56">
        <v>3447186.9587226789</v>
      </c>
      <c r="FJ41" s="56">
        <v>3447186.9587226789</v>
      </c>
      <c r="FK41" s="56">
        <v>3447186.9587226789</v>
      </c>
      <c r="FL41" s="56">
        <v>3447186.9587226789</v>
      </c>
      <c r="FM41" s="56">
        <v>3447186.9587226789</v>
      </c>
      <c r="FN41" s="56">
        <v>3534437.8805100387</v>
      </c>
      <c r="FO41" s="56">
        <v>3534437.8805100387</v>
      </c>
      <c r="FP41" s="56">
        <v>3534437.8805100387</v>
      </c>
      <c r="FQ41" s="56">
        <v>3534437.8805100387</v>
      </c>
      <c r="FR41" s="56">
        <v>3534437.8805100387</v>
      </c>
      <c r="FS41" s="56">
        <v>3534437.8805100387</v>
      </c>
      <c r="FT41" s="56">
        <v>3534437.8805100387</v>
      </c>
      <c r="FU41" s="56">
        <v>3534437.8805100387</v>
      </c>
      <c r="FV41" s="56">
        <v>3534437.8805100387</v>
      </c>
      <c r="FW41" s="56">
        <v>3534437.8805100387</v>
      </c>
      <c r="FX41" s="56">
        <v>3534437.8805100387</v>
      </c>
      <c r="FY41" s="56">
        <v>3534437.8805100387</v>
      </c>
      <c r="FZ41" s="56">
        <v>0</v>
      </c>
      <c r="GA41" s="56">
        <v>0</v>
      </c>
      <c r="GB41" s="56">
        <v>0</v>
      </c>
      <c r="GC41" s="56">
        <v>0</v>
      </c>
      <c r="GD41" s="56">
        <v>0</v>
      </c>
      <c r="GE41" s="56">
        <v>0</v>
      </c>
      <c r="GF41" s="56">
        <v>0</v>
      </c>
      <c r="GG41" s="56">
        <v>0</v>
      </c>
      <c r="GH41" s="56">
        <v>0</v>
      </c>
      <c r="GI41" s="56">
        <v>0</v>
      </c>
      <c r="GJ41" s="56">
        <v>0</v>
      </c>
      <c r="GK41" s="85">
        <v>0</v>
      </c>
      <c r="GL41" s="40"/>
    </row>
    <row r="42" spans="1:194" ht="18" thickBot="1" x14ac:dyDescent="0.45">
      <c r="A42" s="62" t="s">
        <v>315</v>
      </c>
      <c r="B42" s="63" t="s">
        <v>316</v>
      </c>
      <c r="C42" s="63" t="s">
        <v>398</v>
      </c>
      <c r="D42" s="63" t="s">
        <v>209</v>
      </c>
      <c r="E42" s="63" t="s">
        <v>193</v>
      </c>
      <c r="F42" s="63" t="s">
        <v>194</v>
      </c>
      <c r="G42" s="63" t="s">
        <v>299</v>
      </c>
      <c r="H42" s="63">
        <v>0</v>
      </c>
      <c r="I42" s="63">
        <v>0</v>
      </c>
      <c r="J42" s="63" t="s">
        <v>210</v>
      </c>
      <c r="K42" s="63">
        <v>0</v>
      </c>
      <c r="L42" s="63" t="s">
        <v>211</v>
      </c>
      <c r="M42" s="64">
        <f>IFERROR(INDEX('(참조)CS_인건비'!$S$3:$AG$40,MATCH(CS_인건비!$A42,'(참조)CS_인건비'!$S$3:$S$40,0),MATCH('(참조)CS_인건비'!X$2,'(참조)CS_인건비'!$S$2:$AG$2,0)),0)</f>
        <v>0.75</v>
      </c>
      <c r="N42" s="64">
        <f>IFERROR(INDEX('(참조)CS_인건비'!$S$3:$AG$40,MATCH(CS_인건비!$A42,'(참조)CS_인건비'!$S$3:$S$40,0),MATCH('(참조)CS_인건비'!Y$2,'(참조)CS_인건비'!$S$2:$AG$2,0)),0)</f>
        <v>1</v>
      </c>
      <c r="O42" s="64">
        <f>IFERROR(INDEX('(참조)CS_인건비'!$S$3:$AG$40,MATCH(CS_인건비!$A42,'(참조)CS_인건비'!$S$3:$S$40,0),MATCH('(참조)CS_인건비'!Z$2,'(참조)CS_인건비'!$S$2:$AG$2,0)),0)</f>
        <v>1</v>
      </c>
      <c r="P42" s="64">
        <f>IFERROR(INDEX('(참조)CS_인건비'!$S$3:$AG$40,MATCH(CS_인건비!$A42,'(참조)CS_인건비'!$S$3:$S$40,0),MATCH('(참조)CS_인건비'!AA$2,'(참조)CS_인건비'!$S$2:$AG$2,0)),0)</f>
        <v>1</v>
      </c>
      <c r="Q42" s="64">
        <f>IFERROR(INDEX('(참조)CS_인건비'!$S$3:$AG$40,MATCH(CS_인건비!$A42,'(참조)CS_인건비'!$S$3:$S$40,0),MATCH('(참조)CS_인건비'!AB$2,'(참조)CS_인건비'!$S$2:$AG$2,0)),0)</f>
        <v>1</v>
      </c>
      <c r="R42" s="64">
        <f>IFERROR(INDEX('(참조)CS_인건비'!$S$3:$AG$40,MATCH(CS_인건비!$A42,'(참조)CS_인건비'!$S$3:$S$40,0),MATCH('(참조)CS_인건비'!AC$2,'(참조)CS_인건비'!$S$2:$AG$2,0)),0)</f>
        <v>1</v>
      </c>
      <c r="S42" s="64">
        <f>IFERROR(INDEX('(참조)CS_인건비'!$S$3:$AG$40,MATCH(CS_인건비!$A42,'(참조)CS_인건비'!$S$3:$S$40,0),MATCH('(참조)CS_인건비'!AD$2,'(참조)CS_인건비'!$S$2:$AG$2,0)),0)</f>
        <v>1</v>
      </c>
      <c r="T42" s="64">
        <f>IFERROR(INDEX('(참조)CS_인건비'!$S$3:$AG$40,MATCH(CS_인건비!$A42,'(참조)CS_인건비'!$S$3:$S$40,0),MATCH('(참조)CS_인건비'!AE$2,'(참조)CS_인건비'!$S$2:$AG$2,0)),0)</f>
        <v>1</v>
      </c>
      <c r="U42" s="64">
        <f>IFERROR(INDEX('(참조)CS_인건비'!$S$3:$AG$40,MATCH(CS_인건비!$A42,'(참조)CS_인건비'!$S$3:$S$40,0),MATCH('(참조)CS_인건비'!AF$2,'(참조)CS_인건비'!$S$2:$AG$2,0)),0)</f>
        <v>1</v>
      </c>
      <c r="V42" s="64">
        <f>IFERROR(INDEX('(참조)CS_인건비'!$S$3:$AG$40,MATCH(CS_인건비!$A42,'(참조)CS_인건비'!$S$3:$S$40,0),MATCH('(참조)CS_인건비'!AG$2,'(참조)CS_인건비'!$S$2:$AG$2,0)),0)</f>
        <v>1</v>
      </c>
      <c r="W42" s="64">
        <f>IFERROR(INDEX('(참조)CS_인건비'!$S$3:$AG$40,MATCH(CS_인건비!$A42,'(참조)CS_인건비'!$S$3:$S$40,0),MATCH('(참조)CS_인건비'!AH$2,'(참조)CS_인건비'!$S$2:$AG$2,0)),0)</f>
        <v>0</v>
      </c>
      <c r="X42" s="65">
        <v>0</v>
      </c>
      <c r="Y42" s="65">
        <f>IFERROR(INDEX('(참조)CS_인건비'!$A$3:$O$40,MATCH(CS_인건비!$A42,'(참조)CS_인건비'!$A$3:$A$40,0),MATCH('(참조)CS_인건비'!F$2,'(참조)CS_인건비'!$A$2:$O$2,0)),0)</f>
        <v>3934599</v>
      </c>
      <c r="Z42" s="65">
        <f>IFERROR(INDEX('(참조)CS_인건비'!$A$3:$O$40,MATCH(CS_인건비!$A42,'(참조)CS_인건비'!$A$3:$A$40,0),MATCH('(참조)CS_인건비'!G$2,'(참조)CS_인건비'!$A$2:$O$2,0)),0)</f>
        <v>4034186.69098524</v>
      </c>
      <c r="AA42" s="65">
        <f>IFERROR(INDEX('(참조)CS_인건비'!$A$3:$O$40,MATCH(CS_인건비!$A42,'(참조)CS_인건비'!$A$3:$A$40,0),MATCH('(참조)CS_인건비'!H$2,'(참조)CS_인건비'!$A$2:$O$2,0)),0)</f>
        <v>4136295.0221159616</v>
      </c>
      <c r="AB42" s="65">
        <f>IFERROR(INDEX('(참조)CS_인건비'!$A$3:$O$40,MATCH(CS_인건비!$A42,'(참조)CS_인건비'!$A$3:$A$40,0),MATCH('(참조)CS_인건비'!I$2,'(참조)CS_인건비'!$A$2:$O$2,0)),0)</f>
        <v>4240987.7927099336</v>
      </c>
      <c r="AC42" s="65">
        <f>IFERROR(INDEX('(참조)CS_인건비'!$A$3:$O$40,MATCH(CS_인건비!$A42,'(참조)CS_인건비'!$A$3:$A$40,0),MATCH('(참조)CS_인건비'!J$2,'(참조)CS_인건비'!$A$2:$O$2,0)),0)</f>
        <v>4348330.4168941444</v>
      </c>
      <c r="AD42" s="65">
        <f>IFERROR(INDEX('(참조)CS_인건비'!$A$3:$O$40,MATCH(CS_인건비!$A42,'(참조)CS_인건비'!$A$3:$A$40,0),MATCH('(참조)CS_인건비'!K$2,'(참조)CS_인건비'!$A$2:$O$2,0)),0)</f>
        <v>4458389.9644768517</v>
      </c>
      <c r="AE42" s="65">
        <f>IFERROR(INDEX('(참조)CS_인건비'!$A$3:$O$40,MATCH(CS_인건비!$A42,'(참조)CS_인건비'!$A$3:$A$40,0),MATCH('(참조)CS_인건비'!L$2,'(참조)CS_인건비'!$A$2:$O$2,0)),0)</f>
        <v>4571235.2028541341</v>
      </c>
      <c r="AF42" s="65">
        <f>IFERROR(INDEX('(참조)CS_인건비'!$A$3:$O$40,MATCH(CS_인건비!$A42,'(참조)CS_인건비'!$A$3:$A$40,0),MATCH('(참조)CS_인건비'!M$2,'(참조)CS_인건비'!$A$2:$O$2,0)),0)</f>
        <v>4686936.6399771264</v>
      </c>
      <c r="AG42" s="65">
        <f>IFERROR(INDEX('(참조)CS_인건비'!$A$3:$O$40,MATCH(CS_인건비!$A42,'(참조)CS_인건비'!$A$3:$A$40,0),MATCH('(참조)CS_인건비'!N$2,'(참조)CS_인건비'!$A$2:$O$2,0)),0)</f>
        <v>4805566.5684067942</v>
      </c>
      <c r="AH42" s="65">
        <f>IFERROR(INDEX('(참조)CS_인건비'!$A$3:$O$40,MATCH(CS_인건비!$A42,'(참조)CS_인건비'!$A$3:$A$40,0),MATCH('(참조)CS_인건비'!O$2,'(참조)CS_인건비'!$A$2:$O$2,0)),0)</f>
        <v>4927199.1104837619</v>
      </c>
      <c r="AI42" s="65">
        <f>IFERROR(INDEX('(참조)CS_인건비'!$A$3:$O$40,MATCH(CS_인건비!$A42,'(참조)CS_인건비'!$A$3:$A$40,0),MATCH('(참조)CS_인건비'!P$2,'(참조)CS_인건비'!$A$2:$O$2,0)),0)</f>
        <v>0</v>
      </c>
      <c r="AJ42" s="65">
        <v>12</v>
      </c>
      <c r="AK42" s="65">
        <v>12</v>
      </c>
      <c r="AL42" s="65">
        <v>12</v>
      </c>
      <c r="AM42" s="65">
        <v>12</v>
      </c>
      <c r="AN42" s="65">
        <v>12</v>
      </c>
      <c r="AO42" s="65">
        <v>12</v>
      </c>
      <c r="AP42" s="65">
        <v>12</v>
      </c>
      <c r="AQ42" s="65">
        <v>12</v>
      </c>
      <c r="AR42" s="65">
        <v>12</v>
      </c>
      <c r="AS42" s="65">
        <v>12</v>
      </c>
      <c r="AT42" s="65">
        <v>12</v>
      </c>
      <c r="AU42" s="66">
        <v>1</v>
      </c>
      <c r="AV42" s="63">
        <v>0</v>
      </c>
      <c r="AW42" s="63">
        <v>0</v>
      </c>
      <c r="AX42" s="67">
        <v>517920919.90684736</v>
      </c>
      <c r="AY42" s="67">
        <v>35411391</v>
      </c>
      <c r="AZ42" s="67">
        <v>48410240.291822881</v>
      </c>
      <c r="BA42" s="67">
        <v>49635540.265391536</v>
      </c>
      <c r="BB42" s="67">
        <v>50891853.512519188</v>
      </c>
      <c r="BC42" s="67">
        <v>52179965.002729736</v>
      </c>
      <c r="BD42" s="67">
        <v>53500679.573722236</v>
      </c>
      <c r="BE42" s="67">
        <v>54854822.43424961</v>
      </c>
      <c r="BF42" s="67">
        <v>56243239.67972552</v>
      </c>
      <c r="BG42" s="67">
        <v>57666798.820881516</v>
      </c>
      <c r="BH42" s="67">
        <v>59126389.325805157</v>
      </c>
      <c r="BI42" s="67">
        <v>0</v>
      </c>
      <c r="BJ42" s="68">
        <v>2950949.25</v>
      </c>
      <c r="BK42" s="67">
        <v>2950949.25</v>
      </c>
      <c r="BL42" s="67">
        <v>2950949.25</v>
      </c>
      <c r="BM42" s="67">
        <v>2950949.25</v>
      </c>
      <c r="BN42" s="67">
        <v>2950949.25</v>
      </c>
      <c r="BO42" s="67">
        <v>2950949.25</v>
      </c>
      <c r="BP42" s="67">
        <v>2950949.25</v>
      </c>
      <c r="BQ42" s="67">
        <v>2950949.25</v>
      </c>
      <c r="BR42" s="67">
        <v>2950949.25</v>
      </c>
      <c r="BS42" s="67">
        <v>2950949.25</v>
      </c>
      <c r="BT42" s="67">
        <v>2950949.25</v>
      </c>
      <c r="BU42" s="67">
        <v>2950949.25</v>
      </c>
      <c r="BV42" s="67">
        <v>4034186.69098524</v>
      </c>
      <c r="BW42" s="67">
        <v>4034186.69098524</v>
      </c>
      <c r="BX42" s="67">
        <v>4034186.69098524</v>
      </c>
      <c r="BY42" s="67">
        <v>4034186.69098524</v>
      </c>
      <c r="BZ42" s="67">
        <v>4034186.69098524</v>
      </c>
      <c r="CA42" s="67">
        <v>4034186.69098524</v>
      </c>
      <c r="CB42" s="67">
        <v>4034186.69098524</v>
      </c>
      <c r="CC42" s="67">
        <v>4034186.69098524</v>
      </c>
      <c r="CD42" s="67">
        <v>4034186.69098524</v>
      </c>
      <c r="CE42" s="67">
        <v>4034186.69098524</v>
      </c>
      <c r="CF42" s="67">
        <v>4034186.69098524</v>
      </c>
      <c r="CG42" s="67">
        <v>4034186.69098524</v>
      </c>
      <c r="CH42" s="67">
        <v>4136295.0221159616</v>
      </c>
      <c r="CI42" s="67">
        <v>4136295.0221159616</v>
      </c>
      <c r="CJ42" s="67">
        <v>4136295.0221159616</v>
      </c>
      <c r="CK42" s="67">
        <v>4136295.0221159616</v>
      </c>
      <c r="CL42" s="67">
        <v>4136295.0221159616</v>
      </c>
      <c r="CM42" s="67">
        <v>4136295.0221159616</v>
      </c>
      <c r="CN42" s="67">
        <v>4136295.0221159616</v>
      </c>
      <c r="CO42" s="67">
        <v>4136295.0221159616</v>
      </c>
      <c r="CP42" s="67">
        <v>4136295.0221159616</v>
      </c>
      <c r="CQ42" s="67">
        <v>4136295.0221159616</v>
      </c>
      <c r="CR42" s="67">
        <v>4136295.0221159616</v>
      </c>
      <c r="CS42" s="67">
        <v>4136295.0221159616</v>
      </c>
      <c r="CT42" s="67">
        <v>4240987.7927099336</v>
      </c>
      <c r="CU42" s="67">
        <v>4240987.7927099336</v>
      </c>
      <c r="CV42" s="67">
        <v>4240987.7927099336</v>
      </c>
      <c r="CW42" s="67">
        <v>4240987.7927099336</v>
      </c>
      <c r="CX42" s="67">
        <v>4240987.7927099336</v>
      </c>
      <c r="CY42" s="67">
        <v>4240987.7927099336</v>
      </c>
      <c r="CZ42" s="67">
        <v>4240987.7927099336</v>
      </c>
      <c r="DA42" s="67">
        <v>4240987.7927099336</v>
      </c>
      <c r="DB42" s="67">
        <v>4240987.7927099336</v>
      </c>
      <c r="DC42" s="67">
        <v>4240987.7927099336</v>
      </c>
      <c r="DD42" s="67">
        <v>4240987.7927099336</v>
      </c>
      <c r="DE42" s="67">
        <v>4240987.7927099336</v>
      </c>
      <c r="DF42" s="67">
        <v>4348330.4168941444</v>
      </c>
      <c r="DG42" s="67">
        <v>4348330.4168941444</v>
      </c>
      <c r="DH42" s="67">
        <v>4348330.4168941444</v>
      </c>
      <c r="DI42" s="67">
        <v>4348330.4168941444</v>
      </c>
      <c r="DJ42" s="67">
        <v>4348330.4168941444</v>
      </c>
      <c r="DK42" s="67">
        <v>4348330.4168941444</v>
      </c>
      <c r="DL42" s="67">
        <v>4348330.4168941444</v>
      </c>
      <c r="DM42" s="67">
        <v>4348330.4168941444</v>
      </c>
      <c r="DN42" s="67">
        <v>4348330.4168941444</v>
      </c>
      <c r="DO42" s="67">
        <v>4348330.4168941444</v>
      </c>
      <c r="DP42" s="67">
        <v>4348330.4168941444</v>
      </c>
      <c r="DQ42" s="67">
        <v>4348330.4168941444</v>
      </c>
      <c r="DR42" s="67">
        <v>4458389.9644768517</v>
      </c>
      <c r="DS42" s="67">
        <v>4458389.9644768517</v>
      </c>
      <c r="DT42" s="67">
        <v>4458389.9644768517</v>
      </c>
      <c r="DU42" s="67">
        <v>4458389.9644768517</v>
      </c>
      <c r="DV42" s="67">
        <v>4458389.9644768517</v>
      </c>
      <c r="DW42" s="67">
        <v>4458389.9644768517</v>
      </c>
      <c r="DX42" s="67">
        <v>4458389.9644768517</v>
      </c>
      <c r="DY42" s="67">
        <v>4458389.9644768517</v>
      </c>
      <c r="DZ42" s="67">
        <v>4458389.9644768517</v>
      </c>
      <c r="EA42" s="67">
        <v>4458389.9644768517</v>
      </c>
      <c r="EB42" s="67">
        <v>4458389.9644768517</v>
      </c>
      <c r="EC42" s="67">
        <v>4458389.9644768517</v>
      </c>
      <c r="ED42" s="67">
        <v>4571235.2028541341</v>
      </c>
      <c r="EE42" s="67">
        <v>4571235.2028541341</v>
      </c>
      <c r="EF42" s="67">
        <v>4571235.2028541341</v>
      </c>
      <c r="EG42" s="67">
        <v>4571235.2028541341</v>
      </c>
      <c r="EH42" s="67">
        <v>4571235.2028541341</v>
      </c>
      <c r="EI42" s="67">
        <v>4571235.2028541341</v>
      </c>
      <c r="EJ42" s="67">
        <v>4571235.2028541341</v>
      </c>
      <c r="EK42" s="67">
        <v>4571235.2028541341</v>
      </c>
      <c r="EL42" s="67">
        <v>4571235.2028541341</v>
      </c>
      <c r="EM42" s="67">
        <v>4571235.2028541341</v>
      </c>
      <c r="EN42" s="67">
        <v>4571235.2028541341</v>
      </c>
      <c r="EO42" s="67">
        <v>4571235.2028541341</v>
      </c>
      <c r="EP42" s="67">
        <v>4686936.6399771264</v>
      </c>
      <c r="EQ42" s="67">
        <v>4686936.6399771264</v>
      </c>
      <c r="ER42" s="67">
        <v>4686936.6399771264</v>
      </c>
      <c r="ES42" s="67">
        <v>4686936.6399771264</v>
      </c>
      <c r="ET42" s="67">
        <v>4686936.6399771264</v>
      </c>
      <c r="EU42" s="67">
        <v>4686936.6399771264</v>
      </c>
      <c r="EV42" s="67">
        <v>4686936.6399771264</v>
      </c>
      <c r="EW42" s="67">
        <v>4686936.6399771264</v>
      </c>
      <c r="EX42" s="67">
        <v>4686936.6399771264</v>
      </c>
      <c r="EY42" s="67">
        <v>4686936.6399771264</v>
      </c>
      <c r="EZ42" s="67">
        <v>4686936.6399771264</v>
      </c>
      <c r="FA42" s="67">
        <v>4686936.6399771264</v>
      </c>
      <c r="FB42" s="67">
        <v>4805566.5684067942</v>
      </c>
      <c r="FC42" s="67">
        <v>4805566.5684067942</v>
      </c>
      <c r="FD42" s="67">
        <v>4805566.5684067942</v>
      </c>
      <c r="FE42" s="67">
        <v>4805566.5684067942</v>
      </c>
      <c r="FF42" s="67">
        <v>4805566.5684067942</v>
      </c>
      <c r="FG42" s="67">
        <v>4805566.5684067942</v>
      </c>
      <c r="FH42" s="67">
        <v>4805566.5684067942</v>
      </c>
      <c r="FI42" s="67">
        <v>4805566.5684067942</v>
      </c>
      <c r="FJ42" s="67">
        <v>4805566.5684067942</v>
      </c>
      <c r="FK42" s="67">
        <v>4805566.5684067942</v>
      </c>
      <c r="FL42" s="67">
        <v>4805566.5684067942</v>
      </c>
      <c r="FM42" s="67">
        <v>4805566.5684067942</v>
      </c>
      <c r="FN42" s="67">
        <v>4927199.1104837619</v>
      </c>
      <c r="FO42" s="67">
        <v>4927199.1104837619</v>
      </c>
      <c r="FP42" s="67">
        <v>4927199.1104837619</v>
      </c>
      <c r="FQ42" s="67">
        <v>4927199.1104837619</v>
      </c>
      <c r="FR42" s="67">
        <v>4927199.1104837619</v>
      </c>
      <c r="FS42" s="67">
        <v>4927199.1104837619</v>
      </c>
      <c r="FT42" s="67">
        <v>4927199.1104837619</v>
      </c>
      <c r="FU42" s="67">
        <v>4927199.1104837619</v>
      </c>
      <c r="FV42" s="67">
        <v>4927199.1104837619</v>
      </c>
      <c r="FW42" s="67">
        <v>4927199.1104837619</v>
      </c>
      <c r="FX42" s="67">
        <v>4927199.1104837619</v>
      </c>
      <c r="FY42" s="67">
        <v>4927199.1104837619</v>
      </c>
      <c r="FZ42" s="67">
        <v>0</v>
      </c>
      <c r="GA42" s="67">
        <v>0</v>
      </c>
      <c r="GB42" s="67">
        <v>0</v>
      </c>
      <c r="GC42" s="67">
        <v>0</v>
      </c>
      <c r="GD42" s="67">
        <v>0</v>
      </c>
      <c r="GE42" s="67">
        <v>0</v>
      </c>
      <c r="GF42" s="67">
        <v>0</v>
      </c>
      <c r="GG42" s="67">
        <v>0</v>
      </c>
      <c r="GH42" s="67">
        <v>0</v>
      </c>
      <c r="GI42" s="67">
        <v>0</v>
      </c>
      <c r="GJ42" s="67">
        <v>0</v>
      </c>
      <c r="GK42" s="69">
        <v>0</v>
      </c>
      <c r="GL42" s="40"/>
    </row>
  </sheetData>
  <phoneticPr fontId="1" type="noConversion"/>
  <conditionalFormatting sqref="AV5:AW42 A5:X42">
    <cfRule type="expression" dxfId="5" priority="3">
      <formula>OR($D5="MA",$D5="운영")</formula>
    </cfRule>
  </conditionalFormatting>
  <conditionalFormatting sqref="AJ5:AT42">
    <cfRule type="expression" dxfId="4" priority="2">
      <formula>OR($D5="MA",$D5="운영")</formula>
    </cfRule>
  </conditionalFormatting>
  <conditionalFormatting sqref="Y5:AI42">
    <cfRule type="expression" dxfId="3" priority="1">
      <formula>OR($D5="MA",$D5="운영")</formula>
    </cfRule>
  </conditionalFormatting>
  <hyperlinks>
    <hyperlink ref="A1" location="HOME!A1" display="HOME" xr:uid="{B1CFB195-919D-4AA3-9C58-A4BB54857740}"/>
  </hyperlinks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41987" r:id="rId4" name="OptionButton2">
          <controlPr defaultSize="0" autoFill="0" autoLine="0" r:id="rId5">
            <anchor moveWithCells="1">
              <from>
                <xdr:col>6</xdr:col>
                <xdr:colOff>1059180</xdr:colOff>
                <xdr:row>0</xdr:row>
                <xdr:rowOff>0</xdr:rowOff>
              </from>
              <to>
                <xdr:col>7</xdr:col>
                <xdr:colOff>822960</xdr:colOff>
                <xdr:row>0</xdr:row>
                <xdr:rowOff>335280</xdr:rowOff>
              </to>
            </anchor>
          </controlPr>
        </control>
      </mc:Choice>
      <mc:Fallback>
        <control shapeId="41987" r:id="rId4" name="OptionButton2"/>
      </mc:Fallback>
    </mc:AlternateContent>
    <mc:AlternateContent xmlns:mc="http://schemas.openxmlformats.org/markup-compatibility/2006">
      <mc:Choice Requires="x14">
        <control shapeId="41986" r:id="rId6" name="OptionButton1">
          <controlPr defaultSize="0" disabled="1" autoFill="0" autoLine="0" r:id="rId7">
            <anchor moveWithCells="1">
              <from>
                <xdr:col>5</xdr:col>
                <xdr:colOff>236220</xdr:colOff>
                <xdr:row>0</xdr:row>
                <xdr:rowOff>22860</xdr:rowOff>
              </from>
              <to>
                <xdr:col>6</xdr:col>
                <xdr:colOff>845820</xdr:colOff>
                <xdr:row>0</xdr:row>
                <xdr:rowOff>304800</xdr:rowOff>
              </to>
            </anchor>
          </controlPr>
        </control>
      </mc:Choice>
      <mc:Fallback>
        <control shapeId="41986" r:id="rId6" name="OptionButton1"/>
      </mc:Fallback>
    </mc:AlternateContent>
    <mc:AlternateContent xmlns:mc="http://schemas.openxmlformats.org/markup-compatibility/2006">
      <mc:Choice Requires="x14">
        <control shapeId="41985" r:id="rId8" name="cmd_CS인건비">
          <controlPr defaultSize="0" autoFill="0" autoLine="0" r:id="rId9">
            <anchor moveWithCells="1">
              <from>
                <xdr:col>3</xdr:col>
                <xdr:colOff>22860</xdr:colOff>
                <xdr:row>0</xdr:row>
                <xdr:rowOff>7620</xdr:rowOff>
              </from>
              <to>
                <xdr:col>4</xdr:col>
                <xdr:colOff>350520</xdr:colOff>
                <xdr:row>0</xdr:row>
                <xdr:rowOff>327660</xdr:rowOff>
              </to>
            </anchor>
          </controlPr>
        </control>
      </mc:Choice>
      <mc:Fallback>
        <control shapeId="41985" r:id="rId8" name="cmd_CS인건비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5425E8-AD6F-4D95-A2EC-C10EA5ECA325}">
  <sheetPr codeName="C1_Sheet">
    <tabColor theme="4" tint="0.59999389629810485"/>
  </sheetPr>
  <dimension ref="A1:FJ37"/>
  <sheetViews>
    <sheetView showGridLines="0" zoomScale="70" zoomScaleNormal="70" workbookViewId="0">
      <selection activeCell="F14" sqref="F14"/>
    </sheetView>
  </sheetViews>
  <sheetFormatPr defaultRowHeight="17.399999999999999" x14ac:dyDescent="0.4"/>
  <cols>
    <col min="1" max="1" width="7.59765625" bestFit="1" customWidth="1"/>
    <col min="2" max="2" width="10.8984375" bestFit="1" customWidth="1"/>
    <col min="3" max="5" width="7.59765625" customWidth="1"/>
    <col min="6" max="6" width="23.8984375" bestFit="1" customWidth="1"/>
    <col min="7" max="7" width="35" bestFit="1" customWidth="1"/>
    <col min="8" max="8" width="35.69921875" customWidth="1"/>
    <col min="9" max="9" width="18.5" bestFit="1" customWidth="1"/>
    <col min="10" max="10" width="13" bestFit="1" customWidth="1"/>
    <col min="11" max="11" width="11.296875" bestFit="1" customWidth="1"/>
    <col min="12" max="12" width="11" bestFit="1" customWidth="1"/>
    <col min="13" max="13" width="11.296875" bestFit="1" customWidth="1"/>
    <col min="14" max="14" width="16.19921875" bestFit="1" customWidth="1"/>
    <col min="15" max="16" width="11.69921875" bestFit="1" customWidth="1"/>
    <col min="17" max="17" width="10" customWidth="1"/>
    <col min="18" max="18" width="9.59765625" customWidth="1"/>
    <col min="19" max="19" width="14" bestFit="1" customWidth="1"/>
    <col min="20" max="20" width="15.5" customWidth="1"/>
    <col min="21" max="21" width="9.09765625" bestFit="1" customWidth="1"/>
    <col min="22" max="22" width="10.5" bestFit="1" customWidth="1"/>
    <col min="23" max="23" width="14.5" bestFit="1" customWidth="1"/>
    <col min="24" max="34" width="13.19921875" bestFit="1" customWidth="1"/>
    <col min="35" max="39" width="9.296875" bestFit="1" customWidth="1"/>
    <col min="40" max="142" width="11.69921875" bestFit="1" customWidth="1"/>
    <col min="143" max="166" width="11.796875" bestFit="1" customWidth="1"/>
  </cols>
  <sheetData>
    <row r="1" spans="1:166" ht="30" customHeight="1" thickBot="1" x14ac:dyDescent="0.45"/>
    <row r="2" spans="1:166" s="4" customFormat="1" ht="30" customHeight="1" thickBot="1" x14ac:dyDescent="0.45">
      <c r="A2" s="184" t="s">
        <v>561</v>
      </c>
      <c r="P2" s="93">
        <v>608157860</v>
      </c>
      <c r="W2" s="94">
        <v>638056200.79999995</v>
      </c>
      <c r="X2" s="95">
        <v>31500000</v>
      </c>
      <c r="Y2" s="95">
        <v>88192000</v>
      </c>
      <c r="Z2" s="95">
        <v>108072000</v>
      </c>
      <c r="AA2" s="95">
        <v>62470314.399999999</v>
      </c>
      <c r="AB2" s="95">
        <v>57970314.399999999</v>
      </c>
      <c r="AC2" s="95">
        <v>57970314.399999999</v>
      </c>
      <c r="AD2" s="95">
        <v>57970314.399999999</v>
      </c>
      <c r="AE2" s="95">
        <v>57970314.399999999</v>
      </c>
      <c r="AF2" s="95">
        <v>57970314.399999999</v>
      </c>
      <c r="AG2" s="95">
        <v>57970314.399999999</v>
      </c>
      <c r="AH2" s="95">
        <v>0</v>
      </c>
      <c r="AI2" s="96">
        <v>0</v>
      </c>
      <c r="AJ2" s="96">
        <v>0</v>
      </c>
      <c r="AK2" s="96">
        <v>0</v>
      </c>
      <c r="AL2" s="96">
        <v>0</v>
      </c>
      <c r="AM2" s="96">
        <v>0</v>
      </c>
      <c r="AN2" s="96">
        <v>4500000</v>
      </c>
      <c r="AO2" s="96">
        <v>4500000</v>
      </c>
      <c r="AP2" s="96">
        <v>4500000</v>
      </c>
      <c r="AQ2" s="96">
        <v>4500000</v>
      </c>
      <c r="AR2" s="96">
        <v>4500000</v>
      </c>
      <c r="AS2" s="96">
        <v>4500000</v>
      </c>
      <c r="AT2" s="96">
        <v>4500000</v>
      </c>
      <c r="AU2" s="95">
        <v>6166000</v>
      </c>
      <c r="AV2" s="95">
        <v>6166000</v>
      </c>
      <c r="AW2" s="95">
        <v>6166000</v>
      </c>
      <c r="AX2" s="95">
        <v>6166000</v>
      </c>
      <c r="AY2" s="95">
        <v>6166000</v>
      </c>
      <c r="AZ2" s="95">
        <v>6166000</v>
      </c>
      <c r="BA2" s="95">
        <v>6166000</v>
      </c>
      <c r="BB2" s="95">
        <v>9006000</v>
      </c>
      <c r="BC2" s="95">
        <v>9006000</v>
      </c>
      <c r="BD2" s="95">
        <v>9006000</v>
      </c>
      <c r="BE2" s="95">
        <v>9006000</v>
      </c>
      <c r="BF2" s="95">
        <v>9006000</v>
      </c>
      <c r="BG2" s="96">
        <v>9006000</v>
      </c>
      <c r="BH2" s="96">
        <v>9006000</v>
      </c>
      <c r="BI2" s="96">
        <v>9006000</v>
      </c>
      <c r="BJ2" s="96">
        <v>9006000</v>
      </c>
      <c r="BK2" s="96">
        <v>9006000</v>
      </c>
      <c r="BL2" s="96">
        <v>9006000</v>
      </c>
      <c r="BM2" s="96">
        <v>9006000</v>
      </c>
      <c r="BN2" s="96">
        <v>9006000</v>
      </c>
      <c r="BO2" s="96">
        <v>9006000</v>
      </c>
      <c r="BP2" s="96">
        <v>9006000</v>
      </c>
      <c r="BQ2" s="96">
        <v>9006000</v>
      </c>
      <c r="BR2" s="96">
        <v>9006000</v>
      </c>
      <c r="BS2" s="95">
        <v>9330859.5333333332</v>
      </c>
      <c r="BT2" s="95">
        <v>4830859.5333333332</v>
      </c>
      <c r="BU2" s="95">
        <v>4830859.5333333332</v>
      </c>
      <c r="BV2" s="95">
        <v>4830859.5333333332</v>
      </c>
      <c r="BW2" s="95">
        <v>4830859.5333333332</v>
      </c>
      <c r="BX2" s="95">
        <v>4830859.5333333332</v>
      </c>
      <c r="BY2" s="95">
        <v>4830859.5333333332</v>
      </c>
      <c r="BZ2" s="95">
        <v>4830859.5333333332</v>
      </c>
      <c r="CA2" s="95">
        <v>4830859.5333333332</v>
      </c>
      <c r="CB2" s="95">
        <v>4830859.5333333332</v>
      </c>
      <c r="CC2" s="95">
        <v>4830859.5333333332</v>
      </c>
      <c r="CD2" s="95">
        <v>4830859.5333333332</v>
      </c>
      <c r="CE2" s="96">
        <v>4830859.5333333332</v>
      </c>
      <c r="CF2" s="96">
        <v>4830859.5333333332</v>
      </c>
      <c r="CG2" s="96">
        <v>4830859.5333333332</v>
      </c>
      <c r="CH2" s="96">
        <v>4830859.5333333332</v>
      </c>
      <c r="CI2" s="96">
        <v>4830859.5333333332</v>
      </c>
      <c r="CJ2" s="96">
        <v>4830859.5333333332</v>
      </c>
      <c r="CK2" s="96">
        <v>4830859.5333333332</v>
      </c>
      <c r="CL2" s="96">
        <v>4830859.5333333332</v>
      </c>
      <c r="CM2" s="96">
        <v>4830859.5333333332</v>
      </c>
      <c r="CN2" s="96">
        <v>4830859.5333333332</v>
      </c>
      <c r="CO2" s="96">
        <v>4830859.5333333332</v>
      </c>
      <c r="CP2" s="96">
        <v>4830859.5333333332</v>
      </c>
      <c r="CQ2" s="95">
        <v>4830859.5333333332</v>
      </c>
      <c r="CR2" s="95">
        <v>4830859.5333333332</v>
      </c>
      <c r="CS2" s="95">
        <v>4830859.5333333332</v>
      </c>
      <c r="CT2" s="95">
        <v>4830859.5333333332</v>
      </c>
      <c r="CU2" s="95">
        <v>4830859.5333333332</v>
      </c>
      <c r="CV2" s="95">
        <v>4830859.5333333332</v>
      </c>
      <c r="CW2" s="95">
        <v>4830859.5333333332</v>
      </c>
      <c r="CX2" s="95">
        <v>4830859.5333333332</v>
      </c>
      <c r="CY2" s="95">
        <v>4830859.5333333332</v>
      </c>
      <c r="CZ2" s="95">
        <v>4830859.5333333332</v>
      </c>
      <c r="DA2" s="95">
        <v>4830859.5333333332</v>
      </c>
      <c r="DB2" s="95">
        <v>4830859.5333333332</v>
      </c>
      <c r="DC2" s="96">
        <v>4830859.5333333332</v>
      </c>
      <c r="DD2" s="96">
        <v>4830859.5333333332</v>
      </c>
      <c r="DE2" s="96">
        <v>4830859.5333333332</v>
      </c>
      <c r="DF2" s="96">
        <v>4830859.5333333332</v>
      </c>
      <c r="DG2" s="96">
        <v>4830859.5333333332</v>
      </c>
      <c r="DH2" s="96">
        <v>4830859.5333333332</v>
      </c>
      <c r="DI2" s="96">
        <v>4830859.5333333332</v>
      </c>
      <c r="DJ2" s="96">
        <v>4830859.5333333332</v>
      </c>
      <c r="DK2" s="96">
        <v>4830859.5333333332</v>
      </c>
      <c r="DL2" s="96">
        <v>4830859.5333333332</v>
      </c>
      <c r="DM2" s="96">
        <v>4830859.5333333332</v>
      </c>
      <c r="DN2" s="96">
        <v>4830859.5333333332</v>
      </c>
      <c r="DO2" s="95">
        <v>4830859.5333333332</v>
      </c>
      <c r="DP2" s="95">
        <v>4830859.5333333332</v>
      </c>
      <c r="DQ2" s="95">
        <v>4830859.5333333332</v>
      </c>
      <c r="DR2" s="95">
        <v>4830859.5333333332</v>
      </c>
      <c r="DS2" s="95">
        <v>4830859.5333333332</v>
      </c>
      <c r="DT2" s="95">
        <v>4830859.5333333332</v>
      </c>
      <c r="DU2" s="95">
        <v>4830859.5333333332</v>
      </c>
      <c r="DV2" s="95">
        <v>4830859.5333333332</v>
      </c>
      <c r="DW2" s="95">
        <v>4830859.5333333332</v>
      </c>
      <c r="DX2" s="95">
        <v>4830859.5333333332</v>
      </c>
      <c r="DY2" s="95">
        <v>4830859.5333333332</v>
      </c>
      <c r="DZ2" s="95">
        <v>4830859.5333333332</v>
      </c>
      <c r="EA2" s="96">
        <v>4830859.5333333332</v>
      </c>
      <c r="EB2" s="96">
        <v>4830859.5333333332</v>
      </c>
      <c r="EC2" s="96">
        <v>4830859.5333333332</v>
      </c>
      <c r="ED2" s="96">
        <v>4830859.5333333332</v>
      </c>
      <c r="EE2" s="96">
        <v>4830859.5333333332</v>
      </c>
      <c r="EF2" s="96">
        <v>4830859.5333333332</v>
      </c>
      <c r="EG2" s="96">
        <v>4830859.5333333332</v>
      </c>
      <c r="EH2" s="96">
        <v>4830859.5333333332</v>
      </c>
      <c r="EI2" s="96">
        <v>4830859.5333333332</v>
      </c>
      <c r="EJ2" s="96">
        <v>4830859.5333333332</v>
      </c>
      <c r="EK2" s="96">
        <v>4830859.5333333332</v>
      </c>
      <c r="EL2" s="96">
        <v>4830859.5333333332</v>
      </c>
      <c r="EM2" s="95">
        <v>4830859.5333333332</v>
      </c>
      <c r="EN2" s="95">
        <v>4830859.5333333332</v>
      </c>
      <c r="EO2" s="95">
        <v>4830859.5333333332</v>
      </c>
      <c r="EP2" s="95">
        <v>4830859.5333333332</v>
      </c>
      <c r="EQ2" s="95">
        <v>4830859.5333333332</v>
      </c>
      <c r="ER2" s="95">
        <v>4830859.5333333332</v>
      </c>
      <c r="ES2" s="95">
        <v>4830859.5333333332</v>
      </c>
      <c r="ET2" s="95">
        <v>4830859.5333333332</v>
      </c>
      <c r="EU2" s="95">
        <v>4830859.5333333332</v>
      </c>
      <c r="EV2" s="95">
        <v>4830859.5333333332</v>
      </c>
      <c r="EW2" s="95">
        <v>4830859.5333333332</v>
      </c>
      <c r="EX2" s="95">
        <v>4830859.5333333332</v>
      </c>
      <c r="EY2" s="96">
        <v>0</v>
      </c>
      <c r="EZ2" s="96">
        <v>0</v>
      </c>
      <c r="FA2" s="96">
        <v>0</v>
      </c>
      <c r="FB2" s="96">
        <v>0</v>
      </c>
      <c r="FC2" s="96">
        <v>0</v>
      </c>
      <c r="FD2" s="96">
        <v>0</v>
      </c>
      <c r="FE2" s="96">
        <v>0</v>
      </c>
      <c r="FF2" s="96">
        <v>0</v>
      </c>
      <c r="FG2" s="96">
        <v>0</v>
      </c>
      <c r="FH2" s="96">
        <v>0</v>
      </c>
      <c r="FI2" s="96">
        <v>0</v>
      </c>
      <c r="FJ2" s="97">
        <v>0</v>
      </c>
    </row>
    <row r="3" spans="1:166" ht="8.4" customHeight="1" thickBot="1" x14ac:dyDescent="0.45"/>
    <row r="4" spans="1:166" s="1" customFormat="1" ht="23.25" customHeight="1" x14ac:dyDescent="0.4">
      <c r="A4" s="53" t="s">
        <v>0</v>
      </c>
      <c r="B4" s="54" t="s">
        <v>1</v>
      </c>
      <c r="C4" s="54" t="s">
        <v>2</v>
      </c>
      <c r="D4" s="54" t="s">
        <v>3</v>
      </c>
      <c r="E4" s="54" t="s">
        <v>4</v>
      </c>
      <c r="F4" s="55" t="s">
        <v>148</v>
      </c>
      <c r="G4" s="55" t="s">
        <v>149</v>
      </c>
      <c r="H4" s="55" t="s">
        <v>150</v>
      </c>
      <c r="I4" s="55" t="s">
        <v>151</v>
      </c>
      <c r="J4" s="55" t="s">
        <v>5</v>
      </c>
      <c r="K4" s="55" t="s">
        <v>157</v>
      </c>
      <c r="L4" s="55" t="s">
        <v>6</v>
      </c>
      <c r="M4" s="55" t="s">
        <v>7</v>
      </c>
      <c r="N4" s="55" t="s">
        <v>8</v>
      </c>
      <c r="O4" s="54" t="s">
        <v>9</v>
      </c>
      <c r="P4" s="54" t="s">
        <v>10</v>
      </c>
      <c r="Q4" s="54" t="s">
        <v>11</v>
      </c>
      <c r="R4" s="54" t="s">
        <v>12</v>
      </c>
      <c r="S4" s="54" t="s">
        <v>13</v>
      </c>
      <c r="T4" s="54" t="s">
        <v>42</v>
      </c>
      <c r="U4" s="55" t="s">
        <v>16</v>
      </c>
      <c r="V4" s="55" t="s">
        <v>384</v>
      </c>
      <c r="W4" s="55" t="s">
        <v>15</v>
      </c>
      <c r="X4" s="55" t="s">
        <v>41</v>
      </c>
      <c r="Y4" s="55" t="s">
        <v>139</v>
      </c>
      <c r="Z4" s="55" t="s">
        <v>140</v>
      </c>
      <c r="AA4" s="55" t="s">
        <v>141</v>
      </c>
      <c r="AB4" s="55" t="s">
        <v>142</v>
      </c>
      <c r="AC4" s="55" t="s">
        <v>143</v>
      </c>
      <c r="AD4" s="55" t="s">
        <v>144</v>
      </c>
      <c r="AE4" s="55" t="s">
        <v>145</v>
      </c>
      <c r="AF4" s="55" t="s">
        <v>146</v>
      </c>
      <c r="AG4" s="55" t="s">
        <v>147</v>
      </c>
      <c r="AH4" s="55" t="s">
        <v>189</v>
      </c>
      <c r="AI4" s="58" t="s">
        <v>17</v>
      </c>
      <c r="AJ4" s="58" t="s">
        <v>18</v>
      </c>
      <c r="AK4" s="58" t="s">
        <v>19</v>
      </c>
      <c r="AL4" s="58" t="s">
        <v>20</v>
      </c>
      <c r="AM4" s="58" t="s">
        <v>21</v>
      </c>
      <c r="AN4" s="58" t="s">
        <v>22</v>
      </c>
      <c r="AO4" s="58" t="s">
        <v>23</v>
      </c>
      <c r="AP4" s="58" t="s">
        <v>24</v>
      </c>
      <c r="AQ4" s="58" t="s">
        <v>25</v>
      </c>
      <c r="AR4" s="58" t="s">
        <v>26</v>
      </c>
      <c r="AS4" s="58" t="s">
        <v>27</v>
      </c>
      <c r="AT4" s="58" t="s">
        <v>28</v>
      </c>
      <c r="AU4" s="55" t="s">
        <v>29</v>
      </c>
      <c r="AV4" s="55" t="s">
        <v>30</v>
      </c>
      <c r="AW4" s="55" t="s">
        <v>31</v>
      </c>
      <c r="AX4" s="55" t="s">
        <v>32</v>
      </c>
      <c r="AY4" s="55" t="s">
        <v>33</v>
      </c>
      <c r="AZ4" s="55" t="s">
        <v>34</v>
      </c>
      <c r="BA4" s="55" t="s">
        <v>35</v>
      </c>
      <c r="BB4" s="55" t="s">
        <v>36</v>
      </c>
      <c r="BC4" s="55" t="s">
        <v>37</v>
      </c>
      <c r="BD4" s="55" t="s">
        <v>38</v>
      </c>
      <c r="BE4" s="55" t="s">
        <v>39</v>
      </c>
      <c r="BF4" s="55" t="s">
        <v>40</v>
      </c>
      <c r="BG4" s="58" t="s">
        <v>43</v>
      </c>
      <c r="BH4" s="58" t="s">
        <v>44</v>
      </c>
      <c r="BI4" s="58" t="s">
        <v>45</v>
      </c>
      <c r="BJ4" s="58" t="s">
        <v>46</v>
      </c>
      <c r="BK4" s="58" t="s">
        <v>47</v>
      </c>
      <c r="BL4" s="58" t="s">
        <v>48</v>
      </c>
      <c r="BM4" s="58" t="s">
        <v>49</v>
      </c>
      <c r="BN4" s="58" t="s">
        <v>50</v>
      </c>
      <c r="BO4" s="58" t="s">
        <v>51</v>
      </c>
      <c r="BP4" s="58" t="s">
        <v>52</v>
      </c>
      <c r="BQ4" s="58" t="s">
        <v>53</v>
      </c>
      <c r="BR4" s="58" t="s">
        <v>54</v>
      </c>
      <c r="BS4" s="55" t="s">
        <v>55</v>
      </c>
      <c r="BT4" s="55" t="s">
        <v>56</v>
      </c>
      <c r="BU4" s="55" t="s">
        <v>57</v>
      </c>
      <c r="BV4" s="55" t="s">
        <v>58</v>
      </c>
      <c r="BW4" s="55" t="s">
        <v>59</v>
      </c>
      <c r="BX4" s="55" t="s">
        <v>60</v>
      </c>
      <c r="BY4" s="55" t="s">
        <v>61</v>
      </c>
      <c r="BZ4" s="55" t="s">
        <v>62</v>
      </c>
      <c r="CA4" s="55" t="s">
        <v>63</v>
      </c>
      <c r="CB4" s="55" t="s">
        <v>64</v>
      </c>
      <c r="CC4" s="55" t="s">
        <v>65</v>
      </c>
      <c r="CD4" s="55" t="s">
        <v>66</v>
      </c>
      <c r="CE4" s="58" t="s">
        <v>67</v>
      </c>
      <c r="CF4" s="58" t="s">
        <v>68</v>
      </c>
      <c r="CG4" s="58" t="s">
        <v>69</v>
      </c>
      <c r="CH4" s="58" t="s">
        <v>70</v>
      </c>
      <c r="CI4" s="58" t="s">
        <v>71</v>
      </c>
      <c r="CJ4" s="58" t="s">
        <v>72</v>
      </c>
      <c r="CK4" s="58" t="s">
        <v>73</v>
      </c>
      <c r="CL4" s="58" t="s">
        <v>74</v>
      </c>
      <c r="CM4" s="58" t="s">
        <v>75</v>
      </c>
      <c r="CN4" s="58" t="s">
        <v>76</v>
      </c>
      <c r="CO4" s="58" t="s">
        <v>77</v>
      </c>
      <c r="CP4" s="58" t="s">
        <v>78</v>
      </c>
      <c r="CQ4" s="55" t="s">
        <v>79</v>
      </c>
      <c r="CR4" s="55" t="s">
        <v>80</v>
      </c>
      <c r="CS4" s="55" t="s">
        <v>81</v>
      </c>
      <c r="CT4" s="55" t="s">
        <v>82</v>
      </c>
      <c r="CU4" s="55" t="s">
        <v>83</v>
      </c>
      <c r="CV4" s="55" t="s">
        <v>84</v>
      </c>
      <c r="CW4" s="55" t="s">
        <v>85</v>
      </c>
      <c r="CX4" s="55" t="s">
        <v>86</v>
      </c>
      <c r="CY4" s="55" t="s">
        <v>87</v>
      </c>
      <c r="CZ4" s="55" t="s">
        <v>88</v>
      </c>
      <c r="DA4" s="55" t="s">
        <v>89</v>
      </c>
      <c r="DB4" s="55" t="s">
        <v>90</v>
      </c>
      <c r="DC4" s="58" t="s">
        <v>91</v>
      </c>
      <c r="DD4" s="58" t="s">
        <v>92</v>
      </c>
      <c r="DE4" s="58" t="s">
        <v>93</v>
      </c>
      <c r="DF4" s="58" t="s">
        <v>94</v>
      </c>
      <c r="DG4" s="58" t="s">
        <v>95</v>
      </c>
      <c r="DH4" s="58" t="s">
        <v>96</v>
      </c>
      <c r="DI4" s="58" t="s">
        <v>97</v>
      </c>
      <c r="DJ4" s="58" t="s">
        <v>98</v>
      </c>
      <c r="DK4" s="58" t="s">
        <v>99</v>
      </c>
      <c r="DL4" s="58" t="s">
        <v>100</v>
      </c>
      <c r="DM4" s="58" t="s">
        <v>101</v>
      </c>
      <c r="DN4" s="58" t="s">
        <v>102</v>
      </c>
      <c r="DO4" s="55" t="s">
        <v>103</v>
      </c>
      <c r="DP4" s="55" t="s">
        <v>104</v>
      </c>
      <c r="DQ4" s="55" t="s">
        <v>105</v>
      </c>
      <c r="DR4" s="55" t="s">
        <v>106</v>
      </c>
      <c r="DS4" s="55" t="s">
        <v>107</v>
      </c>
      <c r="DT4" s="55" t="s">
        <v>108</v>
      </c>
      <c r="DU4" s="55" t="s">
        <v>109</v>
      </c>
      <c r="DV4" s="55" t="s">
        <v>110</v>
      </c>
      <c r="DW4" s="55" t="s">
        <v>111</v>
      </c>
      <c r="DX4" s="55" t="s">
        <v>112</v>
      </c>
      <c r="DY4" s="55" t="s">
        <v>113</v>
      </c>
      <c r="DZ4" s="55" t="s">
        <v>114</v>
      </c>
      <c r="EA4" s="58" t="s">
        <v>115</v>
      </c>
      <c r="EB4" s="58" t="s">
        <v>116</v>
      </c>
      <c r="EC4" s="58" t="s">
        <v>117</v>
      </c>
      <c r="ED4" s="58" t="s">
        <v>118</v>
      </c>
      <c r="EE4" s="58" t="s">
        <v>119</v>
      </c>
      <c r="EF4" s="58" t="s">
        <v>120</v>
      </c>
      <c r="EG4" s="58" t="s">
        <v>121</v>
      </c>
      <c r="EH4" s="58" t="s">
        <v>122</v>
      </c>
      <c r="EI4" s="58" t="s">
        <v>123</v>
      </c>
      <c r="EJ4" s="58" t="s">
        <v>124</v>
      </c>
      <c r="EK4" s="58" t="s">
        <v>125</v>
      </c>
      <c r="EL4" s="58" t="s">
        <v>126</v>
      </c>
      <c r="EM4" s="55" t="s">
        <v>127</v>
      </c>
      <c r="EN4" s="55" t="s">
        <v>128</v>
      </c>
      <c r="EO4" s="55" t="s">
        <v>129</v>
      </c>
      <c r="EP4" s="55" t="s">
        <v>130</v>
      </c>
      <c r="EQ4" s="55" t="s">
        <v>131</v>
      </c>
      <c r="ER4" s="55" t="s">
        <v>132</v>
      </c>
      <c r="ES4" s="55" t="s">
        <v>133</v>
      </c>
      <c r="ET4" s="55" t="s">
        <v>134</v>
      </c>
      <c r="EU4" s="55" t="s">
        <v>135</v>
      </c>
      <c r="EV4" s="55" t="s">
        <v>136</v>
      </c>
      <c r="EW4" s="55" t="s">
        <v>137</v>
      </c>
      <c r="EX4" s="55" t="s">
        <v>138</v>
      </c>
      <c r="EY4" s="58" t="s">
        <v>176</v>
      </c>
      <c r="EZ4" s="58" t="s">
        <v>177</v>
      </c>
      <c r="FA4" s="58" t="s">
        <v>178</v>
      </c>
      <c r="FB4" s="58" t="s">
        <v>179</v>
      </c>
      <c r="FC4" s="58" t="s">
        <v>180</v>
      </c>
      <c r="FD4" s="58" t="s">
        <v>181</v>
      </c>
      <c r="FE4" s="58" t="s">
        <v>182</v>
      </c>
      <c r="FF4" s="58" t="s">
        <v>183</v>
      </c>
      <c r="FG4" s="58" t="s">
        <v>184</v>
      </c>
      <c r="FH4" s="58" t="s">
        <v>185</v>
      </c>
      <c r="FI4" s="58" t="s">
        <v>186</v>
      </c>
      <c r="FJ4" s="59" t="s">
        <v>187</v>
      </c>
    </row>
    <row r="5" spans="1:166" x14ac:dyDescent="0.4">
      <c r="A5" s="110">
        <v>0</v>
      </c>
      <c r="B5" s="48" t="s">
        <v>174</v>
      </c>
      <c r="C5" s="48" t="s">
        <v>381</v>
      </c>
      <c r="D5" s="48" t="s">
        <v>14</v>
      </c>
      <c r="E5" s="48" t="s">
        <v>154</v>
      </c>
      <c r="F5" s="48" t="s">
        <v>445</v>
      </c>
      <c r="G5" s="48" t="s">
        <v>446</v>
      </c>
      <c r="H5" s="48">
        <v>0</v>
      </c>
      <c r="I5" s="48">
        <v>0</v>
      </c>
      <c r="J5" s="48" t="s">
        <v>155</v>
      </c>
      <c r="K5" s="48">
        <v>0</v>
      </c>
      <c r="L5" s="48" t="s">
        <v>443</v>
      </c>
      <c r="M5" s="49">
        <v>1</v>
      </c>
      <c r="N5" s="49">
        <v>0</v>
      </c>
      <c r="O5" s="50">
        <v>7999999.9999999991</v>
      </c>
      <c r="P5" s="50">
        <f>CS_구축!$M5*CS_구축!$O5</f>
        <v>7999999.9999999991</v>
      </c>
      <c r="Q5" s="49">
        <v>0</v>
      </c>
      <c r="R5" s="49">
        <v>0</v>
      </c>
      <c r="S5" s="51">
        <v>0</v>
      </c>
      <c r="T5" s="52">
        <v>1</v>
      </c>
      <c r="U5" s="48">
        <v>0</v>
      </c>
      <c r="V5" s="49">
        <v>0</v>
      </c>
      <c r="W5" s="49">
        <v>0</v>
      </c>
      <c r="X5" s="49">
        <v>0</v>
      </c>
      <c r="Y5" s="49">
        <v>0</v>
      </c>
      <c r="Z5" s="49">
        <v>0</v>
      </c>
      <c r="AA5" s="49">
        <v>0</v>
      </c>
      <c r="AB5" s="49">
        <v>0</v>
      </c>
      <c r="AC5" s="49">
        <v>0</v>
      </c>
      <c r="AD5" s="49">
        <v>0</v>
      </c>
      <c r="AE5" s="49">
        <v>0</v>
      </c>
      <c r="AF5" s="49">
        <v>0</v>
      </c>
      <c r="AG5" s="49">
        <v>0</v>
      </c>
      <c r="AH5" s="49">
        <v>0</v>
      </c>
      <c r="AI5" s="49">
        <v>0</v>
      </c>
      <c r="AJ5" s="49">
        <v>0</v>
      </c>
      <c r="AK5" s="49">
        <v>0</v>
      </c>
      <c r="AL5" s="49">
        <v>0</v>
      </c>
      <c r="AM5" s="49">
        <v>0</v>
      </c>
      <c r="AN5" s="49">
        <v>0</v>
      </c>
      <c r="AO5" s="49">
        <v>0</v>
      </c>
      <c r="AP5" s="49">
        <v>0</v>
      </c>
      <c r="AQ5" s="49">
        <v>0</v>
      </c>
      <c r="AR5" s="49">
        <v>0</v>
      </c>
      <c r="AS5" s="49">
        <v>0</v>
      </c>
      <c r="AT5" s="49">
        <v>0</v>
      </c>
      <c r="AU5" s="49">
        <v>0</v>
      </c>
      <c r="AV5" s="49">
        <v>0</v>
      </c>
      <c r="AW5" s="49">
        <v>0</v>
      </c>
      <c r="AX5" s="49">
        <v>0</v>
      </c>
      <c r="AY5" s="49">
        <v>0</v>
      </c>
      <c r="AZ5" s="49">
        <v>0</v>
      </c>
      <c r="BA5" s="49">
        <v>0</v>
      </c>
      <c r="BB5" s="49">
        <v>0</v>
      </c>
      <c r="BC5" s="49">
        <v>0</v>
      </c>
      <c r="BD5" s="49">
        <v>0</v>
      </c>
      <c r="BE5" s="49">
        <v>0</v>
      </c>
      <c r="BF5" s="49">
        <v>0</v>
      </c>
      <c r="BG5" s="49">
        <v>0</v>
      </c>
      <c r="BH5" s="49">
        <v>0</v>
      </c>
      <c r="BI5" s="49">
        <v>0</v>
      </c>
      <c r="BJ5" s="49">
        <v>0</v>
      </c>
      <c r="BK5" s="49">
        <v>0</v>
      </c>
      <c r="BL5" s="49">
        <v>0</v>
      </c>
      <c r="BM5" s="49">
        <v>0</v>
      </c>
      <c r="BN5" s="49">
        <v>0</v>
      </c>
      <c r="BO5" s="49">
        <v>0</v>
      </c>
      <c r="BP5" s="49">
        <v>0</v>
      </c>
      <c r="BQ5" s="49">
        <v>0</v>
      </c>
      <c r="BR5" s="49">
        <v>0</v>
      </c>
      <c r="BS5" s="49">
        <v>0</v>
      </c>
      <c r="BT5" s="49">
        <v>0</v>
      </c>
      <c r="BU5" s="49">
        <v>0</v>
      </c>
      <c r="BV5" s="49">
        <v>0</v>
      </c>
      <c r="BW5" s="49">
        <v>0</v>
      </c>
      <c r="BX5" s="49">
        <v>0</v>
      </c>
      <c r="BY5" s="49">
        <v>0</v>
      </c>
      <c r="BZ5" s="49">
        <v>0</v>
      </c>
      <c r="CA5" s="49">
        <v>0</v>
      </c>
      <c r="CB5" s="49">
        <v>0</v>
      </c>
      <c r="CC5" s="49">
        <v>0</v>
      </c>
      <c r="CD5" s="49">
        <v>0</v>
      </c>
      <c r="CE5" s="49">
        <v>0</v>
      </c>
      <c r="CF5" s="49">
        <v>0</v>
      </c>
      <c r="CG5" s="49">
        <v>0</v>
      </c>
      <c r="CH5" s="49">
        <v>0</v>
      </c>
      <c r="CI5" s="49">
        <v>0</v>
      </c>
      <c r="CJ5" s="49">
        <v>0</v>
      </c>
      <c r="CK5" s="49">
        <v>0</v>
      </c>
      <c r="CL5" s="49">
        <v>0</v>
      </c>
      <c r="CM5" s="49">
        <v>0</v>
      </c>
      <c r="CN5" s="49">
        <v>0</v>
      </c>
      <c r="CO5" s="49">
        <v>0</v>
      </c>
      <c r="CP5" s="49">
        <v>0</v>
      </c>
      <c r="CQ5" s="49">
        <v>0</v>
      </c>
      <c r="CR5" s="49">
        <v>0</v>
      </c>
      <c r="CS5" s="49">
        <v>0</v>
      </c>
      <c r="CT5" s="49">
        <v>0</v>
      </c>
      <c r="CU5" s="49">
        <v>0</v>
      </c>
      <c r="CV5" s="49">
        <v>0</v>
      </c>
      <c r="CW5" s="49">
        <v>0</v>
      </c>
      <c r="CX5" s="49">
        <v>0</v>
      </c>
      <c r="CY5" s="49">
        <v>0</v>
      </c>
      <c r="CZ5" s="49">
        <v>0</v>
      </c>
      <c r="DA5" s="49">
        <v>0</v>
      </c>
      <c r="DB5" s="49">
        <v>0</v>
      </c>
      <c r="DC5" s="49">
        <v>0</v>
      </c>
      <c r="DD5" s="49">
        <v>0</v>
      </c>
      <c r="DE5" s="49">
        <v>0</v>
      </c>
      <c r="DF5" s="49">
        <v>0</v>
      </c>
      <c r="DG5" s="49">
        <v>0</v>
      </c>
      <c r="DH5" s="49">
        <v>0</v>
      </c>
      <c r="DI5" s="49">
        <v>0</v>
      </c>
      <c r="DJ5" s="49">
        <v>0</v>
      </c>
      <c r="DK5" s="49">
        <v>0</v>
      </c>
      <c r="DL5" s="49">
        <v>0</v>
      </c>
      <c r="DM5" s="49">
        <v>0</v>
      </c>
      <c r="DN5" s="49">
        <v>0</v>
      </c>
      <c r="DO5" s="49">
        <v>0</v>
      </c>
      <c r="DP5" s="49">
        <v>0</v>
      </c>
      <c r="DQ5" s="49">
        <v>0</v>
      </c>
      <c r="DR5" s="49">
        <v>0</v>
      </c>
      <c r="DS5" s="49">
        <v>0</v>
      </c>
      <c r="DT5" s="49">
        <v>0</v>
      </c>
      <c r="DU5" s="49">
        <v>0</v>
      </c>
      <c r="DV5" s="49">
        <v>0</v>
      </c>
      <c r="DW5" s="49">
        <v>0</v>
      </c>
      <c r="DX5" s="49">
        <v>0</v>
      </c>
      <c r="DY5" s="49">
        <v>0</v>
      </c>
      <c r="DZ5" s="49">
        <v>0</v>
      </c>
      <c r="EA5" s="49">
        <v>0</v>
      </c>
      <c r="EB5" s="49">
        <v>0</v>
      </c>
      <c r="EC5" s="49">
        <v>0</v>
      </c>
      <c r="ED5" s="49">
        <v>0</v>
      </c>
      <c r="EE5" s="49">
        <v>0</v>
      </c>
      <c r="EF5" s="49">
        <v>0</v>
      </c>
      <c r="EG5" s="49">
        <v>0</v>
      </c>
      <c r="EH5" s="49">
        <v>0</v>
      </c>
      <c r="EI5" s="49">
        <v>0</v>
      </c>
      <c r="EJ5" s="49">
        <v>0</v>
      </c>
      <c r="EK5" s="49">
        <v>0</v>
      </c>
      <c r="EL5" s="49">
        <v>0</v>
      </c>
      <c r="EM5" s="49">
        <v>0</v>
      </c>
      <c r="EN5" s="49">
        <v>0</v>
      </c>
      <c r="EO5" s="49">
        <v>0</v>
      </c>
      <c r="EP5" s="49">
        <v>0</v>
      </c>
      <c r="EQ5" s="49">
        <v>0</v>
      </c>
      <c r="ER5" s="49">
        <v>0</v>
      </c>
      <c r="ES5" s="49">
        <v>0</v>
      </c>
      <c r="ET5" s="49">
        <v>0</v>
      </c>
      <c r="EU5" s="49">
        <v>0</v>
      </c>
      <c r="EV5" s="49">
        <v>0</v>
      </c>
      <c r="EW5" s="49">
        <v>0</v>
      </c>
      <c r="EX5" s="49">
        <v>0</v>
      </c>
      <c r="EY5" s="49">
        <v>0</v>
      </c>
      <c r="EZ5" s="49">
        <v>0</v>
      </c>
      <c r="FA5" s="49">
        <v>0</v>
      </c>
      <c r="FB5" s="49">
        <v>0</v>
      </c>
      <c r="FC5" s="49">
        <v>0</v>
      </c>
      <c r="FD5" s="49">
        <v>0</v>
      </c>
      <c r="FE5" s="49">
        <v>0</v>
      </c>
      <c r="FF5" s="49">
        <v>0</v>
      </c>
      <c r="FG5" s="49">
        <v>0</v>
      </c>
      <c r="FH5" s="49">
        <v>0</v>
      </c>
      <c r="FI5" s="49">
        <v>0</v>
      </c>
      <c r="FJ5" s="111">
        <v>0</v>
      </c>
    </row>
    <row r="6" spans="1:166" x14ac:dyDescent="0.4">
      <c r="A6" s="112">
        <v>0</v>
      </c>
      <c r="B6" s="43" t="s">
        <v>174</v>
      </c>
      <c r="C6" s="43" t="s">
        <v>381</v>
      </c>
      <c r="D6" s="43" t="s">
        <v>14</v>
      </c>
      <c r="E6" s="43" t="s">
        <v>154</v>
      </c>
      <c r="F6" s="43" t="s">
        <v>447</v>
      </c>
      <c r="G6" s="43" t="s">
        <v>448</v>
      </c>
      <c r="H6" s="43">
        <v>0</v>
      </c>
      <c r="I6" s="43">
        <v>0</v>
      </c>
      <c r="J6" s="43" t="s">
        <v>155</v>
      </c>
      <c r="K6" s="43">
        <v>0</v>
      </c>
      <c r="L6" s="43" t="s">
        <v>443</v>
      </c>
      <c r="M6" s="44">
        <v>30</v>
      </c>
      <c r="N6" s="44">
        <v>0</v>
      </c>
      <c r="O6" s="45">
        <v>3000000</v>
      </c>
      <c r="P6" s="45">
        <f>CS_구축!$M6*CS_구축!$O6</f>
        <v>90000000</v>
      </c>
      <c r="Q6" s="44">
        <v>0</v>
      </c>
      <c r="R6" s="44">
        <v>0</v>
      </c>
      <c r="S6" s="43">
        <v>0</v>
      </c>
      <c r="T6" s="47">
        <v>1</v>
      </c>
      <c r="U6" s="43">
        <v>0</v>
      </c>
      <c r="V6" s="44">
        <v>0</v>
      </c>
      <c r="W6" s="44">
        <v>0</v>
      </c>
      <c r="X6" s="44">
        <v>0</v>
      </c>
      <c r="Y6" s="44">
        <v>0</v>
      </c>
      <c r="Z6" s="44">
        <v>0</v>
      </c>
      <c r="AA6" s="44">
        <v>0</v>
      </c>
      <c r="AB6" s="44">
        <v>0</v>
      </c>
      <c r="AC6" s="44">
        <v>0</v>
      </c>
      <c r="AD6" s="44">
        <v>0</v>
      </c>
      <c r="AE6" s="44">
        <v>0</v>
      </c>
      <c r="AF6" s="44">
        <v>0</v>
      </c>
      <c r="AG6" s="44">
        <v>0</v>
      </c>
      <c r="AH6" s="44">
        <v>0</v>
      </c>
      <c r="AI6" s="44">
        <v>0</v>
      </c>
      <c r="AJ6" s="44">
        <v>0</v>
      </c>
      <c r="AK6" s="44">
        <v>0</v>
      </c>
      <c r="AL6" s="44">
        <v>0</v>
      </c>
      <c r="AM6" s="44">
        <v>0</v>
      </c>
      <c r="AN6" s="44">
        <v>0</v>
      </c>
      <c r="AO6" s="44">
        <v>0</v>
      </c>
      <c r="AP6" s="44">
        <v>0</v>
      </c>
      <c r="AQ6" s="44">
        <v>0</v>
      </c>
      <c r="AR6" s="44">
        <v>0</v>
      </c>
      <c r="AS6" s="44">
        <v>0</v>
      </c>
      <c r="AT6" s="44">
        <v>0</v>
      </c>
      <c r="AU6" s="44">
        <v>0</v>
      </c>
      <c r="AV6" s="44">
        <v>0</v>
      </c>
      <c r="AW6" s="44">
        <v>0</v>
      </c>
      <c r="AX6" s="44">
        <v>0</v>
      </c>
      <c r="AY6" s="44">
        <v>0</v>
      </c>
      <c r="AZ6" s="44">
        <v>0</v>
      </c>
      <c r="BA6" s="44">
        <v>0</v>
      </c>
      <c r="BB6" s="44">
        <v>0</v>
      </c>
      <c r="BC6" s="44">
        <v>0</v>
      </c>
      <c r="BD6" s="44">
        <v>0</v>
      </c>
      <c r="BE6" s="44">
        <v>0</v>
      </c>
      <c r="BF6" s="44">
        <v>0</v>
      </c>
      <c r="BG6" s="44">
        <v>0</v>
      </c>
      <c r="BH6" s="44">
        <v>0</v>
      </c>
      <c r="BI6" s="44">
        <v>0</v>
      </c>
      <c r="BJ6" s="44">
        <v>0</v>
      </c>
      <c r="BK6" s="44">
        <v>0</v>
      </c>
      <c r="BL6" s="44">
        <v>0</v>
      </c>
      <c r="BM6" s="44">
        <v>0</v>
      </c>
      <c r="BN6" s="44">
        <v>0</v>
      </c>
      <c r="BO6" s="44">
        <v>0</v>
      </c>
      <c r="BP6" s="44">
        <v>0</v>
      </c>
      <c r="BQ6" s="44">
        <v>0</v>
      </c>
      <c r="BR6" s="44">
        <v>0</v>
      </c>
      <c r="BS6" s="44">
        <v>0</v>
      </c>
      <c r="BT6" s="44">
        <v>0</v>
      </c>
      <c r="BU6" s="44">
        <v>0</v>
      </c>
      <c r="BV6" s="44">
        <v>0</v>
      </c>
      <c r="BW6" s="44">
        <v>0</v>
      </c>
      <c r="BX6" s="44">
        <v>0</v>
      </c>
      <c r="BY6" s="44">
        <v>0</v>
      </c>
      <c r="BZ6" s="44">
        <v>0</v>
      </c>
      <c r="CA6" s="44">
        <v>0</v>
      </c>
      <c r="CB6" s="44">
        <v>0</v>
      </c>
      <c r="CC6" s="44">
        <v>0</v>
      </c>
      <c r="CD6" s="44">
        <v>0</v>
      </c>
      <c r="CE6" s="44">
        <v>0</v>
      </c>
      <c r="CF6" s="44">
        <v>0</v>
      </c>
      <c r="CG6" s="44">
        <v>0</v>
      </c>
      <c r="CH6" s="44">
        <v>0</v>
      </c>
      <c r="CI6" s="44">
        <v>0</v>
      </c>
      <c r="CJ6" s="44">
        <v>0</v>
      </c>
      <c r="CK6" s="44">
        <v>0</v>
      </c>
      <c r="CL6" s="44">
        <v>0</v>
      </c>
      <c r="CM6" s="44">
        <v>0</v>
      </c>
      <c r="CN6" s="44">
        <v>0</v>
      </c>
      <c r="CO6" s="44">
        <v>0</v>
      </c>
      <c r="CP6" s="44">
        <v>0</v>
      </c>
      <c r="CQ6" s="44">
        <v>0</v>
      </c>
      <c r="CR6" s="44">
        <v>0</v>
      </c>
      <c r="CS6" s="44">
        <v>0</v>
      </c>
      <c r="CT6" s="44">
        <v>0</v>
      </c>
      <c r="CU6" s="44">
        <v>0</v>
      </c>
      <c r="CV6" s="44">
        <v>0</v>
      </c>
      <c r="CW6" s="44">
        <v>0</v>
      </c>
      <c r="CX6" s="44">
        <v>0</v>
      </c>
      <c r="CY6" s="44">
        <v>0</v>
      </c>
      <c r="CZ6" s="44">
        <v>0</v>
      </c>
      <c r="DA6" s="44">
        <v>0</v>
      </c>
      <c r="DB6" s="44">
        <v>0</v>
      </c>
      <c r="DC6" s="44">
        <v>0</v>
      </c>
      <c r="DD6" s="44">
        <v>0</v>
      </c>
      <c r="DE6" s="44">
        <v>0</v>
      </c>
      <c r="DF6" s="44">
        <v>0</v>
      </c>
      <c r="DG6" s="44">
        <v>0</v>
      </c>
      <c r="DH6" s="44">
        <v>0</v>
      </c>
      <c r="DI6" s="44">
        <v>0</v>
      </c>
      <c r="DJ6" s="44">
        <v>0</v>
      </c>
      <c r="DK6" s="44">
        <v>0</v>
      </c>
      <c r="DL6" s="44">
        <v>0</v>
      </c>
      <c r="DM6" s="44">
        <v>0</v>
      </c>
      <c r="DN6" s="44">
        <v>0</v>
      </c>
      <c r="DO6" s="44">
        <v>0</v>
      </c>
      <c r="DP6" s="44">
        <v>0</v>
      </c>
      <c r="DQ6" s="44">
        <v>0</v>
      </c>
      <c r="DR6" s="44">
        <v>0</v>
      </c>
      <c r="DS6" s="44">
        <v>0</v>
      </c>
      <c r="DT6" s="44">
        <v>0</v>
      </c>
      <c r="DU6" s="44">
        <v>0</v>
      </c>
      <c r="DV6" s="44">
        <v>0</v>
      </c>
      <c r="DW6" s="44">
        <v>0</v>
      </c>
      <c r="DX6" s="44">
        <v>0</v>
      </c>
      <c r="DY6" s="44">
        <v>0</v>
      </c>
      <c r="DZ6" s="44">
        <v>0</v>
      </c>
      <c r="EA6" s="44">
        <v>0</v>
      </c>
      <c r="EB6" s="44">
        <v>0</v>
      </c>
      <c r="EC6" s="44">
        <v>0</v>
      </c>
      <c r="ED6" s="44">
        <v>0</v>
      </c>
      <c r="EE6" s="44">
        <v>0</v>
      </c>
      <c r="EF6" s="44">
        <v>0</v>
      </c>
      <c r="EG6" s="44">
        <v>0</v>
      </c>
      <c r="EH6" s="44">
        <v>0</v>
      </c>
      <c r="EI6" s="44">
        <v>0</v>
      </c>
      <c r="EJ6" s="44">
        <v>0</v>
      </c>
      <c r="EK6" s="44">
        <v>0</v>
      </c>
      <c r="EL6" s="44">
        <v>0</v>
      </c>
      <c r="EM6" s="44">
        <v>0</v>
      </c>
      <c r="EN6" s="44">
        <v>0</v>
      </c>
      <c r="EO6" s="44">
        <v>0</v>
      </c>
      <c r="EP6" s="44">
        <v>0</v>
      </c>
      <c r="EQ6" s="44">
        <v>0</v>
      </c>
      <c r="ER6" s="44">
        <v>0</v>
      </c>
      <c r="ES6" s="44">
        <v>0</v>
      </c>
      <c r="ET6" s="44">
        <v>0</v>
      </c>
      <c r="EU6" s="44">
        <v>0</v>
      </c>
      <c r="EV6" s="44">
        <v>0</v>
      </c>
      <c r="EW6" s="44">
        <v>0</v>
      </c>
      <c r="EX6" s="44">
        <v>0</v>
      </c>
      <c r="EY6" s="44">
        <v>0</v>
      </c>
      <c r="EZ6" s="44">
        <v>0</v>
      </c>
      <c r="FA6" s="44">
        <v>0</v>
      </c>
      <c r="FB6" s="44">
        <v>0</v>
      </c>
      <c r="FC6" s="44">
        <v>0</v>
      </c>
      <c r="FD6" s="44">
        <v>0</v>
      </c>
      <c r="FE6" s="44">
        <v>0</v>
      </c>
      <c r="FF6" s="44">
        <v>0</v>
      </c>
      <c r="FG6" s="44">
        <v>0</v>
      </c>
      <c r="FH6" s="44">
        <v>0</v>
      </c>
      <c r="FI6" s="44">
        <v>0</v>
      </c>
      <c r="FJ6" s="113">
        <v>0</v>
      </c>
    </row>
    <row r="7" spans="1:166" x14ac:dyDescent="0.4">
      <c r="A7" s="112">
        <v>0</v>
      </c>
      <c r="B7" s="43" t="s">
        <v>174</v>
      </c>
      <c r="C7" s="43" t="s">
        <v>381</v>
      </c>
      <c r="D7" s="43" t="s">
        <v>14</v>
      </c>
      <c r="E7" s="43" t="s">
        <v>154</v>
      </c>
      <c r="F7" s="43" t="s">
        <v>449</v>
      </c>
      <c r="G7" s="43" t="s">
        <v>450</v>
      </c>
      <c r="H7" s="43">
        <v>0</v>
      </c>
      <c r="I7" s="43">
        <v>0</v>
      </c>
      <c r="J7" s="43" t="s">
        <v>155</v>
      </c>
      <c r="K7" s="43">
        <v>0</v>
      </c>
      <c r="L7" s="43" t="s">
        <v>443</v>
      </c>
      <c r="M7" s="44">
        <v>2</v>
      </c>
      <c r="N7" s="44">
        <v>0</v>
      </c>
      <c r="O7" s="45">
        <v>15000000</v>
      </c>
      <c r="P7" s="45">
        <f>CS_구축!$M7*CS_구축!$O7</f>
        <v>30000000</v>
      </c>
      <c r="Q7" s="44">
        <v>0</v>
      </c>
      <c r="R7" s="44">
        <v>0</v>
      </c>
      <c r="S7" s="43">
        <v>0</v>
      </c>
      <c r="T7" s="47">
        <v>1</v>
      </c>
      <c r="U7" s="43">
        <v>0</v>
      </c>
      <c r="V7" s="44">
        <v>0</v>
      </c>
      <c r="W7" s="44">
        <v>0</v>
      </c>
      <c r="X7" s="44">
        <v>0</v>
      </c>
      <c r="Y7" s="44">
        <v>0</v>
      </c>
      <c r="Z7" s="44">
        <v>0</v>
      </c>
      <c r="AA7" s="44">
        <v>0</v>
      </c>
      <c r="AB7" s="44">
        <v>0</v>
      </c>
      <c r="AC7" s="44">
        <v>0</v>
      </c>
      <c r="AD7" s="44">
        <v>0</v>
      </c>
      <c r="AE7" s="44">
        <v>0</v>
      </c>
      <c r="AF7" s="44">
        <v>0</v>
      </c>
      <c r="AG7" s="44">
        <v>0</v>
      </c>
      <c r="AH7" s="44">
        <v>0</v>
      </c>
      <c r="AI7" s="44">
        <v>0</v>
      </c>
      <c r="AJ7" s="44">
        <v>0</v>
      </c>
      <c r="AK7" s="44">
        <v>0</v>
      </c>
      <c r="AL7" s="44">
        <v>0</v>
      </c>
      <c r="AM7" s="44">
        <v>0</v>
      </c>
      <c r="AN7" s="44">
        <v>0</v>
      </c>
      <c r="AO7" s="44">
        <v>0</v>
      </c>
      <c r="AP7" s="44">
        <v>0</v>
      </c>
      <c r="AQ7" s="44">
        <v>0</v>
      </c>
      <c r="AR7" s="44">
        <v>0</v>
      </c>
      <c r="AS7" s="44">
        <v>0</v>
      </c>
      <c r="AT7" s="44">
        <v>0</v>
      </c>
      <c r="AU7" s="44">
        <v>0</v>
      </c>
      <c r="AV7" s="44">
        <v>0</v>
      </c>
      <c r="AW7" s="44">
        <v>0</v>
      </c>
      <c r="AX7" s="44">
        <v>0</v>
      </c>
      <c r="AY7" s="44">
        <v>0</v>
      </c>
      <c r="AZ7" s="44">
        <v>0</v>
      </c>
      <c r="BA7" s="44">
        <v>0</v>
      </c>
      <c r="BB7" s="44">
        <v>0</v>
      </c>
      <c r="BC7" s="44">
        <v>0</v>
      </c>
      <c r="BD7" s="44">
        <v>0</v>
      </c>
      <c r="BE7" s="44">
        <v>0</v>
      </c>
      <c r="BF7" s="44">
        <v>0</v>
      </c>
      <c r="BG7" s="44">
        <v>0</v>
      </c>
      <c r="BH7" s="44">
        <v>0</v>
      </c>
      <c r="BI7" s="44">
        <v>0</v>
      </c>
      <c r="BJ7" s="44">
        <v>0</v>
      </c>
      <c r="BK7" s="44">
        <v>0</v>
      </c>
      <c r="BL7" s="44">
        <v>0</v>
      </c>
      <c r="BM7" s="44">
        <v>0</v>
      </c>
      <c r="BN7" s="44">
        <v>0</v>
      </c>
      <c r="BO7" s="44">
        <v>0</v>
      </c>
      <c r="BP7" s="44">
        <v>0</v>
      </c>
      <c r="BQ7" s="44">
        <v>0</v>
      </c>
      <c r="BR7" s="44">
        <v>0</v>
      </c>
      <c r="BS7" s="44">
        <v>0</v>
      </c>
      <c r="BT7" s="44">
        <v>0</v>
      </c>
      <c r="BU7" s="44">
        <v>0</v>
      </c>
      <c r="BV7" s="44">
        <v>0</v>
      </c>
      <c r="BW7" s="44">
        <v>0</v>
      </c>
      <c r="BX7" s="44">
        <v>0</v>
      </c>
      <c r="BY7" s="44">
        <v>0</v>
      </c>
      <c r="BZ7" s="44">
        <v>0</v>
      </c>
      <c r="CA7" s="44">
        <v>0</v>
      </c>
      <c r="CB7" s="44">
        <v>0</v>
      </c>
      <c r="CC7" s="44">
        <v>0</v>
      </c>
      <c r="CD7" s="44">
        <v>0</v>
      </c>
      <c r="CE7" s="44">
        <v>0</v>
      </c>
      <c r="CF7" s="44">
        <v>0</v>
      </c>
      <c r="CG7" s="44">
        <v>0</v>
      </c>
      <c r="CH7" s="44">
        <v>0</v>
      </c>
      <c r="CI7" s="44">
        <v>0</v>
      </c>
      <c r="CJ7" s="44">
        <v>0</v>
      </c>
      <c r="CK7" s="44">
        <v>0</v>
      </c>
      <c r="CL7" s="44">
        <v>0</v>
      </c>
      <c r="CM7" s="44">
        <v>0</v>
      </c>
      <c r="CN7" s="44">
        <v>0</v>
      </c>
      <c r="CO7" s="44">
        <v>0</v>
      </c>
      <c r="CP7" s="44">
        <v>0</v>
      </c>
      <c r="CQ7" s="44">
        <v>0</v>
      </c>
      <c r="CR7" s="44">
        <v>0</v>
      </c>
      <c r="CS7" s="44">
        <v>0</v>
      </c>
      <c r="CT7" s="44">
        <v>0</v>
      </c>
      <c r="CU7" s="44">
        <v>0</v>
      </c>
      <c r="CV7" s="44">
        <v>0</v>
      </c>
      <c r="CW7" s="44">
        <v>0</v>
      </c>
      <c r="CX7" s="44">
        <v>0</v>
      </c>
      <c r="CY7" s="44">
        <v>0</v>
      </c>
      <c r="CZ7" s="44">
        <v>0</v>
      </c>
      <c r="DA7" s="44">
        <v>0</v>
      </c>
      <c r="DB7" s="44">
        <v>0</v>
      </c>
      <c r="DC7" s="44">
        <v>0</v>
      </c>
      <c r="DD7" s="44">
        <v>0</v>
      </c>
      <c r="DE7" s="44">
        <v>0</v>
      </c>
      <c r="DF7" s="44">
        <v>0</v>
      </c>
      <c r="DG7" s="44">
        <v>0</v>
      </c>
      <c r="DH7" s="44">
        <v>0</v>
      </c>
      <c r="DI7" s="44">
        <v>0</v>
      </c>
      <c r="DJ7" s="44">
        <v>0</v>
      </c>
      <c r="DK7" s="44">
        <v>0</v>
      </c>
      <c r="DL7" s="44">
        <v>0</v>
      </c>
      <c r="DM7" s="44">
        <v>0</v>
      </c>
      <c r="DN7" s="44">
        <v>0</v>
      </c>
      <c r="DO7" s="44">
        <v>0</v>
      </c>
      <c r="DP7" s="44">
        <v>0</v>
      </c>
      <c r="DQ7" s="44">
        <v>0</v>
      </c>
      <c r="DR7" s="44">
        <v>0</v>
      </c>
      <c r="DS7" s="44">
        <v>0</v>
      </c>
      <c r="DT7" s="44">
        <v>0</v>
      </c>
      <c r="DU7" s="44">
        <v>0</v>
      </c>
      <c r="DV7" s="44">
        <v>0</v>
      </c>
      <c r="DW7" s="44">
        <v>0</v>
      </c>
      <c r="DX7" s="44">
        <v>0</v>
      </c>
      <c r="DY7" s="44">
        <v>0</v>
      </c>
      <c r="DZ7" s="44">
        <v>0</v>
      </c>
      <c r="EA7" s="44">
        <v>0</v>
      </c>
      <c r="EB7" s="44">
        <v>0</v>
      </c>
      <c r="EC7" s="44">
        <v>0</v>
      </c>
      <c r="ED7" s="44">
        <v>0</v>
      </c>
      <c r="EE7" s="44">
        <v>0</v>
      </c>
      <c r="EF7" s="44">
        <v>0</v>
      </c>
      <c r="EG7" s="44">
        <v>0</v>
      </c>
      <c r="EH7" s="44">
        <v>0</v>
      </c>
      <c r="EI7" s="44">
        <v>0</v>
      </c>
      <c r="EJ7" s="44">
        <v>0</v>
      </c>
      <c r="EK7" s="44">
        <v>0</v>
      </c>
      <c r="EL7" s="44">
        <v>0</v>
      </c>
      <c r="EM7" s="44">
        <v>0</v>
      </c>
      <c r="EN7" s="44">
        <v>0</v>
      </c>
      <c r="EO7" s="44">
        <v>0</v>
      </c>
      <c r="EP7" s="44">
        <v>0</v>
      </c>
      <c r="EQ7" s="44">
        <v>0</v>
      </c>
      <c r="ER7" s="44">
        <v>0</v>
      </c>
      <c r="ES7" s="44">
        <v>0</v>
      </c>
      <c r="ET7" s="44">
        <v>0</v>
      </c>
      <c r="EU7" s="44">
        <v>0</v>
      </c>
      <c r="EV7" s="44">
        <v>0</v>
      </c>
      <c r="EW7" s="44">
        <v>0</v>
      </c>
      <c r="EX7" s="44">
        <v>0</v>
      </c>
      <c r="EY7" s="44">
        <v>0</v>
      </c>
      <c r="EZ7" s="44">
        <v>0</v>
      </c>
      <c r="FA7" s="44">
        <v>0</v>
      </c>
      <c r="FB7" s="44">
        <v>0</v>
      </c>
      <c r="FC7" s="44">
        <v>0</v>
      </c>
      <c r="FD7" s="44">
        <v>0</v>
      </c>
      <c r="FE7" s="44">
        <v>0</v>
      </c>
      <c r="FF7" s="44">
        <v>0</v>
      </c>
      <c r="FG7" s="44">
        <v>0</v>
      </c>
      <c r="FH7" s="44">
        <v>0</v>
      </c>
      <c r="FI7" s="44">
        <v>0</v>
      </c>
      <c r="FJ7" s="113">
        <v>0</v>
      </c>
    </row>
    <row r="8" spans="1:166" x14ac:dyDescent="0.4">
      <c r="A8" s="112">
        <v>0</v>
      </c>
      <c r="B8" s="43" t="s">
        <v>174</v>
      </c>
      <c r="C8" s="43" t="s">
        <v>381</v>
      </c>
      <c r="D8" s="43" t="s">
        <v>14</v>
      </c>
      <c r="E8" s="43" t="s">
        <v>154</v>
      </c>
      <c r="F8" s="43" t="s">
        <v>451</v>
      </c>
      <c r="G8" s="43" t="s">
        <v>452</v>
      </c>
      <c r="H8" s="43">
        <v>0</v>
      </c>
      <c r="I8" s="43">
        <v>0</v>
      </c>
      <c r="J8" s="43" t="s">
        <v>155</v>
      </c>
      <c r="K8" s="43">
        <v>0</v>
      </c>
      <c r="L8" s="43" t="s">
        <v>443</v>
      </c>
      <c r="M8" s="44">
        <v>2</v>
      </c>
      <c r="N8" s="44">
        <v>0</v>
      </c>
      <c r="O8" s="45">
        <v>8000000</v>
      </c>
      <c r="P8" s="45">
        <f>CS_구축!$M8*CS_구축!$O8</f>
        <v>16000000</v>
      </c>
      <c r="Q8" s="44">
        <v>0</v>
      </c>
      <c r="R8" s="44">
        <v>0</v>
      </c>
      <c r="S8" s="43">
        <v>0</v>
      </c>
      <c r="T8" s="47">
        <v>1</v>
      </c>
      <c r="U8" s="43">
        <v>0</v>
      </c>
      <c r="V8" s="44">
        <v>0</v>
      </c>
      <c r="W8" s="44">
        <v>0</v>
      </c>
      <c r="X8" s="44">
        <v>0</v>
      </c>
      <c r="Y8" s="44">
        <v>0</v>
      </c>
      <c r="Z8" s="44">
        <v>0</v>
      </c>
      <c r="AA8" s="44">
        <v>0</v>
      </c>
      <c r="AB8" s="44">
        <v>0</v>
      </c>
      <c r="AC8" s="44">
        <v>0</v>
      </c>
      <c r="AD8" s="44">
        <v>0</v>
      </c>
      <c r="AE8" s="44">
        <v>0</v>
      </c>
      <c r="AF8" s="44">
        <v>0</v>
      </c>
      <c r="AG8" s="44">
        <v>0</v>
      </c>
      <c r="AH8" s="44">
        <v>0</v>
      </c>
      <c r="AI8" s="44">
        <v>0</v>
      </c>
      <c r="AJ8" s="44">
        <v>0</v>
      </c>
      <c r="AK8" s="44">
        <v>0</v>
      </c>
      <c r="AL8" s="44">
        <v>0</v>
      </c>
      <c r="AM8" s="44">
        <v>0</v>
      </c>
      <c r="AN8" s="44">
        <v>0</v>
      </c>
      <c r="AO8" s="44">
        <v>0</v>
      </c>
      <c r="AP8" s="44">
        <v>0</v>
      </c>
      <c r="AQ8" s="44">
        <v>0</v>
      </c>
      <c r="AR8" s="44">
        <v>0</v>
      </c>
      <c r="AS8" s="44">
        <v>0</v>
      </c>
      <c r="AT8" s="44">
        <v>0</v>
      </c>
      <c r="AU8" s="44">
        <v>0</v>
      </c>
      <c r="AV8" s="44">
        <v>0</v>
      </c>
      <c r="AW8" s="44">
        <v>0</v>
      </c>
      <c r="AX8" s="44">
        <v>0</v>
      </c>
      <c r="AY8" s="44">
        <v>0</v>
      </c>
      <c r="AZ8" s="44">
        <v>0</v>
      </c>
      <c r="BA8" s="44">
        <v>0</v>
      </c>
      <c r="BB8" s="44">
        <v>0</v>
      </c>
      <c r="BC8" s="44">
        <v>0</v>
      </c>
      <c r="BD8" s="44">
        <v>0</v>
      </c>
      <c r="BE8" s="44">
        <v>0</v>
      </c>
      <c r="BF8" s="44">
        <v>0</v>
      </c>
      <c r="BG8" s="44">
        <v>0</v>
      </c>
      <c r="BH8" s="44">
        <v>0</v>
      </c>
      <c r="BI8" s="44">
        <v>0</v>
      </c>
      <c r="BJ8" s="44">
        <v>0</v>
      </c>
      <c r="BK8" s="44">
        <v>0</v>
      </c>
      <c r="BL8" s="44">
        <v>0</v>
      </c>
      <c r="BM8" s="44">
        <v>0</v>
      </c>
      <c r="BN8" s="44">
        <v>0</v>
      </c>
      <c r="BO8" s="44">
        <v>0</v>
      </c>
      <c r="BP8" s="44">
        <v>0</v>
      </c>
      <c r="BQ8" s="44">
        <v>0</v>
      </c>
      <c r="BR8" s="44">
        <v>0</v>
      </c>
      <c r="BS8" s="44">
        <v>0</v>
      </c>
      <c r="BT8" s="44">
        <v>0</v>
      </c>
      <c r="BU8" s="44">
        <v>0</v>
      </c>
      <c r="BV8" s="44">
        <v>0</v>
      </c>
      <c r="BW8" s="44">
        <v>0</v>
      </c>
      <c r="BX8" s="44">
        <v>0</v>
      </c>
      <c r="BY8" s="44">
        <v>0</v>
      </c>
      <c r="BZ8" s="44">
        <v>0</v>
      </c>
      <c r="CA8" s="44">
        <v>0</v>
      </c>
      <c r="CB8" s="44">
        <v>0</v>
      </c>
      <c r="CC8" s="44">
        <v>0</v>
      </c>
      <c r="CD8" s="44">
        <v>0</v>
      </c>
      <c r="CE8" s="44">
        <v>0</v>
      </c>
      <c r="CF8" s="44">
        <v>0</v>
      </c>
      <c r="CG8" s="44">
        <v>0</v>
      </c>
      <c r="CH8" s="44">
        <v>0</v>
      </c>
      <c r="CI8" s="44">
        <v>0</v>
      </c>
      <c r="CJ8" s="44">
        <v>0</v>
      </c>
      <c r="CK8" s="44">
        <v>0</v>
      </c>
      <c r="CL8" s="44">
        <v>0</v>
      </c>
      <c r="CM8" s="44">
        <v>0</v>
      </c>
      <c r="CN8" s="44">
        <v>0</v>
      </c>
      <c r="CO8" s="44">
        <v>0</v>
      </c>
      <c r="CP8" s="44">
        <v>0</v>
      </c>
      <c r="CQ8" s="44">
        <v>0</v>
      </c>
      <c r="CR8" s="44">
        <v>0</v>
      </c>
      <c r="CS8" s="44">
        <v>0</v>
      </c>
      <c r="CT8" s="44">
        <v>0</v>
      </c>
      <c r="CU8" s="44">
        <v>0</v>
      </c>
      <c r="CV8" s="44">
        <v>0</v>
      </c>
      <c r="CW8" s="44">
        <v>0</v>
      </c>
      <c r="CX8" s="44">
        <v>0</v>
      </c>
      <c r="CY8" s="44">
        <v>0</v>
      </c>
      <c r="CZ8" s="44">
        <v>0</v>
      </c>
      <c r="DA8" s="44">
        <v>0</v>
      </c>
      <c r="DB8" s="44">
        <v>0</v>
      </c>
      <c r="DC8" s="44">
        <v>0</v>
      </c>
      <c r="DD8" s="44">
        <v>0</v>
      </c>
      <c r="DE8" s="44">
        <v>0</v>
      </c>
      <c r="DF8" s="44">
        <v>0</v>
      </c>
      <c r="DG8" s="44">
        <v>0</v>
      </c>
      <c r="DH8" s="44">
        <v>0</v>
      </c>
      <c r="DI8" s="44">
        <v>0</v>
      </c>
      <c r="DJ8" s="44">
        <v>0</v>
      </c>
      <c r="DK8" s="44">
        <v>0</v>
      </c>
      <c r="DL8" s="44">
        <v>0</v>
      </c>
      <c r="DM8" s="44">
        <v>0</v>
      </c>
      <c r="DN8" s="44">
        <v>0</v>
      </c>
      <c r="DO8" s="44">
        <v>0</v>
      </c>
      <c r="DP8" s="44">
        <v>0</v>
      </c>
      <c r="DQ8" s="44">
        <v>0</v>
      </c>
      <c r="DR8" s="44">
        <v>0</v>
      </c>
      <c r="DS8" s="44">
        <v>0</v>
      </c>
      <c r="DT8" s="44">
        <v>0</v>
      </c>
      <c r="DU8" s="44">
        <v>0</v>
      </c>
      <c r="DV8" s="44">
        <v>0</v>
      </c>
      <c r="DW8" s="44">
        <v>0</v>
      </c>
      <c r="DX8" s="44">
        <v>0</v>
      </c>
      <c r="DY8" s="44">
        <v>0</v>
      </c>
      <c r="DZ8" s="44">
        <v>0</v>
      </c>
      <c r="EA8" s="44">
        <v>0</v>
      </c>
      <c r="EB8" s="44">
        <v>0</v>
      </c>
      <c r="EC8" s="44">
        <v>0</v>
      </c>
      <c r="ED8" s="44">
        <v>0</v>
      </c>
      <c r="EE8" s="44">
        <v>0</v>
      </c>
      <c r="EF8" s="44">
        <v>0</v>
      </c>
      <c r="EG8" s="44">
        <v>0</v>
      </c>
      <c r="EH8" s="44">
        <v>0</v>
      </c>
      <c r="EI8" s="44">
        <v>0</v>
      </c>
      <c r="EJ8" s="44">
        <v>0</v>
      </c>
      <c r="EK8" s="44">
        <v>0</v>
      </c>
      <c r="EL8" s="44">
        <v>0</v>
      </c>
      <c r="EM8" s="44">
        <v>0</v>
      </c>
      <c r="EN8" s="44">
        <v>0</v>
      </c>
      <c r="EO8" s="44">
        <v>0</v>
      </c>
      <c r="EP8" s="44">
        <v>0</v>
      </c>
      <c r="EQ8" s="44">
        <v>0</v>
      </c>
      <c r="ER8" s="44">
        <v>0</v>
      </c>
      <c r="ES8" s="44">
        <v>0</v>
      </c>
      <c r="ET8" s="44">
        <v>0</v>
      </c>
      <c r="EU8" s="44">
        <v>0</v>
      </c>
      <c r="EV8" s="44">
        <v>0</v>
      </c>
      <c r="EW8" s="44">
        <v>0</v>
      </c>
      <c r="EX8" s="44">
        <v>0</v>
      </c>
      <c r="EY8" s="44">
        <v>0</v>
      </c>
      <c r="EZ8" s="44">
        <v>0</v>
      </c>
      <c r="FA8" s="44">
        <v>0</v>
      </c>
      <c r="FB8" s="44">
        <v>0</v>
      </c>
      <c r="FC8" s="44">
        <v>0</v>
      </c>
      <c r="FD8" s="44">
        <v>0</v>
      </c>
      <c r="FE8" s="44">
        <v>0</v>
      </c>
      <c r="FF8" s="44">
        <v>0</v>
      </c>
      <c r="FG8" s="44">
        <v>0</v>
      </c>
      <c r="FH8" s="44">
        <v>0</v>
      </c>
      <c r="FI8" s="44">
        <v>0</v>
      </c>
      <c r="FJ8" s="113">
        <v>0</v>
      </c>
    </row>
    <row r="9" spans="1:166" x14ac:dyDescent="0.4">
      <c r="A9" s="112">
        <v>0</v>
      </c>
      <c r="B9" s="43" t="s">
        <v>174</v>
      </c>
      <c r="C9" s="43" t="s">
        <v>381</v>
      </c>
      <c r="D9" s="43" t="s">
        <v>14</v>
      </c>
      <c r="E9" s="43" t="s">
        <v>154</v>
      </c>
      <c r="F9" s="43" t="s">
        <v>453</v>
      </c>
      <c r="G9" s="43" t="s">
        <v>454</v>
      </c>
      <c r="H9" s="43">
        <v>0</v>
      </c>
      <c r="I9" s="43">
        <v>0</v>
      </c>
      <c r="J9" s="43" t="s">
        <v>155</v>
      </c>
      <c r="K9" s="43">
        <v>0</v>
      </c>
      <c r="L9" s="43" t="s">
        <v>443</v>
      </c>
      <c r="M9" s="44">
        <v>1</v>
      </c>
      <c r="N9" s="44">
        <v>0</v>
      </c>
      <c r="O9" s="45">
        <v>16000000</v>
      </c>
      <c r="P9" s="45">
        <f>CS_구축!$M9*CS_구축!$O9</f>
        <v>16000000</v>
      </c>
      <c r="Q9" s="44">
        <v>0</v>
      </c>
      <c r="R9" s="44">
        <v>0</v>
      </c>
      <c r="S9" s="43">
        <v>0</v>
      </c>
      <c r="T9" s="47">
        <v>1</v>
      </c>
      <c r="U9" s="43">
        <v>0</v>
      </c>
      <c r="V9" s="44">
        <v>0</v>
      </c>
      <c r="W9" s="44">
        <v>0</v>
      </c>
      <c r="X9" s="44">
        <v>0</v>
      </c>
      <c r="Y9" s="44">
        <v>0</v>
      </c>
      <c r="Z9" s="44">
        <v>0</v>
      </c>
      <c r="AA9" s="44">
        <v>0</v>
      </c>
      <c r="AB9" s="44">
        <v>0</v>
      </c>
      <c r="AC9" s="44">
        <v>0</v>
      </c>
      <c r="AD9" s="44">
        <v>0</v>
      </c>
      <c r="AE9" s="44">
        <v>0</v>
      </c>
      <c r="AF9" s="44">
        <v>0</v>
      </c>
      <c r="AG9" s="44">
        <v>0</v>
      </c>
      <c r="AH9" s="44">
        <v>0</v>
      </c>
      <c r="AI9" s="44">
        <v>0</v>
      </c>
      <c r="AJ9" s="44">
        <v>0</v>
      </c>
      <c r="AK9" s="44">
        <v>0</v>
      </c>
      <c r="AL9" s="44">
        <v>0</v>
      </c>
      <c r="AM9" s="44">
        <v>0</v>
      </c>
      <c r="AN9" s="44">
        <v>0</v>
      </c>
      <c r="AO9" s="44">
        <v>0</v>
      </c>
      <c r="AP9" s="44">
        <v>0</v>
      </c>
      <c r="AQ9" s="44">
        <v>0</v>
      </c>
      <c r="AR9" s="44">
        <v>0</v>
      </c>
      <c r="AS9" s="44">
        <v>0</v>
      </c>
      <c r="AT9" s="44">
        <v>0</v>
      </c>
      <c r="AU9" s="44">
        <v>0</v>
      </c>
      <c r="AV9" s="44">
        <v>0</v>
      </c>
      <c r="AW9" s="44">
        <v>0</v>
      </c>
      <c r="AX9" s="44">
        <v>0</v>
      </c>
      <c r="AY9" s="44">
        <v>0</v>
      </c>
      <c r="AZ9" s="44">
        <v>0</v>
      </c>
      <c r="BA9" s="44">
        <v>0</v>
      </c>
      <c r="BB9" s="44">
        <v>0</v>
      </c>
      <c r="BC9" s="44">
        <v>0</v>
      </c>
      <c r="BD9" s="44">
        <v>0</v>
      </c>
      <c r="BE9" s="44">
        <v>0</v>
      </c>
      <c r="BF9" s="44">
        <v>0</v>
      </c>
      <c r="BG9" s="44">
        <v>0</v>
      </c>
      <c r="BH9" s="44">
        <v>0</v>
      </c>
      <c r="BI9" s="44">
        <v>0</v>
      </c>
      <c r="BJ9" s="44">
        <v>0</v>
      </c>
      <c r="BK9" s="44">
        <v>0</v>
      </c>
      <c r="BL9" s="44">
        <v>0</v>
      </c>
      <c r="BM9" s="44">
        <v>0</v>
      </c>
      <c r="BN9" s="44">
        <v>0</v>
      </c>
      <c r="BO9" s="44">
        <v>0</v>
      </c>
      <c r="BP9" s="44">
        <v>0</v>
      </c>
      <c r="BQ9" s="44">
        <v>0</v>
      </c>
      <c r="BR9" s="44">
        <v>0</v>
      </c>
      <c r="BS9" s="44">
        <v>0</v>
      </c>
      <c r="BT9" s="44">
        <v>0</v>
      </c>
      <c r="BU9" s="44">
        <v>0</v>
      </c>
      <c r="BV9" s="44">
        <v>0</v>
      </c>
      <c r="BW9" s="44">
        <v>0</v>
      </c>
      <c r="BX9" s="44">
        <v>0</v>
      </c>
      <c r="BY9" s="44">
        <v>0</v>
      </c>
      <c r="BZ9" s="44">
        <v>0</v>
      </c>
      <c r="CA9" s="44">
        <v>0</v>
      </c>
      <c r="CB9" s="44">
        <v>0</v>
      </c>
      <c r="CC9" s="44">
        <v>0</v>
      </c>
      <c r="CD9" s="44">
        <v>0</v>
      </c>
      <c r="CE9" s="44">
        <v>0</v>
      </c>
      <c r="CF9" s="44">
        <v>0</v>
      </c>
      <c r="CG9" s="44">
        <v>0</v>
      </c>
      <c r="CH9" s="44">
        <v>0</v>
      </c>
      <c r="CI9" s="44">
        <v>0</v>
      </c>
      <c r="CJ9" s="44">
        <v>0</v>
      </c>
      <c r="CK9" s="44">
        <v>0</v>
      </c>
      <c r="CL9" s="44">
        <v>0</v>
      </c>
      <c r="CM9" s="44">
        <v>0</v>
      </c>
      <c r="CN9" s="44">
        <v>0</v>
      </c>
      <c r="CO9" s="44">
        <v>0</v>
      </c>
      <c r="CP9" s="44">
        <v>0</v>
      </c>
      <c r="CQ9" s="44">
        <v>0</v>
      </c>
      <c r="CR9" s="44">
        <v>0</v>
      </c>
      <c r="CS9" s="44">
        <v>0</v>
      </c>
      <c r="CT9" s="44">
        <v>0</v>
      </c>
      <c r="CU9" s="44">
        <v>0</v>
      </c>
      <c r="CV9" s="44">
        <v>0</v>
      </c>
      <c r="CW9" s="44">
        <v>0</v>
      </c>
      <c r="CX9" s="44">
        <v>0</v>
      </c>
      <c r="CY9" s="44">
        <v>0</v>
      </c>
      <c r="CZ9" s="44">
        <v>0</v>
      </c>
      <c r="DA9" s="44">
        <v>0</v>
      </c>
      <c r="DB9" s="44">
        <v>0</v>
      </c>
      <c r="DC9" s="44">
        <v>0</v>
      </c>
      <c r="DD9" s="44">
        <v>0</v>
      </c>
      <c r="DE9" s="44">
        <v>0</v>
      </c>
      <c r="DF9" s="44">
        <v>0</v>
      </c>
      <c r="DG9" s="44">
        <v>0</v>
      </c>
      <c r="DH9" s="44">
        <v>0</v>
      </c>
      <c r="DI9" s="44">
        <v>0</v>
      </c>
      <c r="DJ9" s="44">
        <v>0</v>
      </c>
      <c r="DK9" s="44">
        <v>0</v>
      </c>
      <c r="DL9" s="44">
        <v>0</v>
      </c>
      <c r="DM9" s="44">
        <v>0</v>
      </c>
      <c r="DN9" s="44">
        <v>0</v>
      </c>
      <c r="DO9" s="44">
        <v>0</v>
      </c>
      <c r="DP9" s="44">
        <v>0</v>
      </c>
      <c r="DQ9" s="44">
        <v>0</v>
      </c>
      <c r="DR9" s="44">
        <v>0</v>
      </c>
      <c r="DS9" s="44">
        <v>0</v>
      </c>
      <c r="DT9" s="44">
        <v>0</v>
      </c>
      <c r="DU9" s="44">
        <v>0</v>
      </c>
      <c r="DV9" s="44">
        <v>0</v>
      </c>
      <c r="DW9" s="44">
        <v>0</v>
      </c>
      <c r="DX9" s="44">
        <v>0</v>
      </c>
      <c r="DY9" s="44">
        <v>0</v>
      </c>
      <c r="DZ9" s="44">
        <v>0</v>
      </c>
      <c r="EA9" s="44">
        <v>0</v>
      </c>
      <c r="EB9" s="44">
        <v>0</v>
      </c>
      <c r="EC9" s="44">
        <v>0</v>
      </c>
      <c r="ED9" s="44">
        <v>0</v>
      </c>
      <c r="EE9" s="44">
        <v>0</v>
      </c>
      <c r="EF9" s="44">
        <v>0</v>
      </c>
      <c r="EG9" s="44">
        <v>0</v>
      </c>
      <c r="EH9" s="44">
        <v>0</v>
      </c>
      <c r="EI9" s="44">
        <v>0</v>
      </c>
      <c r="EJ9" s="44">
        <v>0</v>
      </c>
      <c r="EK9" s="44">
        <v>0</v>
      </c>
      <c r="EL9" s="44">
        <v>0</v>
      </c>
      <c r="EM9" s="44">
        <v>0</v>
      </c>
      <c r="EN9" s="44">
        <v>0</v>
      </c>
      <c r="EO9" s="44">
        <v>0</v>
      </c>
      <c r="EP9" s="44">
        <v>0</v>
      </c>
      <c r="EQ9" s="44">
        <v>0</v>
      </c>
      <c r="ER9" s="44">
        <v>0</v>
      </c>
      <c r="ES9" s="44">
        <v>0</v>
      </c>
      <c r="ET9" s="44">
        <v>0</v>
      </c>
      <c r="EU9" s="44">
        <v>0</v>
      </c>
      <c r="EV9" s="44">
        <v>0</v>
      </c>
      <c r="EW9" s="44">
        <v>0</v>
      </c>
      <c r="EX9" s="44">
        <v>0</v>
      </c>
      <c r="EY9" s="44">
        <v>0</v>
      </c>
      <c r="EZ9" s="44">
        <v>0</v>
      </c>
      <c r="FA9" s="44">
        <v>0</v>
      </c>
      <c r="FB9" s="44">
        <v>0</v>
      </c>
      <c r="FC9" s="44">
        <v>0</v>
      </c>
      <c r="FD9" s="44">
        <v>0</v>
      </c>
      <c r="FE9" s="44">
        <v>0</v>
      </c>
      <c r="FF9" s="44">
        <v>0</v>
      </c>
      <c r="FG9" s="44">
        <v>0</v>
      </c>
      <c r="FH9" s="44">
        <v>0</v>
      </c>
      <c r="FI9" s="44">
        <v>0</v>
      </c>
      <c r="FJ9" s="113">
        <v>0</v>
      </c>
    </row>
    <row r="10" spans="1:166" x14ac:dyDescent="0.4">
      <c r="A10" s="112">
        <v>0</v>
      </c>
      <c r="B10" s="43" t="s">
        <v>174</v>
      </c>
      <c r="C10" s="43" t="s">
        <v>381</v>
      </c>
      <c r="D10" s="43" t="s">
        <v>14</v>
      </c>
      <c r="E10" s="43" t="s">
        <v>154</v>
      </c>
      <c r="F10" s="43" t="s">
        <v>453</v>
      </c>
      <c r="G10" s="43" t="s">
        <v>455</v>
      </c>
      <c r="H10" s="43">
        <v>0</v>
      </c>
      <c r="I10" s="43">
        <v>0</v>
      </c>
      <c r="J10" s="43" t="s">
        <v>155</v>
      </c>
      <c r="K10" s="43">
        <v>0</v>
      </c>
      <c r="L10" s="43" t="s">
        <v>443</v>
      </c>
      <c r="M10" s="44">
        <v>1</v>
      </c>
      <c r="N10" s="44">
        <v>0</v>
      </c>
      <c r="O10" s="45">
        <v>16000000</v>
      </c>
      <c r="P10" s="45">
        <f>CS_구축!$M10*CS_구축!$O10</f>
        <v>16000000</v>
      </c>
      <c r="Q10" s="44">
        <v>0</v>
      </c>
      <c r="R10" s="44">
        <v>0</v>
      </c>
      <c r="S10" s="43">
        <v>0</v>
      </c>
      <c r="T10" s="47">
        <v>1</v>
      </c>
      <c r="U10" s="43">
        <v>0</v>
      </c>
      <c r="V10" s="44">
        <v>0</v>
      </c>
      <c r="W10" s="44">
        <v>0</v>
      </c>
      <c r="X10" s="44">
        <v>0</v>
      </c>
      <c r="Y10" s="44">
        <v>0</v>
      </c>
      <c r="Z10" s="44">
        <v>0</v>
      </c>
      <c r="AA10" s="44">
        <v>0</v>
      </c>
      <c r="AB10" s="44">
        <v>0</v>
      </c>
      <c r="AC10" s="44">
        <v>0</v>
      </c>
      <c r="AD10" s="44">
        <v>0</v>
      </c>
      <c r="AE10" s="44">
        <v>0</v>
      </c>
      <c r="AF10" s="44">
        <v>0</v>
      </c>
      <c r="AG10" s="44">
        <v>0</v>
      </c>
      <c r="AH10" s="44">
        <v>0</v>
      </c>
      <c r="AI10" s="44">
        <v>0</v>
      </c>
      <c r="AJ10" s="44">
        <v>0</v>
      </c>
      <c r="AK10" s="44">
        <v>0</v>
      </c>
      <c r="AL10" s="44">
        <v>0</v>
      </c>
      <c r="AM10" s="44">
        <v>0</v>
      </c>
      <c r="AN10" s="44">
        <v>0</v>
      </c>
      <c r="AO10" s="44">
        <v>0</v>
      </c>
      <c r="AP10" s="44">
        <v>0</v>
      </c>
      <c r="AQ10" s="44">
        <v>0</v>
      </c>
      <c r="AR10" s="44">
        <v>0</v>
      </c>
      <c r="AS10" s="44">
        <v>0</v>
      </c>
      <c r="AT10" s="44">
        <v>0</v>
      </c>
      <c r="AU10" s="44">
        <v>0</v>
      </c>
      <c r="AV10" s="44">
        <v>0</v>
      </c>
      <c r="AW10" s="44">
        <v>0</v>
      </c>
      <c r="AX10" s="44">
        <v>0</v>
      </c>
      <c r="AY10" s="44">
        <v>0</v>
      </c>
      <c r="AZ10" s="44">
        <v>0</v>
      </c>
      <c r="BA10" s="44">
        <v>0</v>
      </c>
      <c r="BB10" s="44">
        <v>0</v>
      </c>
      <c r="BC10" s="44">
        <v>0</v>
      </c>
      <c r="BD10" s="44">
        <v>0</v>
      </c>
      <c r="BE10" s="44">
        <v>0</v>
      </c>
      <c r="BF10" s="44">
        <v>0</v>
      </c>
      <c r="BG10" s="44">
        <v>0</v>
      </c>
      <c r="BH10" s="44">
        <v>0</v>
      </c>
      <c r="BI10" s="44">
        <v>0</v>
      </c>
      <c r="BJ10" s="44">
        <v>0</v>
      </c>
      <c r="BK10" s="44">
        <v>0</v>
      </c>
      <c r="BL10" s="44">
        <v>0</v>
      </c>
      <c r="BM10" s="44">
        <v>0</v>
      </c>
      <c r="BN10" s="44">
        <v>0</v>
      </c>
      <c r="BO10" s="44">
        <v>0</v>
      </c>
      <c r="BP10" s="44">
        <v>0</v>
      </c>
      <c r="BQ10" s="44">
        <v>0</v>
      </c>
      <c r="BR10" s="44">
        <v>0</v>
      </c>
      <c r="BS10" s="44">
        <v>0</v>
      </c>
      <c r="BT10" s="44">
        <v>0</v>
      </c>
      <c r="BU10" s="44">
        <v>0</v>
      </c>
      <c r="BV10" s="44">
        <v>0</v>
      </c>
      <c r="BW10" s="44">
        <v>0</v>
      </c>
      <c r="BX10" s="44">
        <v>0</v>
      </c>
      <c r="BY10" s="44">
        <v>0</v>
      </c>
      <c r="BZ10" s="44">
        <v>0</v>
      </c>
      <c r="CA10" s="44">
        <v>0</v>
      </c>
      <c r="CB10" s="44">
        <v>0</v>
      </c>
      <c r="CC10" s="44">
        <v>0</v>
      </c>
      <c r="CD10" s="44">
        <v>0</v>
      </c>
      <c r="CE10" s="44">
        <v>0</v>
      </c>
      <c r="CF10" s="44">
        <v>0</v>
      </c>
      <c r="CG10" s="44">
        <v>0</v>
      </c>
      <c r="CH10" s="44">
        <v>0</v>
      </c>
      <c r="CI10" s="44">
        <v>0</v>
      </c>
      <c r="CJ10" s="44">
        <v>0</v>
      </c>
      <c r="CK10" s="44">
        <v>0</v>
      </c>
      <c r="CL10" s="44">
        <v>0</v>
      </c>
      <c r="CM10" s="44">
        <v>0</v>
      </c>
      <c r="CN10" s="44">
        <v>0</v>
      </c>
      <c r="CO10" s="44">
        <v>0</v>
      </c>
      <c r="CP10" s="44">
        <v>0</v>
      </c>
      <c r="CQ10" s="44">
        <v>0</v>
      </c>
      <c r="CR10" s="44">
        <v>0</v>
      </c>
      <c r="CS10" s="44">
        <v>0</v>
      </c>
      <c r="CT10" s="44">
        <v>0</v>
      </c>
      <c r="CU10" s="44">
        <v>0</v>
      </c>
      <c r="CV10" s="44">
        <v>0</v>
      </c>
      <c r="CW10" s="44">
        <v>0</v>
      </c>
      <c r="CX10" s="44">
        <v>0</v>
      </c>
      <c r="CY10" s="44">
        <v>0</v>
      </c>
      <c r="CZ10" s="44">
        <v>0</v>
      </c>
      <c r="DA10" s="44">
        <v>0</v>
      </c>
      <c r="DB10" s="44">
        <v>0</v>
      </c>
      <c r="DC10" s="44">
        <v>0</v>
      </c>
      <c r="DD10" s="44">
        <v>0</v>
      </c>
      <c r="DE10" s="44">
        <v>0</v>
      </c>
      <c r="DF10" s="44">
        <v>0</v>
      </c>
      <c r="DG10" s="44">
        <v>0</v>
      </c>
      <c r="DH10" s="44">
        <v>0</v>
      </c>
      <c r="DI10" s="44">
        <v>0</v>
      </c>
      <c r="DJ10" s="44">
        <v>0</v>
      </c>
      <c r="DK10" s="44">
        <v>0</v>
      </c>
      <c r="DL10" s="44">
        <v>0</v>
      </c>
      <c r="DM10" s="44">
        <v>0</v>
      </c>
      <c r="DN10" s="44">
        <v>0</v>
      </c>
      <c r="DO10" s="44">
        <v>0</v>
      </c>
      <c r="DP10" s="44">
        <v>0</v>
      </c>
      <c r="DQ10" s="44">
        <v>0</v>
      </c>
      <c r="DR10" s="44">
        <v>0</v>
      </c>
      <c r="DS10" s="44">
        <v>0</v>
      </c>
      <c r="DT10" s="44">
        <v>0</v>
      </c>
      <c r="DU10" s="44">
        <v>0</v>
      </c>
      <c r="DV10" s="44">
        <v>0</v>
      </c>
      <c r="DW10" s="44">
        <v>0</v>
      </c>
      <c r="DX10" s="44">
        <v>0</v>
      </c>
      <c r="DY10" s="44">
        <v>0</v>
      </c>
      <c r="DZ10" s="44">
        <v>0</v>
      </c>
      <c r="EA10" s="44">
        <v>0</v>
      </c>
      <c r="EB10" s="44">
        <v>0</v>
      </c>
      <c r="EC10" s="44">
        <v>0</v>
      </c>
      <c r="ED10" s="44">
        <v>0</v>
      </c>
      <c r="EE10" s="44">
        <v>0</v>
      </c>
      <c r="EF10" s="44">
        <v>0</v>
      </c>
      <c r="EG10" s="44">
        <v>0</v>
      </c>
      <c r="EH10" s="44">
        <v>0</v>
      </c>
      <c r="EI10" s="44">
        <v>0</v>
      </c>
      <c r="EJ10" s="44">
        <v>0</v>
      </c>
      <c r="EK10" s="44">
        <v>0</v>
      </c>
      <c r="EL10" s="44">
        <v>0</v>
      </c>
      <c r="EM10" s="44">
        <v>0</v>
      </c>
      <c r="EN10" s="44">
        <v>0</v>
      </c>
      <c r="EO10" s="44">
        <v>0</v>
      </c>
      <c r="EP10" s="44">
        <v>0</v>
      </c>
      <c r="EQ10" s="44">
        <v>0</v>
      </c>
      <c r="ER10" s="44">
        <v>0</v>
      </c>
      <c r="ES10" s="44">
        <v>0</v>
      </c>
      <c r="ET10" s="44">
        <v>0</v>
      </c>
      <c r="EU10" s="44">
        <v>0</v>
      </c>
      <c r="EV10" s="44">
        <v>0</v>
      </c>
      <c r="EW10" s="44">
        <v>0</v>
      </c>
      <c r="EX10" s="44">
        <v>0</v>
      </c>
      <c r="EY10" s="44">
        <v>0</v>
      </c>
      <c r="EZ10" s="44">
        <v>0</v>
      </c>
      <c r="FA10" s="44">
        <v>0</v>
      </c>
      <c r="FB10" s="44">
        <v>0</v>
      </c>
      <c r="FC10" s="44">
        <v>0</v>
      </c>
      <c r="FD10" s="44">
        <v>0</v>
      </c>
      <c r="FE10" s="44">
        <v>0</v>
      </c>
      <c r="FF10" s="44">
        <v>0</v>
      </c>
      <c r="FG10" s="44">
        <v>0</v>
      </c>
      <c r="FH10" s="44">
        <v>0</v>
      </c>
      <c r="FI10" s="44">
        <v>0</v>
      </c>
      <c r="FJ10" s="113">
        <v>0</v>
      </c>
    </row>
    <row r="11" spans="1:166" x14ac:dyDescent="0.4">
      <c r="A11" s="112">
        <v>0</v>
      </c>
      <c r="B11" s="43" t="s">
        <v>174</v>
      </c>
      <c r="C11" s="43" t="s">
        <v>381</v>
      </c>
      <c r="D11" s="43" t="s">
        <v>14</v>
      </c>
      <c r="E11" s="43" t="s">
        <v>154</v>
      </c>
      <c r="F11" s="43" t="s">
        <v>453</v>
      </c>
      <c r="G11" s="43" t="s">
        <v>456</v>
      </c>
      <c r="H11" s="43">
        <v>0</v>
      </c>
      <c r="I11" s="43">
        <v>0</v>
      </c>
      <c r="J11" s="43" t="s">
        <v>155</v>
      </c>
      <c r="K11" s="43">
        <v>0</v>
      </c>
      <c r="L11" s="43" t="s">
        <v>443</v>
      </c>
      <c r="M11" s="44">
        <v>1</v>
      </c>
      <c r="N11" s="44">
        <v>0</v>
      </c>
      <c r="O11" s="45">
        <v>6000000</v>
      </c>
      <c r="P11" s="45">
        <f>CS_구축!$M11*CS_구축!$O11</f>
        <v>6000000</v>
      </c>
      <c r="Q11" s="44">
        <v>0</v>
      </c>
      <c r="R11" s="44">
        <v>0</v>
      </c>
      <c r="S11" s="43">
        <v>0</v>
      </c>
      <c r="T11" s="47">
        <v>1</v>
      </c>
      <c r="U11" s="43">
        <v>0</v>
      </c>
      <c r="V11" s="44">
        <v>0</v>
      </c>
      <c r="W11" s="44">
        <v>0</v>
      </c>
      <c r="X11" s="44">
        <v>0</v>
      </c>
      <c r="Y11" s="44">
        <v>0</v>
      </c>
      <c r="Z11" s="44">
        <v>0</v>
      </c>
      <c r="AA11" s="44">
        <v>0</v>
      </c>
      <c r="AB11" s="44">
        <v>0</v>
      </c>
      <c r="AC11" s="44">
        <v>0</v>
      </c>
      <c r="AD11" s="44">
        <v>0</v>
      </c>
      <c r="AE11" s="44">
        <v>0</v>
      </c>
      <c r="AF11" s="44">
        <v>0</v>
      </c>
      <c r="AG11" s="44">
        <v>0</v>
      </c>
      <c r="AH11" s="44">
        <v>0</v>
      </c>
      <c r="AI11" s="44">
        <v>0</v>
      </c>
      <c r="AJ11" s="44">
        <v>0</v>
      </c>
      <c r="AK11" s="44">
        <v>0</v>
      </c>
      <c r="AL11" s="44">
        <v>0</v>
      </c>
      <c r="AM11" s="44">
        <v>0</v>
      </c>
      <c r="AN11" s="44">
        <v>0</v>
      </c>
      <c r="AO11" s="44">
        <v>0</v>
      </c>
      <c r="AP11" s="44">
        <v>0</v>
      </c>
      <c r="AQ11" s="44">
        <v>0</v>
      </c>
      <c r="AR11" s="44">
        <v>0</v>
      </c>
      <c r="AS11" s="44">
        <v>0</v>
      </c>
      <c r="AT11" s="44">
        <v>0</v>
      </c>
      <c r="AU11" s="44">
        <v>0</v>
      </c>
      <c r="AV11" s="44">
        <v>0</v>
      </c>
      <c r="AW11" s="44">
        <v>0</v>
      </c>
      <c r="AX11" s="44">
        <v>0</v>
      </c>
      <c r="AY11" s="44">
        <v>0</v>
      </c>
      <c r="AZ11" s="44">
        <v>0</v>
      </c>
      <c r="BA11" s="44">
        <v>0</v>
      </c>
      <c r="BB11" s="44">
        <v>0</v>
      </c>
      <c r="BC11" s="44">
        <v>0</v>
      </c>
      <c r="BD11" s="44">
        <v>0</v>
      </c>
      <c r="BE11" s="44">
        <v>0</v>
      </c>
      <c r="BF11" s="44">
        <v>0</v>
      </c>
      <c r="BG11" s="44">
        <v>0</v>
      </c>
      <c r="BH11" s="44">
        <v>0</v>
      </c>
      <c r="BI11" s="44">
        <v>0</v>
      </c>
      <c r="BJ11" s="44">
        <v>0</v>
      </c>
      <c r="BK11" s="44">
        <v>0</v>
      </c>
      <c r="BL11" s="44">
        <v>0</v>
      </c>
      <c r="BM11" s="44">
        <v>0</v>
      </c>
      <c r="BN11" s="44">
        <v>0</v>
      </c>
      <c r="BO11" s="44">
        <v>0</v>
      </c>
      <c r="BP11" s="44">
        <v>0</v>
      </c>
      <c r="BQ11" s="44">
        <v>0</v>
      </c>
      <c r="BR11" s="44">
        <v>0</v>
      </c>
      <c r="BS11" s="44">
        <v>0</v>
      </c>
      <c r="BT11" s="44">
        <v>0</v>
      </c>
      <c r="BU11" s="44">
        <v>0</v>
      </c>
      <c r="BV11" s="44">
        <v>0</v>
      </c>
      <c r="BW11" s="44">
        <v>0</v>
      </c>
      <c r="BX11" s="44">
        <v>0</v>
      </c>
      <c r="BY11" s="44">
        <v>0</v>
      </c>
      <c r="BZ11" s="44">
        <v>0</v>
      </c>
      <c r="CA11" s="44">
        <v>0</v>
      </c>
      <c r="CB11" s="44">
        <v>0</v>
      </c>
      <c r="CC11" s="44">
        <v>0</v>
      </c>
      <c r="CD11" s="44">
        <v>0</v>
      </c>
      <c r="CE11" s="44">
        <v>0</v>
      </c>
      <c r="CF11" s="44">
        <v>0</v>
      </c>
      <c r="CG11" s="44">
        <v>0</v>
      </c>
      <c r="CH11" s="44">
        <v>0</v>
      </c>
      <c r="CI11" s="44">
        <v>0</v>
      </c>
      <c r="CJ11" s="44">
        <v>0</v>
      </c>
      <c r="CK11" s="44">
        <v>0</v>
      </c>
      <c r="CL11" s="44">
        <v>0</v>
      </c>
      <c r="CM11" s="44">
        <v>0</v>
      </c>
      <c r="CN11" s="44">
        <v>0</v>
      </c>
      <c r="CO11" s="44">
        <v>0</v>
      </c>
      <c r="CP11" s="44">
        <v>0</v>
      </c>
      <c r="CQ11" s="44">
        <v>0</v>
      </c>
      <c r="CR11" s="44">
        <v>0</v>
      </c>
      <c r="CS11" s="44">
        <v>0</v>
      </c>
      <c r="CT11" s="44">
        <v>0</v>
      </c>
      <c r="CU11" s="44">
        <v>0</v>
      </c>
      <c r="CV11" s="44">
        <v>0</v>
      </c>
      <c r="CW11" s="44">
        <v>0</v>
      </c>
      <c r="CX11" s="44">
        <v>0</v>
      </c>
      <c r="CY11" s="44">
        <v>0</v>
      </c>
      <c r="CZ11" s="44">
        <v>0</v>
      </c>
      <c r="DA11" s="44">
        <v>0</v>
      </c>
      <c r="DB11" s="44">
        <v>0</v>
      </c>
      <c r="DC11" s="44">
        <v>0</v>
      </c>
      <c r="DD11" s="44">
        <v>0</v>
      </c>
      <c r="DE11" s="44">
        <v>0</v>
      </c>
      <c r="DF11" s="44">
        <v>0</v>
      </c>
      <c r="DG11" s="44">
        <v>0</v>
      </c>
      <c r="DH11" s="44">
        <v>0</v>
      </c>
      <c r="DI11" s="44">
        <v>0</v>
      </c>
      <c r="DJ11" s="44">
        <v>0</v>
      </c>
      <c r="DK11" s="44">
        <v>0</v>
      </c>
      <c r="DL11" s="44">
        <v>0</v>
      </c>
      <c r="DM11" s="44">
        <v>0</v>
      </c>
      <c r="DN11" s="44">
        <v>0</v>
      </c>
      <c r="DO11" s="44">
        <v>0</v>
      </c>
      <c r="DP11" s="44">
        <v>0</v>
      </c>
      <c r="DQ11" s="44">
        <v>0</v>
      </c>
      <c r="DR11" s="44">
        <v>0</v>
      </c>
      <c r="DS11" s="44">
        <v>0</v>
      </c>
      <c r="DT11" s="44">
        <v>0</v>
      </c>
      <c r="DU11" s="44">
        <v>0</v>
      </c>
      <c r="DV11" s="44">
        <v>0</v>
      </c>
      <c r="DW11" s="44">
        <v>0</v>
      </c>
      <c r="DX11" s="44">
        <v>0</v>
      </c>
      <c r="DY11" s="44">
        <v>0</v>
      </c>
      <c r="DZ11" s="44">
        <v>0</v>
      </c>
      <c r="EA11" s="44">
        <v>0</v>
      </c>
      <c r="EB11" s="44">
        <v>0</v>
      </c>
      <c r="EC11" s="44">
        <v>0</v>
      </c>
      <c r="ED11" s="44">
        <v>0</v>
      </c>
      <c r="EE11" s="44">
        <v>0</v>
      </c>
      <c r="EF11" s="44">
        <v>0</v>
      </c>
      <c r="EG11" s="44">
        <v>0</v>
      </c>
      <c r="EH11" s="44">
        <v>0</v>
      </c>
      <c r="EI11" s="44">
        <v>0</v>
      </c>
      <c r="EJ11" s="44">
        <v>0</v>
      </c>
      <c r="EK11" s="44">
        <v>0</v>
      </c>
      <c r="EL11" s="44">
        <v>0</v>
      </c>
      <c r="EM11" s="44">
        <v>0</v>
      </c>
      <c r="EN11" s="44">
        <v>0</v>
      </c>
      <c r="EO11" s="44">
        <v>0</v>
      </c>
      <c r="EP11" s="44">
        <v>0</v>
      </c>
      <c r="EQ11" s="44">
        <v>0</v>
      </c>
      <c r="ER11" s="44">
        <v>0</v>
      </c>
      <c r="ES11" s="44">
        <v>0</v>
      </c>
      <c r="ET11" s="44">
        <v>0</v>
      </c>
      <c r="EU11" s="44">
        <v>0</v>
      </c>
      <c r="EV11" s="44">
        <v>0</v>
      </c>
      <c r="EW11" s="44">
        <v>0</v>
      </c>
      <c r="EX11" s="44">
        <v>0</v>
      </c>
      <c r="EY11" s="44">
        <v>0</v>
      </c>
      <c r="EZ11" s="44">
        <v>0</v>
      </c>
      <c r="FA11" s="44">
        <v>0</v>
      </c>
      <c r="FB11" s="44">
        <v>0</v>
      </c>
      <c r="FC11" s="44">
        <v>0</v>
      </c>
      <c r="FD11" s="44">
        <v>0</v>
      </c>
      <c r="FE11" s="44">
        <v>0</v>
      </c>
      <c r="FF11" s="44">
        <v>0</v>
      </c>
      <c r="FG11" s="44">
        <v>0</v>
      </c>
      <c r="FH11" s="44">
        <v>0</v>
      </c>
      <c r="FI11" s="44">
        <v>0</v>
      </c>
      <c r="FJ11" s="113">
        <v>0</v>
      </c>
    </row>
    <row r="12" spans="1:166" x14ac:dyDescent="0.4">
      <c r="A12" s="112">
        <v>0</v>
      </c>
      <c r="B12" s="43" t="s">
        <v>174</v>
      </c>
      <c r="C12" s="43" t="s">
        <v>381</v>
      </c>
      <c r="D12" s="43" t="s">
        <v>14</v>
      </c>
      <c r="E12" s="43" t="s">
        <v>154</v>
      </c>
      <c r="F12" s="43" t="s">
        <v>453</v>
      </c>
      <c r="G12" s="43" t="s">
        <v>457</v>
      </c>
      <c r="H12" s="43">
        <v>0</v>
      </c>
      <c r="I12" s="43">
        <v>0</v>
      </c>
      <c r="J12" s="43" t="s">
        <v>155</v>
      </c>
      <c r="K12" s="43">
        <v>0</v>
      </c>
      <c r="L12" s="43" t="s">
        <v>443</v>
      </c>
      <c r="M12" s="44">
        <v>30</v>
      </c>
      <c r="N12" s="44">
        <v>0</v>
      </c>
      <c r="O12" s="45">
        <v>1200000</v>
      </c>
      <c r="P12" s="45">
        <f>CS_구축!$M12*CS_구축!$O12</f>
        <v>36000000</v>
      </c>
      <c r="Q12" s="44">
        <v>0</v>
      </c>
      <c r="R12" s="44">
        <v>0</v>
      </c>
      <c r="S12" s="43">
        <v>0</v>
      </c>
      <c r="T12" s="47">
        <v>1</v>
      </c>
      <c r="U12" s="43">
        <v>0</v>
      </c>
      <c r="V12" s="44">
        <v>0</v>
      </c>
      <c r="W12" s="44">
        <v>0</v>
      </c>
      <c r="X12" s="44">
        <v>0</v>
      </c>
      <c r="Y12" s="44">
        <v>0</v>
      </c>
      <c r="Z12" s="44">
        <v>0</v>
      </c>
      <c r="AA12" s="44">
        <v>0</v>
      </c>
      <c r="AB12" s="44">
        <v>0</v>
      </c>
      <c r="AC12" s="44">
        <v>0</v>
      </c>
      <c r="AD12" s="44">
        <v>0</v>
      </c>
      <c r="AE12" s="44">
        <v>0</v>
      </c>
      <c r="AF12" s="44">
        <v>0</v>
      </c>
      <c r="AG12" s="44">
        <v>0</v>
      </c>
      <c r="AH12" s="44">
        <v>0</v>
      </c>
      <c r="AI12" s="44">
        <v>0</v>
      </c>
      <c r="AJ12" s="44">
        <v>0</v>
      </c>
      <c r="AK12" s="44">
        <v>0</v>
      </c>
      <c r="AL12" s="44">
        <v>0</v>
      </c>
      <c r="AM12" s="44">
        <v>0</v>
      </c>
      <c r="AN12" s="44">
        <v>0</v>
      </c>
      <c r="AO12" s="44">
        <v>0</v>
      </c>
      <c r="AP12" s="44">
        <v>0</v>
      </c>
      <c r="AQ12" s="44">
        <v>0</v>
      </c>
      <c r="AR12" s="44">
        <v>0</v>
      </c>
      <c r="AS12" s="44">
        <v>0</v>
      </c>
      <c r="AT12" s="44">
        <v>0</v>
      </c>
      <c r="AU12" s="44">
        <v>0</v>
      </c>
      <c r="AV12" s="44">
        <v>0</v>
      </c>
      <c r="AW12" s="44">
        <v>0</v>
      </c>
      <c r="AX12" s="44">
        <v>0</v>
      </c>
      <c r="AY12" s="44">
        <v>0</v>
      </c>
      <c r="AZ12" s="44">
        <v>0</v>
      </c>
      <c r="BA12" s="44">
        <v>0</v>
      </c>
      <c r="BB12" s="44">
        <v>0</v>
      </c>
      <c r="BC12" s="44">
        <v>0</v>
      </c>
      <c r="BD12" s="44">
        <v>0</v>
      </c>
      <c r="BE12" s="44">
        <v>0</v>
      </c>
      <c r="BF12" s="44">
        <v>0</v>
      </c>
      <c r="BG12" s="44">
        <v>0</v>
      </c>
      <c r="BH12" s="44">
        <v>0</v>
      </c>
      <c r="BI12" s="44">
        <v>0</v>
      </c>
      <c r="BJ12" s="44">
        <v>0</v>
      </c>
      <c r="BK12" s="44">
        <v>0</v>
      </c>
      <c r="BL12" s="44">
        <v>0</v>
      </c>
      <c r="BM12" s="44">
        <v>0</v>
      </c>
      <c r="BN12" s="44">
        <v>0</v>
      </c>
      <c r="BO12" s="44">
        <v>0</v>
      </c>
      <c r="BP12" s="44">
        <v>0</v>
      </c>
      <c r="BQ12" s="44">
        <v>0</v>
      </c>
      <c r="BR12" s="44">
        <v>0</v>
      </c>
      <c r="BS12" s="44">
        <v>0</v>
      </c>
      <c r="BT12" s="44">
        <v>0</v>
      </c>
      <c r="BU12" s="44">
        <v>0</v>
      </c>
      <c r="BV12" s="44">
        <v>0</v>
      </c>
      <c r="BW12" s="44">
        <v>0</v>
      </c>
      <c r="BX12" s="44">
        <v>0</v>
      </c>
      <c r="BY12" s="44">
        <v>0</v>
      </c>
      <c r="BZ12" s="44">
        <v>0</v>
      </c>
      <c r="CA12" s="44">
        <v>0</v>
      </c>
      <c r="CB12" s="44">
        <v>0</v>
      </c>
      <c r="CC12" s="44">
        <v>0</v>
      </c>
      <c r="CD12" s="44">
        <v>0</v>
      </c>
      <c r="CE12" s="44">
        <v>0</v>
      </c>
      <c r="CF12" s="44">
        <v>0</v>
      </c>
      <c r="CG12" s="44">
        <v>0</v>
      </c>
      <c r="CH12" s="44">
        <v>0</v>
      </c>
      <c r="CI12" s="44">
        <v>0</v>
      </c>
      <c r="CJ12" s="44">
        <v>0</v>
      </c>
      <c r="CK12" s="44">
        <v>0</v>
      </c>
      <c r="CL12" s="44">
        <v>0</v>
      </c>
      <c r="CM12" s="44">
        <v>0</v>
      </c>
      <c r="CN12" s="44">
        <v>0</v>
      </c>
      <c r="CO12" s="44">
        <v>0</v>
      </c>
      <c r="CP12" s="44">
        <v>0</v>
      </c>
      <c r="CQ12" s="44">
        <v>0</v>
      </c>
      <c r="CR12" s="44">
        <v>0</v>
      </c>
      <c r="CS12" s="44">
        <v>0</v>
      </c>
      <c r="CT12" s="44">
        <v>0</v>
      </c>
      <c r="CU12" s="44">
        <v>0</v>
      </c>
      <c r="CV12" s="44">
        <v>0</v>
      </c>
      <c r="CW12" s="44">
        <v>0</v>
      </c>
      <c r="CX12" s="44">
        <v>0</v>
      </c>
      <c r="CY12" s="44">
        <v>0</v>
      </c>
      <c r="CZ12" s="44">
        <v>0</v>
      </c>
      <c r="DA12" s="44">
        <v>0</v>
      </c>
      <c r="DB12" s="44">
        <v>0</v>
      </c>
      <c r="DC12" s="44">
        <v>0</v>
      </c>
      <c r="DD12" s="44">
        <v>0</v>
      </c>
      <c r="DE12" s="44">
        <v>0</v>
      </c>
      <c r="DF12" s="44">
        <v>0</v>
      </c>
      <c r="DG12" s="44">
        <v>0</v>
      </c>
      <c r="DH12" s="44">
        <v>0</v>
      </c>
      <c r="DI12" s="44">
        <v>0</v>
      </c>
      <c r="DJ12" s="44">
        <v>0</v>
      </c>
      <c r="DK12" s="44">
        <v>0</v>
      </c>
      <c r="DL12" s="44">
        <v>0</v>
      </c>
      <c r="DM12" s="44">
        <v>0</v>
      </c>
      <c r="DN12" s="44">
        <v>0</v>
      </c>
      <c r="DO12" s="44">
        <v>0</v>
      </c>
      <c r="DP12" s="44">
        <v>0</v>
      </c>
      <c r="DQ12" s="44">
        <v>0</v>
      </c>
      <c r="DR12" s="44">
        <v>0</v>
      </c>
      <c r="DS12" s="44">
        <v>0</v>
      </c>
      <c r="DT12" s="44">
        <v>0</v>
      </c>
      <c r="DU12" s="44">
        <v>0</v>
      </c>
      <c r="DV12" s="44">
        <v>0</v>
      </c>
      <c r="DW12" s="44">
        <v>0</v>
      </c>
      <c r="DX12" s="44">
        <v>0</v>
      </c>
      <c r="DY12" s="44">
        <v>0</v>
      </c>
      <c r="DZ12" s="44">
        <v>0</v>
      </c>
      <c r="EA12" s="44">
        <v>0</v>
      </c>
      <c r="EB12" s="44">
        <v>0</v>
      </c>
      <c r="EC12" s="44">
        <v>0</v>
      </c>
      <c r="ED12" s="44">
        <v>0</v>
      </c>
      <c r="EE12" s="44">
        <v>0</v>
      </c>
      <c r="EF12" s="44">
        <v>0</v>
      </c>
      <c r="EG12" s="44">
        <v>0</v>
      </c>
      <c r="EH12" s="44">
        <v>0</v>
      </c>
      <c r="EI12" s="44">
        <v>0</v>
      </c>
      <c r="EJ12" s="44">
        <v>0</v>
      </c>
      <c r="EK12" s="44">
        <v>0</v>
      </c>
      <c r="EL12" s="44">
        <v>0</v>
      </c>
      <c r="EM12" s="44">
        <v>0</v>
      </c>
      <c r="EN12" s="44">
        <v>0</v>
      </c>
      <c r="EO12" s="44">
        <v>0</v>
      </c>
      <c r="EP12" s="44">
        <v>0</v>
      </c>
      <c r="EQ12" s="44">
        <v>0</v>
      </c>
      <c r="ER12" s="44">
        <v>0</v>
      </c>
      <c r="ES12" s="44">
        <v>0</v>
      </c>
      <c r="ET12" s="44">
        <v>0</v>
      </c>
      <c r="EU12" s="44">
        <v>0</v>
      </c>
      <c r="EV12" s="44">
        <v>0</v>
      </c>
      <c r="EW12" s="44">
        <v>0</v>
      </c>
      <c r="EX12" s="44">
        <v>0</v>
      </c>
      <c r="EY12" s="44">
        <v>0</v>
      </c>
      <c r="EZ12" s="44">
        <v>0</v>
      </c>
      <c r="FA12" s="44">
        <v>0</v>
      </c>
      <c r="FB12" s="44">
        <v>0</v>
      </c>
      <c r="FC12" s="44">
        <v>0</v>
      </c>
      <c r="FD12" s="44">
        <v>0</v>
      </c>
      <c r="FE12" s="44">
        <v>0</v>
      </c>
      <c r="FF12" s="44">
        <v>0</v>
      </c>
      <c r="FG12" s="44">
        <v>0</v>
      </c>
      <c r="FH12" s="44">
        <v>0</v>
      </c>
      <c r="FI12" s="44">
        <v>0</v>
      </c>
      <c r="FJ12" s="113">
        <v>0</v>
      </c>
    </row>
    <row r="13" spans="1:166" x14ac:dyDescent="0.4">
      <c r="A13" s="112">
        <v>0</v>
      </c>
      <c r="B13" s="43" t="s">
        <v>174</v>
      </c>
      <c r="C13" s="43" t="s">
        <v>381</v>
      </c>
      <c r="D13" s="43" t="s">
        <v>14</v>
      </c>
      <c r="E13" s="43" t="s">
        <v>154</v>
      </c>
      <c r="F13" s="43" t="s">
        <v>453</v>
      </c>
      <c r="G13" s="43" t="s">
        <v>458</v>
      </c>
      <c r="H13" s="43">
        <v>0</v>
      </c>
      <c r="I13" s="43">
        <v>0</v>
      </c>
      <c r="J13" s="43" t="s">
        <v>155</v>
      </c>
      <c r="K13" s="43">
        <v>0</v>
      </c>
      <c r="L13" s="43" t="s">
        <v>443</v>
      </c>
      <c r="M13" s="44">
        <v>1</v>
      </c>
      <c r="N13" s="44">
        <v>0</v>
      </c>
      <c r="O13" s="45">
        <v>16000000</v>
      </c>
      <c r="P13" s="45">
        <f>CS_구축!$M13*CS_구축!$O13</f>
        <v>16000000</v>
      </c>
      <c r="Q13" s="44">
        <v>0</v>
      </c>
      <c r="R13" s="44">
        <v>0</v>
      </c>
      <c r="S13" s="43">
        <v>0</v>
      </c>
      <c r="T13" s="47">
        <v>1</v>
      </c>
      <c r="U13" s="43">
        <v>0</v>
      </c>
      <c r="V13" s="44">
        <v>0</v>
      </c>
      <c r="W13" s="44">
        <v>0</v>
      </c>
      <c r="X13" s="44">
        <v>0</v>
      </c>
      <c r="Y13" s="44">
        <v>0</v>
      </c>
      <c r="Z13" s="44">
        <v>0</v>
      </c>
      <c r="AA13" s="44">
        <v>0</v>
      </c>
      <c r="AB13" s="44">
        <v>0</v>
      </c>
      <c r="AC13" s="44">
        <v>0</v>
      </c>
      <c r="AD13" s="44">
        <v>0</v>
      </c>
      <c r="AE13" s="44">
        <v>0</v>
      </c>
      <c r="AF13" s="44">
        <v>0</v>
      </c>
      <c r="AG13" s="44">
        <v>0</v>
      </c>
      <c r="AH13" s="44">
        <v>0</v>
      </c>
      <c r="AI13" s="44">
        <v>0</v>
      </c>
      <c r="AJ13" s="44">
        <v>0</v>
      </c>
      <c r="AK13" s="44">
        <v>0</v>
      </c>
      <c r="AL13" s="44">
        <v>0</v>
      </c>
      <c r="AM13" s="44">
        <v>0</v>
      </c>
      <c r="AN13" s="44">
        <v>0</v>
      </c>
      <c r="AO13" s="44">
        <v>0</v>
      </c>
      <c r="AP13" s="44">
        <v>0</v>
      </c>
      <c r="AQ13" s="44">
        <v>0</v>
      </c>
      <c r="AR13" s="44">
        <v>0</v>
      </c>
      <c r="AS13" s="44">
        <v>0</v>
      </c>
      <c r="AT13" s="44">
        <v>0</v>
      </c>
      <c r="AU13" s="44">
        <v>0</v>
      </c>
      <c r="AV13" s="44">
        <v>0</v>
      </c>
      <c r="AW13" s="44">
        <v>0</v>
      </c>
      <c r="AX13" s="44">
        <v>0</v>
      </c>
      <c r="AY13" s="44">
        <v>0</v>
      </c>
      <c r="AZ13" s="44">
        <v>0</v>
      </c>
      <c r="BA13" s="44">
        <v>0</v>
      </c>
      <c r="BB13" s="44">
        <v>0</v>
      </c>
      <c r="BC13" s="44">
        <v>0</v>
      </c>
      <c r="BD13" s="44">
        <v>0</v>
      </c>
      <c r="BE13" s="44">
        <v>0</v>
      </c>
      <c r="BF13" s="44">
        <v>0</v>
      </c>
      <c r="BG13" s="44">
        <v>0</v>
      </c>
      <c r="BH13" s="44">
        <v>0</v>
      </c>
      <c r="BI13" s="44">
        <v>0</v>
      </c>
      <c r="BJ13" s="44">
        <v>0</v>
      </c>
      <c r="BK13" s="44">
        <v>0</v>
      </c>
      <c r="BL13" s="44">
        <v>0</v>
      </c>
      <c r="BM13" s="44">
        <v>0</v>
      </c>
      <c r="BN13" s="44">
        <v>0</v>
      </c>
      <c r="BO13" s="44">
        <v>0</v>
      </c>
      <c r="BP13" s="44">
        <v>0</v>
      </c>
      <c r="BQ13" s="44">
        <v>0</v>
      </c>
      <c r="BR13" s="44">
        <v>0</v>
      </c>
      <c r="BS13" s="44">
        <v>0</v>
      </c>
      <c r="BT13" s="44">
        <v>0</v>
      </c>
      <c r="BU13" s="44">
        <v>0</v>
      </c>
      <c r="BV13" s="44">
        <v>0</v>
      </c>
      <c r="BW13" s="44">
        <v>0</v>
      </c>
      <c r="BX13" s="44">
        <v>0</v>
      </c>
      <c r="BY13" s="44">
        <v>0</v>
      </c>
      <c r="BZ13" s="44">
        <v>0</v>
      </c>
      <c r="CA13" s="44">
        <v>0</v>
      </c>
      <c r="CB13" s="44">
        <v>0</v>
      </c>
      <c r="CC13" s="44">
        <v>0</v>
      </c>
      <c r="CD13" s="44">
        <v>0</v>
      </c>
      <c r="CE13" s="44">
        <v>0</v>
      </c>
      <c r="CF13" s="44">
        <v>0</v>
      </c>
      <c r="CG13" s="44">
        <v>0</v>
      </c>
      <c r="CH13" s="44">
        <v>0</v>
      </c>
      <c r="CI13" s="44">
        <v>0</v>
      </c>
      <c r="CJ13" s="44">
        <v>0</v>
      </c>
      <c r="CK13" s="44">
        <v>0</v>
      </c>
      <c r="CL13" s="44">
        <v>0</v>
      </c>
      <c r="CM13" s="44">
        <v>0</v>
      </c>
      <c r="CN13" s="44">
        <v>0</v>
      </c>
      <c r="CO13" s="44">
        <v>0</v>
      </c>
      <c r="CP13" s="44">
        <v>0</v>
      </c>
      <c r="CQ13" s="44">
        <v>0</v>
      </c>
      <c r="CR13" s="44">
        <v>0</v>
      </c>
      <c r="CS13" s="44">
        <v>0</v>
      </c>
      <c r="CT13" s="44">
        <v>0</v>
      </c>
      <c r="CU13" s="44">
        <v>0</v>
      </c>
      <c r="CV13" s="44">
        <v>0</v>
      </c>
      <c r="CW13" s="44">
        <v>0</v>
      </c>
      <c r="CX13" s="44">
        <v>0</v>
      </c>
      <c r="CY13" s="44">
        <v>0</v>
      </c>
      <c r="CZ13" s="44">
        <v>0</v>
      </c>
      <c r="DA13" s="44">
        <v>0</v>
      </c>
      <c r="DB13" s="44">
        <v>0</v>
      </c>
      <c r="DC13" s="44">
        <v>0</v>
      </c>
      <c r="DD13" s="44">
        <v>0</v>
      </c>
      <c r="DE13" s="44">
        <v>0</v>
      </c>
      <c r="DF13" s="44">
        <v>0</v>
      </c>
      <c r="DG13" s="44">
        <v>0</v>
      </c>
      <c r="DH13" s="44">
        <v>0</v>
      </c>
      <c r="DI13" s="44">
        <v>0</v>
      </c>
      <c r="DJ13" s="44">
        <v>0</v>
      </c>
      <c r="DK13" s="44">
        <v>0</v>
      </c>
      <c r="DL13" s="44">
        <v>0</v>
      </c>
      <c r="DM13" s="44">
        <v>0</v>
      </c>
      <c r="DN13" s="44">
        <v>0</v>
      </c>
      <c r="DO13" s="44">
        <v>0</v>
      </c>
      <c r="DP13" s="44">
        <v>0</v>
      </c>
      <c r="DQ13" s="44">
        <v>0</v>
      </c>
      <c r="DR13" s="44">
        <v>0</v>
      </c>
      <c r="DS13" s="44">
        <v>0</v>
      </c>
      <c r="DT13" s="44">
        <v>0</v>
      </c>
      <c r="DU13" s="44">
        <v>0</v>
      </c>
      <c r="DV13" s="44">
        <v>0</v>
      </c>
      <c r="DW13" s="44">
        <v>0</v>
      </c>
      <c r="DX13" s="44">
        <v>0</v>
      </c>
      <c r="DY13" s="44">
        <v>0</v>
      </c>
      <c r="DZ13" s="44">
        <v>0</v>
      </c>
      <c r="EA13" s="44">
        <v>0</v>
      </c>
      <c r="EB13" s="44">
        <v>0</v>
      </c>
      <c r="EC13" s="44">
        <v>0</v>
      </c>
      <c r="ED13" s="44">
        <v>0</v>
      </c>
      <c r="EE13" s="44">
        <v>0</v>
      </c>
      <c r="EF13" s="44">
        <v>0</v>
      </c>
      <c r="EG13" s="44">
        <v>0</v>
      </c>
      <c r="EH13" s="44">
        <v>0</v>
      </c>
      <c r="EI13" s="44">
        <v>0</v>
      </c>
      <c r="EJ13" s="44">
        <v>0</v>
      </c>
      <c r="EK13" s="44">
        <v>0</v>
      </c>
      <c r="EL13" s="44">
        <v>0</v>
      </c>
      <c r="EM13" s="44">
        <v>0</v>
      </c>
      <c r="EN13" s="44">
        <v>0</v>
      </c>
      <c r="EO13" s="44">
        <v>0</v>
      </c>
      <c r="EP13" s="44">
        <v>0</v>
      </c>
      <c r="EQ13" s="44">
        <v>0</v>
      </c>
      <c r="ER13" s="44">
        <v>0</v>
      </c>
      <c r="ES13" s="44">
        <v>0</v>
      </c>
      <c r="ET13" s="44">
        <v>0</v>
      </c>
      <c r="EU13" s="44">
        <v>0</v>
      </c>
      <c r="EV13" s="44">
        <v>0</v>
      </c>
      <c r="EW13" s="44">
        <v>0</v>
      </c>
      <c r="EX13" s="44">
        <v>0</v>
      </c>
      <c r="EY13" s="44">
        <v>0</v>
      </c>
      <c r="EZ13" s="44">
        <v>0</v>
      </c>
      <c r="FA13" s="44">
        <v>0</v>
      </c>
      <c r="FB13" s="44">
        <v>0</v>
      </c>
      <c r="FC13" s="44">
        <v>0</v>
      </c>
      <c r="FD13" s="44">
        <v>0</v>
      </c>
      <c r="FE13" s="44">
        <v>0</v>
      </c>
      <c r="FF13" s="44">
        <v>0</v>
      </c>
      <c r="FG13" s="44">
        <v>0</v>
      </c>
      <c r="FH13" s="44">
        <v>0</v>
      </c>
      <c r="FI13" s="44">
        <v>0</v>
      </c>
      <c r="FJ13" s="113">
        <v>0</v>
      </c>
    </row>
    <row r="14" spans="1:166" x14ac:dyDescent="0.4">
      <c r="A14" s="112">
        <v>0</v>
      </c>
      <c r="B14" s="43" t="s">
        <v>174</v>
      </c>
      <c r="C14" s="43" t="s">
        <v>381</v>
      </c>
      <c r="D14" s="43" t="s">
        <v>14</v>
      </c>
      <c r="E14" s="43" t="s">
        <v>154</v>
      </c>
      <c r="F14" s="43" t="s">
        <v>453</v>
      </c>
      <c r="G14" s="43" t="s">
        <v>459</v>
      </c>
      <c r="H14" s="43">
        <v>0</v>
      </c>
      <c r="I14" s="43">
        <v>0</v>
      </c>
      <c r="J14" s="43" t="s">
        <v>155</v>
      </c>
      <c r="K14" s="43">
        <v>0</v>
      </c>
      <c r="L14" s="43" t="s">
        <v>443</v>
      </c>
      <c r="M14" s="44">
        <v>1</v>
      </c>
      <c r="N14" s="44">
        <v>0</v>
      </c>
      <c r="O14" s="45">
        <v>2000000</v>
      </c>
      <c r="P14" s="45">
        <f>CS_구축!$M14*CS_구축!$O14</f>
        <v>2000000</v>
      </c>
      <c r="Q14" s="44">
        <v>0</v>
      </c>
      <c r="R14" s="44">
        <v>0</v>
      </c>
      <c r="S14" s="43">
        <v>0</v>
      </c>
      <c r="T14" s="47">
        <v>1</v>
      </c>
      <c r="U14" s="43">
        <v>0</v>
      </c>
      <c r="V14" s="44">
        <v>0</v>
      </c>
      <c r="W14" s="44">
        <v>0</v>
      </c>
      <c r="X14" s="44">
        <v>0</v>
      </c>
      <c r="Y14" s="44">
        <v>0</v>
      </c>
      <c r="Z14" s="44">
        <v>0</v>
      </c>
      <c r="AA14" s="44">
        <v>0</v>
      </c>
      <c r="AB14" s="44">
        <v>0</v>
      </c>
      <c r="AC14" s="44">
        <v>0</v>
      </c>
      <c r="AD14" s="44">
        <v>0</v>
      </c>
      <c r="AE14" s="44">
        <v>0</v>
      </c>
      <c r="AF14" s="44">
        <v>0</v>
      </c>
      <c r="AG14" s="44">
        <v>0</v>
      </c>
      <c r="AH14" s="44">
        <v>0</v>
      </c>
      <c r="AI14" s="44">
        <v>0</v>
      </c>
      <c r="AJ14" s="44">
        <v>0</v>
      </c>
      <c r="AK14" s="44">
        <v>0</v>
      </c>
      <c r="AL14" s="44">
        <v>0</v>
      </c>
      <c r="AM14" s="44">
        <v>0</v>
      </c>
      <c r="AN14" s="44">
        <v>0</v>
      </c>
      <c r="AO14" s="44">
        <v>0</v>
      </c>
      <c r="AP14" s="44">
        <v>0</v>
      </c>
      <c r="AQ14" s="44">
        <v>0</v>
      </c>
      <c r="AR14" s="44">
        <v>0</v>
      </c>
      <c r="AS14" s="44">
        <v>0</v>
      </c>
      <c r="AT14" s="44">
        <v>0</v>
      </c>
      <c r="AU14" s="44">
        <v>0</v>
      </c>
      <c r="AV14" s="44">
        <v>0</v>
      </c>
      <c r="AW14" s="44">
        <v>0</v>
      </c>
      <c r="AX14" s="44">
        <v>0</v>
      </c>
      <c r="AY14" s="44">
        <v>0</v>
      </c>
      <c r="AZ14" s="44">
        <v>0</v>
      </c>
      <c r="BA14" s="44">
        <v>0</v>
      </c>
      <c r="BB14" s="44">
        <v>0</v>
      </c>
      <c r="BC14" s="44">
        <v>0</v>
      </c>
      <c r="BD14" s="44">
        <v>0</v>
      </c>
      <c r="BE14" s="44">
        <v>0</v>
      </c>
      <c r="BF14" s="44">
        <v>0</v>
      </c>
      <c r="BG14" s="44">
        <v>0</v>
      </c>
      <c r="BH14" s="44">
        <v>0</v>
      </c>
      <c r="BI14" s="44">
        <v>0</v>
      </c>
      <c r="BJ14" s="44">
        <v>0</v>
      </c>
      <c r="BK14" s="44">
        <v>0</v>
      </c>
      <c r="BL14" s="44">
        <v>0</v>
      </c>
      <c r="BM14" s="44">
        <v>0</v>
      </c>
      <c r="BN14" s="44">
        <v>0</v>
      </c>
      <c r="BO14" s="44">
        <v>0</v>
      </c>
      <c r="BP14" s="44">
        <v>0</v>
      </c>
      <c r="BQ14" s="44">
        <v>0</v>
      </c>
      <c r="BR14" s="44">
        <v>0</v>
      </c>
      <c r="BS14" s="44">
        <v>0</v>
      </c>
      <c r="BT14" s="44">
        <v>0</v>
      </c>
      <c r="BU14" s="44">
        <v>0</v>
      </c>
      <c r="BV14" s="44">
        <v>0</v>
      </c>
      <c r="BW14" s="44">
        <v>0</v>
      </c>
      <c r="BX14" s="44">
        <v>0</v>
      </c>
      <c r="BY14" s="44">
        <v>0</v>
      </c>
      <c r="BZ14" s="44">
        <v>0</v>
      </c>
      <c r="CA14" s="44">
        <v>0</v>
      </c>
      <c r="CB14" s="44">
        <v>0</v>
      </c>
      <c r="CC14" s="44">
        <v>0</v>
      </c>
      <c r="CD14" s="44">
        <v>0</v>
      </c>
      <c r="CE14" s="44">
        <v>0</v>
      </c>
      <c r="CF14" s="44">
        <v>0</v>
      </c>
      <c r="CG14" s="44">
        <v>0</v>
      </c>
      <c r="CH14" s="44">
        <v>0</v>
      </c>
      <c r="CI14" s="44">
        <v>0</v>
      </c>
      <c r="CJ14" s="44">
        <v>0</v>
      </c>
      <c r="CK14" s="44">
        <v>0</v>
      </c>
      <c r="CL14" s="44">
        <v>0</v>
      </c>
      <c r="CM14" s="44">
        <v>0</v>
      </c>
      <c r="CN14" s="44">
        <v>0</v>
      </c>
      <c r="CO14" s="44">
        <v>0</v>
      </c>
      <c r="CP14" s="44">
        <v>0</v>
      </c>
      <c r="CQ14" s="44">
        <v>0</v>
      </c>
      <c r="CR14" s="44">
        <v>0</v>
      </c>
      <c r="CS14" s="44">
        <v>0</v>
      </c>
      <c r="CT14" s="44">
        <v>0</v>
      </c>
      <c r="CU14" s="44">
        <v>0</v>
      </c>
      <c r="CV14" s="44">
        <v>0</v>
      </c>
      <c r="CW14" s="44">
        <v>0</v>
      </c>
      <c r="CX14" s="44">
        <v>0</v>
      </c>
      <c r="CY14" s="44">
        <v>0</v>
      </c>
      <c r="CZ14" s="44">
        <v>0</v>
      </c>
      <c r="DA14" s="44">
        <v>0</v>
      </c>
      <c r="DB14" s="44">
        <v>0</v>
      </c>
      <c r="DC14" s="44">
        <v>0</v>
      </c>
      <c r="DD14" s="44">
        <v>0</v>
      </c>
      <c r="DE14" s="44">
        <v>0</v>
      </c>
      <c r="DF14" s="44">
        <v>0</v>
      </c>
      <c r="DG14" s="44">
        <v>0</v>
      </c>
      <c r="DH14" s="44">
        <v>0</v>
      </c>
      <c r="DI14" s="44">
        <v>0</v>
      </c>
      <c r="DJ14" s="44">
        <v>0</v>
      </c>
      <c r="DK14" s="44">
        <v>0</v>
      </c>
      <c r="DL14" s="44">
        <v>0</v>
      </c>
      <c r="DM14" s="44">
        <v>0</v>
      </c>
      <c r="DN14" s="44">
        <v>0</v>
      </c>
      <c r="DO14" s="44">
        <v>0</v>
      </c>
      <c r="DP14" s="44">
        <v>0</v>
      </c>
      <c r="DQ14" s="44">
        <v>0</v>
      </c>
      <c r="DR14" s="44">
        <v>0</v>
      </c>
      <c r="DS14" s="44">
        <v>0</v>
      </c>
      <c r="DT14" s="44">
        <v>0</v>
      </c>
      <c r="DU14" s="44">
        <v>0</v>
      </c>
      <c r="DV14" s="44">
        <v>0</v>
      </c>
      <c r="DW14" s="44">
        <v>0</v>
      </c>
      <c r="DX14" s="44">
        <v>0</v>
      </c>
      <c r="DY14" s="44">
        <v>0</v>
      </c>
      <c r="DZ14" s="44">
        <v>0</v>
      </c>
      <c r="EA14" s="44">
        <v>0</v>
      </c>
      <c r="EB14" s="44">
        <v>0</v>
      </c>
      <c r="EC14" s="44">
        <v>0</v>
      </c>
      <c r="ED14" s="44">
        <v>0</v>
      </c>
      <c r="EE14" s="44">
        <v>0</v>
      </c>
      <c r="EF14" s="44">
        <v>0</v>
      </c>
      <c r="EG14" s="44">
        <v>0</v>
      </c>
      <c r="EH14" s="44">
        <v>0</v>
      </c>
      <c r="EI14" s="44">
        <v>0</v>
      </c>
      <c r="EJ14" s="44">
        <v>0</v>
      </c>
      <c r="EK14" s="44">
        <v>0</v>
      </c>
      <c r="EL14" s="44">
        <v>0</v>
      </c>
      <c r="EM14" s="44">
        <v>0</v>
      </c>
      <c r="EN14" s="44">
        <v>0</v>
      </c>
      <c r="EO14" s="44">
        <v>0</v>
      </c>
      <c r="EP14" s="44">
        <v>0</v>
      </c>
      <c r="EQ14" s="44">
        <v>0</v>
      </c>
      <c r="ER14" s="44">
        <v>0</v>
      </c>
      <c r="ES14" s="44">
        <v>0</v>
      </c>
      <c r="ET14" s="44">
        <v>0</v>
      </c>
      <c r="EU14" s="44">
        <v>0</v>
      </c>
      <c r="EV14" s="44">
        <v>0</v>
      </c>
      <c r="EW14" s="44">
        <v>0</v>
      </c>
      <c r="EX14" s="44">
        <v>0</v>
      </c>
      <c r="EY14" s="44">
        <v>0</v>
      </c>
      <c r="EZ14" s="44">
        <v>0</v>
      </c>
      <c r="FA14" s="44">
        <v>0</v>
      </c>
      <c r="FB14" s="44">
        <v>0</v>
      </c>
      <c r="FC14" s="44">
        <v>0</v>
      </c>
      <c r="FD14" s="44">
        <v>0</v>
      </c>
      <c r="FE14" s="44">
        <v>0</v>
      </c>
      <c r="FF14" s="44">
        <v>0</v>
      </c>
      <c r="FG14" s="44">
        <v>0</v>
      </c>
      <c r="FH14" s="44">
        <v>0</v>
      </c>
      <c r="FI14" s="44">
        <v>0</v>
      </c>
      <c r="FJ14" s="113">
        <v>0</v>
      </c>
    </row>
    <row r="15" spans="1:166" x14ac:dyDescent="0.4">
      <c r="A15" s="112">
        <v>0</v>
      </c>
      <c r="B15" s="43" t="s">
        <v>174</v>
      </c>
      <c r="C15" s="43" t="s">
        <v>381</v>
      </c>
      <c r="D15" s="43" t="s">
        <v>460</v>
      </c>
      <c r="E15" s="43" t="s">
        <v>154</v>
      </c>
      <c r="F15" s="43" t="s">
        <v>461</v>
      </c>
      <c r="G15" s="43" t="s">
        <v>462</v>
      </c>
      <c r="H15" s="43">
        <v>0</v>
      </c>
      <c r="I15" s="43">
        <v>0</v>
      </c>
      <c r="J15" s="43" t="s">
        <v>155</v>
      </c>
      <c r="K15" s="43">
        <v>0</v>
      </c>
      <c r="L15" s="43" t="s">
        <v>463</v>
      </c>
      <c r="M15" s="44">
        <v>101</v>
      </c>
      <c r="N15" s="44">
        <v>0</v>
      </c>
      <c r="O15" s="45">
        <v>0</v>
      </c>
      <c r="P15" s="45">
        <v>0</v>
      </c>
      <c r="Q15" s="44">
        <v>19</v>
      </c>
      <c r="R15" s="44">
        <v>101</v>
      </c>
      <c r="S15" s="43">
        <v>0.11881188118811881</v>
      </c>
      <c r="T15" s="47">
        <v>1</v>
      </c>
      <c r="U15" s="43">
        <v>0</v>
      </c>
      <c r="V15" s="44">
        <v>2360000</v>
      </c>
      <c r="W15" s="44">
        <v>238360000</v>
      </c>
      <c r="X15" s="44">
        <v>0</v>
      </c>
      <c r="Y15" s="44">
        <v>11800000</v>
      </c>
      <c r="Z15" s="44">
        <v>28320000</v>
      </c>
      <c r="AA15" s="44">
        <v>28320000</v>
      </c>
      <c r="AB15" s="44">
        <v>28320000</v>
      </c>
      <c r="AC15" s="44">
        <v>28320000</v>
      </c>
      <c r="AD15" s="44">
        <v>28320000</v>
      </c>
      <c r="AE15" s="44">
        <v>28320000</v>
      </c>
      <c r="AF15" s="44">
        <v>28320000</v>
      </c>
      <c r="AG15" s="44">
        <v>28320000</v>
      </c>
      <c r="AH15" s="44">
        <v>0</v>
      </c>
      <c r="AI15" s="125">
        <v>0</v>
      </c>
      <c r="AJ15" s="125">
        <v>0</v>
      </c>
      <c r="AK15" s="125">
        <v>0</v>
      </c>
      <c r="AL15" s="125">
        <v>0</v>
      </c>
      <c r="AM15" s="125">
        <v>0</v>
      </c>
      <c r="AN15" s="125">
        <v>0</v>
      </c>
      <c r="AO15" s="125">
        <v>0</v>
      </c>
      <c r="AP15" s="125">
        <v>0</v>
      </c>
      <c r="AQ15" s="125">
        <v>0</v>
      </c>
      <c r="AR15" s="125">
        <v>0</v>
      </c>
      <c r="AS15" s="125">
        <v>0</v>
      </c>
      <c r="AT15" s="125">
        <v>0</v>
      </c>
      <c r="AU15" s="125">
        <v>0</v>
      </c>
      <c r="AV15" s="125">
        <v>0</v>
      </c>
      <c r="AW15" s="125">
        <v>0</v>
      </c>
      <c r="AX15" s="125">
        <v>0</v>
      </c>
      <c r="AY15" s="125">
        <v>0</v>
      </c>
      <c r="AZ15" s="125">
        <v>0</v>
      </c>
      <c r="BA15" s="125">
        <v>0</v>
      </c>
      <c r="BB15" s="44">
        <v>2360000</v>
      </c>
      <c r="BC15" s="44">
        <v>2360000</v>
      </c>
      <c r="BD15" s="44">
        <v>2360000</v>
      </c>
      <c r="BE15" s="44">
        <v>2360000</v>
      </c>
      <c r="BF15" s="44">
        <v>2360000</v>
      </c>
      <c r="BG15" s="44">
        <v>2360000</v>
      </c>
      <c r="BH15" s="44">
        <v>2360000</v>
      </c>
      <c r="BI15" s="44">
        <v>2360000</v>
      </c>
      <c r="BJ15" s="44">
        <v>2360000</v>
      </c>
      <c r="BK15" s="44">
        <v>2360000</v>
      </c>
      <c r="BL15" s="44">
        <v>2360000</v>
      </c>
      <c r="BM15" s="44">
        <v>2360000</v>
      </c>
      <c r="BN15" s="44">
        <v>2360000</v>
      </c>
      <c r="BO15" s="44">
        <v>2360000</v>
      </c>
      <c r="BP15" s="44">
        <v>2360000</v>
      </c>
      <c r="BQ15" s="44">
        <v>2360000</v>
      </c>
      <c r="BR15" s="44">
        <v>2360000</v>
      </c>
      <c r="BS15" s="44">
        <v>2360000</v>
      </c>
      <c r="BT15" s="44">
        <v>2360000</v>
      </c>
      <c r="BU15" s="44">
        <v>2360000</v>
      </c>
      <c r="BV15" s="44">
        <v>2360000</v>
      </c>
      <c r="BW15" s="44">
        <v>2360000</v>
      </c>
      <c r="BX15" s="44">
        <v>2360000</v>
      </c>
      <c r="BY15" s="44">
        <v>2360000</v>
      </c>
      <c r="BZ15" s="44">
        <v>2360000</v>
      </c>
      <c r="CA15" s="44">
        <v>2360000</v>
      </c>
      <c r="CB15" s="44">
        <v>2360000</v>
      </c>
      <c r="CC15" s="44">
        <v>2360000</v>
      </c>
      <c r="CD15" s="44">
        <v>2360000</v>
      </c>
      <c r="CE15" s="44">
        <v>2360000</v>
      </c>
      <c r="CF15" s="44">
        <v>2360000</v>
      </c>
      <c r="CG15" s="44">
        <v>2360000</v>
      </c>
      <c r="CH15" s="44">
        <v>2360000</v>
      </c>
      <c r="CI15" s="44">
        <v>2360000</v>
      </c>
      <c r="CJ15" s="44">
        <v>2360000</v>
      </c>
      <c r="CK15" s="44">
        <v>2360000</v>
      </c>
      <c r="CL15" s="44">
        <v>2360000</v>
      </c>
      <c r="CM15" s="44">
        <v>2360000</v>
      </c>
      <c r="CN15" s="44">
        <v>2360000</v>
      </c>
      <c r="CO15" s="44">
        <v>2360000</v>
      </c>
      <c r="CP15" s="44">
        <v>2360000</v>
      </c>
      <c r="CQ15" s="44">
        <v>2360000</v>
      </c>
      <c r="CR15" s="44">
        <v>2360000</v>
      </c>
      <c r="CS15" s="44">
        <v>2360000</v>
      </c>
      <c r="CT15" s="44">
        <v>2360000</v>
      </c>
      <c r="CU15" s="44">
        <v>2360000</v>
      </c>
      <c r="CV15" s="44">
        <v>2360000</v>
      </c>
      <c r="CW15" s="44">
        <v>2360000</v>
      </c>
      <c r="CX15" s="44">
        <v>2360000</v>
      </c>
      <c r="CY15" s="44">
        <v>2360000</v>
      </c>
      <c r="CZ15" s="44">
        <v>2360000</v>
      </c>
      <c r="DA15" s="44">
        <v>2360000</v>
      </c>
      <c r="DB15" s="44">
        <v>2360000</v>
      </c>
      <c r="DC15" s="44">
        <v>2360000</v>
      </c>
      <c r="DD15" s="44">
        <v>2360000</v>
      </c>
      <c r="DE15" s="44">
        <v>2360000</v>
      </c>
      <c r="DF15" s="44">
        <v>2360000</v>
      </c>
      <c r="DG15" s="44">
        <v>2360000</v>
      </c>
      <c r="DH15" s="44">
        <v>2360000</v>
      </c>
      <c r="DI15" s="44">
        <v>2360000</v>
      </c>
      <c r="DJ15" s="44">
        <v>2360000</v>
      </c>
      <c r="DK15" s="44">
        <v>2360000</v>
      </c>
      <c r="DL15" s="44">
        <v>2360000</v>
      </c>
      <c r="DM15" s="44">
        <v>2360000</v>
      </c>
      <c r="DN15" s="44">
        <v>2360000</v>
      </c>
      <c r="DO15" s="44">
        <v>2360000</v>
      </c>
      <c r="DP15" s="44">
        <v>2360000</v>
      </c>
      <c r="DQ15" s="44">
        <v>2360000</v>
      </c>
      <c r="DR15" s="44">
        <v>2360000</v>
      </c>
      <c r="DS15" s="44">
        <v>2360000</v>
      </c>
      <c r="DT15" s="44">
        <v>2360000</v>
      </c>
      <c r="DU15" s="44">
        <v>2360000</v>
      </c>
      <c r="DV15" s="44">
        <v>2360000</v>
      </c>
      <c r="DW15" s="44">
        <v>2360000</v>
      </c>
      <c r="DX15" s="44">
        <v>2360000</v>
      </c>
      <c r="DY15" s="44">
        <v>2360000</v>
      </c>
      <c r="DZ15" s="44">
        <v>2360000</v>
      </c>
      <c r="EA15" s="44">
        <v>2360000</v>
      </c>
      <c r="EB15" s="44">
        <v>2360000</v>
      </c>
      <c r="EC15" s="44">
        <v>2360000</v>
      </c>
      <c r="ED15" s="44">
        <v>2360000</v>
      </c>
      <c r="EE15" s="44">
        <v>2360000</v>
      </c>
      <c r="EF15" s="44">
        <v>2360000</v>
      </c>
      <c r="EG15" s="44">
        <v>2360000</v>
      </c>
      <c r="EH15" s="44">
        <v>2360000</v>
      </c>
      <c r="EI15" s="44">
        <v>2360000</v>
      </c>
      <c r="EJ15" s="44">
        <v>2360000</v>
      </c>
      <c r="EK15" s="44">
        <v>2360000</v>
      </c>
      <c r="EL15" s="44">
        <v>2360000</v>
      </c>
      <c r="EM15" s="44">
        <v>2360000</v>
      </c>
      <c r="EN15" s="44">
        <v>2360000</v>
      </c>
      <c r="EO15" s="44">
        <v>2360000</v>
      </c>
      <c r="EP15" s="44">
        <v>2360000</v>
      </c>
      <c r="EQ15" s="44">
        <v>2360000</v>
      </c>
      <c r="ER15" s="44">
        <v>2360000</v>
      </c>
      <c r="ES15" s="44">
        <v>2360000</v>
      </c>
      <c r="ET15" s="44">
        <v>2360000</v>
      </c>
      <c r="EU15" s="44">
        <v>2360000</v>
      </c>
      <c r="EV15" s="44">
        <v>2360000</v>
      </c>
      <c r="EW15" s="44">
        <v>2360000</v>
      </c>
      <c r="EX15" s="44">
        <v>2360000</v>
      </c>
      <c r="EY15" s="44">
        <v>0</v>
      </c>
      <c r="EZ15" s="44">
        <v>0</v>
      </c>
      <c r="FA15" s="44">
        <v>0</v>
      </c>
      <c r="FB15" s="44">
        <v>0</v>
      </c>
      <c r="FC15" s="44">
        <v>0</v>
      </c>
      <c r="FD15" s="44">
        <v>0</v>
      </c>
      <c r="FE15" s="44">
        <v>0</v>
      </c>
      <c r="FF15" s="44">
        <v>0</v>
      </c>
      <c r="FG15" s="44">
        <v>0</v>
      </c>
      <c r="FH15" s="44">
        <v>0</v>
      </c>
      <c r="FI15" s="44">
        <v>0</v>
      </c>
      <c r="FJ15" s="113">
        <v>0</v>
      </c>
    </row>
    <row r="16" spans="1:166" x14ac:dyDescent="0.4">
      <c r="A16" s="112">
        <v>0</v>
      </c>
      <c r="B16" s="43" t="s">
        <v>174</v>
      </c>
      <c r="C16" s="43" t="s">
        <v>381</v>
      </c>
      <c r="D16" s="43" t="s">
        <v>14</v>
      </c>
      <c r="E16" s="43" t="s">
        <v>464</v>
      </c>
      <c r="F16" s="43" t="s">
        <v>394</v>
      </c>
      <c r="G16" s="43" t="s">
        <v>465</v>
      </c>
      <c r="H16" s="43" t="s">
        <v>466</v>
      </c>
      <c r="I16" s="43">
        <v>0</v>
      </c>
      <c r="J16" s="43" t="s">
        <v>155</v>
      </c>
      <c r="K16" s="43">
        <v>0</v>
      </c>
      <c r="L16" s="43" t="s">
        <v>467</v>
      </c>
      <c r="M16" s="44">
        <v>4</v>
      </c>
      <c r="N16" s="44">
        <v>0</v>
      </c>
      <c r="O16" s="45">
        <v>10000000</v>
      </c>
      <c r="P16" s="45">
        <f>CS_구축!$M16*CS_구축!$O16</f>
        <v>40000000</v>
      </c>
      <c r="Q16" s="44">
        <v>0</v>
      </c>
      <c r="R16" s="44">
        <v>0</v>
      </c>
      <c r="S16" s="43">
        <v>0</v>
      </c>
      <c r="T16" s="47">
        <v>1</v>
      </c>
      <c r="U16" s="43">
        <v>0</v>
      </c>
      <c r="V16" s="44">
        <v>0</v>
      </c>
      <c r="W16" s="44">
        <v>0</v>
      </c>
      <c r="X16" s="44">
        <v>0</v>
      </c>
      <c r="Y16" s="44">
        <v>0</v>
      </c>
      <c r="Z16" s="44">
        <v>0</v>
      </c>
      <c r="AA16" s="44">
        <v>0</v>
      </c>
      <c r="AB16" s="44">
        <v>0</v>
      </c>
      <c r="AC16" s="44">
        <v>0</v>
      </c>
      <c r="AD16" s="44">
        <v>0</v>
      </c>
      <c r="AE16" s="44">
        <v>0</v>
      </c>
      <c r="AF16" s="44">
        <v>0</v>
      </c>
      <c r="AG16" s="44">
        <v>0</v>
      </c>
      <c r="AH16" s="44">
        <v>0</v>
      </c>
      <c r="AI16" s="44">
        <v>0</v>
      </c>
      <c r="AJ16" s="44">
        <v>0</v>
      </c>
      <c r="AK16" s="44">
        <v>0</v>
      </c>
      <c r="AL16" s="44">
        <v>0</v>
      </c>
      <c r="AM16" s="44">
        <v>0</v>
      </c>
      <c r="AN16" s="44">
        <v>0</v>
      </c>
      <c r="AO16" s="44">
        <v>0</v>
      </c>
      <c r="AP16" s="44">
        <v>0</v>
      </c>
      <c r="AQ16" s="44">
        <v>0</v>
      </c>
      <c r="AR16" s="44">
        <v>0</v>
      </c>
      <c r="AS16" s="44">
        <v>0</v>
      </c>
      <c r="AT16" s="44">
        <v>0</v>
      </c>
      <c r="AU16" s="44">
        <v>0</v>
      </c>
      <c r="AV16" s="44">
        <v>0</v>
      </c>
      <c r="AW16" s="44">
        <v>0</v>
      </c>
      <c r="AX16" s="44">
        <v>0</v>
      </c>
      <c r="AY16" s="44">
        <v>0</v>
      </c>
      <c r="AZ16" s="44">
        <v>0</v>
      </c>
      <c r="BA16" s="44">
        <v>0</v>
      </c>
      <c r="BB16" s="44">
        <v>0</v>
      </c>
      <c r="BC16" s="44">
        <v>0</v>
      </c>
      <c r="BD16" s="44">
        <v>0</v>
      </c>
      <c r="BE16" s="44">
        <v>0</v>
      </c>
      <c r="BF16" s="44">
        <v>0</v>
      </c>
      <c r="BG16" s="44">
        <v>0</v>
      </c>
      <c r="BH16" s="44">
        <v>0</v>
      </c>
      <c r="BI16" s="44">
        <v>0</v>
      </c>
      <c r="BJ16" s="44">
        <v>0</v>
      </c>
      <c r="BK16" s="44">
        <v>0</v>
      </c>
      <c r="BL16" s="44">
        <v>0</v>
      </c>
      <c r="BM16" s="44">
        <v>0</v>
      </c>
      <c r="BN16" s="44">
        <v>0</v>
      </c>
      <c r="BO16" s="44">
        <v>0</v>
      </c>
      <c r="BP16" s="44">
        <v>0</v>
      </c>
      <c r="BQ16" s="44">
        <v>0</v>
      </c>
      <c r="BR16" s="44">
        <v>0</v>
      </c>
      <c r="BS16" s="44">
        <v>0</v>
      </c>
      <c r="BT16" s="44">
        <v>0</v>
      </c>
      <c r="BU16" s="44">
        <v>0</v>
      </c>
      <c r="BV16" s="44">
        <v>0</v>
      </c>
      <c r="BW16" s="44">
        <v>0</v>
      </c>
      <c r="BX16" s="44">
        <v>0</v>
      </c>
      <c r="BY16" s="44">
        <v>0</v>
      </c>
      <c r="BZ16" s="44">
        <v>0</v>
      </c>
      <c r="CA16" s="44">
        <v>0</v>
      </c>
      <c r="CB16" s="44">
        <v>0</v>
      </c>
      <c r="CC16" s="44">
        <v>0</v>
      </c>
      <c r="CD16" s="44">
        <v>0</v>
      </c>
      <c r="CE16" s="44">
        <v>0</v>
      </c>
      <c r="CF16" s="44">
        <v>0</v>
      </c>
      <c r="CG16" s="44">
        <v>0</v>
      </c>
      <c r="CH16" s="44">
        <v>0</v>
      </c>
      <c r="CI16" s="44">
        <v>0</v>
      </c>
      <c r="CJ16" s="44">
        <v>0</v>
      </c>
      <c r="CK16" s="44">
        <v>0</v>
      </c>
      <c r="CL16" s="44">
        <v>0</v>
      </c>
      <c r="CM16" s="44">
        <v>0</v>
      </c>
      <c r="CN16" s="44">
        <v>0</v>
      </c>
      <c r="CO16" s="44">
        <v>0</v>
      </c>
      <c r="CP16" s="44">
        <v>0</v>
      </c>
      <c r="CQ16" s="44">
        <v>0</v>
      </c>
      <c r="CR16" s="44">
        <v>0</v>
      </c>
      <c r="CS16" s="44">
        <v>0</v>
      </c>
      <c r="CT16" s="44">
        <v>0</v>
      </c>
      <c r="CU16" s="44">
        <v>0</v>
      </c>
      <c r="CV16" s="44">
        <v>0</v>
      </c>
      <c r="CW16" s="44">
        <v>0</v>
      </c>
      <c r="CX16" s="44">
        <v>0</v>
      </c>
      <c r="CY16" s="44">
        <v>0</v>
      </c>
      <c r="CZ16" s="44">
        <v>0</v>
      </c>
      <c r="DA16" s="44">
        <v>0</v>
      </c>
      <c r="DB16" s="44">
        <v>0</v>
      </c>
      <c r="DC16" s="44">
        <v>0</v>
      </c>
      <c r="DD16" s="44">
        <v>0</v>
      </c>
      <c r="DE16" s="44">
        <v>0</v>
      </c>
      <c r="DF16" s="44">
        <v>0</v>
      </c>
      <c r="DG16" s="44">
        <v>0</v>
      </c>
      <c r="DH16" s="44">
        <v>0</v>
      </c>
      <c r="DI16" s="44">
        <v>0</v>
      </c>
      <c r="DJ16" s="44">
        <v>0</v>
      </c>
      <c r="DK16" s="44">
        <v>0</v>
      </c>
      <c r="DL16" s="44">
        <v>0</v>
      </c>
      <c r="DM16" s="44">
        <v>0</v>
      </c>
      <c r="DN16" s="44">
        <v>0</v>
      </c>
      <c r="DO16" s="44">
        <v>0</v>
      </c>
      <c r="DP16" s="44">
        <v>0</v>
      </c>
      <c r="DQ16" s="44">
        <v>0</v>
      </c>
      <c r="DR16" s="44">
        <v>0</v>
      </c>
      <c r="DS16" s="44">
        <v>0</v>
      </c>
      <c r="DT16" s="44">
        <v>0</v>
      </c>
      <c r="DU16" s="44">
        <v>0</v>
      </c>
      <c r="DV16" s="44">
        <v>0</v>
      </c>
      <c r="DW16" s="44">
        <v>0</v>
      </c>
      <c r="DX16" s="44">
        <v>0</v>
      </c>
      <c r="DY16" s="44">
        <v>0</v>
      </c>
      <c r="DZ16" s="44">
        <v>0</v>
      </c>
      <c r="EA16" s="44">
        <v>0</v>
      </c>
      <c r="EB16" s="44">
        <v>0</v>
      </c>
      <c r="EC16" s="44">
        <v>0</v>
      </c>
      <c r="ED16" s="44">
        <v>0</v>
      </c>
      <c r="EE16" s="44">
        <v>0</v>
      </c>
      <c r="EF16" s="44">
        <v>0</v>
      </c>
      <c r="EG16" s="44">
        <v>0</v>
      </c>
      <c r="EH16" s="44">
        <v>0</v>
      </c>
      <c r="EI16" s="44">
        <v>0</v>
      </c>
      <c r="EJ16" s="44">
        <v>0</v>
      </c>
      <c r="EK16" s="44">
        <v>0</v>
      </c>
      <c r="EL16" s="44">
        <v>0</v>
      </c>
      <c r="EM16" s="44">
        <v>0</v>
      </c>
      <c r="EN16" s="44">
        <v>0</v>
      </c>
      <c r="EO16" s="44">
        <v>0</v>
      </c>
      <c r="EP16" s="44">
        <v>0</v>
      </c>
      <c r="EQ16" s="44">
        <v>0</v>
      </c>
      <c r="ER16" s="44">
        <v>0</v>
      </c>
      <c r="ES16" s="44">
        <v>0</v>
      </c>
      <c r="ET16" s="44">
        <v>0</v>
      </c>
      <c r="EU16" s="44">
        <v>0</v>
      </c>
      <c r="EV16" s="44">
        <v>0</v>
      </c>
      <c r="EW16" s="44">
        <v>0</v>
      </c>
      <c r="EX16" s="44">
        <v>0</v>
      </c>
      <c r="EY16" s="44">
        <v>0</v>
      </c>
      <c r="EZ16" s="44">
        <v>0</v>
      </c>
      <c r="FA16" s="44">
        <v>0</v>
      </c>
      <c r="FB16" s="44">
        <v>0</v>
      </c>
      <c r="FC16" s="44">
        <v>0</v>
      </c>
      <c r="FD16" s="44">
        <v>0</v>
      </c>
      <c r="FE16" s="44">
        <v>0</v>
      </c>
      <c r="FF16" s="44">
        <v>0</v>
      </c>
      <c r="FG16" s="44">
        <v>0</v>
      </c>
      <c r="FH16" s="44">
        <v>0</v>
      </c>
      <c r="FI16" s="44">
        <v>0</v>
      </c>
      <c r="FJ16" s="113">
        <v>0</v>
      </c>
    </row>
    <row r="17" spans="1:166" x14ac:dyDescent="0.4">
      <c r="A17" s="112">
        <v>0</v>
      </c>
      <c r="B17" s="43" t="s">
        <v>174</v>
      </c>
      <c r="C17" s="43" t="s">
        <v>381</v>
      </c>
      <c r="D17" s="43" t="s">
        <v>14</v>
      </c>
      <c r="E17" s="43" t="s">
        <v>464</v>
      </c>
      <c r="F17" s="43" t="s">
        <v>394</v>
      </c>
      <c r="G17" s="43" t="s">
        <v>468</v>
      </c>
      <c r="H17" s="43" t="s">
        <v>466</v>
      </c>
      <c r="I17" s="43">
        <v>0</v>
      </c>
      <c r="J17" s="43" t="s">
        <v>155</v>
      </c>
      <c r="K17" s="43">
        <v>0</v>
      </c>
      <c r="L17" s="43" t="s">
        <v>467</v>
      </c>
      <c r="M17" s="44">
        <v>4</v>
      </c>
      <c r="N17" s="44">
        <v>0</v>
      </c>
      <c r="O17" s="45">
        <v>10000000</v>
      </c>
      <c r="P17" s="45">
        <f>CS_구축!$M17*CS_구축!$O17</f>
        <v>40000000</v>
      </c>
      <c r="Q17" s="44">
        <v>0</v>
      </c>
      <c r="R17" s="44">
        <v>0</v>
      </c>
      <c r="S17" s="43">
        <v>0</v>
      </c>
      <c r="T17" s="47">
        <v>1</v>
      </c>
      <c r="U17" s="43">
        <v>0</v>
      </c>
      <c r="V17" s="44">
        <v>0</v>
      </c>
      <c r="W17" s="44">
        <v>0</v>
      </c>
      <c r="X17" s="44">
        <v>0</v>
      </c>
      <c r="Y17" s="44">
        <v>0</v>
      </c>
      <c r="Z17" s="44">
        <v>0</v>
      </c>
      <c r="AA17" s="44">
        <v>0</v>
      </c>
      <c r="AB17" s="44">
        <v>0</v>
      </c>
      <c r="AC17" s="44">
        <v>0</v>
      </c>
      <c r="AD17" s="44">
        <v>0</v>
      </c>
      <c r="AE17" s="44">
        <v>0</v>
      </c>
      <c r="AF17" s="44">
        <v>0</v>
      </c>
      <c r="AG17" s="44">
        <v>0</v>
      </c>
      <c r="AH17" s="44">
        <v>0</v>
      </c>
      <c r="AI17" s="44">
        <v>0</v>
      </c>
      <c r="AJ17" s="44">
        <v>0</v>
      </c>
      <c r="AK17" s="44">
        <v>0</v>
      </c>
      <c r="AL17" s="44">
        <v>0</v>
      </c>
      <c r="AM17" s="44">
        <v>0</v>
      </c>
      <c r="AN17" s="44">
        <v>0</v>
      </c>
      <c r="AO17" s="44">
        <v>0</v>
      </c>
      <c r="AP17" s="44">
        <v>0</v>
      </c>
      <c r="AQ17" s="44">
        <v>0</v>
      </c>
      <c r="AR17" s="44">
        <v>0</v>
      </c>
      <c r="AS17" s="44">
        <v>0</v>
      </c>
      <c r="AT17" s="44">
        <v>0</v>
      </c>
      <c r="AU17" s="44">
        <v>0</v>
      </c>
      <c r="AV17" s="44">
        <v>0</v>
      </c>
      <c r="AW17" s="44">
        <v>0</v>
      </c>
      <c r="AX17" s="44">
        <v>0</v>
      </c>
      <c r="AY17" s="44">
        <v>0</v>
      </c>
      <c r="AZ17" s="44">
        <v>0</v>
      </c>
      <c r="BA17" s="44">
        <v>0</v>
      </c>
      <c r="BB17" s="44">
        <v>0</v>
      </c>
      <c r="BC17" s="44">
        <v>0</v>
      </c>
      <c r="BD17" s="44">
        <v>0</v>
      </c>
      <c r="BE17" s="44">
        <v>0</v>
      </c>
      <c r="BF17" s="44">
        <v>0</v>
      </c>
      <c r="BG17" s="44">
        <v>0</v>
      </c>
      <c r="BH17" s="44">
        <v>0</v>
      </c>
      <c r="BI17" s="44">
        <v>0</v>
      </c>
      <c r="BJ17" s="44">
        <v>0</v>
      </c>
      <c r="BK17" s="44">
        <v>0</v>
      </c>
      <c r="BL17" s="44">
        <v>0</v>
      </c>
      <c r="BM17" s="44">
        <v>0</v>
      </c>
      <c r="BN17" s="44">
        <v>0</v>
      </c>
      <c r="BO17" s="44">
        <v>0</v>
      </c>
      <c r="BP17" s="44">
        <v>0</v>
      </c>
      <c r="BQ17" s="44">
        <v>0</v>
      </c>
      <c r="BR17" s="44">
        <v>0</v>
      </c>
      <c r="BS17" s="44">
        <v>0</v>
      </c>
      <c r="BT17" s="44">
        <v>0</v>
      </c>
      <c r="BU17" s="44">
        <v>0</v>
      </c>
      <c r="BV17" s="44">
        <v>0</v>
      </c>
      <c r="BW17" s="44">
        <v>0</v>
      </c>
      <c r="BX17" s="44">
        <v>0</v>
      </c>
      <c r="BY17" s="44">
        <v>0</v>
      </c>
      <c r="BZ17" s="44">
        <v>0</v>
      </c>
      <c r="CA17" s="44">
        <v>0</v>
      </c>
      <c r="CB17" s="44">
        <v>0</v>
      </c>
      <c r="CC17" s="44">
        <v>0</v>
      </c>
      <c r="CD17" s="44">
        <v>0</v>
      </c>
      <c r="CE17" s="44">
        <v>0</v>
      </c>
      <c r="CF17" s="44">
        <v>0</v>
      </c>
      <c r="CG17" s="44">
        <v>0</v>
      </c>
      <c r="CH17" s="44">
        <v>0</v>
      </c>
      <c r="CI17" s="44">
        <v>0</v>
      </c>
      <c r="CJ17" s="44">
        <v>0</v>
      </c>
      <c r="CK17" s="44">
        <v>0</v>
      </c>
      <c r="CL17" s="44">
        <v>0</v>
      </c>
      <c r="CM17" s="44">
        <v>0</v>
      </c>
      <c r="CN17" s="44">
        <v>0</v>
      </c>
      <c r="CO17" s="44">
        <v>0</v>
      </c>
      <c r="CP17" s="44">
        <v>0</v>
      </c>
      <c r="CQ17" s="44">
        <v>0</v>
      </c>
      <c r="CR17" s="44">
        <v>0</v>
      </c>
      <c r="CS17" s="44">
        <v>0</v>
      </c>
      <c r="CT17" s="44">
        <v>0</v>
      </c>
      <c r="CU17" s="44">
        <v>0</v>
      </c>
      <c r="CV17" s="44">
        <v>0</v>
      </c>
      <c r="CW17" s="44">
        <v>0</v>
      </c>
      <c r="CX17" s="44">
        <v>0</v>
      </c>
      <c r="CY17" s="44">
        <v>0</v>
      </c>
      <c r="CZ17" s="44">
        <v>0</v>
      </c>
      <c r="DA17" s="44">
        <v>0</v>
      </c>
      <c r="DB17" s="44">
        <v>0</v>
      </c>
      <c r="DC17" s="44">
        <v>0</v>
      </c>
      <c r="DD17" s="44">
        <v>0</v>
      </c>
      <c r="DE17" s="44">
        <v>0</v>
      </c>
      <c r="DF17" s="44">
        <v>0</v>
      </c>
      <c r="DG17" s="44">
        <v>0</v>
      </c>
      <c r="DH17" s="44">
        <v>0</v>
      </c>
      <c r="DI17" s="44">
        <v>0</v>
      </c>
      <c r="DJ17" s="44">
        <v>0</v>
      </c>
      <c r="DK17" s="44">
        <v>0</v>
      </c>
      <c r="DL17" s="44">
        <v>0</v>
      </c>
      <c r="DM17" s="44">
        <v>0</v>
      </c>
      <c r="DN17" s="44">
        <v>0</v>
      </c>
      <c r="DO17" s="44">
        <v>0</v>
      </c>
      <c r="DP17" s="44">
        <v>0</v>
      </c>
      <c r="DQ17" s="44">
        <v>0</v>
      </c>
      <c r="DR17" s="44">
        <v>0</v>
      </c>
      <c r="DS17" s="44">
        <v>0</v>
      </c>
      <c r="DT17" s="44">
        <v>0</v>
      </c>
      <c r="DU17" s="44">
        <v>0</v>
      </c>
      <c r="DV17" s="44">
        <v>0</v>
      </c>
      <c r="DW17" s="44">
        <v>0</v>
      </c>
      <c r="DX17" s="44">
        <v>0</v>
      </c>
      <c r="DY17" s="44">
        <v>0</v>
      </c>
      <c r="DZ17" s="44">
        <v>0</v>
      </c>
      <c r="EA17" s="44">
        <v>0</v>
      </c>
      <c r="EB17" s="44">
        <v>0</v>
      </c>
      <c r="EC17" s="44">
        <v>0</v>
      </c>
      <c r="ED17" s="44">
        <v>0</v>
      </c>
      <c r="EE17" s="44">
        <v>0</v>
      </c>
      <c r="EF17" s="44">
        <v>0</v>
      </c>
      <c r="EG17" s="44">
        <v>0</v>
      </c>
      <c r="EH17" s="44">
        <v>0</v>
      </c>
      <c r="EI17" s="44">
        <v>0</v>
      </c>
      <c r="EJ17" s="44">
        <v>0</v>
      </c>
      <c r="EK17" s="44">
        <v>0</v>
      </c>
      <c r="EL17" s="44">
        <v>0</v>
      </c>
      <c r="EM17" s="44">
        <v>0</v>
      </c>
      <c r="EN17" s="44">
        <v>0</v>
      </c>
      <c r="EO17" s="44">
        <v>0</v>
      </c>
      <c r="EP17" s="44">
        <v>0</v>
      </c>
      <c r="EQ17" s="44">
        <v>0</v>
      </c>
      <c r="ER17" s="44">
        <v>0</v>
      </c>
      <c r="ES17" s="44">
        <v>0</v>
      </c>
      <c r="ET17" s="44">
        <v>0</v>
      </c>
      <c r="EU17" s="44">
        <v>0</v>
      </c>
      <c r="EV17" s="44">
        <v>0</v>
      </c>
      <c r="EW17" s="44">
        <v>0</v>
      </c>
      <c r="EX17" s="44">
        <v>0</v>
      </c>
      <c r="EY17" s="44">
        <v>0</v>
      </c>
      <c r="EZ17" s="44">
        <v>0</v>
      </c>
      <c r="FA17" s="44">
        <v>0</v>
      </c>
      <c r="FB17" s="44">
        <v>0</v>
      </c>
      <c r="FC17" s="44">
        <v>0</v>
      </c>
      <c r="FD17" s="44">
        <v>0</v>
      </c>
      <c r="FE17" s="44">
        <v>0</v>
      </c>
      <c r="FF17" s="44">
        <v>0</v>
      </c>
      <c r="FG17" s="44">
        <v>0</v>
      </c>
      <c r="FH17" s="44">
        <v>0</v>
      </c>
      <c r="FI17" s="44">
        <v>0</v>
      </c>
      <c r="FJ17" s="113">
        <v>0</v>
      </c>
    </row>
    <row r="18" spans="1:166" x14ac:dyDescent="0.4">
      <c r="A18" s="112">
        <v>0</v>
      </c>
      <c r="B18" s="43" t="s">
        <v>174</v>
      </c>
      <c r="C18" s="43" t="s">
        <v>381</v>
      </c>
      <c r="D18" s="43" t="s">
        <v>14</v>
      </c>
      <c r="E18" s="43" t="s">
        <v>464</v>
      </c>
      <c r="F18" s="43" t="s">
        <v>394</v>
      </c>
      <c r="G18" s="43" t="s">
        <v>468</v>
      </c>
      <c r="H18" s="43" t="s">
        <v>469</v>
      </c>
      <c r="I18" s="43">
        <v>0</v>
      </c>
      <c r="J18" s="43" t="s">
        <v>155</v>
      </c>
      <c r="K18" s="43">
        <v>0</v>
      </c>
      <c r="L18" s="43" t="s">
        <v>467</v>
      </c>
      <c r="M18" s="44">
        <v>3</v>
      </c>
      <c r="N18" s="44">
        <v>0</v>
      </c>
      <c r="O18" s="45">
        <v>9000000</v>
      </c>
      <c r="P18" s="45">
        <f>CS_구축!$M18*CS_구축!$O18</f>
        <v>27000000</v>
      </c>
      <c r="Q18" s="44">
        <v>0</v>
      </c>
      <c r="R18" s="44">
        <v>0</v>
      </c>
      <c r="S18" s="43">
        <v>0</v>
      </c>
      <c r="T18" s="47">
        <v>1</v>
      </c>
      <c r="U18" s="43">
        <v>0</v>
      </c>
      <c r="V18" s="44">
        <v>0</v>
      </c>
      <c r="W18" s="44">
        <v>0</v>
      </c>
      <c r="X18" s="44">
        <v>0</v>
      </c>
      <c r="Y18" s="44">
        <v>0</v>
      </c>
      <c r="Z18" s="44">
        <v>0</v>
      </c>
      <c r="AA18" s="44">
        <v>0</v>
      </c>
      <c r="AB18" s="44">
        <v>0</v>
      </c>
      <c r="AC18" s="44">
        <v>0</v>
      </c>
      <c r="AD18" s="44">
        <v>0</v>
      </c>
      <c r="AE18" s="44">
        <v>0</v>
      </c>
      <c r="AF18" s="44">
        <v>0</v>
      </c>
      <c r="AG18" s="44">
        <v>0</v>
      </c>
      <c r="AH18" s="44">
        <v>0</v>
      </c>
      <c r="AI18" s="44">
        <v>0</v>
      </c>
      <c r="AJ18" s="44">
        <v>0</v>
      </c>
      <c r="AK18" s="44">
        <v>0</v>
      </c>
      <c r="AL18" s="44">
        <v>0</v>
      </c>
      <c r="AM18" s="44">
        <v>0</v>
      </c>
      <c r="AN18" s="44">
        <v>0</v>
      </c>
      <c r="AO18" s="44">
        <v>0</v>
      </c>
      <c r="AP18" s="44">
        <v>0</v>
      </c>
      <c r="AQ18" s="44">
        <v>0</v>
      </c>
      <c r="AR18" s="44">
        <v>0</v>
      </c>
      <c r="AS18" s="44">
        <v>0</v>
      </c>
      <c r="AT18" s="44">
        <v>0</v>
      </c>
      <c r="AU18" s="44">
        <v>0</v>
      </c>
      <c r="AV18" s="44">
        <v>0</v>
      </c>
      <c r="AW18" s="44">
        <v>0</v>
      </c>
      <c r="AX18" s="44">
        <v>0</v>
      </c>
      <c r="AY18" s="44">
        <v>0</v>
      </c>
      <c r="AZ18" s="44">
        <v>0</v>
      </c>
      <c r="BA18" s="44">
        <v>0</v>
      </c>
      <c r="BB18" s="44">
        <v>0</v>
      </c>
      <c r="BC18" s="44">
        <v>0</v>
      </c>
      <c r="BD18" s="44">
        <v>0</v>
      </c>
      <c r="BE18" s="44">
        <v>0</v>
      </c>
      <c r="BF18" s="44">
        <v>0</v>
      </c>
      <c r="BG18" s="44">
        <v>0</v>
      </c>
      <c r="BH18" s="44">
        <v>0</v>
      </c>
      <c r="BI18" s="44">
        <v>0</v>
      </c>
      <c r="BJ18" s="44">
        <v>0</v>
      </c>
      <c r="BK18" s="44">
        <v>0</v>
      </c>
      <c r="BL18" s="44">
        <v>0</v>
      </c>
      <c r="BM18" s="44">
        <v>0</v>
      </c>
      <c r="BN18" s="44">
        <v>0</v>
      </c>
      <c r="BO18" s="44">
        <v>0</v>
      </c>
      <c r="BP18" s="44">
        <v>0</v>
      </c>
      <c r="BQ18" s="44">
        <v>0</v>
      </c>
      <c r="BR18" s="44">
        <v>0</v>
      </c>
      <c r="BS18" s="44">
        <v>0</v>
      </c>
      <c r="BT18" s="44">
        <v>0</v>
      </c>
      <c r="BU18" s="44">
        <v>0</v>
      </c>
      <c r="BV18" s="44">
        <v>0</v>
      </c>
      <c r="BW18" s="44">
        <v>0</v>
      </c>
      <c r="BX18" s="44">
        <v>0</v>
      </c>
      <c r="BY18" s="44">
        <v>0</v>
      </c>
      <c r="BZ18" s="44">
        <v>0</v>
      </c>
      <c r="CA18" s="44">
        <v>0</v>
      </c>
      <c r="CB18" s="44">
        <v>0</v>
      </c>
      <c r="CC18" s="44">
        <v>0</v>
      </c>
      <c r="CD18" s="44">
        <v>0</v>
      </c>
      <c r="CE18" s="44">
        <v>0</v>
      </c>
      <c r="CF18" s="44">
        <v>0</v>
      </c>
      <c r="CG18" s="44">
        <v>0</v>
      </c>
      <c r="CH18" s="44">
        <v>0</v>
      </c>
      <c r="CI18" s="44">
        <v>0</v>
      </c>
      <c r="CJ18" s="44">
        <v>0</v>
      </c>
      <c r="CK18" s="44">
        <v>0</v>
      </c>
      <c r="CL18" s="44">
        <v>0</v>
      </c>
      <c r="CM18" s="44">
        <v>0</v>
      </c>
      <c r="CN18" s="44">
        <v>0</v>
      </c>
      <c r="CO18" s="44">
        <v>0</v>
      </c>
      <c r="CP18" s="44">
        <v>0</v>
      </c>
      <c r="CQ18" s="44">
        <v>0</v>
      </c>
      <c r="CR18" s="44">
        <v>0</v>
      </c>
      <c r="CS18" s="44">
        <v>0</v>
      </c>
      <c r="CT18" s="44">
        <v>0</v>
      </c>
      <c r="CU18" s="44">
        <v>0</v>
      </c>
      <c r="CV18" s="44">
        <v>0</v>
      </c>
      <c r="CW18" s="44">
        <v>0</v>
      </c>
      <c r="CX18" s="44">
        <v>0</v>
      </c>
      <c r="CY18" s="44">
        <v>0</v>
      </c>
      <c r="CZ18" s="44">
        <v>0</v>
      </c>
      <c r="DA18" s="44">
        <v>0</v>
      </c>
      <c r="DB18" s="44">
        <v>0</v>
      </c>
      <c r="DC18" s="44">
        <v>0</v>
      </c>
      <c r="DD18" s="44">
        <v>0</v>
      </c>
      <c r="DE18" s="44">
        <v>0</v>
      </c>
      <c r="DF18" s="44">
        <v>0</v>
      </c>
      <c r="DG18" s="44">
        <v>0</v>
      </c>
      <c r="DH18" s="44">
        <v>0</v>
      </c>
      <c r="DI18" s="44">
        <v>0</v>
      </c>
      <c r="DJ18" s="44">
        <v>0</v>
      </c>
      <c r="DK18" s="44">
        <v>0</v>
      </c>
      <c r="DL18" s="44">
        <v>0</v>
      </c>
      <c r="DM18" s="44">
        <v>0</v>
      </c>
      <c r="DN18" s="44">
        <v>0</v>
      </c>
      <c r="DO18" s="44">
        <v>0</v>
      </c>
      <c r="DP18" s="44">
        <v>0</v>
      </c>
      <c r="DQ18" s="44">
        <v>0</v>
      </c>
      <c r="DR18" s="44">
        <v>0</v>
      </c>
      <c r="DS18" s="44">
        <v>0</v>
      </c>
      <c r="DT18" s="44">
        <v>0</v>
      </c>
      <c r="DU18" s="44">
        <v>0</v>
      </c>
      <c r="DV18" s="44">
        <v>0</v>
      </c>
      <c r="DW18" s="44">
        <v>0</v>
      </c>
      <c r="DX18" s="44">
        <v>0</v>
      </c>
      <c r="DY18" s="44">
        <v>0</v>
      </c>
      <c r="DZ18" s="44">
        <v>0</v>
      </c>
      <c r="EA18" s="44">
        <v>0</v>
      </c>
      <c r="EB18" s="44">
        <v>0</v>
      </c>
      <c r="EC18" s="44">
        <v>0</v>
      </c>
      <c r="ED18" s="44">
        <v>0</v>
      </c>
      <c r="EE18" s="44">
        <v>0</v>
      </c>
      <c r="EF18" s="44">
        <v>0</v>
      </c>
      <c r="EG18" s="44">
        <v>0</v>
      </c>
      <c r="EH18" s="44">
        <v>0</v>
      </c>
      <c r="EI18" s="44">
        <v>0</v>
      </c>
      <c r="EJ18" s="44">
        <v>0</v>
      </c>
      <c r="EK18" s="44">
        <v>0</v>
      </c>
      <c r="EL18" s="44">
        <v>0</v>
      </c>
      <c r="EM18" s="44">
        <v>0</v>
      </c>
      <c r="EN18" s="44">
        <v>0</v>
      </c>
      <c r="EO18" s="44">
        <v>0</v>
      </c>
      <c r="EP18" s="44">
        <v>0</v>
      </c>
      <c r="EQ18" s="44">
        <v>0</v>
      </c>
      <c r="ER18" s="44">
        <v>0</v>
      </c>
      <c r="ES18" s="44">
        <v>0</v>
      </c>
      <c r="ET18" s="44">
        <v>0</v>
      </c>
      <c r="EU18" s="44">
        <v>0</v>
      </c>
      <c r="EV18" s="44">
        <v>0</v>
      </c>
      <c r="EW18" s="44">
        <v>0</v>
      </c>
      <c r="EX18" s="44">
        <v>0</v>
      </c>
      <c r="EY18" s="44">
        <v>0</v>
      </c>
      <c r="EZ18" s="44">
        <v>0</v>
      </c>
      <c r="FA18" s="44">
        <v>0</v>
      </c>
      <c r="FB18" s="44">
        <v>0</v>
      </c>
      <c r="FC18" s="44">
        <v>0</v>
      </c>
      <c r="FD18" s="44">
        <v>0</v>
      </c>
      <c r="FE18" s="44">
        <v>0</v>
      </c>
      <c r="FF18" s="44">
        <v>0</v>
      </c>
      <c r="FG18" s="44">
        <v>0</v>
      </c>
      <c r="FH18" s="44">
        <v>0</v>
      </c>
      <c r="FI18" s="44">
        <v>0</v>
      </c>
      <c r="FJ18" s="113">
        <v>0</v>
      </c>
    </row>
    <row r="19" spans="1:166" x14ac:dyDescent="0.4">
      <c r="A19" s="112">
        <v>0</v>
      </c>
      <c r="B19" s="43" t="s">
        <v>174</v>
      </c>
      <c r="C19" s="43" t="s">
        <v>381</v>
      </c>
      <c r="D19" s="43" t="s">
        <v>14</v>
      </c>
      <c r="E19" s="43" t="s">
        <v>464</v>
      </c>
      <c r="F19" s="43" t="s">
        <v>394</v>
      </c>
      <c r="G19" s="43" t="s">
        <v>470</v>
      </c>
      <c r="H19" s="43" t="s">
        <v>466</v>
      </c>
      <c r="I19" s="43">
        <v>0</v>
      </c>
      <c r="J19" s="43" t="s">
        <v>155</v>
      </c>
      <c r="K19" s="43">
        <v>0</v>
      </c>
      <c r="L19" s="43" t="s">
        <v>467</v>
      </c>
      <c r="M19" s="44">
        <v>1.5</v>
      </c>
      <c r="N19" s="44">
        <v>0</v>
      </c>
      <c r="O19" s="45">
        <v>10000000</v>
      </c>
      <c r="P19" s="45">
        <f>CS_구축!$M19*CS_구축!$O19</f>
        <v>15000000</v>
      </c>
      <c r="Q19" s="44">
        <v>0</v>
      </c>
      <c r="R19" s="44">
        <v>0</v>
      </c>
      <c r="S19" s="43">
        <v>0</v>
      </c>
      <c r="T19" s="47">
        <v>1</v>
      </c>
      <c r="U19" s="43">
        <v>0</v>
      </c>
      <c r="V19" s="44">
        <v>0</v>
      </c>
      <c r="W19" s="44">
        <v>0</v>
      </c>
      <c r="X19" s="44">
        <v>0</v>
      </c>
      <c r="Y19" s="44">
        <v>0</v>
      </c>
      <c r="Z19" s="44">
        <v>0</v>
      </c>
      <c r="AA19" s="44">
        <v>0</v>
      </c>
      <c r="AB19" s="44">
        <v>0</v>
      </c>
      <c r="AC19" s="44">
        <v>0</v>
      </c>
      <c r="AD19" s="44">
        <v>0</v>
      </c>
      <c r="AE19" s="44">
        <v>0</v>
      </c>
      <c r="AF19" s="44">
        <v>0</v>
      </c>
      <c r="AG19" s="44">
        <v>0</v>
      </c>
      <c r="AH19" s="44">
        <v>0</v>
      </c>
      <c r="AI19" s="44">
        <v>0</v>
      </c>
      <c r="AJ19" s="44">
        <v>0</v>
      </c>
      <c r="AK19" s="44">
        <v>0</v>
      </c>
      <c r="AL19" s="44">
        <v>0</v>
      </c>
      <c r="AM19" s="44">
        <v>0</v>
      </c>
      <c r="AN19" s="44">
        <v>0</v>
      </c>
      <c r="AO19" s="44">
        <v>0</v>
      </c>
      <c r="AP19" s="44">
        <v>0</v>
      </c>
      <c r="AQ19" s="44">
        <v>0</v>
      </c>
      <c r="AR19" s="44">
        <v>0</v>
      </c>
      <c r="AS19" s="44">
        <v>0</v>
      </c>
      <c r="AT19" s="44">
        <v>0</v>
      </c>
      <c r="AU19" s="44">
        <v>0</v>
      </c>
      <c r="AV19" s="44">
        <v>0</v>
      </c>
      <c r="AW19" s="44">
        <v>0</v>
      </c>
      <c r="AX19" s="44">
        <v>0</v>
      </c>
      <c r="AY19" s="44">
        <v>0</v>
      </c>
      <c r="AZ19" s="44">
        <v>0</v>
      </c>
      <c r="BA19" s="44">
        <v>0</v>
      </c>
      <c r="BB19" s="44">
        <v>0</v>
      </c>
      <c r="BC19" s="44">
        <v>0</v>
      </c>
      <c r="BD19" s="44">
        <v>0</v>
      </c>
      <c r="BE19" s="44">
        <v>0</v>
      </c>
      <c r="BF19" s="44">
        <v>0</v>
      </c>
      <c r="BG19" s="44">
        <v>0</v>
      </c>
      <c r="BH19" s="44">
        <v>0</v>
      </c>
      <c r="BI19" s="44">
        <v>0</v>
      </c>
      <c r="BJ19" s="44">
        <v>0</v>
      </c>
      <c r="BK19" s="44">
        <v>0</v>
      </c>
      <c r="BL19" s="44">
        <v>0</v>
      </c>
      <c r="BM19" s="44">
        <v>0</v>
      </c>
      <c r="BN19" s="44">
        <v>0</v>
      </c>
      <c r="BO19" s="44">
        <v>0</v>
      </c>
      <c r="BP19" s="44">
        <v>0</v>
      </c>
      <c r="BQ19" s="44">
        <v>0</v>
      </c>
      <c r="BR19" s="44">
        <v>0</v>
      </c>
      <c r="BS19" s="44">
        <v>0</v>
      </c>
      <c r="BT19" s="44">
        <v>0</v>
      </c>
      <c r="BU19" s="44">
        <v>0</v>
      </c>
      <c r="BV19" s="44">
        <v>0</v>
      </c>
      <c r="BW19" s="44">
        <v>0</v>
      </c>
      <c r="BX19" s="44">
        <v>0</v>
      </c>
      <c r="BY19" s="44">
        <v>0</v>
      </c>
      <c r="BZ19" s="44">
        <v>0</v>
      </c>
      <c r="CA19" s="44">
        <v>0</v>
      </c>
      <c r="CB19" s="44">
        <v>0</v>
      </c>
      <c r="CC19" s="44">
        <v>0</v>
      </c>
      <c r="CD19" s="44">
        <v>0</v>
      </c>
      <c r="CE19" s="44">
        <v>0</v>
      </c>
      <c r="CF19" s="44">
        <v>0</v>
      </c>
      <c r="CG19" s="44">
        <v>0</v>
      </c>
      <c r="CH19" s="44">
        <v>0</v>
      </c>
      <c r="CI19" s="44">
        <v>0</v>
      </c>
      <c r="CJ19" s="44">
        <v>0</v>
      </c>
      <c r="CK19" s="44">
        <v>0</v>
      </c>
      <c r="CL19" s="44">
        <v>0</v>
      </c>
      <c r="CM19" s="44">
        <v>0</v>
      </c>
      <c r="CN19" s="44">
        <v>0</v>
      </c>
      <c r="CO19" s="44">
        <v>0</v>
      </c>
      <c r="CP19" s="44">
        <v>0</v>
      </c>
      <c r="CQ19" s="44">
        <v>0</v>
      </c>
      <c r="CR19" s="44">
        <v>0</v>
      </c>
      <c r="CS19" s="44">
        <v>0</v>
      </c>
      <c r="CT19" s="44">
        <v>0</v>
      </c>
      <c r="CU19" s="44">
        <v>0</v>
      </c>
      <c r="CV19" s="44">
        <v>0</v>
      </c>
      <c r="CW19" s="44">
        <v>0</v>
      </c>
      <c r="CX19" s="44">
        <v>0</v>
      </c>
      <c r="CY19" s="44">
        <v>0</v>
      </c>
      <c r="CZ19" s="44">
        <v>0</v>
      </c>
      <c r="DA19" s="44">
        <v>0</v>
      </c>
      <c r="DB19" s="44">
        <v>0</v>
      </c>
      <c r="DC19" s="44">
        <v>0</v>
      </c>
      <c r="DD19" s="44">
        <v>0</v>
      </c>
      <c r="DE19" s="44">
        <v>0</v>
      </c>
      <c r="DF19" s="44">
        <v>0</v>
      </c>
      <c r="DG19" s="44">
        <v>0</v>
      </c>
      <c r="DH19" s="44">
        <v>0</v>
      </c>
      <c r="DI19" s="44">
        <v>0</v>
      </c>
      <c r="DJ19" s="44">
        <v>0</v>
      </c>
      <c r="DK19" s="44">
        <v>0</v>
      </c>
      <c r="DL19" s="44">
        <v>0</v>
      </c>
      <c r="DM19" s="44">
        <v>0</v>
      </c>
      <c r="DN19" s="44">
        <v>0</v>
      </c>
      <c r="DO19" s="44">
        <v>0</v>
      </c>
      <c r="DP19" s="44">
        <v>0</v>
      </c>
      <c r="DQ19" s="44">
        <v>0</v>
      </c>
      <c r="DR19" s="44">
        <v>0</v>
      </c>
      <c r="DS19" s="44">
        <v>0</v>
      </c>
      <c r="DT19" s="44">
        <v>0</v>
      </c>
      <c r="DU19" s="44">
        <v>0</v>
      </c>
      <c r="DV19" s="44">
        <v>0</v>
      </c>
      <c r="DW19" s="44">
        <v>0</v>
      </c>
      <c r="DX19" s="44">
        <v>0</v>
      </c>
      <c r="DY19" s="44">
        <v>0</v>
      </c>
      <c r="DZ19" s="44">
        <v>0</v>
      </c>
      <c r="EA19" s="44">
        <v>0</v>
      </c>
      <c r="EB19" s="44">
        <v>0</v>
      </c>
      <c r="EC19" s="44">
        <v>0</v>
      </c>
      <c r="ED19" s="44">
        <v>0</v>
      </c>
      <c r="EE19" s="44">
        <v>0</v>
      </c>
      <c r="EF19" s="44">
        <v>0</v>
      </c>
      <c r="EG19" s="44">
        <v>0</v>
      </c>
      <c r="EH19" s="44">
        <v>0</v>
      </c>
      <c r="EI19" s="44">
        <v>0</v>
      </c>
      <c r="EJ19" s="44">
        <v>0</v>
      </c>
      <c r="EK19" s="44">
        <v>0</v>
      </c>
      <c r="EL19" s="44">
        <v>0</v>
      </c>
      <c r="EM19" s="44">
        <v>0</v>
      </c>
      <c r="EN19" s="44">
        <v>0</v>
      </c>
      <c r="EO19" s="44">
        <v>0</v>
      </c>
      <c r="EP19" s="44">
        <v>0</v>
      </c>
      <c r="EQ19" s="44">
        <v>0</v>
      </c>
      <c r="ER19" s="44">
        <v>0</v>
      </c>
      <c r="ES19" s="44">
        <v>0</v>
      </c>
      <c r="ET19" s="44">
        <v>0</v>
      </c>
      <c r="EU19" s="44">
        <v>0</v>
      </c>
      <c r="EV19" s="44">
        <v>0</v>
      </c>
      <c r="EW19" s="44">
        <v>0</v>
      </c>
      <c r="EX19" s="44">
        <v>0</v>
      </c>
      <c r="EY19" s="44">
        <v>0</v>
      </c>
      <c r="EZ19" s="44">
        <v>0</v>
      </c>
      <c r="FA19" s="44">
        <v>0</v>
      </c>
      <c r="FB19" s="44">
        <v>0</v>
      </c>
      <c r="FC19" s="44">
        <v>0</v>
      </c>
      <c r="FD19" s="44">
        <v>0</v>
      </c>
      <c r="FE19" s="44">
        <v>0</v>
      </c>
      <c r="FF19" s="44">
        <v>0</v>
      </c>
      <c r="FG19" s="44">
        <v>0</v>
      </c>
      <c r="FH19" s="44">
        <v>0</v>
      </c>
      <c r="FI19" s="44">
        <v>0</v>
      </c>
      <c r="FJ19" s="113">
        <v>0</v>
      </c>
    </row>
    <row r="20" spans="1:166" x14ac:dyDescent="0.4">
      <c r="A20" s="112">
        <v>0</v>
      </c>
      <c r="B20" s="43" t="s">
        <v>174</v>
      </c>
      <c r="C20" s="43" t="s">
        <v>381</v>
      </c>
      <c r="D20" s="43" t="s">
        <v>14</v>
      </c>
      <c r="E20" s="43" t="s">
        <v>464</v>
      </c>
      <c r="F20" s="43" t="s">
        <v>394</v>
      </c>
      <c r="G20" s="43" t="s">
        <v>471</v>
      </c>
      <c r="H20" s="43" t="s">
        <v>466</v>
      </c>
      <c r="I20" s="43">
        <v>0</v>
      </c>
      <c r="J20" s="43" t="s">
        <v>155</v>
      </c>
      <c r="K20" s="43">
        <v>0</v>
      </c>
      <c r="L20" s="43" t="s">
        <v>467</v>
      </c>
      <c r="M20" s="44">
        <v>2</v>
      </c>
      <c r="N20" s="44">
        <v>0</v>
      </c>
      <c r="O20" s="45">
        <v>10000000</v>
      </c>
      <c r="P20" s="45">
        <f>CS_구축!$M20*CS_구축!$O20</f>
        <v>20000000</v>
      </c>
      <c r="Q20" s="44">
        <v>0</v>
      </c>
      <c r="R20" s="44">
        <v>0</v>
      </c>
      <c r="S20" s="43">
        <v>0</v>
      </c>
      <c r="T20" s="47">
        <v>1</v>
      </c>
      <c r="U20" s="43">
        <v>0</v>
      </c>
      <c r="V20" s="44">
        <v>0</v>
      </c>
      <c r="W20" s="44">
        <v>0</v>
      </c>
      <c r="X20" s="44">
        <v>0</v>
      </c>
      <c r="Y20" s="44">
        <v>0</v>
      </c>
      <c r="Z20" s="44">
        <v>0</v>
      </c>
      <c r="AA20" s="44">
        <v>0</v>
      </c>
      <c r="AB20" s="44">
        <v>0</v>
      </c>
      <c r="AC20" s="44">
        <v>0</v>
      </c>
      <c r="AD20" s="44">
        <v>0</v>
      </c>
      <c r="AE20" s="44">
        <v>0</v>
      </c>
      <c r="AF20" s="44">
        <v>0</v>
      </c>
      <c r="AG20" s="44">
        <v>0</v>
      </c>
      <c r="AH20" s="44">
        <v>0</v>
      </c>
      <c r="AI20" s="44">
        <v>0</v>
      </c>
      <c r="AJ20" s="44">
        <v>0</v>
      </c>
      <c r="AK20" s="44">
        <v>0</v>
      </c>
      <c r="AL20" s="44">
        <v>0</v>
      </c>
      <c r="AM20" s="44">
        <v>0</v>
      </c>
      <c r="AN20" s="44">
        <v>0</v>
      </c>
      <c r="AO20" s="44">
        <v>0</v>
      </c>
      <c r="AP20" s="44">
        <v>0</v>
      </c>
      <c r="AQ20" s="44">
        <v>0</v>
      </c>
      <c r="AR20" s="44">
        <v>0</v>
      </c>
      <c r="AS20" s="44">
        <v>0</v>
      </c>
      <c r="AT20" s="44">
        <v>0</v>
      </c>
      <c r="AU20" s="44">
        <v>0</v>
      </c>
      <c r="AV20" s="44">
        <v>0</v>
      </c>
      <c r="AW20" s="44">
        <v>0</v>
      </c>
      <c r="AX20" s="44">
        <v>0</v>
      </c>
      <c r="AY20" s="44">
        <v>0</v>
      </c>
      <c r="AZ20" s="44">
        <v>0</v>
      </c>
      <c r="BA20" s="44">
        <v>0</v>
      </c>
      <c r="BB20" s="44">
        <v>0</v>
      </c>
      <c r="BC20" s="44">
        <v>0</v>
      </c>
      <c r="BD20" s="44">
        <v>0</v>
      </c>
      <c r="BE20" s="44">
        <v>0</v>
      </c>
      <c r="BF20" s="44">
        <v>0</v>
      </c>
      <c r="BG20" s="44">
        <v>0</v>
      </c>
      <c r="BH20" s="44">
        <v>0</v>
      </c>
      <c r="BI20" s="44">
        <v>0</v>
      </c>
      <c r="BJ20" s="44">
        <v>0</v>
      </c>
      <c r="BK20" s="44">
        <v>0</v>
      </c>
      <c r="BL20" s="44">
        <v>0</v>
      </c>
      <c r="BM20" s="44">
        <v>0</v>
      </c>
      <c r="BN20" s="44">
        <v>0</v>
      </c>
      <c r="BO20" s="44">
        <v>0</v>
      </c>
      <c r="BP20" s="44">
        <v>0</v>
      </c>
      <c r="BQ20" s="44">
        <v>0</v>
      </c>
      <c r="BR20" s="44">
        <v>0</v>
      </c>
      <c r="BS20" s="44">
        <v>0</v>
      </c>
      <c r="BT20" s="44">
        <v>0</v>
      </c>
      <c r="BU20" s="44">
        <v>0</v>
      </c>
      <c r="BV20" s="44">
        <v>0</v>
      </c>
      <c r="BW20" s="44">
        <v>0</v>
      </c>
      <c r="BX20" s="44">
        <v>0</v>
      </c>
      <c r="BY20" s="44">
        <v>0</v>
      </c>
      <c r="BZ20" s="44">
        <v>0</v>
      </c>
      <c r="CA20" s="44">
        <v>0</v>
      </c>
      <c r="CB20" s="44">
        <v>0</v>
      </c>
      <c r="CC20" s="44">
        <v>0</v>
      </c>
      <c r="CD20" s="44">
        <v>0</v>
      </c>
      <c r="CE20" s="44">
        <v>0</v>
      </c>
      <c r="CF20" s="44">
        <v>0</v>
      </c>
      <c r="CG20" s="44">
        <v>0</v>
      </c>
      <c r="CH20" s="44">
        <v>0</v>
      </c>
      <c r="CI20" s="44">
        <v>0</v>
      </c>
      <c r="CJ20" s="44">
        <v>0</v>
      </c>
      <c r="CK20" s="44">
        <v>0</v>
      </c>
      <c r="CL20" s="44">
        <v>0</v>
      </c>
      <c r="CM20" s="44">
        <v>0</v>
      </c>
      <c r="CN20" s="44">
        <v>0</v>
      </c>
      <c r="CO20" s="44">
        <v>0</v>
      </c>
      <c r="CP20" s="44">
        <v>0</v>
      </c>
      <c r="CQ20" s="44">
        <v>0</v>
      </c>
      <c r="CR20" s="44">
        <v>0</v>
      </c>
      <c r="CS20" s="44">
        <v>0</v>
      </c>
      <c r="CT20" s="44">
        <v>0</v>
      </c>
      <c r="CU20" s="44">
        <v>0</v>
      </c>
      <c r="CV20" s="44">
        <v>0</v>
      </c>
      <c r="CW20" s="44">
        <v>0</v>
      </c>
      <c r="CX20" s="44">
        <v>0</v>
      </c>
      <c r="CY20" s="44">
        <v>0</v>
      </c>
      <c r="CZ20" s="44">
        <v>0</v>
      </c>
      <c r="DA20" s="44">
        <v>0</v>
      </c>
      <c r="DB20" s="44">
        <v>0</v>
      </c>
      <c r="DC20" s="44">
        <v>0</v>
      </c>
      <c r="DD20" s="44">
        <v>0</v>
      </c>
      <c r="DE20" s="44">
        <v>0</v>
      </c>
      <c r="DF20" s="44">
        <v>0</v>
      </c>
      <c r="DG20" s="44">
        <v>0</v>
      </c>
      <c r="DH20" s="44">
        <v>0</v>
      </c>
      <c r="DI20" s="44">
        <v>0</v>
      </c>
      <c r="DJ20" s="44">
        <v>0</v>
      </c>
      <c r="DK20" s="44">
        <v>0</v>
      </c>
      <c r="DL20" s="44">
        <v>0</v>
      </c>
      <c r="DM20" s="44">
        <v>0</v>
      </c>
      <c r="DN20" s="44">
        <v>0</v>
      </c>
      <c r="DO20" s="44">
        <v>0</v>
      </c>
      <c r="DP20" s="44">
        <v>0</v>
      </c>
      <c r="DQ20" s="44">
        <v>0</v>
      </c>
      <c r="DR20" s="44">
        <v>0</v>
      </c>
      <c r="DS20" s="44">
        <v>0</v>
      </c>
      <c r="DT20" s="44">
        <v>0</v>
      </c>
      <c r="DU20" s="44">
        <v>0</v>
      </c>
      <c r="DV20" s="44">
        <v>0</v>
      </c>
      <c r="DW20" s="44">
        <v>0</v>
      </c>
      <c r="DX20" s="44">
        <v>0</v>
      </c>
      <c r="DY20" s="44">
        <v>0</v>
      </c>
      <c r="DZ20" s="44">
        <v>0</v>
      </c>
      <c r="EA20" s="44">
        <v>0</v>
      </c>
      <c r="EB20" s="44">
        <v>0</v>
      </c>
      <c r="EC20" s="44">
        <v>0</v>
      </c>
      <c r="ED20" s="44">
        <v>0</v>
      </c>
      <c r="EE20" s="44">
        <v>0</v>
      </c>
      <c r="EF20" s="44">
        <v>0</v>
      </c>
      <c r="EG20" s="44">
        <v>0</v>
      </c>
      <c r="EH20" s="44">
        <v>0</v>
      </c>
      <c r="EI20" s="44">
        <v>0</v>
      </c>
      <c r="EJ20" s="44">
        <v>0</v>
      </c>
      <c r="EK20" s="44">
        <v>0</v>
      </c>
      <c r="EL20" s="44">
        <v>0</v>
      </c>
      <c r="EM20" s="44">
        <v>0</v>
      </c>
      <c r="EN20" s="44">
        <v>0</v>
      </c>
      <c r="EO20" s="44">
        <v>0</v>
      </c>
      <c r="EP20" s="44">
        <v>0</v>
      </c>
      <c r="EQ20" s="44">
        <v>0</v>
      </c>
      <c r="ER20" s="44">
        <v>0</v>
      </c>
      <c r="ES20" s="44">
        <v>0</v>
      </c>
      <c r="ET20" s="44">
        <v>0</v>
      </c>
      <c r="EU20" s="44">
        <v>0</v>
      </c>
      <c r="EV20" s="44">
        <v>0</v>
      </c>
      <c r="EW20" s="44">
        <v>0</v>
      </c>
      <c r="EX20" s="44">
        <v>0</v>
      </c>
      <c r="EY20" s="44">
        <v>0</v>
      </c>
      <c r="EZ20" s="44">
        <v>0</v>
      </c>
      <c r="FA20" s="44">
        <v>0</v>
      </c>
      <c r="FB20" s="44">
        <v>0</v>
      </c>
      <c r="FC20" s="44">
        <v>0</v>
      </c>
      <c r="FD20" s="44">
        <v>0</v>
      </c>
      <c r="FE20" s="44">
        <v>0</v>
      </c>
      <c r="FF20" s="44">
        <v>0</v>
      </c>
      <c r="FG20" s="44">
        <v>0</v>
      </c>
      <c r="FH20" s="44">
        <v>0</v>
      </c>
      <c r="FI20" s="44">
        <v>0</v>
      </c>
      <c r="FJ20" s="113">
        <v>0</v>
      </c>
    </row>
    <row r="21" spans="1:166" x14ac:dyDescent="0.4">
      <c r="A21" s="112">
        <v>0</v>
      </c>
      <c r="B21" s="43" t="s">
        <v>174</v>
      </c>
      <c r="C21" s="43" t="s">
        <v>381</v>
      </c>
      <c r="D21" s="43" t="s">
        <v>14</v>
      </c>
      <c r="E21" s="43" t="s">
        <v>464</v>
      </c>
      <c r="F21" s="43" t="s">
        <v>394</v>
      </c>
      <c r="G21" s="43" t="s">
        <v>472</v>
      </c>
      <c r="H21" s="43" t="s">
        <v>466</v>
      </c>
      <c r="I21" s="43">
        <v>0</v>
      </c>
      <c r="J21" s="43" t="s">
        <v>155</v>
      </c>
      <c r="K21" s="43">
        <v>0</v>
      </c>
      <c r="L21" s="43" t="s">
        <v>467</v>
      </c>
      <c r="M21" s="44">
        <v>2</v>
      </c>
      <c r="N21" s="44">
        <v>0</v>
      </c>
      <c r="O21" s="45">
        <v>10000000</v>
      </c>
      <c r="P21" s="45">
        <f>CS_구축!$M21*CS_구축!$O21</f>
        <v>20000000</v>
      </c>
      <c r="Q21" s="44">
        <v>0</v>
      </c>
      <c r="R21" s="44">
        <v>0</v>
      </c>
      <c r="S21" s="43">
        <v>0</v>
      </c>
      <c r="T21" s="47">
        <v>1</v>
      </c>
      <c r="U21" s="43">
        <v>0</v>
      </c>
      <c r="V21" s="44">
        <v>0</v>
      </c>
      <c r="W21" s="44">
        <v>0</v>
      </c>
      <c r="X21" s="44">
        <v>0</v>
      </c>
      <c r="Y21" s="44">
        <v>0</v>
      </c>
      <c r="Z21" s="44">
        <v>0</v>
      </c>
      <c r="AA21" s="44">
        <v>0</v>
      </c>
      <c r="AB21" s="44">
        <v>0</v>
      </c>
      <c r="AC21" s="44">
        <v>0</v>
      </c>
      <c r="AD21" s="44">
        <v>0</v>
      </c>
      <c r="AE21" s="44">
        <v>0</v>
      </c>
      <c r="AF21" s="44">
        <v>0</v>
      </c>
      <c r="AG21" s="44">
        <v>0</v>
      </c>
      <c r="AH21" s="44">
        <v>0</v>
      </c>
      <c r="AI21" s="44">
        <v>0</v>
      </c>
      <c r="AJ21" s="44">
        <v>0</v>
      </c>
      <c r="AK21" s="44">
        <v>0</v>
      </c>
      <c r="AL21" s="44">
        <v>0</v>
      </c>
      <c r="AM21" s="44">
        <v>0</v>
      </c>
      <c r="AN21" s="44">
        <v>0</v>
      </c>
      <c r="AO21" s="44">
        <v>0</v>
      </c>
      <c r="AP21" s="44">
        <v>0</v>
      </c>
      <c r="AQ21" s="44">
        <v>0</v>
      </c>
      <c r="AR21" s="44">
        <v>0</v>
      </c>
      <c r="AS21" s="44">
        <v>0</v>
      </c>
      <c r="AT21" s="44">
        <v>0</v>
      </c>
      <c r="AU21" s="44">
        <v>0</v>
      </c>
      <c r="AV21" s="44">
        <v>0</v>
      </c>
      <c r="AW21" s="44">
        <v>0</v>
      </c>
      <c r="AX21" s="44">
        <v>0</v>
      </c>
      <c r="AY21" s="44">
        <v>0</v>
      </c>
      <c r="AZ21" s="44">
        <v>0</v>
      </c>
      <c r="BA21" s="44">
        <v>0</v>
      </c>
      <c r="BB21" s="44">
        <v>0</v>
      </c>
      <c r="BC21" s="44">
        <v>0</v>
      </c>
      <c r="BD21" s="44">
        <v>0</v>
      </c>
      <c r="BE21" s="44">
        <v>0</v>
      </c>
      <c r="BF21" s="44">
        <v>0</v>
      </c>
      <c r="BG21" s="44">
        <v>0</v>
      </c>
      <c r="BH21" s="44">
        <v>0</v>
      </c>
      <c r="BI21" s="44">
        <v>0</v>
      </c>
      <c r="BJ21" s="44">
        <v>0</v>
      </c>
      <c r="BK21" s="44">
        <v>0</v>
      </c>
      <c r="BL21" s="44">
        <v>0</v>
      </c>
      <c r="BM21" s="44">
        <v>0</v>
      </c>
      <c r="BN21" s="44">
        <v>0</v>
      </c>
      <c r="BO21" s="44">
        <v>0</v>
      </c>
      <c r="BP21" s="44">
        <v>0</v>
      </c>
      <c r="BQ21" s="44">
        <v>0</v>
      </c>
      <c r="BR21" s="44">
        <v>0</v>
      </c>
      <c r="BS21" s="44">
        <v>0</v>
      </c>
      <c r="BT21" s="44">
        <v>0</v>
      </c>
      <c r="BU21" s="44">
        <v>0</v>
      </c>
      <c r="BV21" s="44">
        <v>0</v>
      </c>
      <c r="BW21" s="44">
        <v>0</v>
      </c>
      <c r="BX21" s="44">
        <v>0</v>
      </c>
      <c r="BY21" s="44">
        <v>0</v>
      </c>
      <c r="BZ21" s="44">
        <v>0</v>
      </c>
      <c r="CA21" s="44">
        <v>0</v>
      </c>
      <c r="CB21" s="44">
        <v>0</v>
      </c>
      <c r="CC21" s="44">
        <v>0</v>
      </c>
      <c r="CD21" s="44">
        <v>0</v>
      </c>
      <c r="CE21" s="44">
        <v>0</v>
      </c>
      <c r="CF21" s="44">
        <v>0</v>
      </c>
      <c r="CG21" s="44">
        <v>0</v>
      </c>
      <c r="CH21" s="44">
        <v>0</v>
      </c>
      <c r="CI21" s="44">
        <v>0</v>
      </c>
      <c r="CJ21" s="44">
        <v>0</v>
      </c>
      <c r="CK21" s="44">
        <v>0</v>
      </c>
      <c r="CL21" s="44">
        <v>0</v>
      </c>
      <c r="CM21" s="44">
        <v>0</v>
      </c>
      <c r="CN21" s="44">
        <v>0</v>
      </c>
      <c r="CO21" s="44">
        <v>0</v>
      </c>
      <c r="CP21" s="44">
        <v>0</v>
      </c>
      <c r="CQ21" s="44">
        <v>0</v>
      </c>
      <c r="CR21" s="44">
        <v>0</v>
      </c>
      <c r="CS21" s="44">
        <v>0</v>
      </c>
      <c r="CT21" s="44">
        <v>0</v>
      </c>
      <c r="CU21" s="44">
        <v>0</v>
      </c>
      <c r="CV21" s="44">
        <v>0</v>
      </c>
      <c r="CW21" s="44">
        <v>0</v>
      </c>
      <c r="CX21" s="44">
        <v>0</v>
      </c>
      <c r="CY21" s="44">
        <v>0</v>
      </c>
      <c r="CZ21" s="44">
        <v>0</v>
      </c>
      <c r="DA21" s="44">
        <v>0</v>
      </c>
      <c r="DB21" s="44">
        <v>0</v>
      </c>
      <c r="DC21" s="44">
        <v>0</v>
      </c>
      <c r="DD21" s="44">
        <v>0</v>
      </c>
      <c r="DE21" s="44">
        <v>0</v>
      </c>
      <c r="DF21" s="44">
        <v>0</v>
      </c>
      <c r="DG21" s="44">
        <v>0</v>
      </c>
      <c r="DH21" s="44">
        <v>0</v>
      </c>
      <c r="DI21" s="44">
        <v>0</v>
      </c>
      <c r="DJ21" s="44">
        <v>0</v>
      </c>
      <c r="DK21" s="44">
        <v>0</v>
      </c>
      <c r="DL21" s="44">
        <v>0</v>
      </c>
      <c r="DM21" s="44">
        <v>0</v>
      </c>
      <c r="DN21" s="44">
        <v>0</v>
      </c>
      <c r="DO21" s="44">
        <v>0</v>
      </c>
      <c r="DP21" s="44">
        <v>0</v>
      </c>
      <c r="DQ21" s="44">
        <v>0</v>
      </c>
      <c r="DR21" s="44">
        <v>0</v>
      </c>
      <c r="DS21" s="44">
        <v>0</v>
      </c>
      <c r="DT21" s="44">
        <v>0</v>
      </c>
      <c r="DU21" s="44">
        <v>0</v>
      </c>
      <c r="DV21" s="44">
        <v>0</v>
      </c>
      <c r="DW21" s="44">
        <v>0</v>
      </c>
      <c r="DX21" s="44">
        <v>0</v>
      </c>
      <c r="DY21" s="44">
        <v>0</v>
      </c>
      <c r="DZ21" s="44">
        <v>0</v>
      </c>
      <c r="EA21" s="44">
        <v>0</v>
      </c>
      <c r="EB21" s="44">
        <v>0</v>
      </c>
      <c r="EC21" s="44">
        <v>0</v>
      </c>
      <c r="ED21" s="44">
        <v>0</v>
      </c>
      <c r="EE21" s="44">
        <v>0</v>
      </c>
      <c r="EF21" s="44">
        <v>0</v>
      </c>
      <c r="EG21" s="44">
        <v>0</v>
      </c>
      <c r="EH21" s="44">
        <v>0</v>
      </c>
      <c r="EI21" s="44">
        <v>0</v>
      </c>
      <c r="EJ21" s="44">
        <v>0</v>
      </c>
      <c r="EK21" s="44">
        <v>0</v>
      </c>
      <c r="EL21" s="44">
        <v>0</v>
      </c>
      <c r="EM21" s="44">
        <v>0</v>
      </c>
      <c r="EN21" s="44">
        <v>0</v>
      </c>
      <c r="EO21" s="44">
        <v>0</v>
      </c>
      <c r="EP21" s="44">
        <v>0</v>
      </c>
      <c r="EQ21" s="44">
        <v>0</v>
      </c>
      <c r="ER21" s="44">
        <v>0</v>
      </c>
      <c r="ES21" s="44">
        <v>0</v>
      </c>
      <c r="ET21" s="44">
        <v>0</v>
      </c>
      <c r="EU21" s="44">
        <v>0</v>
      </c>
      <c r="EV21" s="44">
        <v>0</v>
      </c>
      <c r="EW21" s="44">
        <v>0</v>
      </c>
      <c r="EX21" s="44">
        <v>0</v>
      </c>
      <c r="EY21" s="44">
        <v>0</v>
      </c>
      <c r="EZ21" s="44">
        <v>0</v>
      </c>
      <c r="FA21" s="44">
        <v>0</v>
      </c>
      <c r="FB21" s="44">
        <v>0</v>
      </c>
      <c r="FC21" s="44">
        <v>0</v>
      </c>
      <c r="FD21" s="44">
        <v>0</v>
      </c>
      <c r="FE21" s="44">
        <v>0</v>
      </c>
      <c r="FF21" s="44">
        <v>0</v>
      </c>
      <c r="FG21" s="44">
        <v>0</v>
      </c>
      <c r="FH21" s="44">
        <v>0</v>
      </c>
      <c r="FI21" s="44">
        <v>0</v>
      </c>
      <c r="FJ21" s="113">
        <v>0</v>
      </c>
    </row>
    <row r="22" spans="1:166" x14ac:dyDescent="0.4">
      <c r="A22" s="112">
        <v>0</v>
      </c>
      <c r="B22" s="43" t="s">
        <v>174</v>
      </c>
      <c r="C22" s="43" t="s">
        <v>381</v>
      </c>
      <c r="D22" s="43" t="s">
        <v>14</v>
      </c>
      <c r="E22" s="43" t="s">
        <v>464</v>
      </c>
      <c r="F22" s="43" t="s">
        <v>394</v>
      </c>
      <c r="G22" s="43" t="s">
        <v>473</v>
      </c>
      <c r="H22" s="43" t="s">
        <v>466</v>
      </c>
      <c r="I22" s="43">
        <v>0</v>
      </c>
      <c r="J22" s="43" t="s">
        <v>155</v>
      </c>
      <c r="K22" s="43">
        <v>0</v>
      </c>
      <c r="L22" s="43" t="s">
        <v>467</v>
      </c>
      <c r="M22" s="44">
        <v>2</v>
      </c>
      <c r="N22" s="44">
        <v>0</v>
      </c>
      <c r="O22" s="45">
        <v>10000000</v>
      </c>
      <c r="P22" s="45">
        <f>CS_구축!$M22*CS_구축!$O22</f>
        <v>20000000</v>
      </c>
      <c r="Q22" s="44">
        <v>0</v>
      </c>
      <c r="R22" s="44">
        <v>0</v>
      </c>
      <c r="S22" s="43">
        <v>0</v>
      </c>
      <c r="T22" s="47">
        <v>1</v>
      </c>
      <c r="U22" s="43">
        <v>0</v>
      </c>
      <c r="V22" s="44">
        <v>0</v>
      </c>
      <c r="W22" s="44">
        <v>0</v>
      </c>
      <c r="X22" s="44">
        <v>0</v>
      </c>
      <c r="Y22" s="44">
        <v>0</v>
      </c>
      <c r="Z22" s="44">
        <v>0</v>
      </c>
      <c r="AA22" s="44">
        <v>0</v>
      </c>
      <c r="AB22" s="44">
        <v>0</v>
      </c>
      <c r="AC22" s="44">
        <v>0</v>
      </c>
      <c r="AD22" s="44">
        <v>0</v>
      </c>
      <c r="AE22" s="44">
        <v>0</v>
      </c>
      <c r="AF22" s="44">
        <v>0</v>
      </c>
      <c r="AG22" s="44">
        <v>0</v>
      </c>
      <c r="AH22" s="44">
        <v>0</v>
      </c>
      <c r="AI22" s="44">
        <v>0</v>
      </c>
      <c r="AJ22" s="44">
        <v>0</v>
      </c>
      <c r="AK22" s="44">
        <v>0</v>
      </c>
      <c r="AL22" s="44">
        <v>0</v>
      </c>
      <c r="AM22" s="44">
        <v>0</v>
      </c>
      <c r="AN22" s="44">
        <v>0</v>
      </c>
      <c r="AO22" s="44">
        <v>0</v>
      </c>
      <c r="AP22" s="44">
        <v>0</v>
      </c>
      <c r="AQ22" s="44">
        <v>0</v>
      </c>
      <c r="AR22" s="44">
        <v>0</v>
      </c>
      <c r="AS22" s="44">
        <v>0</v>
      </c>
      <c r="AT22" s="44">
        <v>0</v>
      </c>
      <c r="AU22" s="44">
        <v>0</v>
      </c>
      <c r="AV22" s="44">
        <v>0</v>
      </c>
      <c r="AW22" s="44">
        <v>0</v>
      </c>
      <c r="AX22" s="44">
        <v>0</v>
      </c>
      <c r="AY22" s="44">
        <v>0</v>
      </c>
      <c r="AZ22" s="44">
        <v>0</v>
      </c>
      <c r="BA22" s="44">
        <v>0</v>
      </c>
      <c r="BB22" s="44">
        <v>0</v>
      </c>
      <c r="BC22" s="44">
        <v>0</v>
      </c>
      <c r="BD22" s="44">
        <v>0</v>
      </c>
      <c r="BE22" s="44">
        <v>0</v>
      </c>
      <c r="BF22" s="44">
        <v>0</v>
      </c>
      <c r="BG22" s="44">
        <v>0</v>
      </c>
      <c r="BH22" s="44">
        <v>0</v>
      </c>
      <c r="BI22" s="44">
        <v>0</v>
      </c>
      <c r="BJ22" s="44">
        <v>0</v>
      </c>
      <c r="BK22" s="44">
        <v>0</v>
      </c>
      <c r="BL22" s="44">
        <v>0</v>
      </c>
      <c r="BM22" s="44">
        <v>0</v>
      </c>
      <c r="BN22" s="44">
        <v>0</v>
      </c>
      <c r="BO22" s="44">
        <v>0</v>
      </c>
      <c r="BP22" s="44">
        <v>0</v>
      </c>
      <c r="BQ22" s="44">
        <v>0</v>
      </c>
      <c r="BR22" s="44">
        <v>0</v>
      </c>
      <c r="BS22" s="44">
        <v>0</v>
      </c>
      <c r="BT22" s="44">
        <v>0</v>
      </c>
      <c r="BU22" s="44">
        <v>0</v>
      </c>
      <c r="BV22" s="44">
        <v>0</v>
      </c>
      <c r="BW22" s="44">
        <v>0</v>
      </c>
      <c r="BX22" s="44">
        <v>0</v>
      </c>
      <c r="BY22" s="44">
        <v>0</v>
      </c>
      <c r="BZ22" s="44">
        <v>0</v>
      </c>
      <c r="CA22" s="44">
        <v>0</v>
      </c>
      <c r="CB22" s="44">
        <v>0</v>
      </c>
      <c r="CC22" s="44">
        <v>0</v>
      </c>
      <c r="CD22" s="44">
        <v>0</v>
      </c>
      <c r="CE22" s="44">
        <v>0</v>
      </c>
      <c r="CF22" s="44">
        <v>0</v>
      </c>
      <c r="CG22" s="44">
        <v>0</v>
      </c>
      <c r="CH22" s="44">
        <v>0</v>
      </c>
      <c r="CI22" s="44">
        <v>0</v>
      </c>
      <c r="CJ22" s="44">
        <v>0</v>
      </c>
      <c r="CK22" s="44">
        <v>0</v>
      </c>
      <c r="CL22" s="44">
        <v>0</v>
      </c>
      <c r="CM22" s="44">
        <v>0</v>
      </c>
      <c r="CN22" s="44">
        <v>0</v>
      </c>
      <c r="CO22" s="44">
        <v>0</v>
      </c>
      <c r="CP22" s="44">
        <v>0</v>
      </c>
      <c r="CQ22" s="44">
        <v>0</v>
      </c>
      <c r="CR22" s="44">
        <v>0</v>
      </c>
      <c r="CS22" s="44">
        <v>0</v>
      </c>
      <c r="CT22" s="44">
        <v>0</v>
      </c>
      <c r="CU22" s="44">
        <v>0</v>
      </c>
      <c r="CV22" s="44">
        <v>0</v>
      </c>
      <c r="CW22" s="44">
        <v>0</v>
      </c>
      <c r="CX22" s="44">
        <v>0</v>
      </c>
      <c r="CY22" s="44">
        <v>0</v>
      </c>
      <c r="CZ22" s="44">
        <v>0</v>
      </c>
      <c r="DA22" s="44">
        <v>0</v>
      </c>
      <c r="DB22" s="44">
        <v>0</v>
      </c>
      <c r="DC22" s="44">
        <v>0</v>
      </c>
      <c r="DD22" s="44">
        <v>0</v>
      </c>
      <c r="DE22" s="44">
        <v>0</v>
      </c>
      <c r="DF22" s="44">
        <v>0</v>
      </c>
      <c r="DG22" s="44">
        <v>0</v>
      </c>
      <c r="DH22" s="44">
        <v>0</v>
      </c>
      <c r="DI22" s="44">
        <v>0</v>
      </c>
      <c r="DJ22" s="44">
        <v>0</v>
      </c>
      <c r="DK22" s="44">
        <v>0</v>
      </c>
      <c r="DL22" s="44">
        <v>0</v>
      </c>
      <c r="DM22" s="44">
        <v>0</v>
      </c>
      <c r="DN22" s="44">
        <v>0</v>
      </c>
      <c r="DO22" s="44">
        <v>0</v>
      </c>
      <c r="DP22" s="44">
        <v>0</v>
      </c>
      <c r="DQ22" s="44">
        <v>0</v>
      </c>
      <c r="DR22" s="44">
        <v>0</v>
      </c>
      <c r="DS22" s="44">
        <v>0</v>
      </c>
      <c r="DT22" s="44">
        <v>0</v>
      </c>
      <c r="DU22" s="44">
        <v>0</v>
      </c>
      <c r="DV22" s="44">
        <v>0</v>
      </c>
      <c r="DW22" s="44">
        <v>0</v>
      </c>
      <c r="DX22" s="44">
        <v>0</v>
      </c>
      <c r="DY22" s="44">
        <v>0</v>
      </c>
      <c r="DZ22" s="44">
        <v>0</v>
      </c>
      <c r="EA22" s="44">
        <v>0</v>
      </c>
      <c r="EB22" s="44">
        <v>0</v>
      </c>
      <c r="EC22" s="44">
        <v>0</v>
      </c>
      <c r="ED22" s="44">
        <v>0</v>
      </c>
      <c r="EE22" s="44">
        <v>0</v>
      </c>
      <c r="EF22" s="44">
        <v>0</v>
      </c>
      <c r="EG22" s="44">
        <v>0</v>
      </c>
      <c r="EH22" s="44">
        <v>0</v>
      </c>
      <c r="EI22" s="44">
        <v>0</v>
      </c>
      <c r="EJ22" s="44">
        <v>0</v>
      </c>
      <c r="EK22" s="44">
        <v>0</v>
      </c>
      <c r="EL22" s="44">
        <v>0</v>
      </c>
      <c r="EM22" s="44">
        <v>0</v>
      </c>
      <c r="EN22" s="44">
        <v>0</v>
      </c>
      <c r="EO22" s="44">
        <v>0</v>
      </c>
      <c r="EP22" s="44">
        <v>0</v>
      </c>
      <c r="EQ22" s="44">
        <v>0</v>
      </c>
      <c r="ER22" s="44">
        <v>0</v>
      </c>
      <c r="ES22" s="44">
        <v>0</v>
      </c>
      <c r="ET22" s="44">
        <v>0</v>
      </c>
      <c r="EU22" s="44">
        <v>0</v>
      </c>
      <c r="EV22" s="44">
        <v>0</v>
      </c>
      <c r="EW22" s="44">
        <v>0</v>
      </c>
      <c r="EX22" s="44">
        <v>0</v>
      </c>
      <c r="EY22" s="44">
        <v>0</v>
      </c>
      <c r="EZ22" s="44">
        <v>0</v>
      </c>
      <c r="FA22" s="44">
        <v>0</v>
      </c>
      <c r="FB22" s="44">
        <v>0</v>
      </c>
      <c r="FC22" s="44">
        <v>0</v>
      </c>
      <c r="FD22" s="44">
        <v>0</v>
      </c>
      <c r="FE22" s="44">
        <v>0</v>
      </c>
      <c r="FF22" s="44">
        <v>0</v>
      </c>
      <c r="FG22" s="44">
        <v>0</v>
      </c>
      <c r="FH22" s="44">
        <v>0</v>
      </c>
      <c r="FI22" s="44">
        <v>0</v>
      </c>
      <c r="FJ22" s="113">
        <v>0</v>
      </c>
    </row>
    <row r="23" spans="1:166" x14ac:dyDescent="0.4">
      <c r="A23" s="112">
        <v>0</v>
      </c>
      <c r="B23" s="43" t="s">
        <v>174</v>
      </c>
      <c r="C23" s="43" t="s">
        <v>381</v>
      </c>
      <c r="D23" s="43" t="s">
        <v>153</v>
      </c>
      <c r="E23" s="43" t="s">
        <v>156</v>
      </c>
      <c r="F23" s="43" t="s">
        <v>474</v>
      </c>
      <c r="G23" s="43" t="s">
        <v>475</v>
      </c>
      <c r="H23" s="43">
        <v>0</v>
      </c>
      <c r="I23" s="43">
        <v>0</v>
      </c>
      <c r="J23" s="43" t="s">
        <v>155</v>
      </c>
      <c r="K23" s="43">
        <v>0</v>
      </c>
      <c r="L23" s="43" t="s">
        <v>463</v>
      </c>
      <c r="M23" s="44">
        <v>32</v>
      </c>
      <c r="N23" s="44">
        <v>0</v>
      </c>
      <c r="O23" s="45">
        <v>0</v>
      </c>
      <c r="P23" s="45">
        <v>0</v>
      </c>
      <c r="Q23" s="44">
        <v>5</v>
      </c>
      <c r="R23" s="44">
        <v>32</v>
      </c>
      <c r="S23" s="43">
        <v>0.375</v>
      </c>
      <c r="T23" s="47">
        <v>1</v>
      </c>
      <c r="U23" s="43">
        <v>0</v>
      </c>
      <c r="V23" s="44">
        <v>4500000</v>
      </c>
      <c r="W23" s="44">
        <v>144000000</v>
      </c>
      <c r="X23" s="44">
        <v>31500000</v>
      </c>
      <c r="Y23" s="44">
        <v>54000000</v>
      </c>
      <c r="Z23" s="44">
        <v>54000000</v>
      </c>
      <c r="AA23" s="44">
        <v>4500000</v>
      </c>
      <c r="AB23" s="44">
        <v>0</v>
      </c>
      <c r="AC23" s="44">
        <v>0</v>
      </c>
      <c r="AD23" s="44">
        <v>0</v>
      </c>
      <c r="AE23" s="44">
        <v>0</v>
      </c>
      <c r="AF23" s="44">
        <v>0</v>
      </c>
      <c r="AG23" s="44">
        <v>0</v>
      </c>
      <c r="AH23" s="44">
        <v>0</v>
      </c>
      <c r="AI23" s="125">
        <v>0</v>
      </c>
      <c r="AJ23" s="125">
        <v>0</v>
      </c>
      <c r="AK23" s="125">
        <v>0</v>
      </c>
      <c r="AL23" s="125">
        <v>0</v>
      </c>
      <c r="AM23" s="125">
        <v>0</v>
      </c>
      <c r="AN23" s="44">
        <v>4500000</v>
      </c>
      <c r="AO23" s="44">
        <v>4500000</v>
      </c>
      <c r="AP23" s="44">
        <v>4500000</v>
      </c>
      <c r="AQ23" s="44">
        <v>4500000</v>
      </c>
      <c r="AR23" s="44">
        <v>4500000</v>
      </c>
      <c r="AS23" s="44">
        <v>4500000</v>
      </c>
      <c r="AT23" s="44">
        <v>4500000</v>
      </c>
      <c r="AU23" s="44">
        <v>4500000</v>
      </c>
      <c r="AV23" s="44">
        <v>4500000</v>
      </c>
      <c r="AW23" s="44">
        <v>4500000</v>
      </c>
      <c r="AX23" s="44">
        <v>4500000</v>
      </c>
      <c r="AY23" s="44">
        <v>4500000</v>
      </c>
      <c r="AZ23" s="44">
        <v>4500000</v>
      </c>
      <c r="BA23" s="44">
        <v>4500000</v>
      </c>
      <c r="BB23" s="44">
        <v>4500000</v>
      </c>
      <c r="BC23" s="44">
        <v>4500000</v>
      </c>
      <c r="BD23" s="44">
        <v>4500000</v>
      </c>
      <c r="BE23" s="44">
        <v>4500000</v>
      </c>
      <c r="BF23" s="44">
        <v>4500000</v>
      </c>
      <c r="BG23" s="44">
        <v>4500000</v>
      </c>
      <c r="BH23" s="44">
        <v>4500000</v>
      </c>
      <c r="BI23" s="44">
        <v>4500000</v>
      </c>
      <c r="BJ23" s="44">
        <v>4500000</v>
      </c>
      <c r="BK23" s="44">
        <v>4500000</v>
      </c>
      <c r="BL23" s="44">
        <v>4500000</v>
      </c>
      <c r="BM23" s="44">
        <v>4500000</v>
      </c>
      <c r="BN23" s="44">
        <v>4500000</v>
      </c>
      <c r="BO23" s="44">
        <v>4500000</v>
      </c>
      <c r="BP23" s="44">
        <v>4500000</v>
      </c>
      <c r="BQ23" s="44">
        <v>4500000</v>
      </c>
      <c r="BR23" s="44">
        <v>4500000</v>
      </c>
      <c r="BS23" s="44">
        <v>4500000</v>
      </c>
      <c r="BT23" s="44">
        <v>0</v>
      </c>
      <c r="BU23" s="44">
        <v>0</v>
      </c>
      <c r="BV23" s="44">
        <v>0</v>
      </c>
      <c r="BW23" s="44">
        <v>0</v>
      </c>
      <c r="BX23" s="44">
        <v>0</v>
      </c>
      <c r="BY23" s="44">
        <v>0</v>
      </c>
      <c r="BZ23" s="44">
        <v>0</v>
      </c>
      <c r="CA23" s="44">
        <v>0</v>
      </c>
      <c r="CB23" s="44">
        <v>0</v>
      </c>
      <c r="CC23" s="44">
        <v>0</v>
      </c>
      <c r="CD23" s="44">
        <v>0</v>
      </c>
      <c r="CE23" s="44">
        <v>0</v>
      </c>
      <c r="CF23" s="44">
        <v>0</v>
      </c>
      <c r="CG23" s="44">
        <v>0</v>
      </c>
      <c r="CH23" s="44">
        <v>0</v>
      </c>
      <c r="CI23" s="44">
        <v>0</v>
      </c>
      <c r="CJ23" s="44">
        <v>0</v>
      </c>
      <c r="CK23" s="44">
        <v>0</v>
      </c>
      <c r="CL23" s="44">
        <v>0</v>
      </c>
      <c r="CM23" s="44">
        <v>0</v>
      </c>
      <c r="CN23" s="44">
        <v>0</v>
      </c>
      <c r="CO23" s="44">
        <v>0</v>
      </c>
      <c r="CP23" s="44">
        <v>0</v>
      </c>
      <c r="CQ23" s="44">
        <v>0</v>
      </c>
      <c r="CR23" s="44">
        <v>0</v>
      </c>
      <c r="CS23" s="44">
        <v>0</v>
      </c>
      <c r="CT23" s="44">
        <v>0</v>
      </c>
      <c r="CU23" s="44">
        <v>0</v>
      </c>
      <c r="CV23" s="44">
        <v>0</v>
      </c>
      <c r="CW23" s="44">
        <v>0</v>
      </c>
      <c r="CX23" s="44">
        <v>0</v>
      </c>
      <c r="CY23" s="44">
        <v>0</v>
      </c>
      <c r="CZ23" s="44">
        <v>0</v>
      </c>
      <c r="DA23" s="44">
        <v>0</v>
      </c>
      <c r="DB23" s="44">
        <v>0</v>
      </c>
      <c r="DC23" s="44">
        <v>0</v>
      </c>
      <c r="DD23" s="44">
        <v>0</v>
      </c>
      <c r="DE23" s="44">
        <v>0</v>
      </c>
      <c r="DF23" s="44">
        <v>0</v>
      </c>
      <c r="DG23" s="44">
        <v>0</v>
      </c>
      <c r="DH23" s="44">
        <v>0</v>
      </c>
      <c r="DI23" s="44">
        <v>0</v>
      </c>
      <c r="DJ23" s="44">
        <v>0</v>
      </c>
      <c r="DK23" s="44">
        <v>0</v>
      </c>
      <c r="DL23" s="44">
        <v>0</v>
      </c>
      <c r="DM23" s="44">
        <v>0</v>
      </c>
      <c r="DN23" s="44">
        <v>0</v>
      </c>
      <c r="DO23" s="44">
        <v>0</v>
      </c>
      <c r="DP23" s="44">
        <v>0</v>
      </c>
      <c r="DQ23" s="44">
        <v>0</v>
      </c>
      <c r="DR23" s="44">
        <v>0</v>
      </c>
      <c r="DS23" s="44">
        <v>0</v>
      </c>
      <c r="DT23" s="44">
        <v>0</v>
      </c>
      <c r="DU23" s="44">
        <v>0</v>
      </c>
      <c r="DV23" s="44">
        <v>0</v>
      </c>
      <c r="DW23" s="44">
        <v>0</v>
      </c>
      <c r="DX23" s="44">
        <v>0</v>
      </c>
      <c r="DY23" s="44">
        <v>0</v>
      </c>
      <c r="DZ23" s="44">
        <v>0</v>
      </c>
      <c r="EA23" s="44">
        <v>0</v>
      </c>
      <c r="EB23" s="44">
        <v>0</v>
      </c>
      <c r="EC23" s="44">
        <v>0</v>
      </c>
      <c r="ED23" s="44">
        <v>0</v>
      </c>
      <c r="EE23" s="44">
        <v>0</v>
      </c>
      <c r="EF23" s="44">
        <v>0</v>
      </c>
      <c r="EG23" s="44">
        <v>0</v>
      </c>
      <c r="EH23" s="44">
        <v>0</v>
      </c>
      <c r="EI23" s="44">
        <v>0</v>
      </c>
      <c r="EJ23" s="44">
        <v>0</v>
      </c>
      <c r="EK23" s="44">
        <v>0</v>
      </c>
      <c r="EL23" s="44">
        <v>0</v>
      </c>
      <c r="EM23" s="44">
        <v>0</v>
      </c>
      <c r="EN23" s="44">
        <v>0</v>
      </c>
      <c r="EO23" s="44">
        <v>0</v>
      </c>
      <c r="EP23" s="44">
        <v>0</v>
      </c>
      <c r="EQ23" s="44">
        <v>0</v>
      </c>
      <c r="ER23" s="44">
        <v>0</v>
      </c>
      <c r="ES23" s="44">
        <v>0</v>
      </c>
      <c r="ET23" s="44">
        <v>0</v>
      </c>
      <c r="EU23" s="44">
        <v>0</v>
      </c>
      <c r="EV23" s="44">
        <v>0</v>
      </c>
      <c r="EW23" s="44">
        <v>0</v>
      </c>
      <c r="EX23" s="44">
        <v>0</v>
      </c>
      <c r="EY23" s="44">
        <v>0</v>
      </c>
      <c r="EZ23" s="44">
        <v>0</v>
      </c>
      <c r="FA23" s="44">
        <v>0</v>
      </c>
      <c r="FB23" s="44">
        <v>0</v>
      </c>
      <c r="FC23" s="44">
        <v>0</v>
      </c>
      <c r="FD23" s="44">
        <v>0</v>
      </c>
      <c r="FE23" s="44">
        <v>0</v>
      </c>
      <c r="FF23" s="44">
        <v>0</v>
      </c>
      <c r="FG23" s="44">
        <v>0</v>
      </c>
      <c r="FH23" s="44">
        <v>0</v>
      </c>
      <c r="FI23" s="44">
        <v>0</v>
      </c>
      <c r="FJ23" s="113">
        <v>0</v>
      </c>
    </row>
    <row r="24" spans="1:166" x14ac:dyDescent="0.4">
      <c r="A24" s="112">
        <v>0</v>
      </c>
      <c r="B24" s="43" t="s">
        <v>174</v>
      </c>
      <c r="C24" s="43" t="s">
        <v>381</v>
      </c>
      <c r="D24" s="43" t="s">
        <v>14</v>
      </c>
      <c r="E24" s="43" t="s">
        <v>476</v>
      </c>
      <c r="F24" s="43" t="s">
        <v>477</v>
      </c>
      <c r="G24" s="43" t="s">
        <v>478</v>
      </c>
      <c r="H24" s="43" t="s">
        <v>479</v>
      </c>
      <c r="I24" s="43" t="s">
        <v>480</v>
      </c>
      <c r="J24" s="43" t="s">
        <v>481</v>
      </c>
      <c r="K24" s="43">
        <v>0</v>
      </c>
      <c r="L24" s="43" t="s">
        <v>482</v>
      </c>
      <c r="M24" s="44">
        <v>2</v>
      </c>
      <c r="N24" s="44">
        <v>0</v>
      </c>
      <c r="O24" s="45">
        <v>4674140</v>
      </c>
      <c r="P24" s="45">
        <f>CS_구축!$M24*CS_구축!$O24</f>
        <v>9348280</v>
      </c>
      <c r="Q24" s="44">
        <v>36</v>
      </c>
      <c r="R24" s="44">
        <v>84</v>
      </c>
      <c r="S24" s="43">
        <v>0.04</v>
      </c>
      <c r="T24" s="47">
        <v>1</v>
      </c>
      <c r="U24" s="43">
        <v>0</v>
      </c>
      <c r="V24" s="44">
        <v>31160.933333333334</v>
      </c>
      <c r="W24" s="44">
        <v>2617518.4000000008</v>
      </c>
      <c r="X24" s="44">
        <v>0</v>
      </c>
      <c r="Y24" s="44">
        <v>0</v>
      </c>
      <c r="Z24" s="44">
        <v>0</v>
      </c>
      <c r="AA24" s="44">
        <v>373931.20000000013</v>
      </c>
      <c r="AB24" s="44">
        <v>373931.20000000013</v>
      </c>
      <c r="AC24" s="44">
        <v>373931.20000000013</v>
      </c>
      <c r="AD24" s="44">
        <v>373931.20000000013</v>
      </c>
      <c r="AE24" s="44">
        <v>373931.20000000013</v>
      </c>
      <c r="AF24" s="44">
        <v>373931.20000000013</v>
      </c>
      <c r="AG24" s="44">
        <v>373931.20000000013</v>
      </c>
      <c r="AH24" s="44">
        <v>0</v>
      </c>
      <c r="AI24" s="125">
        <v>0</v>
      </c>
      <c r="AJ24" s="125">
        <v>0</v>
      </c>
      <c r="AK24" s="125">
        <v>0</v>
      </c>
      <c r="AL24" s="125">
        <v>0</v>
      </c>
      <c r="AM24" s="125">
        <v>0</v>
      </c>
      <c r="AN24" s="125">
        <v>0</v>
      </c>
      <c r="AO24" s="125">
        <v>0</v>
      </c>
      <c r="AP24" s="125">
        <v>0</v>
      </c>
      <c r="AQ24" s="125">
        <v>0</v>
      </c>
      <c r="AR24" s="125">
        <v>0</v>
      </c>
      <c r="AS24" s="125">
        <v>0</v>
      </c>
      <c r="AT24" s="125">
        <v>0</v>
      </c>
      <c r="AU24" s="125">
        <v>0</v>
      </c>
      <c r="AV24" s="125">
        <v>0</v>
      </c>
      <c r="AW24" s="125">
        <v>0</v>
      </c>
      <c r="AX24" s="125">
        <v>0</v>
      </c>
      <c r="AY24" s="125">
        <v>0</v>
      </c>
      <c r="AZ24" s="125">
        <v>0</v>
      </c>
      <c r="BA24" s="125">
        <v>0</v>
      </c>
      <c r="BB24" s="125">
        <v>0</v>
      </c>
      <c r="BC24" s="125">
        <v>0</v>
      </c>
      <c r="BD24" s="125">
        <v>0</v>
      </c>
      <c r="BE24" s="125">
        <v>0</v>
      </c>
      <c r="BF24" s="125">
        <v>0</v>
      </c>
      <c r="BG24" s="125">
        <v>0</v>
      </c>
      <c r="BH24" s="125">
        <v>0</v>
      </c>
      <c r="BI24" s="125">
        <v>0</v>
      </c>
      <c r="BJ24" s="125">
        <v>0</v>
      </c>
      <c r="BK24" s="125">
        <v>0</v>
      </c>
      <c r="BL24" s="125">
        <v>0</v>
      </c>
      <c r="BM24" s="125">
        <v>0</v>
      </c>
      <c r="BN24" s="125">
        <v>0</v>
      </c>
      <c r="BO24" s="125">
        <v>0</v>
      </c>
      <c r="BP24" s="125">
        <v>0</v>
      </c>
      <c r="BQ24" s="125">
        <v>0</v>
      </c>
      <c r="BR24" s="125">
        <v>0</v>
      </c>
      <c r="BS24" s="44">
        <v>31160.933333333334</v>
      </c>
      <c r="BT24" s="44">
        <v>31160.933333333334</v>
      </c>
      <c r="BU24" s="44">
        <v>31160.933333333334</v>
      </c>
      <c r="BV24" s="44">
        <v>31160.933333333334</v>
      </c>
      <c r="BW24" s="44">
        <v>31160.933333333334</v>
      </c>
      <c r="BX24" s="44">
        <v>31160.933333333334</v>
      </c>
      <c r="BY24" s="44">
        <v>31160.933333333334</v>
      </c>
      <c r="BZ24" s="44">
        <v>31160.933333333334</v>
      </c>
      <c r="CA24" s="44">
        <v>31160.933333333334</v>
      </c>
      <c r="CB24" s="44">
        <v>31160.933333333334</v>
      </c>
      <c r="CC24" s="44">
        <v>31160.933333333334</v>
      </c>
      <c r="CD24" s="44">
        <v>31160.933333333334</v>
      </c>
      <c r="CE24" s="44">
        <v>31160.933333333334</v>
      </c>
      <c r="CF24" s="44">
        <v>31160.933333333334</v>
      </c>
      <c r="CG24" s="44">
        <v>31160.933333333334</v>
      </c>
      <c r="CH24" s="44">
        <v>31160.933333333334</v>
      </c>
      <c r="CI24" s="44">
        <v>31160.933333333334</v>
      </c>
      <c r="CJ24" s="44">
        <v>31160.933333333334</v>
      </c>
      <c r="CK24" s="44">
        <v>31160.933333333334</v>
      </c>
      <c r="CL24" s="44">
        <v>31160.933333333334</v>
      </c>
      <c r="CM24" s="44">
        <v>31160.933333333334</v>
      </c>
      <c r="CN24" s="44">
        <v>31160.933333333334</v>
      </c>
      <c r="CO24" s="44">
        <v>31160.933333333334</v>
      </c>
      <c r="CP24" s="44">
        <v>31160.933333333334</v>
      </c>
      <c r="CQ24" s="44">
        <v>31160.933333333334</v>
      </c>
      <c r="CR24" s="44">
        <v>31160.933333333334</v>
      </c>
      <c r="CS24" s="44">
        <v>31160.933333333334</v>
      </c>
      <c r="CT24" s="44">
        <v>31160.933333333334</v>
      </c>
      <c r="CU24" s="44">
        <v>31160.933333333334</v>
      </c>
      <c r="CV24" s="44">
        <v>31160.933333333334</v>
      </c>
      <c r="CW24" s="44">
        <v>31160.933333333334</v>
      </c>
      <c r="CX24" s="44">
        <v>31160.933333333334</v>
      </c>
      <c r="CY24" s="44">
        <v>31160.933333333334</v>
      </c>
      <c r="CZ24" s="44">
        <v>31160.933333333334</v>
      </c>
      <c r="DA24" s="44">
        <v>31160.933333333334</v>
      </c>
      <c r="DB24" s="44">
        <v>31160.933333333334</v>
      </c>
      <c r="DC24" s="44">
        <v>31160.933333333334</v>
      </c>
      <c r="DD24" s="44">
        <v>31160.933333333334</v>
      </c>
      <c r="DE24" s="44">
        <v>31160.933333333334</v>
      </c>
      <c r="DF24" s="44">
        <v>31160.933333333334</v>
      </c>
      <c r="DG24" s="44">
        <v>31160.933333333334</v>
      </c>
      <c r="DH24" s="44">
        <v>31160.933333333334</v>
      </c>
      <c r="DI24" s="44">
        <v>31160.933333333334</v>
      </c>
      <c r="DJ24" s="44">
        <v>31160.933333333334</v>
      </c>
      <c r="DK24" s="44">
        <v>31160.933333333334</v>
      </c>
      <c r="DL24" s="44">
        <v>31160.933333333334</v>
      </c>
      <c r="DM24" s="44">
        <v>31160.933333333334</v>
      </c>
      <c r="DN24" s="44">
        <v>31160.933333333334</v>
      </c>
      <c r="DO24" s="44">
        <v>31160.933333333334</v>
      </c>
      <c r="DP24" s="44">
        <v>31160.933333333334</v>
      </c>
      <c r="DQ24" s="44">
        <v>31160.933333333334</v>
      </c>
      <c r="DR24" s="44">
        <v>31160.933333333334</v>
      </c>
      <c r="DS24" s="44">
        <v>31160.933333333334</v>
      </c>
      <c r="DT24" s="44">
        <v>31160.933333333334</v>
      </c>
      <c r="DU24" s="44">
        <v>31160.933333333334</v>
      </c>
      <c r="DV24" s="44">
        <v>31160.933333333334</v>
      </c>
      <c r="DW24" s="44">
        <v>31160.933333333334</v>
      </c>
      <c r="DX24" s="44">
        <v>31160.933333333334</v>
      </c>
      <c r="DY24" s="44">
        <v>31160.933333333334</v>
      </c>
      <c r="DZ24" s="44">
        <v>31160.933333333334</v>
      </c>
      <c r="EA24" s="44">
        <v>31160.933333333334</v>
      </c>
      <c r="EB24" s="44">
        <v>31160.933333333334</v>
      </c>
      <c r="EC24" s="44">
        <v>31160.933333333334</v>
      </c>
      <c r="ED24" s="44">
        <v>31160.933333333334</v>
      </c>
      <c r="EE24" s="44">
        <v>31160.933333333334</v>
      </c>
      <c r="EF24" s="44">
        <v>31160.933333333334</v>
      </c>
      <c r="EG24" s="44">
        <v>31160.933333333334</v>
      </c>
      <c r="EH24" s="44">
        <v>31160.933333333334</v>
      </c>
      <c r="EI24" s="44">
        <v>31160.933333333334</v>
      </c>
      <c r="EJ24" s="44">
        <v>31160.933333333334</v>
      </c>
      <c r="EK24" s="44">
        <v>31160.933333333334</v>
      </c>
      <c r="EL24" s="44">
        <v>31160.933333333334</v>
      </c>
      <c r="EM24" s="44">
        <v>31160.933333333334</v>
      </c>
      <c r="EN24" s="44">
        <v>31160.933333333334</v>
      </c>
      <c r="EO24" s="44">
        <v>31160.933333333334</v>
      </c>
      <c r="EP24" s="44">
        <v>31160.933333333334</v>
      </c>
      <c r="EQ24" s="44">
        <v>31160.933333333334</v>
      </c>
      <c r="ER24" s="44">
        <v>31160.933333333334</v>
      </c>
      <c r="ES24" s="44">
        <v>31160.933333333334</v>
      </c>
      <c r="ET24" s="44">
        <v>31160.933333333334</v>
      </c>
      <c r="EU24" s="44">
        <v>31160.933333333334</v>
      </c>
      <c r="EV24" s="44">
        <v>31160.933333333334</v>
      </c>
      <c r="EW24" s="44">
        <v>31160.933333333334</v>
      </c>
      <c r="EX24" s="44">
        <v>31160.933333333334</v>
      </c>
      <c r="EY24" s="44">
        <v>0</v>
      </c>
      <c r="EZ24" s="44">
        <v>0</v>
      </c>
      <c r="FA24" s="44">
        <v>0</v>
      </c>
      <c r="FB24" s="44">
        <v>0</v>
      </c>
      <c r="FC24" s="44">
        <v>0</v>
      </c>
      <c r="FD24" s="44">
        <v>0</v>
      </c>
      <c r="FE24" s="44">
        <v>0</v>
      </c>
      <c r="FF24" s="44">
        <v>0</v>
      </c>
      <c r="FG24" s="44">
        <v>0</v>
      </c>
      <c r="FH24" s="44">
        <v>0</v>
      </c>
      <c r="FI24" s="44">
        <v>0</v>
      </c>
      <c r="FJ24" s="113">
        <v>0</v>
      </c>
    </row>
    <row r="25" spans="1:166" x14ac:dyDescent="0.4">
      <c r="A25" s="112">
        <v>0</v>
      </c>
      <c r="B25" s="43" t="s">
        <v>174</v>
      </c>
      <c r="C25" s="43" t="s">
        <v>381</v>
      </c>
      <c r="D25" s="43" t="s">
        <v>14</v>
      </c>
      <c r="E25" s="43" t="s">
        <v>476</v>
      </c>
      <c r="F25" s="43" t="s">
        <v>483</v>
      </c>
      <c r="G25" s="43" t="s">
        <v>478</v>
      </c>
      <c r="H25" s="43" t="s">
        <v>479</v>
      </c>
      <c r="I25" s="43" t="s">
        <v>480</v>
      </c>
      <c r="J25" s="43" t="s">
        <v>481</v>
      </c>
      <c r="K25" s="43">
        <v>0</v>
      </c>
      <c r="L25" s="43" t="s">
        <v>482</v>
      </c>
      <c r="M25" s="44">
        <v>2</v>
      </c>
      <c r="N25" s="44">
        <v>0</v>
      </c>
      <c r="O25" s="45">
        <v>4674140</v>
      </c>
      <c r="P25" s="45">
        <f>CS_구축!$M25*CS_구축!$O25</f>
        <v>9348280</v>
      </c>
      <c r="Q25" s="44">
        <v>36</v>
      </c>
      <c r="R25" s="44">
        <v>84</v>
      </c>
      <c r="S25" s="43">
        <v>0.04</v>
      </c>
      <c r="T25" s="47">
        <v>1</v>
      </c>
      <c r="U25" s="43">
        <v>0</v>
      </c>
      <c r="V25" s="44">
        <v>31160.933333333334</v>
      </c>
      <c r="W25" s="44">
        <v>2617518.4000000008</v>
      </c>
      <c r="X25" s="44">
        <v>0</v>
      </c>
      <c r="Y25" s="44">
        <v>0</v>
      </c>
      <c r="Z25" s="44">
        <v>0</v>
      </c>
      <c r="AA25" s="44">
        <v>373931.20000000013</v>
      </c>
      <c r="AB25" s="44">
        <v>373931.20000000013</v>
      </c>
      <c r="AC25" s="44">
        <v>373931.20000000013</v>
      </c>
      <c r="AD25" s="44">
        <v>373931.20000000013</v>
      </c>
      <c r="AE25" s="44">
        <v>373931.20000000013</v>
      </c>
      <c r="AF25" s="44">
        <v>373931.20000000013</v>
      </c>
      <c r="AG25" s="44">
        <v>373931.20000000013</v>
      </c>
      <c r="AH25" s="44">
        <v>0</v>
      </c>
      <c r="AI25" s="125">
        <v>0</v>
      </c>
      <c r="AJ25" s="125">
        <v>0</v>
      </c>
      <c r="AK25" s="125">
        <v>0</v>
      </c>
      <c r="AL25" s="125">
        <v>0</v>
      </c>
      <c r="AM25" s="125">
        <v>0</v>
      </c>
      <c r="AN25" s="125">
        <v>0</v>
      </c>
      <c r="AO25" s="125">
        <v>0</v>
      </c>
      <c r="AP25" s="125">
        <v>0</v>
      </c>
      <c r="AQ25" s="125">
        <v>0</v>
      </c>
      <c r="AR25" s="125">
        <v>0</v>
      </c>
      <c r="AS25" s="125">
        <v>0</v>
      </c>
      <c r="AT25" s="125">
        <v>0</v>
      </c>
      <c r="AU25" s="125">
        <v>0</v>
      </c>
      <c r="AV25" s="125">
        <v>0</v>
      </c>
      <c r="AW25" s="125">
        <v>0</v>
      </c>
      <c r="AX25" s="125">
        <v>0</v>
      </c>
      <c r="AY25" s="125">
        <v>0</v>
      </c>
      <c r="AZ25" s="125">
        <v>0</v>
      </c>
      <c r="BA25" s="125">
        <v>0</v>
      </c>
      <c r="BB25" s="125">
        <v>0</v>
      </c>
      <c r="BC25" s="125">
        <v>0</v>
      </c>
      <c r="BD25" s="125">
        <v>0</v>
      </c>
      <c r="BE25" s="125">
        <v>0</v>
      </c>
      <c r="BF25" s="125">
        <v>0</v>
      </c>
      <c r="BG25" s="125">
        <v>0</v>
      </c>
      <c r="BH25" s="125">
        <v>0</v>
      </c>
      <c r="BI25" s="125">
        <v>0</v>
      </c>
      <c r="BJ25" s="125">
        <v>0</v>
      </c>
      <c r="BK25" s="125">
        <v>0</v>
      </c>
      <c r="BL25" s="125">
        <v>0</v>
      </c>
      <c r="BM25" s="125">
        <v>0</v>
      </c>
      <c r="BN25" s="125">
        <v>0</v>
      </c>
      <c r="BO25" s="125">
        <v>0</v>
      </c>
      <c r="BP25" s="125">
        <v>0</v>
      </c>
      <c r="BQ25" s="125">
        <v>0</v>
      </c>
      <c r="BR25" s="125">
        <v>0</v>
      </c>
      <c r="BS25" s="44">
        <v>31160.933333333334</v>
      </c>
      <c r="BT25" s="44">
        <v>31160.933333333334</v>
      </c>
      <c r="BU25" s="44">
        <v>31160.933333333334</v>
      </c>
      <c r="BV25" s="44">
        <v>31160.933333333334</v>
      </c>
      <c r="BW25" s="44">
        <v>31160.933333333334</v>
      </c>
      <c r="BX25" s="44">
        <v>31160.933333333334</v>
      </c>
      <c r="BY25" s="44">
        <v>31160.933333333334</v>
      </c>
      <c r="BZ25" s="44">
        <v>31160.933333333334</v>
      </c>
      <c r="CA25" s="44">
        <v>31160.933333333334</v>
      </c>
      <c r="CB25" s="44">
        <v>31160.933333333334</v>
      </c>
      <c r="CC25" s="44">
        <v>31160.933333333334</v>
      </c>
      <c r="CD25" s="44">
        <v>31160.933333333334</v>
      </c>
      <c r="CE25" s="44">
        <v>31160.933333333334</v>
      </c>
      <c r="CF25" s="44">
        <v>31160.933333333334</v>
      </c>
      <c r="CG25" s="44">
        <v>31160.933333333334</v>
      </c>
      <c r="CH25" s="44">
        <v>31160.933333333334</v>
      </c>
      <c r="CI25" s="44">
        <v>31160.933333333334</v>
      </c>
      <c r="CJ25" s="44">
        <v>31160.933333333334</v>
      </c>
      <c r="CK25" s="44">
        <v>31160.933333333334</v>
      </c>
      <c r="CL25" s="44">
        <v>31160.933333333334</v>
      </c>
      <c r="CM25" s="44">
        <v>31160.933333333334</v>
      </c>
      <c r="CN25" s="44">
        <v>31160.933333333334</v>
      </c>
      <c r="CO25" s="44">
        <v>31160.933333333334</v>
      </c>
      <c r="CP25" s="44">
        <v>31160.933333333334</v>
      </c>
      <c r="CQ25" s="44">
        <v>31160.933333333334</v>
      </c>
      <c r="CR25" s="44">
        <v>31160.933333333334</v>
      </c>
      <c r="CS25" s="44">
        <v>31160.933333333334</v>
      </c>
      <c r="CT25" s="44">
        <v>31160.933333333334</v>
      </c>
      <c r="CU25" s="44">
        <v>31160.933333333334</v>
      </c>
      <c r="CV25" s="44">
        <v>31160.933333333334</v>
      </c>
      <c r="CW25" s="44">
        <v>31160.933333333334</v>
      </c>
      <c r="CX25" s="44">
        <v>31160.933333333334</v>
      </c>
      <c r="CY25" s="44">
        <v>31160.933333333334</v>
      </c>
      <c r="CZ25" s="44">
        <v>31160.933333333334</v>
      </c>
      <c r="DA25" s="44">
        <v>31160.933333333334</v>
      </c>
      <c r="DB25" s="44">
        <v>31160.933333333334</v>
      </c>
      <c r="DC25" s="44">
        <v>31160.933333333334</v>
      </c>
      <c r="DD25" s="44">
        <v>31160.933333333334</v>
      </c>
      <c r="DE25" s="44">
        <v>31160.933333333334</v>
      </c>
      <c r="DF25" s="44">
        <v>31160.933333333334</v>
      </c>
      <c r="DG25" s="44">
        <v>31160.933333333334</v>
      </c>
      <c r="DH25" s="44">
        <v>31160.933333333334</v>
      </c>
      <c r="DI25" s="44">
        <v>31160.933333333334</v>
      </c>
      <c r="DJ25" s="44">
        <v>31160.933333333334</v>
      </c>
      <c r="DK25" s="44">
        <v>31160.933333333334</v>
      </c>
      <c r="DL25" s="44">
        <v>31160.933333333334</v>
      </c>
      <c r="DM25" s="44">
        <v>31160.933333333334</v>
      </c>
      <c r="DN25" s="44">
        <v>31160.933333333334</v>
      </c>
      <c r="DO25" s="44">
        <v>31160.933333333334</v>
      </c>
      <c r="DP25" s="44">
        <v>31160.933333333334</v>
      </c>
      <c r="DQ25" s="44">
        <v>31160.933333333334</v>
      </c>
      <c r="DR25" s="44">
        <v>31160.933333333334</v>
      </c>
      <c r="DS25" s="44">
        <v>31160.933333333334</v>
      </c>
      <c r="DT25" s="44">
        <v>31160.933333333334</v>
      </c>
      <c r="DU25" s="44">
        <v>31160.933333333334</v>
      </c>
      <c r="DV25" s="44">
        <v>31160.933333333334</v>
      </c>
      <c r="DW25" s="44">
        <v>31160.933333333334</v>
      </c>
      <c r="DX25" s="44">
        <v>31160.933333333334</v>
      </c>
      <c r="DY25" s="44">
        <v>31160.933333333334</v>
      </c>
      <c r="DZ25" s="44">
        <v>31160.933333333334</v>
      </c>
      <c r="EA25" s="44">
        <v>31160.933333333334</v>
      </c>
      <c r="EB25" s="44">
        <v>31160.933333333334</v>
      </c>
      <c r="EC25" s="44">
        <v>31160.933333333334</v>
      </c>
      <c r="ED25" s="44">
        <v>31160.933333333334</v>
      </c>
      <c r="EE25" s="44">
        <v>31160.933333333334</v>
      </c>
      <c r="EF25" s="44">
        <v>31160.933333333334</v>
      </c>
      <c r="EG25" s="44">
        <v>31160.933333333334</v>
      </c>
      <c r="EH25" s="44">
        <v>31160.933333333334</v>
      </c>
      <c r="EI25" s="44">
        <v>31160.933333333334</v>
      </c>
      <c r="EJ25" s="44">
        <v>31160.933333333334</v>
      </c>
      <c r="EK25" s="44">
        <v>31160.933333333334</v>
      </c>
      <c r="EL25" s="44">
        <v>31160.933333333334</v>
      </c>
      <c r="EM25" s="44">
        <v>31160.933333333334</v>
      </c>
      <c r="EN25" s="44">
        <v>31160.933333333334</v>
      </c>
      <c r="EO25" s="44">
        <v>31160.933333333334</v>
      </c>
      <c r="EP25" s="44">
        <v>31160.933333333334</v>
      </c>
      <c r="EQ25" s="44">
        <v>31160.933333333334</v>
      </c>
      <c r="ER25" s="44">
        <v>31160.933333333334</v>
      </c>
      <c r="ES25" s="44">
        <v>31160.933333333334</v>
      </c>
      <c r="ET25" s="44">
        <v>31160.933333333334</v>
      </c>
      <c r="EU25" s="44">
        <v>31160.933333333334</v>
      </c>
      <c r="EV25" s="44">
        <v>31160.933333333334</v>
      </c>
      <c r="EW25" s="44">
        <v>31160.933333333334</v>
      </c>
      <c r="EX25" s="44">
        <v>31160.933333333334</v>
      </c>
      <c r="EY25" s="44">
        <v>0</v>
      </c>
      <c r="EZ25" s="44">
        <v>0</v>
      </c>
      <c r="FA25" s="44">
        <v>0</v>
      </c>
      <c r="FB25" s="44">
        <v>0</v>
      </c>
      <c r="FC25" s="44">
        <v>0</v>
      </c>
      <c r="FD25" s="44">
        <v>0</v>
      </c>
      <c r="FE25" s="44">
        <v>0</v>
      </c>
      <c r="FF25" s="44">
        <v>0</v>
      </c>
      <c r="FG25" s="44">
        <v>0</v>
      </c>
      <c r="FH25" s="44">
        <v>0</v>
      </c>
      <c r="FI25" s="44">
        <v>0</v>
      </c>
      <c r="FJ25" s="113">
        <v>0</v>
      </c>
    </row>
    <row r="26" spans="1:166" x14ac:dyDescent="0.4">
      <c r="A26" s="112">
        <v>0</v>
      </c>
      <c r="B26" s="43" t="s">
        <v>174</v>
      </c>
      <c r="C26" s="43" t="s">
        <v>381</v>
      </c>
      <c r="D26" s="43" t="s">
        <v>14</v>
      </c>
      <c r="E26" s="43" t="s">
        <v>476</v>
      </c>
      <c r="F26" s="43" t="s">
        <v>484</v>
      </c>
      <c r="G26" s="43" t="s">
        <v>478</v>
      </c>
      <c r="H26" s="43" t="s">
        <v>485</v>
      </c>
      <c r="I26" s="43" t="s">
        <v>480</v>
      </c>
      <c r="J26" s="43" t="s">
        <v>481</v>
      </c>
      <c r="K26" s="43">
        <v>0</v>
      </c>
      <c r="L26" s="43" t="s">
        <v>482</v>
      </c>
      <c r="M26" s="44">
        <v>2</v>
      </c>
      <c r="N26" s="44">
        <v>0</v>
      </c>
      <c r="O26" s="45">
        <v>8053430</v>
      </c>
      <c r="P26" s="45">
        <f>CS_구축!$M26*CS_구축!$O26</f>
        <v>16106860</v>
      </c>
      <c r="Q26" s="44">
        <v>36</v>
      </c>
      <c r="R26" s="44">
        <v>84</v>
      </c>
      <c r="S26" s="43">
        <v>0.04</v>
      </c>
      <c r="T26" s="47">
        <v>1</v>
      </c>
      <c r="U26" s="43">
        <v>0</v>
      </c>
      <c r="V26" s="44">
        <v>53689.533333333333</v>
      </c>
      <c r="W26" s="44">
        <v>4509920.8</v>
      </c>
      <c r="X26" s="44">
        <v>0</v>
      </c>
      <c r="Y26" s="44">
        <v>0</v>
      </c>
      <c r="Z26" s="44">
        <v>0</v>
      </c>
      <c r="AA26" s="44">
        <v>644274.4</v>
      </c>
      <c r="AB26" s="44">
        <v>644274.4</v>
      </c>
      <c r="AC26" s="44">
        <v>644274.4</v>
      </c>
      <c r="AD26" s="44">
        <v>644274.4</v>
      </c>
      <c r="AE26" s="44">
        <v>644274.4</v>
      </c>
      <c r="AF26" s="44">
        <v>644274.4</v>
      </c>
      <c r="AG26" s="44">
        <v>644274.4</v>
      </c>
      <c r="AH26" s="44">
        <v>0</v>
      </c>
      <c r="AI26" s="125">
        <v>0</v>
      </c>
      <c r="AJ26" s="125">
        <v>0</v>
      </c>
      <c r="AK26" s="125">
        <v>0</v>
      </c>
      <c r="AL26" s="125">
        <v>0</v>
      </c>
      <c r="AM26" s="125">
        <v>0</v>
      </c>
      <c r="AN26" s="125">
        <v>0</v>
      </c>
      <c r="AO26" s="125">
        <v>0</v>
      </c>
      <c r="AP26" s="125">
        <v>0</v>
      </c>
      <c r="AQ26" s="125">
        <v>0</v>
      </c>
      <c r="AR26" s="125">
        <v>0</v>
      </c>
      <c r="AS26" s="125">
        <v>0</v>
      </c>
      <c r="AT26" s="125">
        <v>0</v>
      </c>
      <c r="AU26" s="125">
        <v>0</v>
      </c>
      <c r="AV26" s="125">
        <v>0</v>
      </c>
      <c r="AW26" s="125">
        <v>0</v>
      </c>
      <c r="AX26" s="125">
        <v>0</v>
      </c>
      <c r="AY26" s="125">
        <v>0</v>
      </c>
      <c r="AZ26" s="125">
        <v>0</v>
      </c>
      <c r="BA26" s="125">
        <v>0</v>
      </c>
      <c r="BB26" s="125">
        <v>0</v>
      </c>
      <c r="BC26" s="125">
        <v>0</v>
      </c>
      <c r="BD26" s="125">
        <v>0</v>
      </c>
      <c r="BE26" s="125">
        <v>0</v>
      </c>
      <c r="BF26" s="125">
        <v>0</v>
      </c>
      <c r="BG26" s="125">
        <v>0</v>
      </c>
      <c r="BH26" s="125">
        <v>0</v>
      </c>
      <c r="BI26" s="125">
        <v>0</v>
      </c>
      <c r="BJ26" s="125">
        <v>0</v>
      </c>
      <c r="BK26" s="125">
        <v>0</v>
      </c>
      <c r="BL26" s="125">
        <v>0</v>
      </c>
      <c r="BM26" s="125">
        <v>0</v>
      </c>
      <c r="BN26" s="125">
        <v>0</v>
      </c>
      <c r="BO26" s="125">
        <v>0</v>
      </c>
      <c r="BP26" s="125">
        <v>0</v>
      </c>
      <c r="BQ26" s="125">
        <v>0</v>
      </c>
      <c r="BR26" s="125">
        <v>0</v>
      </c>
      <c r="BS26" s="44">
        <v>53689.533333333333</v>
      </c>
      <c r="BT26" s="44">
        <v>53689.533333333333</v>
      </c>
      <c r="BU26" s="44">
        <v>53689.533333333333</v>
      </c>
      <c r="BV26" s="44">
        <v>53689.533333333333</v>
      </c>
      <c r="BW26" s="44">
        <v>53689.533333333333</v>
      </c>
      <c r="BX26" s="44">
        <v>53689.533333333333</v>
      </c>
      <c r="BY26" s="44">
        <v>53689.533333333333</v>
      </c>
      <c r="BZ26" s="44">
        <v>53689.533333333333</v>
      </c>
      <c r="CA26" s="44">
        <v>53689.533333333333</v>
      </c>
      <c r="CB26" s="44">
        <v>53689.533333333333</v>
      </c>
      <c r="CC26" s="44">
        <v>53689.533333333333</v>
      </c>
      <c r="CD26" s="44">
        <v>53689.533333333333</v>
      </c>
      <c r="CE26" s="44">
        <v>53689.533333333333</v>
      </c>
      <c r="CF26" s="44">
        <v>53689.533333333333</v>
      </c>
      <c r="CG26" s="44">
        <v>53689.533333333333</v>
      </c>
      <c r="CH26" s="44">
        <v>53689.533333333333</v>
      </c>
      <c r="CI26" s="44">
        <v>53689.533333333333</v>
      </c>
      <c r="CJ26" s="44">
        <v>53689.533333333333</v>
      </c>
      <c r="CK26" s="44">
        <v>53689.533333333333</v>
      </c>
      <c r="CL26" s="44">
        <v>53689.533333333333</v>
      </c>
      <c r="CM26" s="44">
        <v>53689.533333333333</v>
      </c>
      <c r="CN26" s="44">
        <v>53689.533333333333</v>
      </c>
      <c r="CO26" s="44">
        <v>53689.533333333333</v>
      </c>
      <c r="CP26" s="44">
        <v>53689.533333333333</v>
      </c>
      <c r="CQ26" s="44">
        <v>53689.533333333333</v>
      </c>
      <c r="CR26" s="44">
        <v>53689.533333333333</v>
      </c>
      <c r="CS26" s="44">
        <v>53689.533333333333</v>
      </c>
      <c r="CT26" s="44">
        <v>53689.533333333333</v>
      </c>
      <c r="CU26" s="44">
        <v>53689.533333333333</v>
      </c>
      <c r="CV26" s="44">
        <v>53689.533333333333</v>
      </c>
      <c r="CW26" s="44">
        <v>53689.533333333333</v>
      </c>
      <c r="CX26" s="44">
        <v>53689.533333333333</v>
      </c>
      <c r="CY26" s="44">
        <v>53689.533333333333</v>
      </c>
      <c r="CZ26" s="44">
        <v>53689.533333333333</v>
      </c>
      <c r="DA26" s="44">
        <v>53689.533333333333</v>
      </c>
      <c r="DB26" s="44">
        <v>53689.533333333333</v>
      </c>
      <c r="DC26" s="44">
        <v>53689.533333333333</v>
      </c>
      <c r="DD26" s="44">
        <v>53689.533333333333</v>
      </c>
      <c r="DE26" s="44">
        <v>53689.533333333333</v>
      </c>
      <c r="DF26" s="44">
        <v>53689.533333333333</v>
      </c>
      <c r="DG26" s="44">
        <v>53689.533333333333</v>
      </c>
      <c r="DH26" s="44">
        <v>53689.533333333333</v>
      </c>
      <c r="DI26" s="44">
        <v>53689.533333333333</v>
      </c>
      <c r="DJ26" s="44">
        <v>53689.533333333333</v>
      </c>
      <c r="DK26" s="44">
        <v>53689.533333333333</v>
      </c>
      <c r="DL26" s="44">
        <v>53689.533333333333</v>
      </c>
      <c r="DM26" s="44">
        <v>53689.533333333333</v>
      </c>
      <c r="DN26" s="44">
        <v>53689.533333333333</v>
      </c>
      <c r="DO26" s="44">
        <v>53689.533333333333</v>
      </c>
      <c r="DP26" s="44">
        <v>53689.533333333333</v>
      </c>
      <c r="DQ26" s="44">
        <v>53689.533333333333</v>
      </c>
      <c r="DR26" s="44">
        <v>53689.533333333333</v>
      </c>
      <c r="DS26" s="44">
        <v>53689.533333333333</v>
      </c>
      <c r="DT26" s="44">
        <v>53689.533333333333</v>
      </c>
      <c r="DU26" s="44">
        <v>53689.533333333333</v>
      </c>
      <c r="DV26" s="44">
        <v>53689.533333333333</v>
      </c>
      <c r="DW26" s="44">
        <v>53689.533333333333</v>
      </c>
      <c r="DX26" s="44">
        <v>53689.533333333333</v>
      </c>
      <c r="DY26" s="44">
        <v>53689.533333333333</v>
      </c>
      <c r="DZ26" s="44">
        <v>53689.533333333333</v>
      </c>
      <c r="EA26" s="44">
        <v>53689.533333333333</v>
      </c>
      <c r="EB26" s="44">
        <v>53689.533333333333</v>
      </c>
      <c r="EC26" s="44">
        <v>53689.533333333333</v>
      </c>
      <c r="ED26" s="44">
        <v>53689.533333333333</v>
      </c>
      <c r="EE26" s="44">
        <v>53689.533333333333</v>
      </c>
      <c r="EF26" s="44">
        <v>53689.533333333333</v>
      </c>
      <c r="EG26" s="44">
        <v>53689.533333333333</v>
      </c>
      <c r="EH26" s="44">
        <v>53689.533333333333</v>
      </c>
      <c r="EI26" s="44">
        <v>53689.533333333333</v>
      </c>
      <c r="EJ26" s="44">
        <v>53689.533333333333</v>
      </c>
      <c r="EK26" s="44">
        <v>53689.533333333333</v>
      </c>
      <c r="EL26" s="44">
        <v>53689.533333333333</v>
      </c>
      <c r="EM26" s="44">
        <v>53689.533333333333</v>
      </c>
      <c r="EN26" s="44">
        <v>53689.533333333333</v>
      </c>
      <c r="EO26" s="44">
        <v>53689.533333333333</v>
      </c>
      <c r="EP26" s="44">
        <v>53689.533333333333</v>
      </c>
      <c r="EQ26" s="44">
        <v>53689.533333333333</v>
      </c>
      <c r="ER26" s="44">
        <v>53689.533333333333</v>
      </c>
      <c r="ES26" s="44">
        <v>53689.533333333333</v>
      </c>
      <c r="ET26" s="44">
        <v>53689.533333333333</v>
      </c>
      <c r="EU26" s="44">
        <v>53689.533333333333</v>
      </c>
      <c r="EV26" s="44">
        <v>53689.533333333333</v>
      </c>
      <c r="EW26" s="44">
        <v>53689.533333333333</v>
      </c>
      <c r="EX26" s="44">
        <v>53689.533333333333</v>
      </c>
      <c r="EY26" s="44">
        <v>0</v>
      </c>
      <c r="EZ26" s="44">
        <v>0</v>
      </c>
      <c r="FA26" s="44">
        <v>0</v>
      </c>
      <c r="FB26" s="44">
        <v>0</v>
      </c>
      <c r="FC26" s="44">
        <v>0</v>
      </c>
      <c r="FD26" s="44">
        <v>0</v>
      </c>
      <c r="FE26" s="44">
        <v>0</v>
      </c>
      <c r="FF26" s="44">
        <v>0</v>
      </c>
      <c r="FG26" s="44">
        <v>0</v>
      </c>
      <c r="FH26" s="44">
        <v>0</v>
      </c>
      <c r="FI26" s="44">
        <v>0</v>
      </c>
      <c r="FJ26" s="113">
        <v>0</v>
      </c>
    </row>
    <row r="27" spans="1:166" x14ac:dyDescent="0.4">
      <c r="A27" s="112">
        <v>0</v>
      </c>
      <c r="B27" s="43" t="s">
        <v>174</v>
      </c>
      <c r="C27" s="43" t="s">
        <v>381</v>
      </c>
      <c r="D27" s="43" t="s">
        <v>14</v>
      </c>
      <c r="E27" s="43" t="s">
        <v>476</v>
      </c>
      <c r="F27" s="43" t="s">
        <v>486</v>
      </c>
      <c r="G27" s="43" t="s">
        <v>487</v>
      </c>
      <c r="H27" s="43" t="s">
        <v>488</v>
      </c>
      <c r="I27" s="43" t="s">
        <v>480</v>
      </c>
      <c r="J27" s="43" t="s">
        <v>481</v>
      </c>
      <c r="K27" s="43">
        <v>0</v>
      </c>
      <c r="L27" s="43" t="s">
        <v>482</v>
      </c>
      <c r="M27" s="44">
        <v>1</v>
      </c>
      <c r="N27" s="44">
        <v>0</v>
      </c>
      <c r="O27" s="45">
        <v>29000000</v>
      </c>
      <c r="P27" s="45">
        <f>CS_구축!$M27*CS_구축!$O27</f>
        <v>29000000</v>
      </c>
      <c r="Q27" s="44">
        <v>36</v>
      </c>
      <c r="R27" s="44">
        <v>84</v>
      </c>
      <c r="S27" s="43">
        <v>0.08</v>
      </c>
      <c r="T27" s="47">
        <v>1</v>
      </c>
      <c r="U27" s="43">
        <v>0</v>
      </c>
      <c r="V27" s="44">
        <v>193333.33333333334</v>
      </c>
      <c r="W27" s="44">
        <v>16240000</v>
      </c>
      <c r="X27" s="44">
        <v>0</v>
      </c>
      <c r="Y27" s="44">
        <v>0</v>
      </c>
      <c r="Z27" s="44">
        <v>0</v>
      </c>
      <c r="AA27" s="44">
        <v>2320000</v>
      </c>
      <c r="AB27" s="44">
        <v>2320000</v>
      </c>
      <c r="AC27" s="44">
        <v>2320000</v>
      </c>
      <c r="AD27" s="44">
        <v>2320000</v>
      </c>
      <c r="AE27" s="44">
        <v>2320000</v>
      </c>
      <c r="AF27" s="44">
        <v>2320000</v>
      </c>
      <c r="AG27" s="44">
        <v>2320000</v>
      </c>
      <c r="AH27" s="44">
        <v>0</v>
      </c>
      <c r="AI27" s="125">
        <v>0</v>
      </c>
      <c r="AJ27" s="125">
        <v>0</v>
      </c>
      <c r="AK27" s="125">
        <v>0</v>
      </c>
      <c r="AL27" s="125">
        <v>0</v>
      </c>
      <c r="AM27" s="125">
        <v>0</v>
      </c>
      <c r="AN27" s="125">
        <v>0</v>
      </c>
      <c r="AO27" s="125">
        <v>0</v>
      </c>
      <c r="AP27" s="125">
        <v>0</v>
      </c>
      <c r="AQ27" s="125">
        <v>0</v>
      </c>
      <c r="AR27" s="125">
        <v>0</v>
      </c>
      <c r="AS27" s="125">
        <v>0</v>
      </c>
      <c r="AT27" s="125">
        <v>0</v>
      </c>
      <c r="AU27" s="125">
        <v>0</v>
      </c>
      <c r="AV27" s="125">
        <v>0</v>
      </c>
      <c r="AW27" s="125">
        <v>0</v>
      </c>
      <c r="AX27" s="125">
        <v>0</v>
      </c>
      <c r="AY27" s="125">
        <v>0</v>
      </c>
      <c r="AZ27" s="125">
        <v>0</v>
      </c>
      <c r="BA27" s="125">
        <v>0</v>
      </c>
      <c r="BB27" s="125">
        <v>0</v>
      </c>
      <c r="BC27" s="125">
        <v>0</v>
      </c>
      <c r="BD27" s="125">
        <v>0</v>
      </c>
      <c r="BE27" s="125">
        <v>0</v>
      </c>
      <c r="BF27" s="125">
        <v>0</v>
      </c>
      <c r="BG27" s="125">
        <v>0</v>
      </c>
      <c r="BH27" s="125">
        <v>0</v>
      </c>
      <c r="BI27" s="125">
        <v>0</v>
      </c>
      <c r="BJ27" s="125">
        <v>0</v>
      </c>
      <c r="BK27" s="125">
        <v>0</v>
      </c>
      <c r="BL27" s="125">
        <v>0</v>
      </c>
      <c r="BM27" s="125">
        <v>0</v>
      </c>
      <c r="BN27" s="125">
        <v>0</v>
      </c>
      <c r="BO27" s="125">
        <v>0</v>
      </c>
      <c r="BP27" s="125">
        <v>0</v>
      </c>
      <c r="BQ27" s="125">
        <v>0</v>
      </c>
      <c r="BR27" s="125">
        <v>0</v>
      </c>
      <c r="BS27" s="44">
        <v>193333.33333333334</v>
      </c>
      <c r="BT27" s="44">
        <v>193333.33333333334</v>
      </c>
      <c r="BU27" s="44">
        <v>193333.33333333334</v>
      </c>
      <c r="BV27" s="44">
        <v>193333.33333333334</v>
      </c>
      <c r="BW27" s="44">
        <v>193333.33333333334</v>
      </c>
      <c r="BX27" s="44">
        <v>193333.33333333334</v>
      </c>
      <c r="BY27" s="44">
        <v>193333.33333333334</v>
      </c>
      <c r="BZ27" s="44">
        <v>193333.33333333334</v>
      </c>
      <c r="CA27" s="44">
        <v>193333.33333333334</v>
      </c>
      <c r="CB27" s="44">
        <v>193333.33333333334</v>
      </c>
      <c r="CC27" s="44">
        <v>193333.33333333334</v>
      </c>
      <c r="CD27" s="44">
        <v>193333.33333333334</v>
      </c>
      <c r="CE27" s="44">
        <v>193333.33333333334</v>
      </c>
      <c r="CF27" s="44">
        <v>193333.33333333334</v>
      </c>
      <c r="CG27" s="44">
        <v>193333.33333333334</v>
      </c>
      <c r="CH27" s="44">
        <v>193333.33333333334</v>
      </c>
      <c r="CI27" s="44">
        <v>193333.33333333334</v>
      </c>
      <c r="CJ27" s="44">
        <v>193333.33333333334</v>
      </c>
      <c r="CK27" s="44">
        <v>193333.33333333334</v>
      </c>
      <c r="CL27" s="44">
        <v>193333.33333333334</v>
      </c>
      <c r="CM27" s="44">
        <v>193333.33333333334</v>
      </c>
      <c r="CN27" s="44">
        <v>193333.33333333334</v>
      </c>
      <c r="CO27" s="44">
        <v>193333.33333333334</v>
      </c>
      <c r="CP27" s="44">
        <v>193333.33333333334</v>
      </c>
      <c r="CQ27" s="44">
        <v>193333.33333333334</v>
      </c>
      <c r="CR27" s="44">
        <v>193333.33333333334</v>
      </c>
      <c r="CS27" s="44">
        <v>193333.33333333334</v>
      </c>
      <c r="CT27" s="44">
        <v>193333.33333333334</v>
      </c>
      <c r="CU27" s="44">
        <v>193333.33333333334</v>
      </c>
      <c r="CV27" s="44">
        <v>193333.33333333334</v>
      </c>
      <c r="CW27" s="44">
        <v>193333.33333333334</v>
      </c>
      <c r="CX27" s="44">
        <v>193333.33333333334</v>
      </c>
      <c r="CY27" s="44">
        <v>193333.33333333334</v>
      </c>
      <c r="CZ27" s="44">
        <v>193333.33333333334</v>
      </c>
      <c r="DA27" s="44">
        <v>193333.33333333334</v>
      </c>
      <c r="DB27" s="44">
        <v>193333.33333333334</v>
      </c>
      <c r="DC27" s="44">
        <v>193333.33333333334</v>
      </c>
      <c r="DD27" s="44">
        <v>193333.33333333334</v>
      </c>
      <c r="DE27" s="44">
        <v>193333.33333333334</v>
      </c>
      <c r="DF27" s="44">
        <v>193333.33333333334</v>
      </c>
      <c r="DG27" s="44">
        <v>193333.33333333334</v>
      </c>
      <c r="DH27" s="44">
        <v>193333.33333333334</v>
      </c>
      <c r="DI27" s="44">
        <v>193333.33333333334</v>
      </c>
      <c r="DJ27" s="44">
        <v>193333.33333333334</v>
      </c>
      <c r="DK27" s="44">
        <v>193333.33333333334</v>
      </c>
      <c r="DL27" s="44">
        <v>193333.33333333334</v>
      </c>
      <c r="DM27" s="44">
        <v>193333.33333333334</v>
      </c>
      <c r="DN27" s="44">
        <v>193333.33333333334</v>
      </c>
      <c r="DO27" s="44">
        <v>193333.33333333334</v>
      </c>
      <c r="DP27" s="44">
        <v>193333.33333333334</v>
      </c>
      <c r="DQ27" s="44">
        <v>193333.33333333334</v>
      </c>
      <c r="DR27" s="44">
        <v>193333.33333333334</v>
      </c>
      <c r="DS27" s="44">
        <v>193333.33333333334</v>
      </c>
      <c r="DT27" s="44">
        <v>193333.33333333334</v>
      </c>
      <c r="DU27" s="44">
        <v>193333.33333333334</v>
      </c>
      <c r="DV27" s="44">
        <v>193333.33333333334</v>
      </c>
      <c r="DW27" s="44">
        <v>193333.33333333334</v>
      </c>
      <c r="DX27" s="44">
        <v>193333.33333333334</v>
      </c>
      <c r="DY27" s="44">
        <v>193333.33333333334</v>
      </c>
      <c r="DZ27" s="44">
        <v>193333.33333333334</v>
      </c>
      <c r="EA27" s="44">
        <v>193333.33333333334</v>
      </c>
      <c r="EB27" s="44">
        <v>193333.33333333334</v>
      </c>
      <c r="EC27" s="44">
        <v>193333.33333333334</v>
      </c>
      <c r="ED27" s="44">
        <v>193333.33333333334</v>
      </c>
      <c r="EE27" s="44">
        <v>193333.33333333334</v>
      </c>
      <c r="EF27" s="44">
        <v>193333.33333333334</v>
      </c>
      <c r="EG27" s="44">
        <v>193333.33333333334</v>
      </c>
      <c r="EH27" s="44">
        <v>193333.33333333334</v>
      </c>
      <c r="EI27" s="44">
        <v>193333.33333333334</v>
      </c>
      <c r="EJ27" s="44">
        <v>193333.33333333334</v>
      </c>
      <c r="EK27" s="44">
        <v>193333.33333333334</v>
      </c>
      <c r="EL27" s="44">
        <v>193333.33333333334</v>
      </c>
      <c r="EM27" s="44">
        <v>193333.33333333334</v>
      </c>
      <c r="EN27" s="44">
        <v>193333.33333333334</v>
      </c>
      <c r="EO27" s="44">
        <v>193333.33333333334</v>
      </c>
      <c r="EP27" s="44">
        <v>193333.33333333334</v>
      </c>
      <c r="EQ27" s="44">
        <v>193333.33333333334</v>
      </c>
      <c r="ER27" s="44">
        <v>193333.33333333334</v>
      </c>
      <c r="ES27" s="44">
        <v>193333.33333333334</v>
      </c>
      <c r="ET27" s="44">
        <v>193333.33333333334</v>
      </c>
      <c r="EU27" s="44">
        <v>193333.33333333334</v>
      </c>
      <c r="EV27" s="44">
        <v>193333.33333333334</v>
      </c>
      <c r="EW27" s="44">
        <v>193333.33333333334</v>
      </c>
      <c r="EX27" s="44">
        <v>193333.33333333334</v>
      </c>
      <c r="EY27" s="44">
        <v>0</v>
      </c>
      <c r="EZ27" s="44">
        <v>0</v>
      </c>
      <c r="FA27" s="44">
        <v>0</v>
      </c>
      <c r="FB27" s="44">
        <v>0</v>
      </c>
      <c r="FC27" s="44">
        <v>0</v>
      </c>
      <c r="FD27" s="44">
        <v>0</v>
      </c>
      <c r="FE27" s="44">
        <v>0</v>
      </c>
      <c r="FF27" s="44">
        <v>0</v>
      </c>
      <c r="FG27" s="44">
        <v>0</v>
      </c>
      <c r="FH27" s="44">
        <v>0</v>
      </c>
      <c r="FI27" s="44">
        <v>0</v>
      </c>
      <c r="FJ27" s="113">
        <v>0</v>
      </c>
    </row>
    <row r="28" spans="1:166" x14ac:dyDescent="0.4">
      <c r="A28" s="112">
        <v>0</v>
      </c>
      <c r="B28" s="43" t="s">
        <v>174</v>
      </c>
      <c r="C28" s="43" t="s">
        <v>381</v>
      </c>
      <c r="D28" s="43" t="s">
        <v>14</v>
      </c>
      <c r="E28" s="43" t="s">
        <v>476</v>
      </c>
      <c r="F28" s="43" t="s">
        <v>489</v>
      </c>
      <c r="G28" s="43" t="s">
        <v>490</v>
      </c>
      <c r="H28" s="43" t="s">
        <v>491</v>
      </c>
      <c r="I28" s="43" t="s">
        <v>492</v>
      </c>
      <c r="J28" s="43" t="s">
        <v>481</v>
      </c>
      <c r="K28" s="43">
        <v>0</v>
      </c>
      <c r="L28" s="43" t="s">
        <v>493</v>
      </c>
      <c r="M28" s="44">
        <v>6</v>
      </c>
      <c r="N28" s="44">
        <v>0</v>
      </c>
      <c r="O28" s="45">
        <v>1050000</v>
      </c>
      <c r="P28" s="45">
        <f>CS_구축!$M28*CS_구축!$O28</f>
        <v>6300000</v>
      </c>
      <c r="Q28" s="44">
        <v>12</v>
      </c>
      <c r="R28" s="44">
        <v>108</v>
      </c>
      <c r="S28" s="43">
        <v>2</v>
      </c>
      <c r="T28" s="47">
        <v>1</v>
      </c>
      <c r="U28" s="43">
        <v>0</v>
      </c>
      <c r="V28" s="44">
        <v>1050000</v>
      </c>
      <c r="W28" s="44">
        <v>113400000</v>
      </c>
      <c r="X28" s="44">
        <v>0</v>
      </c>
      <c r="Y28" s="44">
        <v>12600000</v>
      </c>
      <c r="Z28" s="44">
        <v>12600000</v>
      </c>
      <c r="AA28" s="44">
        <v>12600000</v>
      </c>
      <c r="AB28" s="44">
        <v>12600000</v>
      </c>
      <c r="AC28" s="44">
        <v>12600000</v>
      </c>
      <c r="AD28" s="44">
        <v>12600000</v>
      </c>
      <c r="AE28" s="44">
        <v>12600000</v>
      </c>
      <c r="AF28" s="44">
        <v>12600000</v>
      </c>
      <c r="AG28" s="44">
        <v>12600000</v>
      </c>
      <c r="AH28" s="44">
        <v>0</v>
      </c>
      <c r="AI28" s="125">
        <v>0</v>
      </c>
      <c r="AJ28" s="125">
        <v>0</v>
      </c>
      <c r="AK28" s="125">
        <v>0</v>
      </c>
      <c r="AL28" s="125">
        <v>0</v>
      </c>
      <c r="AM28" s="125">
        <v>0</v>
      </c>
      <c r="AN28" s="125">
        <v>0</v>
      </c>
      <c r="AO28" s="125">
        <v>0</v>
      </c>
      <c r="AP28" s="125">
        <v>0</v>
      </c>
      <c r="AQ28" s="125">
        <v>0</v>
      </c>
      <c r="AR28" s="125">
        <v>0</v>
      </c>
      <c r="AS28" s="125">
        <v>0</v>
      </c>
      <c r="AT28" s="125">
        <v>0</v>
      </c>
      <c r="AU28" s="44">
        <v>1050000</v>
      </c>
      <c r="AV28" s="44">
        <v>1050000</v>
      </c>
      <c r="AW28" s="44">
        <v>1050000</v>
      </c>
      <c r="AX28" s="44">
        <v>1050000</v>
      </c>
      <c r="AY28" s="44">
        <v>1050000</v>
      </c>
      <c r="AZ28" s="44">
        <v>1050000</v>
      </c>
      <c r="BA28" s="44">
        <v>1050000</v>
      </c>
      <c r="BB28" s="44">
        <v>1050000</v>
      </c>
      <c r="BC28" s="44">
        <v>1050000</v>
      </c>
      <c r="BD28" s="44">
        <v>1050000</v>
      </c>
      <c r="BE28" s="44">
        <v>1050000</v>
      </c>
      <c r="BF28" s="44">
        <v>1050000</v>
      </c>
      <c r="BG28" s="44">
        <v>1050000</v>
      </c>
      <c r="BH28" s="44">
        <v>1050000</v>
      </c>
      <c r="BI28" s="44">
        <v>1050000</v>
      </c>
      <c r="BJ28" s="44">
        <v>1050000</v>
      </c>
      <c r="BK28" s="44">
        <v>1050000</v>
      </c>
      <c r="BL28" s="44">
        <v>1050000</v>
      </c>
      <c r="BM28" s="44">
        <v>1050000</v>
      </c>
      <c r="BN28" s="44">
        <v>1050000</v>
      </c>
      <c r="BO28" s="44">
        <v>1050000</v>
      </c>
      <c r="BP28" s="44">
        <v>1050000</v>
      </c>
      <c r="BQ28" s="44">
        <v>1050000</v>
      </c>
      <c r="BR28" s="44">
        <v>1050000</v>
      </c>
      <c r="BS28" s="44">
        <v>1050000</v>
      </c>
      <c r="BT28" s="44">
        <v>1050000</v>
      </c>
      <c r="BU28" s="44">
        <v>1050000</v>
      </c>
      <c r="BV28" s="44">
        <v>1050000</v>
      </c>
      <c r="BW28" s="44">
        <v>1050000</v>
      </c>
      <c r="BX28" s="44">
        <v>1050000</v>
      </c>
      <c r="BY28" s="44">
        <v>1050000</v>
      </c>
      <c r="BZ28" s="44">
        <v>1050000</v>
      </c>
      <c r="CA28" s="44">
        <v>1050000</v>
      </c>
      <c r="CB28" s="44">
        <v>1050000</v>
      </c>
      <c r="CC28" s="44">
        <v>1050000</v>
      </c>
      <c r="CD28" s="44">
        <v>1050000</v>
      </c>
      <c r="CE28" s="44">
        <v>1050000</v>
      </c>
      <c r="CF28" s="44">
        <v>1050000</v>
      </c>
      <c r="CG28" s="44">
        <v>1050000</v>
      </c>
      <c r="CH28" s="44">
        <v>1050000</v>
      </c>
      <c r="CI28" s="44">
        <v>1050000</v>
      </c>
      <c r="CJ28" s="44">
        <v>1050000</v>
      </c>
      <c r="CK28" s="44">
        <v>1050000</v>
      </c>
      <c r="CL28" s="44">
        <v>1050000</v>
      </c>
      <c r="CM28" s="44">
        <v>1050000</v>
      </c>
      <c r="CN28" s="44">
        <v>1050000</v>
      </c>
      <c r="CO28" s="44">
        <v>1050000</v>
      </c>
      <c r="CP28" s="44">
        <v>1050000</v>
      </c>
      <c r="CQ28" s="44">
        <v>1050000</v>
      </c>
      <c r="CR28" s="44">
        <v>1050000</v>
      </c>
      <c r="CS28" s="44">
        <v>1050000</v>
      </c>
      <c r="CT28" s="44">
        <v>1050000</v>
      </c>
      <c r="CU28" s="44">
        <v>1050000</v>
      </c>
      <c r="CV28" s="44">
        <v>1050000</v>
      </c>
      <c r="CW28" s="44">
        <v>1050000</v>
      </c>
      <c r="CX28" s="44">
        <v>1050000</v>
      </c>
      <c r="CY28" s="44">
        <v>1050000</v>
      </c>
      <c r="CZ28" s="44">
        <v>1050000</v>
      </c>
      <c r="DA28" s="44">
        <v>1050000</v>
      </c>
      <c r="DB28" s="44">
        <v>1050000</v>
      </c>
      <c r="DC28" s="44">
        <v>1050000</v>
      </c>
      <c r="DD28" s="44">
        <v>1050000</v>
      </c>
      <c r="DE28" s="44">
        <v>1050000</v>
      </c>
      <c r="DF28" s="44">
        <v>1050000</v>
      </c>
      <c r="DG28" s="44">
        <v>1050000</v>
      </c>
      <c r="DH28" s="44">
        <v>1050000</v>
      </c>
      <c r="DI28" s="44">
        <v>1050000</v>
      </c>
      <c r="DJ28" s="44">
        <v>1050000</v>
      </c>
      <c r="DK28" s="44">
        <v>1050000</v>
      </c>
      <c r="DL28" s="44">
        <v>1050000</v>
      </c>
      <c r="DM28" s="44">
        <v>1050000</v>
      </c>
      <c r="DN28" s="44">
        <v>1050000</v>
      </c>
      <c r="DO28" s="44">
        <v>1050000</v>
      </c>
      <c r="DP28" s="44">
        <v>1050000</v>
      </c>
      <c r="DQ28" s="44">
        <v>1050000</v>
      </c>
      <c r="DR28" s="44">
        <v>1050000</v>
      </c>
      <c r="DS28" s="44">
        <v>1050000</v>
      </c>
      <c r="DT28" s="44">
        <v>1050000</v>
      </c>
      <c r="DU28" s="44">
        <v>1050000</v>
      </c>
      <c r="DV28" s="44">
        <v>1050000</v>
      </c>
      <c r="DW28" s="44">
        <v>1050000</v>
      </c>
      <c r="DX28" s="44">
        <v>1050000</v>
      </c>
      <c r="DY28" s="44">
        <v>1050000</v>
      </c>
      <c r="DZ28" s="44">
        <v>1050000</v>
      </c>
      <c r="EA28" s="44">
        <v>1050000</v>
      </c>
      <c r="EB28" s="44">
        <v>1050000</v>
      </c>
      <c r="EC28" s="44">
        <v>1050000</v>
      </c>
      <c r="ED28" s="44">
        <v>1050000</v>
      </c>
      <c r="EE28" s="44">
        <v>1050000</v>
      </c>
      <c r="EF28" s="44">
        <v>1050000</v>
      </c>
      <c r="EG28" s="44">
        <v>1050000</v>
      </c>
      <c r="EH28" s="44">
        <v>1050000</v>
      </c>
      <c r="EI28" s="44">
        <v>1050000</v>
      </c>
      <c r="EJ28" s="44">
        <v>1050000</v>
      </c>
      <c r="EK28" s="44">
        <v>1050000</v>
      </c>
      <c r="EL28" s="44">
        <v>1050000</v>
      </c>
      <c r="EM28" s="44">
        <v>1050000</v>
      </c>
      <c r="EN28" s="44">
        <v>1050000</v>
      </c>
      <c r="EO28" s="44">
        <v>1050000</v>
      </c>
      <c r="EP28" s="44">
        <v>1050000</v>
      </c>
      <c r="EQ28" s="44">
        <v>1050000</v>
      </c>
      <c r="ER28" s="44">
        <v>1050000</v>
      </c>
      <c r="ES28" s="44">
        <v>1050000</v>
      </c>
      <c r="ET28" s="44">
        <v>1050000</v>
      </c>
      <c r="EU28" s="44">
        <v>1050000</v>
      </c>
      <c r="EV28" s="44">
        <v>1050000</v>
      </c>
      <c r="EW28" s="44">
        <v>1050000</v>
      </c>
      <c r="EX28" s="44">
        <v>1050000</v>
      </c>
      <c r="EY28" s="44">
        <v>0</v>
      </c>
      <c r="EZ28" s="44">
        <v>0</v>
      </c>
      <c r="FA28" s="44">
        <v>0</v>
      </c>
      <c r="FB28" s="44">
        <v>0</v>
      </c>
      <c r="FC28" s="44">
        <v>0</v>
      </c>
      <c r="FD28" s="44">
        <v>0</v>
      </c>
      <c r="FE28" s="44">
        <v>0</v>
      </c>
      <c r="FF28" s="44">
        <v>0</v>
      </c>
      <c r="FG28" s="44">
        <v>0</v>
      </c>
      <c r="FH28" s="44">
        <v>0</v>
      </c>
      <c r="FI28" s="44">
        <v>0</v>
      </c>
      <c r="FJ28" s="113">
        <v>0</v>
      </c>
    </row>
    <row r="29" spans="1:166" x14ac:dyDescent="0.4">
      <c r="A29" s="112">
        <v>0</v>
      </c>
      <c r="B29" s="43" t="s">
        <v>174</v>
      </c>
      <c r="C29" s="43" t="s">
        <v>381</v>
      </c>
      <c r="D29" s="43" t="s">
        <v>14</v>
      </c>
      <c r="E29" s="43" t="s">
        <v>476</v>
      </c>
      <c r="F29" s="43" t="s">
        <v>494</v>
      </c>
      <c r="G29" s="43" t="s">
        <v>495</v>
      </c>
      <c r="H29" s="43" t="s">
        <v>496</v>
      </c>
      <c r="I29" s="43" t="s">
        <v>481</v>
      </c>
      <c r="J29" s="43" t="s">
        <v>481</v>
      </c>
      <c r="K29" s="43">
        <v>0</v>
      </c>
      <c r="L29" s="43" t="s">
        <v>482</v>
      </c>
      <c r="M29" s="44">
        <v>6</v>
      </c>
      <c r="N29" s="44">
        <v>0</v>
      </c>
      <c r="O29" s="45">
        <v>100000</v>
      </c>
      <c r="P29" s="45">
        <f>CS_구축!$M29*CS_구축!$O29</f>
        <v>600000</v>
      </c>
      <c r="Q29" s="44">
        <v>0</v>
      </c>
      <c r="R29" s="44">
        <v>0</v>
      </c>
      <c r="S29" s="43">
        <v>0</v>
      </c>
      <c r="T29" s="47">
        <v>1</v>
      </c>
      <c r="U29" s="43">
        <v>0</v>
      </c>
      <c r="V29" s="44">
        <v>0</v>
      </c>
      <c r="W29" s="44">
        <v>0</v>
      </c>
      <c r="X29" s="44">
        <v>0</v>
      </c>
      <c r="Y29" s="44">
        <v>0</v>
      </c>
      <c r="Z29" s="44">
        <v>0</v>
      </c>
      <c r="AA29" s="44">
        <v>0</v>
      </c>
      <c r="AB29" s="44">
        <v>0</v>
      </c>
      <c r="AC29" s="44">
        <v>0</v>
      </c>
      <c r="AD29" s="44">
        <v>0</v>
      </c>
      <c r="AE29" s="44">
        <v>0</v>
      </c>
      <c r="AF29" s="44">
        <v>0</v>
      </c>
      <c r="AG29" s="44">
        <v>0</v>
      </c>
      <c r="AH29" s="44">
        <v>0</v>
      </c>
      <c r="AI29" s="44">
        <v>0</v>
      </c>
      <c r="AJ29" s="44">
        <v>0</v>
      </c>
      <c r="AK29" s="44">
        <v>0</v>
      </c>
      <c r="AL29" s="44">
        <v>0</v>
      </c>
      <c r="AM29" s="44">
        <v>0</v>
      </c>
      <c r="AN29" s="44">
        <v>0</v>
      </c>
      <c r="AO29" s="44">
        <v>0</v>
      </c>
      <c r="AP29" s="44">
        <v>0</v>
      </c>
      <c r="AQ29" s="44">
        <v>0</v>
      </c>
      <c r="AR29" s="44">
        <v>0</v>
      </c>
      <c r="AS29" s="44">
        <v>0</v>
      </c>
      <c r="AT29" s="44">
        <v>0</v>
      </c>
      <c r="AU29" s="44">
        <v>0</v>
      </c>
      <c r="AV29" s="44">
        <v>0</v>
      </c>
      <c r="AW29" s="44">
        <v>0</v>
      </c>
      <c r="AX29" s="44">
        <v>0</v>
      </c>
      <c r="AY29" s="44">
        <v>0</v>
      </c>
      <c r="AZ29" s="44">
        <v>0</v>
      </c>
      <c r="BA29" s="44">
        <v>0</v>
      </c>
      <c r="BB29" s="44">
        <v>0</v>
      </c>
      <c r="BC29" s="44">
        <v>0</v>
      </c>
      <c r="BD29" s="44">
        <v>0</v>
      </c>
      <c r="BE29" s="44">
        <v>0</v>
      </c>
      <c r="BF29" s="44">
        <v>0</v>
      </c>
      <c r="BG29" s="44">
        <v>0</v>
      </c>
      <c r="BH29" s="44">
        <v>0</v>
      </c>
      <c r="BI29" s="44">
        <v>0</v>
      </c>
      <c r="BJ29" s="44">
        <v>0</v>
      </c>
      <c r="BK29" s="44">
        <v>0</v>
      </c>
      <c r="BL29" s="44">
        <v>0</v>
      </c>
      <c r="BM29" s="44">
        <v>0</v>
      </c>
      <c r="BN29" s="44">
        <v>0</v>
      </c>
      <c r="BO29" s="44">
        <v>0</v>
      </c>
      <c r="BP29" s="44">
        <v>0</v>
      </c>
      <c r="BQ29" s="44">
        <v>0</v>
      </c>
      <c r="BR29" s="44">
        <v>0</v>
      </c>
      <c r="BS29" s="44">
        <v>0</v>
      </c>
      <c r="BT29" s="44">
        <v>0</v>
      </c>
      <c r="BU29" s="44">
        <v>0</v>
      </c>
      <c r="BV29" s="44">
        <v>0</v>
      </c>
      <c r="BW29" s="44">
        <v>0</v>
      </c>
      <c r="BX29" s="44">
        <v>0</v>
      </c>
      <c r="BY29" s="44">
        <v>0</v>
      </c>
      <c r="BZ29" s="44">
        <v>0</v>
      </c>
      <c r="CA29" s="44">
        <v>0</v>
      </c>
      <c r="CB29" s="44">
        <v>0</v>
      </c>
      <c r="CC29" s="44">
        <v>0</v>
      </c>
      <c r="CD29" s="44">
        <v>0</v>
      </c>
      <c r="CE29" s="44">
        <v>0</v>
      </c>
      <c r="CF29" s="44">
        <v>0</v>
      </c>
      <c r="CG29" s="44">
        <v>0</v>
      </c>
      <c r="CH29" s="44">
        <v>0</v>
      </c>
      <c r="CI29" s="44">
        <v>0</v>
      </c>
      <c r="CJ29" s="44">
        <v>0</v>
      </c>
      <c r="CK29" s="44">
        <v>0</v>
      </c>
      <c r="CL29" s="44">
        <v>0</v>
      </c>
      <c r="CM29" s="44">
        <v>0</v>
      </c>
      <c r="CN29" s="44">
        <v>0</v>
      </c>
      <c r="CO29" s="44">
        <v>0</v>
      </c>
      <c r="CP29" s="44">
        <v>0</v>
      </c>
      <c r="CQ29" s="44">
        <v>0</v>
      </c>
      <c r="CR29" s="44">
        <v>0</v>
      </c>
      <c r="CS29" s="44">
        <v>0</v>
      </c>
      <c r="CT29" s="44">
        <v>0</v>
      </c>
      <c r="CU29" s="44">
        <v>0</v>
      </c>
      <c r="CV29" s="44">
        <v>0</v>
      </c>
      <c r="CW29" s="44">
        <v>0</v>
      </c>
      <c r="CX29" s="44">
        <v>0</v>
      </c>
      <c r="CY29" s="44">
        <v>0</v>
      </c>
      <c r="CZ29" s="44">
        <v>0</v>
      </c>
      <c r="DA29" s="44">
        <v>0</v>
      </c>
      <c r="DB29" s="44">
        <v>0</v>
      </c>
      <c r="DC29" s="44">
        <v>0</v>
      </c>
      <c r="DD29" s="44">
        <v>0</v>
      </c>
      <c r="DE29" s="44">
        <v>0</v>
      </c>
      <c r="DF29" s="44">
        <v>0</v>
      </c>
      <c r="DG29" s="44">
        <v>0</v>
      </c>
      <c r="DH29" s="44">
        <v>0</v>
      </c>
      <c r="DI29" s="44">
        <v>0</v>
      </c>
      <c r="DJ29" s="44">
        <v>0</v>
      </c>
      <c r="DK29" s="44">
        <v>0</v>
      </c>
      <c r="DL29" s="44">
        <v>0</v>
      </c>
      <c r="DM29" s="44">
        <v>0</v>
      </c>
      <c r="DN29" s="44">
        <v>0</v>
      </c>
      <c r="DO29" s="44">
        <v>0</v>
      </c>
      <c r="DP29" s="44">
        <v>0</v>
      </c>
      <c r="DQ29" s="44">
        <v>0</v>
      </c>
      <c r="DR29" s="44">
        <v>0</v>
      </c>
      <c r="DS29" s="44">
        <v>0</v>
      </c>
      <c r="DT29" s="44">
        <v>0</v>
      </c>
      <c r="DU29" s="44">
        <v>0</v>
      </c>
      <c r="DV29" s="44">
        <v>0</v>
      </c>
      <c r="DW29" s="44">
        <v>0</v>
      </c>
      <c r="DX29" s="44">
        <v>0</v>
      </c>
      <c r="DY29" s="44">
        <v>0</v>
      </c>
      <c r="DZ29" s="44">
        <v>0</v>
      </c>
      <c r="EA29" s="44">
        <v>0</v>
      </c>
      <c r="EB29" s="44">
        <v>0</v>
      </c>
      <c r="EC29" s="44">
        <v>0</v>
      </c>
      <c r="ED29" s="44">
        <v>0</v>
      </c>
      <c r="EE29" s="44">
        <v>0</v>
      </c>
      <c r="EF29" s="44">
        <v>0</v>
      </c>
      <c r="EG29" s="44">
        <v>0</v>
      </c>
      <c r="EH29" s="44">
        <v>0</v>
      </c>
      <c r="EI29" s="44">
        <v>0</v>
      </c>
      <c r="EJ29" s="44">
        <v>0</v>
      </c>
      <c r="EK29" s="44">
        <v>0</v>
      </c>
      <c r="EL29" s="44">
        <v>0</v>
      </c>
      <c r="EM29" s="44">
        <v>0</v>
      </c>
      <c r="EN29" s="44">
        <v>0</v>
      </c>
      <c r="EO29" s="44">
        <v>0</v>
      </c>
      <c r="EP29" s="44">
        <v>0</v>
      </c>
      <c r="EQ29" s="44">
        <v>0</v>
      </c>
      <c r="ER29" s="44">
        <v>0</v>
      </c>
      <c r="ES29" s="44">
        <v>0</v>
      </c>
      <c r="ET29" s="44">
        <v>0</v>
      </c>
      <c r="EU29" s="44">
        <v>0</v>
      </c>
      <c r="EV29" s="44">
        <v>0</v>
      </c>
      <c r="EW29" s="44">
        <v>0</v>
      </c>
      <c r="EX29" s="44">
        <v>0</v>
      </c>
      <c r="EY29" s="44">
        <v>0</v>
      </c>
      <c r="EZ29" s="44">
        <v>0</v>
      </c>
      <c r="FA29" s="44">
        <v>0</v>
      </c>
      <c r="FB29" s="44">
        <v>0</v>
      </c>
      <c r="FC29" s="44">
        <v>0</v>
      </c>
      <c r="FD29" s="44">
        <v>0</v>
      </c>
      <c r="FE29" s="44">
        <v>0</v>
      </c>
      <c r="FF29" s="44">
        <v>0</v>
      </c>
      <c r="FG29" s="44">
        <v>0</v>
      </c>
      <c r="FH29" s="44">
        <v>0</v>
      </c>
      <c r="FI29" s="44">
        <v>0</v>
      </c>
      <c r="FJ29" s="113">
        <v>0</v>
      </c>
    </row>
    <row r="30" spans="1:166" x14ac:dyDescent="0.4">
      <c r="A30" s="112">
        <v>0</v>
      </c>
      <c r="B30" s="43" t="s">
        <v>174</v>
      </c>
      <c r="C30" s="43" t="s">
        <v>381</v>
      </c>
      <c r="D30" s="43" t="s">
        <v>14</v>
      </c>
      <c r="E30" s="43" t="s">
        <v>476</v>
      </c>
      <c r="F30" s="43" t="s">
        <v>497</v>
      </c>
      <c r="G30" s="43" t="s">
        <v>498</v>
      </c>
      <c r="H30" s="43" t="s">
        <v>499</v>
      </c>
      <c r="I30" s="43" t="s">
        <v>481</v>
      </c>
      <c r="J30" s="43" t="s">
        <v>481</v>
      </c>
      <c r="K30" s="43">
        <v>0</v>
      </c>
      <c r="L30" s="43" t="s">
        <v>500</v>
      </c>
      <c r="M30" s="44">
        <v>4</v>
      </c>
      <c r="N30" s="44">
        <v>0</v>
      </c>
      <c r="O30" s="45">
        <v>250000</v>
      </c>
      <c r="P30" s="45">
        <f>CS_구축!$M30*CS_구축!$O30</f>
        <v>1000000</v>
      </c>
      <c r="Q30" s="44">
        <v>0</v>
      </c>
      <c r="R30" s="44">
        <v>0</v>
      </c>
      <c r="S30" s="43">
        <v>0</v>
      </c>
      <c r="T30" s="47">
        <v>1</v>
      </c>
      <c r="U30" s="43">
        <v>0</v>
      </c>
      <c r="V30" s="44">
        <v>0</v>
      </c>
      <c r="W30" s="44">
        <v>0</v>
      </c>
      <c r="X30" s="44">
        <v>0</v>
      </c>
      <c r="Y30" s="44">
        <v>0</v>
      </c>
      <c r="Z30" s="44">
        <v>0</v>
      </c>
      <c r="AA30" s="44">
        <v>0</v>
      </c>
      <c r="AB30" s="44">
        <v>0</v>
      </c>
      <c r="AC30" s="44">
        <v>0</v>
      </c>
      <c r="AD30" s="44">
        <v>0</v>
      </c>
      <c r="AE30" s="44">
        <v>0</v>
      </c>
      <c r="AF30" s="44">
        <v>0</v>
      </c>
      <c r="AG30" s="44">
        <v>0</v>
      </c>
      <c r="AH30" s="44">
        <v>0</v>
      </c>
      <c r="AI30" s="44">
        <v>0</v>
      </c>
      <c r="AJ30" s="44">
        <v>0</v>
      </c>
      <c r="AK30" s="44">
        <v>0</v>
      </c>
      <c r="AL30" s="44">
        <v>0</v>
      </c>
      <c r="AM30" s="44">
        <v>0</v>
      </c>
      <c r="AN30" s="44">
        <v>0</v>
      </c>
      <c r="AO30" s="44">
        <v>0</v>
      </c>
      <c r="AP30" s="44">
        <v>0</v>
      </c>
      <c r="AQ30" s="44">
        <v>0</v>
      </c>
      <c r="AR30" s="44">
        <v>0</v>
      </c>
      <c r="AS30" s="44">
        <v>0</v>
      </c>
      <c r="AT30" s="44">
        <v>0</v>
      </c>
      <c r="AU30" s="44">
        <v>0</v>
      </c>
      <c r="AV30" s="44">
        <v>0</v>
      </c>
      <c r="AW30" s="44">
        <v>0</v>
      </c>
      <c r="AX30" s="44">
        <v>0</v>
      </c>
      <c r="AY30" s="44">
        <v>0</v>
      </c>
      <c r="AZ30" s="44">
        <v>0</v>
      </c>
      <c r="BA30" s="44">
        <v>0</v>
      </c>
      <c r="BB30" s="44">
        <v>0</v>
      </c>
      <c r="BC30" s="44">
        <v>0</v>
      </c>
      <c r="BD30" s="44">
        <v>0</v>
      </c>
      <c r="BE30" s="44">
        <v>0</v>
      </c>
      <c r="BF30" s="44">
        <v>0</v>
      </c>
      <c r="BG30" s="44">
        <v>0</v>
      </c>
      <c r="BH30" s="44">
        <v>0</v>
      </c>
      <c r="BI30" s="44">
        <v>0</v>
      </c>
      <c r="BJ30" s="44">
        <v>0</v>
      </c>
      <c r="BK30" s="44">
        <v>0</v>
      </c>
      <c r="BL30" s="44">
        <v>0</v>
      </c>
      <c r="BM30" s="44">
        <v>0</v>
      </c>
      <c r="BN30" s="44">
        <v>0</v>
      </c>
      <c r="BO30" s="44">
        <v>0</v>
      </c>
      <c r="BP30" s="44">
        <v>0</v>
      </c>
      <c r="BQ30" s="44">
        <v>0</v>
      </c>
      <c r="BR30" s="44">
        <v>0</v>
      </c>
      <c r="BS30" s="44">
        <v>0</v>
      </c>
      <c r="BT30" s="44">
        <v>0</v>
      </c>
      <c r="BU30" s="44">
        <v>0</v>
      </c>
      <c r="BV30" s="44">
        <v>0</v>
      </c>
      <c r="BW30" s="44">
        <v>0</v>
      </c>
      <c r="BX30" s="44">
        <v>0</v>
      </c>
      <c r="BY30" s="44">
        <v>0</v>
      </c>
      <c r="BZ30" s="44">
        <v>0</v>
      </c>
      <c r="CA30" s="44">
        <v>0</v>
      </c>
      <c r="CB30" s="44">
        <v>0</v>
      </c>
      <c r="CC30" s="44">
        <v>0</v>
      </c>
      <c r="CD30" s="44">
        <v>0</v>
      </c>
      <c r="CE30" s="44">
        <v>0</v>
      </c>
      <c r="CF30" s="44">
        <v>0</v>
      </c>
      <c r="CG30" s="44">
        <v>0</v>
      </c>
      <c r="CH30" s="44">
        <v>0</v>
      </c>
      <c r="CI30" s="44">
        <v>0</v>
      </c>
      <c r="CJ30" s="44">
        <v>0</v>
      </c>
      <c r="CK30" s="44">
        <v>0</v>
      </c>
      <c r="CL30" s="44">
        <v>0</v>
      </c>
      <c r="CM30" s="44">
        <v>0</v>
      </c>
      <c r="CN30" s="44">
        <v>0</v>
      </c>
      <c r="CO30" s="44">
        <v>0</v>
      </c>
      <c r="CP30" s="44">
        <v>0</v>
      </c>
      <c r="CQ30" s="44">
        <v>0</v>
      </c>
      <c r="CR30" s="44">
        <v>0</v>
      </c>
      <c r="CS30" s="44">
        <v>0</v>
      </c>
      <c r="CT30" s="44">
        <v>0</v>
      </c>
      <c r="CU30" s="44">
        <v>0</v>
      </c>
      <c r="CV30" s="44">
        <v>0</v>
      </c>
      <c r="CW30" s="44">
        <v>0</v>
      </c>
      <c r="CX30" s="44">
        <v>0</v>
      </c>
      <c r="CY30" s="44">
        <v>0</v>
      </c>
      <c r="CZ30" s="44">
        <v>0</v>
      </c>
      <c r="DA30" s="44">
        <v>0</v>
      </c>
      <c r="DB30" s="44">
        <v>0</v>
      </c>
      <c r="DC30" s="44">
        <v>0</v>
      </c>
      <c r="DD30" s="44">
        <v>0</v>
      </c>
      <c r="DE30" s="44">
        <v>0</v>
      </c>
      <c r="DF30" s="44">
        <v>0</v>
      </c>
      <c r="DG30" s="44">
        <v>0</v>
      </c>
      <c r="DH30" s="44">
        <v>0</v>
      </c>
      <c r="DI30" s="44">
        <v>0</v>
      </c>
      <c r="DJ30" s="44">
        <v>0</v>
      </c>
      <c r="DK30" s="44">
        <v>0</v>
      </c>
      <c r="DL30" s="44">
        <v>0</v>
      </c>
      <c r="DM30" s="44">
        <v>0</v>
      </c>
      <c r="DN30" s="44">
        <v>0</v>
      </c>
      <c r="DO30" s="44">
        <v>0</v>
      </c>
      <c r="DP30" s="44">
        <v>0</v>
      </c>
      <c r="DQ30" s="44">
        <v>0</v>
      </c>
      <c r="DR30" s="44">
        <v>0</v>
      </c>
      <c r="DS30" s="44">
        <v>0</v>
      </c>
      <c r="DT30" s="44">
        <v>0</v>
      </c>
      <c r="DU30" s="44">
        <v>0</v>
      </c>
      <c r="DV30" s="44">
        <v>0</v>
      </c>
      <c r="DW30" s="44">
        <v>0</v>
      </c>
      <c r="DX30" s="44">
        <v>0</v>
      </c>
      <c r="DY30" s="44">
        <v>0</v>
      </c>
      <c r="DZ30" s="44">
        <v>0</v>
      </c>
      <c r="EA30" s="44">
        <v>0</v>
      </c>
      <c r="EB30" s="44">
        <v>0</v>
      </c>
      <c r="EC30" s="44">
        <v>0</v>
      </c>
      <c r="ED30" s="44">
        <v>0</v>
      </c>
      <c r="EE30" s="44">
        <v>0</v>
      </c>
      <c r="EF30" s="44">
        <v>0</v>
      </c>
      <c r="EG30" s="44">
        <v>0</v>
      </c>
      <c r="EH30" s="44">
        <v>0</v>
      </c>
      <c r="EI30" s="44">
        <v>0</v>
      </c>
      <c r="EJ30" s="44">
        <v>0</v>
      </c>
      <c r="EK30" s="44">
        <v>0</v>
      </c>
      <c r="EL30" s="44">
        <v>0</v>
      </c>
      <c r="EM30" s="44">
        <v>0</v>
      </c>
      <c r="EN30" s="44">
        <v>0</v>
      </c>
      <c r="EO30" s="44">
        <v>0</v>
      </c>
      <c r="EP30" s="44">
        <v>0</v>
      </c>
      <c r="EQ30" s="44">
        <v>0</v>
      </c>
      <c r="ER30" s="44">
        <v>0</v>
      </c>
      <c r="ES30" s="44">
        <v>0</v>
      </c>
      <c r="ET30" s="44">
        <v>0</v>
      </c>
      <c r="EU30" s="44">
        <v>0</v>
      </c>
      <c r="EV30" s="44">
        <v>0</v>
      </c>
      <c r="EW30" s="44">
        <v>0</v>
      </c>
      <c r="EX30" s="44">
        <v>0</v>
      </c>
      <c r="EY30" s="44">
        <v>0</v>
      </c>
      <c r="EZ30" s="44">
        <v>0</v>
      </c>
      <c r="FA30" s="44">
        <v>0</v>
      </c>
      <c r="FB30" s="44">
        <v>0</v>
      </c>
      <c r="FC30" s="44">
        <v>0</v>
      </c>
      <c r="FD30" s="44">
        <v>0</v>
      </c>
      <c r="FE30" s="44">
        <v>0</v>
      </c>
      <c r="FF30" s="44">
        <v>0</v>
      </c>
      <c r="FG30" s="44">
        <v>0</v>
      </c>
      <c r="FH30" s="44">
        <v>0</v>
      </c>
      <c r="FI30" s="44">
        <v>0</v>
      </c>
      <c r="FJ30" s="113">
        <v>0</v>
      </c>
    </row>
    <row r="31" spans="1:166" x14ac:dyDescent="0.4">
      <c r="A31" s="112">
        <v>0</v>
      </c>
      <c r="B31" s="43" t="s">
        <v>174</v>
      </c>
      <c r="C31" s="43" t="s">
        <v>381</v>
      </c>
      <c r="D31" s="43" t="s">
        <v>14</v>
      </c>
      <c r="E31" s="43" t="s">
        <v>476</v>
      </c>
      <c r="F31" s="43" t="s">
        <v>501</v>
      </c>
      <c r="G31" s="43" t="s">
        <v>502</v>
      </c>
      <c r="H31" s="43" t="s">
        <v>503</v>
      </c>
      <c r="I31" s="43" t="s">
        <v>504</v>
      </c>
      <c r="J31" s="43" t="s">
        <v>481</v>
      </c>
      <c r="K31" s="43">
        <v>0</v>
      </c>
      <c r="L31" s="43" t="s">
        <v>482</v>
      </c>
      <c r="M31" s="44">
        <v>2</v>
      </c>
      <c r="N31" s="44">
        <v>0</v>
      </c>
      <c r="O31" s="45">
        <v>5300000</v>
      </c>
      <c r="P31" s="45">
        <f>CS_구축!$M31*CS_구축!$O31</f>
        <v>10600000</v>
      </c>
      <c r="Q31" s="44">
        <v>12</v>
      </c>
      <c r="R31" s="44">
        <v>108</v>
      </c>
      <c r="S31" s="43">
        <v>0.12</v>
      </c>
      <c r="T31" s="47">
        <v>1</v>
      </c>
      <c r="U31" s="43">
        <v>0</v>
      </c>
      <c r="V31" s="44">
        <v>106000</v>
      </c>
      <c r="W31" s="44">
        <v>11448000</v>
      </c>
      <c r="X31" s="44">
        <v>0</v>
      </c>
      <c r="Y31" s="44">
        <v>1272000</v>
      </c>
      <c r="Z31" s="44">
        <v>1272000</v>
      </c>
      <c r="AA31" s="44">
        <v>1272000</v>
      </c>
      <c r="AB31" s="44">
        <v>1272000</v>
      </c>
      <c r="AC31" s="44">
        <v>1272000</v>
      </c>
      <c r="AD31" s="44">
        <v>1272000</v>
      </c>
      <c r="AE31" s="44">
        <v>1272000</v>
      </c>
      <c r="AF31" s="44">
        <v>1272000</v>
      </c>
      <c r="AG31" s="44">
        <v>1272000</v>
      </c>
      <c r="AH31" s="44">
        <v>0</v>
      </c>
      <c r="AI31" s="125">
        <v>0</v>
      </c>
      <c r="AJ31" s="125">
        <v>0</v>
      </c>
      <c r="AK31" s="125">
        <v>0</v>
      </c>
      <c r="AL31" s="125">
        <v>0</v>
      </c>
      <c r="AM31" s="125">
        <v>0</v>
      </c>
      <c r="AN31" s="125">
        <v>0</v>
      </c>
      <c r="AO31" s="125">
        <v>0</v>
      </c>
      <c r="AP31" s="125">
        <v>0</v>
      </c>
      <c r="AQ31" s="125">
        <v>0</v>
      </c>
      <c r="AR31" s="125">
        <v>0</v>
      </c>
      <c r="AS31" s="125">
        <v>0</v>
      </c>
      <c r="AT31" s="125">
        <v>0</v>
      </c>
      <c r="AU31" s="44">
        <v>106000</v>
      </c>
      <c r="AV31" s="44">
        <v>106000</v>
      </c>
      <c r="AW31" s="44">
        <v>106000</v>
      </c>
      <c r="AX31" s="44">
        <v>106000</v>
      </c>
      <c r="AY31" s="44">
        <v>106000</v>
      </c>
      <c r="AZ31" s="44">
        <v>106000</v>
      </c>
      <c r="BA31" s="44">
        <v>106000</v>
      </c>
      <c r="BB31" s="44">
        <v>106000</v>
      </c>
      <c r="BC31" s="44">
        <v>106000</v>
      </c>
      <c r="BD31" s="44">
        <v>106000</v>
      </c>
      <c r="BE31" s="44">
        <v>106000</v>
      </c>
      <c r="BF31" s="44">
        <v>106000</v>
      </c>
      <c r="BG31" s="44">
        <v>106000</v>
      </c>
      <c r="BH31" s="44">
        <v>106000</v>
      </c>
      <c r="BI31" s="44">
        <v>106000</v>
      </c>
      <c r="BJ31" s="44">
        <v>106000</v>
      </c>
      <c r="BK31" s="44">
        <v>106000</v>
      </c>
      <c r="BL31" s="44">
        <v>106000</v>
      </c>
      <c r="BM31" s="44">
        <v>106000</v>
      </c>
      <c r="BN31" s="44">
        <v>106000</v>
      </c>
      <c r="BO31" s="44">
        <v>106000</v>
      </c>
      <c r="BP31" s="44">
        <v>106000</v>
      </c>
      <c r="BQ31" s="44">
        <v>106000</v>
      </c>
      <c r="BR31" s="44">
        <v>106000</v>
      </c>
      <c r="BS31" s="44">
        <v>106000</v>
      </c>
      <c r="BT31" s="44">
        <v>106000</v>
      </c>
      <c r="BU31" s="44">
        <v>106000</v>
      </c>
      <c r="BV31" s="44">
        <v>106000</v>
      </c>
      <c r="BW31" s="44">
        <v>106000</v>
      </c>
      <c r="BX31" s="44">
        <v>106000</v>
      </c>
      <c r="BY31" s="44">
        <v>106000</v>
      </c>
      <c r="BZ31" s="44">
        <v>106000</v>
      </c>
      <c r="CA31" s="44">
        <v>106000</v>
      </c>
      <c r="CB31" s="44">
        <v>106000</v>
      </c>
      <c r="CC31" s="44">
        <v>106000</v>
      </c>
      <c r="CD31" s="44">
        <v>106000</v>
      </c>
      <c r="CE31" s="44">
        <v>106000</v>
      </c>
      <c r="CF31" s="44">
        <v>106000</v>
      </c>
      <c r="CG31" s="44">
        <v>106000</v>
      </c>
      <c r="CH31" s="44">
        <v>106000</v>
      </c>
      <c r="CI31" s="44">
        <v>106000</v>
      </c>
      <c r="CJ31" s="44">
        <v>106000</v>
      </c>
      <c r="CK31" s="44">
        <v>106000</v>
      </c>
      <c r="CL31" s="44">
        <v>106000</v>
      </c>
      <c r="CM31" s="44">
        <v>106000</v>
      </c>
      <c r="CN31" s="44">
        <v>106000</v>
      </c>
      <c r="CO31" s="44">
        <v>106000</v>
      </c>
      <c r="CP31" s="44">
        <v>106000</v>
      </c>
      <c r="CQ31" s="44">
        <v>106000</v>
      </c>
      <c r="CR31" s="44">
        <v>106000</v>
      </c>
      <c r="CS31" s="44">
        <v>106000</v>
      </c>
      <c r="CT31" s="44">
        <v>106000</v>
      </c>
      <c r="CU31" s="44">
        <v>106000</v>
      </c>
      <c r="CV31" s="44">
        <v>106000</v>
      </c>
      <c r="CW31" s="44">
        <v>106000</v>
      </c>
      <c r="CX31" s="44">
        <v>106000</v>
      </c>
      <c r="CY31" s="44">
        <v>106000</v>
      </c>
      <c r="CZ31" s="44">
        <v>106000</v>
      </c>
      <c r="DA31" s="44">
        <v>106000</v>
      </c>
      <c r="DB31" s="44">
        <v>106000</v>
      </c>
      <c r="DC31" s="44">
        <v>106000</v>
      </c>
      <c r="DD31" s="44">
        <v>106000</v>
      </c>
      <c r="DE31" s="44">
        <v>106000</v>
      </c>
      <c r="DF31" s="44">
        <v>106000</v>
      </c>
      <c r="DG31" s="44">
        <v>106000</v>
      </c>
      <c r="DH31" s="44">
        <v>106000</v>
      </c>
      <c r="DI31" s="44">
        <v>106000</v>
      </c>
      <c r="DJ31" s="44">
        <v>106000</v>
      </c>
      <c r="DK31" s="44">
        <v>106000</v>
      </c>
      <c r="DL31" s="44">
        <v>106000</v>
      </c>
      <c r="DM31" s="44">
        <v>106000</v>
      </c>
      <c r="DN31" s="44">
        <v>106000</v>
      </c>
      <c r="DO31" s="44">
        <v>106000</v>
      </c>
      <c r="DP31" s="44">
        <v>106000</v>
      </c>
      <c r="DQ31" s="44">
        <v>106000</v>
      </c>
      <c r="DR31" s="44">
        <v>106000</v>
      </c>
      <c r="DS31" s="44">
        <v>106000</v>
      </c>
      <c r="DT31" s="44">
        <v>106000</v>
      </c>
      <c r="DU31" s="44">
        <v>106000</v>
      </c>
      <c r="DV31" s="44">
        <v>106000</v>
      </c>
      <c r="DW31" s="44">
        <v>106000</v>
      </c>
      <c r="DX31" s="44">
        <v>106000</v>
      </c>
      <c r="DY31" s="44">
        <v>106000</v>
      </c>
      <c r="DZ31" s="44">
        <v>106000</v>
      </c>
      <c r="EA31" s="44">
        <v>106000</v>
      </c>
      <c r="EB31" s="44">
        <v>106000</v>
      </c>
      <c r="EC31" s="44">
        <v>106000</v>
      </c>
      <c r="ED31" s="44">
        <v>106000</v>
      </c>
      <c r="EE31" s="44">
        <v>106000</v>
      </c>
      <c r="EF31" s="44">
        <v>106000</v>
      </c>
      <c r="EG31" s="44">
        <v>106000</v>
      </c>
      <c r="EH31" s="44">
        <v>106000</v>
      </c>
      <c r="EI31" s="44">
        <v>106000</v>
      </c>
      <c r="EJ31" s="44">
        <v>106000</v>
      </c>
      <c r="EK31" s="44">
        <v>106000</v>
      </c>
      <c r="EL31" s="44">
        <v>106000</v>
      </c>
      <c r="EM31" s="44">
        <v>106000</v>
      </c>
      <c r="EN31" s="44">
        <v>106000</v>
      </c>
      <c r="EO31" s="44">
        <v>106000</v>
      </c>
      <c r="EP31" s="44">
        <v>106000</v>
      </c>
      <c r="EQ31" s="44">
        <v>106000</v>
      </c>
      <c r="ER31" s="44">
        <v>106000</v>
      </c>
      <c r="ES31" s="44">
        <v>106000</v>
      </c>
      <c r="ET31" s="44">
        <v>106000</v>
      </c>
      <c r="EU31" s="44">
        <v>106000</v>
      </c>
      <c r="EV31" s="44">
        <v>106000</v>
      </c>
      <c r="EW31" s="44">
        <v>106000</v>
      </c>
      <c r="EX31" s="44">
        <v>106000</v>
      </c>
      <c r="EY31" s="44">
        <v>0</v>
      </c>
      <c r="EZ31" s="44">
        <v>0</v>
      </c>
      <c r="FA31" s="44">
        <v>0</v>
      </c>
      <c r="FB31" s="44">
        <v>0</v>
      </c>
      <c r="FC31" s="44">
        <v>0</v>
      </c>
      <c r="FD31" s="44">
        <v>0</v>
      </c>
      <c r="FE31" s="44">
        <v>0</v>
      </c>
      <c r="FF31" s="44">
        <v>0</v>
      </c>
      <c r="FG31" s="44">
        <v>0</v>
      </c>
      <c r="FH31" s="44">
        <v>0</v>
      </c>
      <c r="FI31" s="44">
        <v>0</v>
      </c>
      <c r="FJ31" s="113">
        <v>0</v>
      </c>
    </row>
    <row r="32" spans="1:166" x14ac:dyDescent="0.4">
      <c r="A32" s="112">
        <v>0</v>
      </c>
      <c r="B32" s="43" t="s">
        <v>174</v>
      </c>
      <c r="C32" s="43" t="s">
        <v>381</v>
      </c>
      <c r="D32" s="43" t="s">
        <v>14</v>
      </c>
      <c r="E32" s="43" t="s">
        <v>476</v>
      </c>
      <c r="F32" s="43" t="s">
        <v>505</v>
      </c>
      <c r="G32" s="43" t="s">
        <v>478</v>
      </c>
      <c r="H32" s="43" t="s">
        <v>506</v>
      </c>
      <c r="I32" s="43" t="s">
        <v>480</v>
      </c>
      <c r="J32" s="43" t="s">
        <v>481</v>
      </c>
      <c r="K32" s="43">
        <v>0</v>
      </c>
      <c r="L32" s="43" t="s">
        <v>482</v>
      </c>
      <c r="M32" s="44">
        <v>2</v>
      </c>
      <c r="N32" s="44">
        <v>0</v>
      </c>
      <c r="O32" s="45">
        <v>2327220</v>
      </c>
      <c r="P32" s="45">
        <f>CS_구축!$M32*CS_구축!$O32</f>
        <v>4654440</v>
      </c>
      <c r="Q32" s="44">
        <v>36</v>
      </c>
      <c r="R32" s="44">
        <v>84</v>
      </c>
      <c r="S32" s="43">
        <v>0.04</v>
      </c>
      <c r="T32" s="47">
        <v>1</v>
      </c>
      <c r="U32" s="43">
        <v>0</v>
      </c>
      <c r="V32" s="44">
        <v>15514.800000000001</v>
      </c>
      <c r="W32" s="44">
        <v>1303243.1999999997</v>
      </c>
      <c r="X32" s="44">
        <v>0</v>
      </c>
      <c r="Y32" s="44">
        <v>0</v>
      </c>
      <c r="Z32" s="44">
        <v>0</v>
      </c>
      <c r="AA32" s="44">
        <v>186177.59999999998</v>
      </c>
      <c r="AB32" s="44">
        <v>186177.59999999998</v>
      </c>
      <c r="AC32" s="44">
        <v>186177.59999999998</v>
      </c>
      <c r="AD32" s="44">
        <v>186177.59999999998</v>
      </c>
      <c r="AE32" s="44">
        <v>186177.59999999998</v>
      </c>
      <c r="AF32" s="44">
        <v>186177.59999999998</v>
      </c>
      <c r="AG32" s="44">
        <v>186177.59999999998</v>
      </c>
      <c r="AH32" s="44">
        <v>0</v>
      </c>
      <c r="AI32" s="125">
        <v>0</v>
      </c>
      <c r="AJ32" s="125">
        <v>0</v>
      </c>
      <c r="AK32" s="125">
        <v>0</v>
      </c>
      <c r="AL32" s="125">
        <v>0</v>
      </c>
      <c r="AM32" s="125">
        <v>0</v>
      </c>
      <c r="AN32" s="125">
        <v>0</v>
      </c>
      <c r="AO32" s="125">
        <v>0</v>
      </c>
      <c r="AP32" s="125">
        <v>0</v>
      </c>
      <c r="AQ32" s="125">
        <v>0</v>
      </c>
      <c r="AR32" s="125">
        <v>0</v>
      </c>
      <c r="AS32" s="125">
        <v>0</v>
      </c>
      <c r="AT32" s="125">
        <v>0</v>
      </c>
      <c r="AU32" s="125">
        <v>0</v>
      </c>
      <c r="AV32" s="125">
        <v>0</v>
      </c>
      <c r="AW32" s="125">
        <v>0</v>
      </c>
      <c r="AX32" s="125">
        <v>0</v>
      </c>
      <c r="AY32" s="125">
        <v>0</v>
      </c>
      <c r="AZ32" s="125">
        <v>0</v>
      </c>
      <c r="BA32" s="125">
        <v>0</v>
      </c>
      <c r="BB32" s="125">
        <v>0</v>
      </c>
      <c r="BC32" s="125">
        <v>0</v>
      </c>
      <c r="BD32" s="125">
        <v>0</v>
      </c>
      <c r="BE32" s="125">
        <v>0</v>
      </c>
      <c r="BF32" s="125">
        <v>0</v>
      </c>
      <c r="BG32" s="125">
        <v>0</v>
      </c>
      <c r="BH32" s="125">
        <v>0</v>
      </c>
      <c r="BI32" s="125">
        <v>0</v>
      </c>
      <c r="BJ32" s="125">
        <v>0</v>
      </c>
      <c r="BK32" s="125">
        <v>0</v>
      </c>
      <c r="BL32" s="125">
        <v>0</v>
      </c>
      <c r="BM32" s="125">
        <v>0</v>
      </c>
      <c r="BN32" s="125">
        <v>0</v>
      </c>
      <c r="BO32" s="125">
        <v>0</v>
      </c>
      <c r="BP32" s="125">
        <v>0</v>
      </c>
      <c r="BQ32" s="125">
        <v>0</v>
      </c>
      <c r="BR32" s="125">
        <v>0</v>
      </c>
      <c r="BS32" s="44">
        <v>15514.800000000001</v>
      </c>
      <c r="BT32" s="44">
        <v>15514.800000000001</v>
      </c>
      <c r="BU32" s="44">
        <v>15514.800000000001</v>
      </c>
      <c r="BV32" s="44">
        <v>15514.800000000001</v>
      </c>
      <c r="BW32" s="44">
        <v>15514.800000000001</v>
      </c>
      <c r="BX32" s="44">
        <v>15514.800000000001</v>
      </c>
      <c r="BY32" s="44">
        <v>15514.800000000001</v>
      </c>
      <c r="BZ32" s="44">
        <v>15514.800000000001</v>
      </c>
      <c r="CA32" s="44">
        <v>15514.800000000001</v>
      </c>
      <c r="CB32" s="44">
        <v>15514.800000000001</v>
      </c>
      <c r="CC32" s="44">
        <v>15514.800000000001</v>
      </c>
      <c r="CD32" s="44">
        <v>15514.800000000001</v>
      </c>
      <c r="CE32" s="44">
        <v>15514.800000000001</v>
      </c>
      <c r="CF32" s="44">
        <v>15514.800000000001</v>
      </c>
      <c r="CG32" s="44">
        <v>15514.800000000001</v>
      </c>
      <c r="CH32" s="44">
        <v>15514.800000000001</v>
      </c>
      <c r="CI32" s="44">
        <v>15514.800000000001</v>
      </c>
      <c r="CJ32" s="44">
        <v>15514.800000000001</v>
      </c>
      <c r="CK32" s="44">
        <v>15514.800000000001</v>
      </c>
      <c r="CL32" s="44">
        <v>15514.800000000001</v>
      </c>
      <c r="CM32" s="44">
        <v>15514.800000000001</v>
      </c>
      <c r="CN32" s="44">
        <v>15514.800000000001</v>
      </c>
      <c r="CO32" s="44">
        <v>15514.800000000001</v>
      </c>
      <c r="CP32" s="44">
        <v>15514.800000000001</v>
      </c>
      <c r="CQ32" s="44">
        <v>15514.800000000001</v>
      </c>
      <c r="CR32" s="44">
        <v>15514.800000000001</v>
      </c>
      <c r="CS32" s="44">
        <v>15514.800000000001</v>
      </c>
      <c r="CT32" s="44">
        <v>15514.800000000001</v>
      </c>
      <c r="CU32" s="44">
        <v>15514.800000000001</v>
      </c>
      <c r="CV32" s="44">
        <v>15514.800000000001</v>
      </c>
      <c r="CW32" s="44">
        <v>15514.800000000001</v>
      </c>
      <c r="CX32" s="44">
        <v>15514.800000000001</v>
      </c>
      <c r="CY32" s="44">
        <v>15514.800000000001</v>
      </c>
      <c r="CZ32" s="44">
        <v>15514.800000000001</v>
      </c>
      <c r="DA32" s="44">
        <v>15514.800000000001</v>
      </c>
      <c r="DB32" s="44">
        <v>15514.800000000001</v>
      </c>
      <c r="DC32" s="44">
        <v>15514.800000000001</v>
      </c>
      <c r="DD32" s="44">
        <v>15514.800000000001</v>
      </c>
      <c r="DE32" s="44">
        <v>15514.800000000001</v>
      </c>
      <c r="DF32" s="44">
        <v>15514.800000000001</v>
      </c>
      <c r="DG32" s="44">
        <v>15514.800000000001</v>
      </c>
      <c r="DH32" s="44">
        <v>15514.800000000001</v>
      </c>
      <c r="DI32" s="44">
        <v>15514.800000000001</v>
      </c>
      <c r="DJ32" s="44">
        <v>15514.800000000001</v>
      </c>
      <c r="DK32" s="44">
        <v>15514.800000000001</v>
      </c>
      <c r="DL32" s="44">
        <v>15514.800000000001</v>
      </c>
      <c r="DM32" s="44">
        <v>15514.800000000001</v>
      </c>
      <c r="DN32" s="44">
        <v>15514.800000000001</v>
      </c>
      <c r="DO32" s="44">
        <v>15514.800000000001</v>
      </c>
      <c r="DP32" s="44">
        <v>15514.800000000001</v>
      </c>
      <c r="DQ32" s="44">
        <v>15514.800000000001</v>
      </c>
      <c r="DR32" s="44">
        <v>15514.800000000001</v>
      </c>
      <c r="DS32" s="44">
        <v>15514.800000000001</v>
      </c>
      <c r="DT32" s="44">
        <v>15514.800000000001</v>
      </c>
      <c r="DU32" s="44">
        <v>15514.800000000001</v>
      </c>
      <c r="DV32" s="44">
        <v>15514.800000000001</v>
      </c>
      <c r="DW32" s="44">
        <v>15514.800000000001</v>
      </c>
      <c r="DX32" s="44">
        <v>15514.800000000001</v>
      </c>
      <c r="DY32" s="44">
        <v>15514.800000000001</v>
      </c>
      <c r="DZ32" s="44">
        <v>15514.800000000001</v>
      </c>
      <c r="EA32" s="44">
        <v>15514.800000000001</v>
      </c>
      <c r="EB32" s="44">
        <v>15514.800000000001</v>
      </c>
      <c r="EC32" s="44">
        <v>15514.800000000001</v>
      </c>
      <c r="ED32" s="44">
        <v>15514.800000000001</v>
      </c>
      <c r="EE32" s="44">
        <v>15514.800000000001</v>
      </c>
      <c r="EF32" s="44">
        <v>15514.800000000001</v>
      </c>
      <c r="EG32" s="44">
        <v>15514.800000000001</v>
      </c>
      <c r="EH32" s="44">
        <v>15514.800000000001</v>
      </c>
      <c r="EI32" s="44">
        <v>15514.800000000001</v>
      </c>
      <c r="EJ32" s="44">
        <v>15514.800000000001</v>
      </c>
      <c r="EK32" s="44">
        <v>15514.800000000001</v>
      </c>
      <c r="EL32" s="44">
        <v>15514.800000000001</v>
      </c>
      <c r="EM32" s="44">
        <v>15514.800000000001</v>
      </c>
      <c r="EN32" s="44">
        <v>15514.800000000001</v>
      </c>
      <c r="EO32" s="44">
        <v>15514.800000000001</v>
      </c>
      <c r="EP32" s="44">
        <v>15514.800000000001</v>
      </c>
      <c r="EQ32" s="44">
        <v>15514.800000000001</v>
      </c>
      <c r="ER32" s="44">
        <v>15514.800000000001</v>
      </c>
      <c r="ES32" s="44">
        <v>15514.800000000001</v>
      </c>
      <c r="ET32" s="44">
        <v>15514.800000000001</v>
      </c>
      <c r="EU32" s="44">
        <v>15514.800000000001</v>
      </c>
      <c r="EV32" s="44">
        <v>15514.800000000001</v>
      </c>
      <c r="EW32" s="44">
        <v>15514.800000000001</v>
      </c>
      <c r="EX32" s="44">
        <v>15514.800000000001</v>
      </c>
      <c r="EY32" s="44">
        <v>0</v>
      </c>
      <c r="EZ32" s="44">
        <v>0</v>
      </c>
      <c r="FA32" s="44">
        <v>0</v>
      </c>
      <c r="FB32" s="44">
        <v>0</v>
      </c>
      <c r="FC32" s="44">
        <v>0</v>
      </c>
      <c r="FD32" s="44">
        <v>0</v>
      </c>
      <c r="FE32" s="44">
        <v>0</v>
      </c>
      <c r="FF32" s="44">
        <v>0</v>
      </c>
      <c r="FG32" s="44">
        <v>0</v>
      </c>
      <c r="FH32" s="44">
        <v>0</v>
      </c>
      <c r="FI32" s="44">
        <v>0</v>
      </c>
      <c r="FJ32" s="113">
        <v>0</v>
      </c>
    </row>
    <row r="33" spans="1:166" x14ac:dyDescent="0.4">
      <c r="A33" s="112">
        <v>0</v>
      </c>
      <c r="B33" s="43" t="s">
        <v>174</v>
      </c>
      <c r="C33" s="43" t="s">
        <v>381</v>
      </c>
      <c r="D33" s="43" t="s">
        <v>14</v>
      </c>
      <c r="E33" s="43" t="s">
        <v>507</v>
      </c>
      <c r="F33" s="43" t="s">
        <v>508</v>
      </c>
      <c r="G33" s="43" t="s">
        <v>509</v>
      </c>
      <c r="H33" s="43" t="s">
        <v>510</v>
      </c>
      <c r="I33" s="43" t="s">
        <v>511</v>
      </c>
      <c r="J33" s="43" t="s">
        <v>481</v>
      </c>
      <c r="K33" s="43">
        <v>0</v>
      </c>
      <c r="L33" s="43" t="s">
        <v>493</v>
      </c>
      <c r="M33" s="44">
        <v>2</v>
      </c>
      <c r="N33" s="44">
        <v>0</v>
      </c>
      <c r="O33" s="45">
        <v>5000000</v>
      </c>
      <c r="P33" s="45">
        <f>CS_구축!$M33*CS_구축!$O33</f>
        <v>10000000</v>
      </c>
      <c r="Q33" s="44">
        <v>12</v>
      </c>
      <c r="R33" s="44">
        <v>108</v>
      </c>
      <c r="S33" s="43">
        <v>0.12</v>
      </c>
      <c r="T33" s="47">
        <v>1</v>
      </c>
      <c r="U33" s="43">
        <v>0</v>
      </c>
      <c r="V33" s="44">
        <v>100000</v>
      </c>
      <c r="W33" s="44">
        <v>10800000</v>
      </c>
      <c r="X33" s="44">
        <v>0</v>
      </c>
      <c r="Y33" s="44">
        <v>1200000</v>
      </c>
      <c r="Z33" s="44">
        <v>1200000</v>
      </c>
      <c r="AA33" s="44">
        <v>1200000</v>
      </c>
      <c r="AB33" s="44">
        <v>1200000</v>
      </c>
      <c r="AC33" s="44">
        <v>1200000</v>
      </c>
      <c r="AD33" s="44">
        <v>1200000</v>
      </c>
      <c r="AE33" s="44">
        <v>1200000</v>
      </c>
      <c r="AF33" s="44">
        <v>1200000</v>
      </c>
      <c r="AG33" s="44">
        <v>1200000</v>
      </c>
      <c r="AH33" s="44">
        <v>0</v>
      </c>
      <c r="AI33" s="125">
        <v>0</v>
      </c>
      <c r="AJ33" s="125">
        <v>0</v>
      </c>
      <c r="AK33" s="125">
        <v>0</v>
      </c>
      <c r="AL33" s="125">
        <v>0</v>
      </c>
      <c r="AM33" s="125">
        <v>0</v>
      </c>
      <c r="AN33" s="125">
        <v>0</v>
      </c>
      <c r="AO33" s="125">
        <v>0</v>
      </c>
      <c r="AP33" s="125">
        <v>0</v>
      </c>
      <c r="AQ33" s="125">
        <v>0</v>
      </c>
      <c r="AR33" s="125">
        <v>0</v>
      </c>
      <c r="AS33" s="125">
        <v>0</v>
      </c>
      <c r="AT33" s="125">
        <v>0</v>
      </c>
      <c r="AU33" s="44">
        <v>100000</v>
      </c>
      <c r="AV33" s="44">
        <v>100000</v>
      </c>
      <c r="AW33" s="44">
        <v>100000</v>
      </c>
      <c r="AX33" s="44">
        <v>100000</v>
      </c>
      <c r="AY33" s="44">
        <v>100000</v>
      </c>
      <c r="AZ33" s="44">
        <v>100000</v>
      </c>
      <c r="BA33" s="44">
        <v>100000</v>
      </c>
      <c r="BB33" s="44">
        <v>100000</v>
      </c>
      <c r="BC33" s="44">
        <v>100000</v>
      </c>
      <c r="BD33" s="44">
        <v>100000</v>
      </c>
      <c r="BE33" s="44">
        <v>100000</v>
      </c>
      <c r="BF33" s="44">
        <v>100000</v>
      </c>
      <c r="BG33" s="44">
        <v>100000</v>
      </c>
      <c r="BH33" s="44">
        <v>100000</v>
      </c>
      <c r="BI33" s="44">
        <v>100000</v>
      </c>
      <c r="BJ33" s="44">
        <v>100000</v>
      </c>
      <c r="BK33" s="44">
        <v>100000</v>
      </c>
      <c r="BL33" s="44">
        <v>100000</v>
      </c>
      <c r="BM33" s="44">
        <v>100000</v>
      </c>
      <c r="BN33" s="44">
        <v>100000</v>
      </c>
      <c r="BO33" s="44">
        <v>100000</v>
      </c>
      <c r="BP33" s="44">
        <v>100000</v>
      </c>
      <c r="BQ33" s="44">
        <v>100000</v>
      </c>
      <c r="BR33" s="44">
        <v>100000</v>
      </c>
      <c r="BS33" s="44">
        <v>100000</v>
      </c>
      <c r="BT33" s="44">
        <v>100000</v>
      </c>
      <c r="BU33" s="44">
        <v>100000</v>
      </c>
      <c r="BV33" s="44">
        <v>100000</v>
      </c>
      <c r="BW33" s="44">
        <v>100000</v>
      </c>
      <c r="BX33" s="44">
        <v>100000</v>
      </c>
      <c r="BY33" s="44">
        <v>100000</v>
      </c>
      <c r="BZ33" s="44">
        <v>100000</v>
      </c>
      <c r="CA33" s="44">
        <v>100000</v>
      </c>
      <c r="CB33" s="44">
        <v>100000</v>
      </c>
      <c r="CC33" s="44">
        <v>100000</v>
      </c>
      <c r="CD33" s="44">
        <v>100000</v>
      </c>
      <c r="CE33" s="44">
        <v>100000</v>
      </c>
      <c r="CF33" s="44">
        <v>100000</v>
      </c>
      <c r="CG33" s="44">
        <v>100000</v>
      </c>
      <c r="CH33" s="44">
        <v>100000</v>
      </c>
      <c r="CI33" s="44">
        <v>100000</v>
      </c>
      <c r="CJ33" s="44">
        <v>100000</v>
      </c>
      <c r="CK33" s="44">
        <v>100000</v>
      </c>
      <c r="CL33" s="44">
        <v>100000</v>
      </c>
      <c r="CM33" s="44">
        <v>100000</v>
      </c>
      <c r="CN33" s="44">
        <v>100000</v>
      </c>
      <c r="CO33" s="44">
        <v>100000</v>
      </c>
      <c r="CP33" s="44">
        <v>100000</v>
      </c>
      <c r="CQ33" s="44">
        <v>100000</v>
      </c>
      <c r="CR33" s="44">
        <v>100000</v>
      </c>
      <c r="CS33" s="44">
        <v>100000</v>
      </c>
      <c r="CT33" s="44">
        <v>100000</v>
      </c>
      <c r="CU33" s="44">
        <v>100000</v>
      </c>
      <c r="CV33" s="44">
        <v>100000</v>
      </c>
      <c r="CW33" s="44">
        <v>100000</v>
      </c>
      <c r="CX33" s="44">
        <v>100000</v>
      </c>
      <c r="CY33" s="44">
        <v>100000</v>
      </c>
      <c r="CZ33" s="44">
        <v>100000</v>
      </c>
      <c r="DA33" s="44">
        <v>100000</v>
      </c>
      <c r="DB33" s="44">
        <v>100000</v>
      </c>
      <c r="DC33" s="44">
        <v>100000</v>
      </c>
      <c r="DD33" s="44">
        <v>100000</v>
      </c>
      <c r="DE33" s="44">
        <v>100000</v>
      </c>
      <c r="DF33" s="44">
        <v>100000</v>
      </c>
      <c r="DG33" s="44">
        <v>100000</v>
      </c>
      <c r="DH33" s="44">
        <v>100000</v>
      </c>
      <c r="DI33" s="44">
        <v>100000</v>
      </c>
      <c r="DJ33" s="44">
        <v>100000</v>
      </c>
      <c r="DK33" s="44">
        <v>100000</v>
      </c>
      <c r="DL33" s="44">
        <v>100000</v>
      </c>
      <c r="DM33" s="44">
        <v>100000</v>
      </c>
      <c r="DN33" s="44">
        <v>100000</v>
      </c>
      <c r="DO33" s="44">
        <v>100000</v>
      </c>
      <c r="DP33" s="44">
        <v>100000</v>
      </c>
      <c r="DQ33" s="44">
        <v>100000</v>
      </c>
      <c r="DR33" s="44">
        <v>100000</v>
      </c>
      <c r="DS33" s="44">
        <v>100000</v>
      </c>
      <c r="DT33" s="44">
        <v>100000</v>
      </c>
      <c r="DU33" s="44">
        <v>100000</v>
      </c>
      <c r="DV33" s="44">
        <v>100000</v>
      </c>
      <c r="DW33" s="44">
        <v>100000</v>
      </c>
      <c r="DX33" s="44">
        <v>100000</v>
      </c>
      <c r="DY33" s="44">
        <v>100000</v>
      </c>
      <c r="DZ33" s="44">
        <v>100000</v>
      </c>
      <c r="EA33" s="44">
        <v>100000</v>
      </c>
      <c r="EB33" s="44">
        <v>100000</v>
      </c>
      <c r="EC33" s="44">
        <v>100000</v>
      </c>
      <c r="ED33" s="44">
        <v>100000</v>
      </c>
      <c r="EE33" s="44">
        <v>100000</v>
      </c>
      <c r="EF33" s="44">
        <v>100000</v>
      </c>
      <c r="EG33" s="44">
        <v>100000</v>
      </c>
      <c r="EH33" s="44">
        <v>100000</v>
      </c>
      <c r="EI33" s="44">
        <v>100000</v>
      </c>
      <c r="EJ33" s="44">
        <v>100000</v>
      </c>
      <c r="EK33" s="44">
        <v>100000</v>
      </c>
      <c r="EL33" s="44">
        <v>100000</v>
      </c>
      <c r="EM33" s="44">
        <v>100000</v>
      </c>
      <c r="EN33" s="44">
        <v>100000</v>
      </c>
      <c r="EO33" s="44">
        <v>100000</v>
      </c>
      <c r="EP33" s="44">
        <v>100000</v>
      </c>
      <c r="EQ33" s="44">
        <v>100000</v>
      </c>
      <c r="ER33" s="44">
        <v>100000</v>
      </c>
      <c r="ES33" s="44">
        <v>100000</v>
      </c>
      <c r="ET33" s="44">
        <v>100000</v>
      </c>
      <c r="EU33" s="44">
        <v>100000</v>
      </c>
      <c r="EV33" s="44">
        <v>100000</v>
      </c>
      <c r="EW33" s="44">
        <v>100000</v>
      </c>
      <c r="EX33" s="44">
        <v>100000</v>
      </c>
      <c r="EY33" s="44">
        <v>0</v>
      </c>
      <c r="EZ33" s="44">
        <v>0</v>
      </c>
      <c r="FA33" s="44">
        <v>0</v>
      </c>
      <c r="FB33" s="44">
        <v>0</v>
      </c>
      <c r="FC33" s="44">
        <v>0</v>
      </c>
      <c r="FD33" s="44">
        <v>0</v>
      </c>
      <c r="FE33" s="44">
        <v>0</v>
      </c>
      <c r="FF33" s="44">
        <v>0</v>
      </c>
      <c r="FG33" s="44">
        <v>0</v>
      </c>
      <c r="FH33" s="44">
        <v>0</v>
      </c>
      <c r="FI33" s="44">
        <v>0</v>
      </c>
      <c r="FJ33" s="113">
        <v>0</v>
      </c>
    </row>
    <row r="34" spans="1:166" x14ac:dyDescent="0.4">
      <c r="A34" s="112">
        <v>0</v>
      </c>
      <c r="B34" s="43" t="s">
        <v>174</v>
      </c>
      <c r="C34" s="43" t="s">
        <v>381</v>
      </c>
      <c r="D34" s="43" t="s">
        <v>14</v>
      </c>
      <c r="E34" s="43" t="s">
        <v>507</v>
      </c>
      <c r="F34" s="43" t="s">
        <v>512</v>
      </c>
      <c r="G34" s="43" t="s">
        <v>513</v>
      </c>
      <c r="H34" s="43" t="s">
        <v>513</v>
      </c>
      <c r="I34" s="43" t="s">
        <v>514</v>
      </c>
      <c r="J34" s="43" t="s">
        <v>155</v>
      </c>
      <c r="K34" s="43">
        <v>0</v>
      </c>
      <c r="L34" s="43" t="s">
        <v>443</v>
      </c>
      <c r="M34" s="44">
        <v>1</v>
      </c>
      <c r="N34" s="44">
        <v>0</v>
      </c>
      <c r="O34" s="45">
        <v>48000000</v>
      </c>
      <c r="P34" s="45">
        <f>CS_구축!$M34*CS_구축!$O34</f>
        <v>48000000</v>
      </c>
      <c r="Q34" s="44">
        <v>19</v>
      </c>
      <c r="R34" s="44">
        <v>101</v>
      </c>
      <c r="S34" s="43">
        <v>0.12</v>
      </c>
      <c r="T34" s="47">
        <v>1</v>
      </c>
      <c r="U34" s="43">
        <v>0</v>
      </c>
      <c r="V34" s="44">
        <v>480000</v>
      </c>
      <c r="W34" s="44">
        <v>48480000</v>
      </c>
      <c r="X34" s="44">
        <v>0</v>
      </c>
      <c r="Y34" s="44">
        <v>2400000</v>
      </c>
      <c r="Z34" s="44">
        <v>5760000</v>
      </c>
      <c r="AA34" s="44">
        <v>5760000</v>
      </c>
      <c r="AB34" s="44">
        <v>5760000</v>
      </c>
      <c r="AC34" s="44">
        <v>5760000</v>
      </c>
      <c r="AD34" s="44">
        <v>5760000</v>
      </c>
      <c r="AE34" s="44">
        <v>5760000</v>
      </c>
      <c r="AF34" s="44">
        <v>5760000</v>
      </c>
      <c r="AG34" s="44">
        <v>5760000</v>
      </c>
      <c r="AH34" s="44">
        <v>0</v>
      </c>
      <c r="AI34" s="125">
        <v>0</v>
      </c>
      <c r="AJ34" s="125">
        <v>0</v>
      </c>
      <c r="AK34" s="125">
        <v>0</v>
      </c>
      <c r="AL34" s="125">
        <v>0</v>
      </c>
      <c r="AM34" s="125">
        <v>0</v>
      </c>
      <c r="AN34" s="125">
        <v>0</v>
      </c>
      <c r="AO34" s="125">
        <v>0</v>
      </c>
      <c r="AP34" s="125">
        <v>0</v>
      </c>
      <c r="AQ34" s="125">
        <v>0</v>
      </c>
      <c r="AR34" s="125">
        <v>0</v>
      </c>
      <c r="AS34" s="125">
        <v>0</v>
      </c>
      <c r="AT34" s="125">
        <v>0</v>
      </c>
      <c r="AU34" s="125">
        <v>0</v>
      </c>
      <c r="AV34" s="125">
        <v>0</v>
      </c>
      <c r="AW34" s="125">
        <v>0</v>
      </c>
      <c r="AX34" s="125">
        <v>0</v>
      </c>
      <c r="AY34" s="125">
        <v>0</v>
      </c>
      <c r="AZ34" s="125">
        <v>0</v>
      </c>
      <c r="BA34" s="125">
        <v>0</v>
      </c>
      <c r="BB34" s="44">
        <v>480000</v>
      </c>
      <c r="BC34" s="44">
        <v>480000</v>
      </c>
      <c r="BD34" s="44">
        <v>480000</v>
      </c>
      <c r="BE34" s="44">
        <v>480000</v>
      </c>
      <c r="BF34" s="44">
        <v>480000</v>
      </c>
      <c r="BG34" s="44">
        <v>480000</v>
      </c>
      <c r="BH34" s="44">
        <v>480000</v>
      </c>
      <c r="BI34" s="44">
        <v>480000</v>
      </c>
      <c r="BJ34" s="44">
        <v>480000</v>
      </c>
      <c r="BK34" s="44">
        <v>480000</v>
      </c>
      <c r="BL34" s="44">
        <v>480000</v>
      </c>
      <c r="BM34" s="44">
        <v>480000</v>
      </c>
      <c r="BN34" s="44">
        <v>480000</v>
      </c>
      <c r="BO34" s="44">
        <v>480000</v>
      </c>
      <c r="BP34" s="44">
        <v>480000</v>
      </c>
      <c r="BQ34" s="44">
        <v>480000</v>
      </c>
      <c r="BR34" s="44">
        <v>480000</v>
      </c>
      <c r="BS34" s="44">
        <v>480000</v>
      </c>
      <c r="BT34" s="44">
        <v>480000</v>
      </c>
      <c r="BU34" s="44">
        <v>480000</v>
      </c>
      <c r="BV34" s="44">
        <v>480000</v>
      </c>
      <c r="BW34" s="44">
        <v>480000</v>
      </c>
      <c r="BX34" s="44">
        <v>480000</v>
      </c>
      <c r="BY34" s="44">
        <v>480000</v>
      </c>
      <c r="BZ34" s="44">
        <v>480000</v>
      </c>
      <c r="CA34" s="44">
        <v>480000</v>
      </c>
      <c r="CB34" s="44">
        <v>480000</v>
      </c>
      <c r="CC34" s="44">
        <v>480000</v>
      </c>
      <c r="CD34" s="44">
        <v>480000</v>
      </c>
      <c r="CE34" s="44">
        <v>480000</v>
      </c>
      <c r="CF34" s="44">
        <v>480000</v>
      </c>
      <c r="CG34" s="44">
        <v>480000</v>
      </c>
      <c r="CH34" s="44">
        <v>480000</v>
      </c>
      <c r="CI34" s="44">
        <v>480000</v>
      </c>
      <c r="CJ34" s="44">
        <v>480000</v>
      </c>
      <c r="CK34" s="44">
        <v>480000</v>
      </c>
      <c r="CL34" s="44">
        <v>480000</v>
      </c>
      <c r="CM34" s="44">
        <v>480000</v>
      </c>
      <c r="CN34" s="44">
        <v>480000</v>
      </c>
      <c r="CO34" s="44">
        <v>480000</v>
      </c>
      <c r="CP34" s="44">
        <v>480000</v>
      </c>
      <c r="CQ34" s="44">
        <v>480000</v>
      </c>
      <c r="CR34" s="44">
        <v>480000</v>
      </c>
      <c r="CS34" s="44">
        <v>480000</v>
      </c>
      <c r="CT34" s="44">
        <v>480000</v>
      </c>
      <c r="CU34" s="44">
        <v>480000</v>
      </c>
      <c r="CV34" s="44">
        <v>480000</v>
      </c>
      <c r="CW34" s="44">
        <v>480000</v>
      </c>
      <c r="CX34" s="44">
        <v>480000</v>
      </c>
      <c r="CY34" s="44">
        <v>480000</v>
      </c>
      <c r="CZ34" s="44">
        <v>480000</v>
      </c>
      <c r="DA34" s="44">
        <v>480000</v>
      </c>
      <c r="DB34" s="44">
        <v>480000</v>
      </c>
      <c r="DC34" s="44">
        <v>480000</v>
      </c>
      <c r="DD34" s="44">
        <v>480000</v>
      </c>
      <c r="DE34" s="44">
        <v>480000</v>
      </c>
      <c r="DF34" s="44">
        <v>480000</v>
      </c>
      <c r="DG34" s="44">
        <v>480000</v>
      </c>
      <c r="DH34" s="44">
        <v>480000</v>
      </c>
      <c r="DI34" s="44">
        <v>480000</v>
      </c>
      <c r="DJ34" s="44">
        <v>480000</v>
      </c>
      <c r="DK34" s="44">
        <v>480000</v>
      </c>
      <c r="DL34" s="44">
        <v>480000</v>
      </c>
      <c r="DM34" s="44">
        <v>480000</v>
      </c>
      <c r="DN34" s="44">
        <v>480000</v>
      </c>
      <c r="DO34" s="44">
        <v>480000</v>
      </c>
      <c r="DP34" s="44">
        <v>480000</v>
      </c>
      <c r="DQ34" s="44">
        <v>480000</v>
      </c>
      <c r="DR34" s="44">
        <v>480000</v>
      </c>
      <c r="DS34" s="44">
        <v>480000</v>
      </c>
      <c r="DT34" s="44">
        <v>480000</v>
      </c>
      <c r="DU34" s="44">
        <v>480000</v>
      </c>
      <c r="DV34" s="44">
        <v>480000</v>
      </c>
      <c r="DW34" s="44">
        <v>480000</v>
      </c>
      <c r="DX34" s="44">
        <v>480000</v>
      </c>
      <c r="DY34" s="44">
        <v>480000</v>
      </c>
      <c r="DZ34" s="44">
        <v>480000</v>
      </c>
      <c r="EA34" s="44">
        <v>480000</v>
      </c>
      <c r="EB34" s="44">
        <v>480000</v>
      </c>
      <c r="EC34" s="44">
        <v>480000</v>
      </c>
      <c r="ED34" s="44">
        <v>480000</v>
      </c>
      <c r="EE34" s="44">
        <v>480000</v>
      </c>
      <c r="EF34" s="44">
        <v>480000</v>
      </c>
      <c r="EG34" s="44">
        <v>480000</v>
      </c>
      <c r="EH34" s="44">
        <v>480000</v>
      </c>
      <c r="EI34" s="44">
        <v>480000</v>
      </c>
      <c r="EJ34" s="44">
        <v>480000</v>
      </c>
      <c r="EK34" s="44">
        <v>480000</v>
      </c>
      <c r="EL34" s="44">
        <v>480000</v>
      </c>
      <c r="EM34" s="44">
        <v>480000</v>
      </c>
      <c r="EN34" s="44">
        <v>480000</v>
      </c>
      <c r="EO34" s="44">
        <v>480000</v>
      </c>
      <c r="EP34" s="44">
        <v>480000</v>
      </c>
      <c r="EQ34" s="44">
        <v>480000</v>
      </c>
      <c r="ER34" s="44">
        <v>480000</v>
      </c>
      <c r="ES34" s="44">
        <v>480000</v>
      </c>
      <c r="ET34" s="44">
        <v>480000</v>
      </c>
      <c r="EU34" s="44">
        <v>480000</v>
      </c>
      <c r="EV34" s="44">
        <v>480000</v>
      </c>
      <c r="EW34" s="44">
        <v>480000</v>
      </c>
      <c r="EX34" s="44">
        <v>480000</v>
      </c>
      <c r="EY34" s="44">
        <v>0</v>
      </c>
      <c r="EZ34" s="44">
        <v>0</v>
      </c>
      <c r="FA34" s="44">
        <v>0</v>
      </c>
      <c r="FB34" s="44">
        <v>0</v>
      </c>
      <c r="FC34" s="44">
        <v>0</v>
      </c>
      <c r="FD34" s="44">
        <v>0</v>
      </c>
      <c r="FE34" s="44">
        <v>0</v>
      </c>
      <c r="FF34" s="44">
        <v>0</v>
      </c>
      <c r="FG34" s="44">
        <v>0</v>
      </c>
      <c r="FH34" s="44">
        <v>0</v>
      </c>
      <c r="FI34" s="44">
        <v>0</v>
      </c>
      <c r="FJ34" s="113">
        <v>0</v>
      </c>
    </row>
    <row r="35" spans="1:166" x14ac:dyDescent="0.4">
      <c r="A35" s="112">
        <v>0</v>
      </c>
      <c r="B35" s="43" t="s">
        <v>174</v>
      </c>
      <c r="C35" s="43" t="s">
        <v>381</v>
      </c>
      <c r="D35" s="43" t="s">
        <v>14</v>
      </c>
      <c r="E35" s="43" t="s">
        <v>507</v>
      </c>
      <c r="F35" s="43" t="s">
        <v>508</v>
      </c>
      <c r="G35" s="43" t="s">
        <v>509</v>
      </c>
      <c r="H35" s="43" t="s">
        <v>510</v>
      </c>
      <c r="I35" s="43" t="s">
        <v>511</v>
      </c>
      <c r="J35" s="43" t="s">
        <v>481</v>
      </c>
      <c r="K35" s="43">
        <v>0</v>
      </c>
      <c r="L35" s="43" t="s">
        <v>493</v>
      </c>
      <c r="M35" s="44">
        <v>4</v>
      </c>
      <c r="N35" s="44">
        <v>0</v>
      </c>
      <c r="O35" s="45">
        <v>5000000</v>
      </c>
      <c r="P35" s="45">
        <f>CS_구축!$M35*CS_구축!$O35</f>
        <v>20000000</v>
      </c>
      <c r="Q35" s="44">
        <v>12</v>
      </c>
      <c r="R35" s="44">
        <v>108</v>
      </c>
      <c r="S35" s="43">
        <v>0.12</v>
      </c>
      <c r="T35" s="47">
        <v>1</v>
      </c>
      <c r="U35" s="43">
        <v>0</v>
      </c>
      <c r="V35" s="44">
        <v>200000</v>
      </c>
      <c r="W35" s="44">
        <v>21600000</v>
      </c>
      <c r="X35" s="44">
        <v>0</v>
      </c>
      <c r="Y35" s="44">
        <v>2400000</v>
      </c>
      <c r="Z35" s="44">
        <v>2400000</v>
      </c>
      <c r="AA35" s="44">
        <v>2400000</v>
      </c>
      <c r="AB35" s="44">
        <v>2400000</v>
      </c>
      <c r="AC35" s="44">
        <v>2400000</v>
      </c>
      <c r="AD35" s="44">
        <v>2400000</v>
      </c>
      <c r="AE35" s="44">
        <v>2400000</v>
      </c>
      <c r="AF35" s="44">
        <v>2400000</v>
      </c>
      <c r="AG35" s="44">
        <v>2400000</v>
      </c>
      <c r="AH35" s="44">
        <v>0</v>
      </c>
      <c r="AI35" s="125">
        <v>0</v>
      </c>
      <c r="AJ35" s="125">
        <v>0</v>
      </c>
      <c r="AK35" s="125">
        <v>0</v>
      </c>
      <c r="AL35" s="125">
        <v>0</v>
      </c>
      <c r="AM35" s="125">
        <v>0</v>
      </c>
      <c r="AN35" s="125">
        <v>0</v>
      </c>
      <c r="AO35" s="125">
        <v>0</v>
      </c>
      <c r="AP35" s="125">
        <v>0</v>
      </c>
      <c r="AQ35" s="125">
        <v>0</v>
      </c>
      <c r="AR35" s="125">
        <v>0</v>
      </c>
      <c r="AS35" s="125">
        <v>0</v>
      </c>
      <c r="AT35" s="125">
        <v>0</v>
      </c>
      <c r="AU35" s="44">
        <v>200000</v>
      </c>
      <c r="AV35" s="44">
        <v>200000</v>
      </c>
      <c r="AW35" s="44">
        <v>200000</v>
      </c>
      <c r="AX35" s="44">
        <v>200000</v>
      </c>
      <c r="AY35" s="44">
        <v>200000</v>
      </c>
      <c r="AZ35" s="44">
        <v>200000</v>
      </c>
      <c r="BA35" s="44">
        <v>200000</v>
      </c>
      <c r="BB35" s="44">
        <v>200000</v>
      </c>
      <c r="BC35" s="44">
        <v>200000</v>
      </c>
      <c r="BD35" s="44">
        <v>200000</v>
      </c>
      <c r="BE35" s="44">
        <v>200000</v>
      </c>
      <c r="BF35" s="44">
        <v>200000</v>
      </c>
      <c r="BG35" s="44">
        <v>200000</v>
      </c>
      <c r="BH35" s="44">
        <v>200000</v>
      </c>
      <c r="BI35" s="44">
        <v>200000</v>
      </c>
      <c r="BJ35" s="44">
        <v>200000</v>
      </c>
      <c r="BK35" s="44">
        <v>200000</v>
      </c>
      <c r="BL35" s="44">
        <v>200000</v>
      </c>
      <c r="BM35" s="44">
        <v>200000</v>
      </c>
      <c r="BN35" s="44">
        <v>200000</v>
      </c>
      <c r="BO35" s="44">
        <v>200000</v>
      </c>
      <c r="BP35" s="44">
        <v>200000</v>
      </c>
      <c r="BQ35" s="44">
        <v>200000</v>
      </c>
      <c r="BR35" s="44">
        <v>200000</v>
      </c>
      <c r="BS35" s="44">
        <v>200000</v>
      </c>
      <c r="BT35" s="44">
        <v>200000</v>
      </c>
      <c r="BU35" s="44">
        <v>200000</v>
      </c>
      <c r="BV35" s="44">
        <v>200000</v>
      </c>
      <c r="BW35" s="44">
        <v>200000</v>
      </c>
      <c r="BX35" s="44">
        <v>200000</v>
      </c>
      <c r="BY35" s="44">
        <v>200000</v>
      </c>
      <c r="BZ35" s="44">
        <v>200000</v>
      </c>
      <c r="CA35" s="44">
        <v>200000</v>
      </c>
      <c r="CB35" s="44">
        <v>200000</v>
      </c>
      <c r="CC35" s="44">
        <v>200000</v>
      </c>
      <c r="CD35" s="44">
        <v>200000</v>
      </c>
      <c r="CE35" s="44">
        <v>200000</v>
      </c>
      <c r="CF35" s="44">
        <v>200000</v>
      </c>
      <c r="CG35" s="44">
        <v>200000</v>
      </c>
      <c r="CH35" s="44">
        <v>200000</v>
      </c>
      <c r="CI35" s="44">
        <v>200000</v>
      </c>
      <c r="CJ35" s="44">
        <v>200000</v>
      </c>
      <c r="CK35" s="44">
        <v>200000</v>
      </c>
      <c r="CL35" s="44">
        <v>200000</v>
      </c>
      <c r="CM35" s="44">
        <v>200000</v>
      </c>
      <c r="CN35" s="44">
        <v>200000</v>
      </c>
      <c r="CO35" s="44">
        <v>200000</v>
      </c>
      <c r="CP35" s="44">
        <v>200000</v>
      </c>
      <c r="CQ35" s="44">
        <v>200000</v>
      </c>
      <c r="CR35" s="44">
        <v>200000</v>
      </c>
      <c r="CS35" s="44">
        <v>200000</v>
      </c>
      <c r="CT35" s="44">
        <v>200000</v>
      </c>
      <c r="CU35" s="44">
        <v>200000</v>
      </c>
      <c r="CV35" s="44">
        <v>200000</v>
      </c>
      <c r="CW35" s="44">
        <v>200000</v>
      </c>
      <c r="CX35" s="44">
        <v>200000</v>
      </c>
      <c r="CY35" s="44">
        <v>200000</v>
      </c>
      <c r="CZ35" s="44">
        <v>200000</v>
      </c>
      <c r="DA35" s="44">
        <v>200000</v>
      </c>
      <c r="DB35" s="44">
        <v>200000</v>
      </c>
      <c r="DC35" s="44">
        <v>200000</v>
      </c>
      <c r="DD35" s="44">
        <v>200000</v>
      </c>
      <c r="DE35" s="44">
        <v>200000</v>
      </c>
      <c r="DF35" s="44">
        <v>200000</v>
      </c>
      <c r="DG35" s="44">
        <v>200000</v>
      </c>
      <c r="DH35" s="44">
        <v>200000</v>
      </c>
      <c r="DI35" s="44">
        <v>200000</v>
      </c>
      <c r="DJ35" s="44">
        <v>200000</v>
      </c>
      <c r="DK35" s="44">
        <v>200000</v>
      </c>
      <c r="DL35" s="44">
        <v>200000</v>
      </c>
      <c r="DM35" s="44">
        <v>200000</v>
      </c>
      <c r="DN35" s="44">
        <v>200000</v>
      </c>
      <c r="DO35" s="44">
        <v>200000</v>
      </c>
      <c r="DP35" s="44">
        <v>200000</v>
      </c>
      <c r="DQ35" s="44">
        <v>200000</v>
      </c>
      <c r="DR35" s="44">
        <v>200000</v>
      </c>
      <c r="DS35" s="44">
        <v>200000</v>
      </c>
      <c r="DT35" s="44">
        <v>200000</v>
      </c>
      <c r="DU35" s="44">
        <v>200000</v>
      </c>
      <c r="DV35" s="44">
        <v>200000</v>
      </c>
      <c r="DW35" s="44">
        <v>200000</v>
      </c>
      <c r="DX35" s="44">
        <v>200000</v>
      </c>
      <c r="DY35" s="44">
        <v>200000</v>
      </c>
      <c r="DZ35" s="44">
        <v>200000</v>
      </c>
      <c r="EA35" s="44">
        <v>200000</v>
      </c>
      <c r="EB35" s="44">
        <v>200000</v>
      </c>
      <c r="EC35" s="44">
        <v>200000</v>
      </c>
      <c r="ED35" s="44">
        <v>200000</v>
      </c>
      <c r="EE35" s="44">
        <v>200000</v>
      </c>
      <c r="EF35" s="44">
        <v>200000</v>
      </c>
      <c r="EG35" s="44">
        <v>200000</v>
      </c>
      <c r="EH35" s="44">
        <v>200000</v>
      </c>
      <c r="EI35" s="44">
        <v>200000</v>
      </c>
      <c r="EJ35" s="44">
        <v>200000</v>
      </c>
      <c r="EK35" s="44">
        <v>200000</v>
      </c>
      <c r="EL35" s="44">
        <v>200000</v>
      </c>
      <c r="EM35" s="44">
        <v>200000</v>
      </c>
      <c r="EN35" s="44">
        <v>200000</v>
      </c>
      <c r="EO35" s="44">
        <v>200000</v>
      </c>
      <c r="EP35" s="44">
        <v>200000</v>
      </c>
      <c r="EQ35" s="44">
        <v>200000</v>
      </c>
      <c r="ER35" s="44">
        <v>200000</v>
      </c>
      <c r="ES35" s="44">
        <v>200000</v>
      </c>
      <c r="ET35" s="44">
        <v>200000</v>
      </c>
      <c r="EU35" s="44">
        <v>200000</v>
      </c>
      <c r="EV35" s="44">
        <v>200000</v>
      </c>
      <c r="EW35" s="44">
        <v>200000</v>
      </c>
      <c r="EX35" s="44">
        <v>200000</v>
      </c>
      <c r="EY35" s="44">
        <v>0</v>
      </c>
      <c r="EZ35" s="44">
        <v>0</v>
      </c>
      <c r="FA35" s="44">
        <v>0</v>
      </c>
      <c r="FB35" s="44">
        <v>0</v>
      </c>
      <c r="FC35" s="44">
        <v>0</v>
      </c>
      <c r="FD35" s="44">
        <v>0</v>
      </c>
      <c r="FE35" s="44">
        <v>0</v>
      </c>
      <c r="FF35" s="44">
        <v>0</v>
      </c>
      <c r="FG35" s="44">
        <v>0</v>
      </c>
      <c r="FH35" s="44">
        <v>0</v>
      </c>
      <c r="FI35" s="44">
        <v>0</v>
      </c>
      <c r="FJ35" s="113">
        <v>0</v>
      </c>
    </row>
    <row r="36" spans="1:166" x14ac:dyDescent="0.4">
      <c r="A36" s="112">
        <v>0</v>
      </c>
      <c r="B36" s="43" t="s">
        <v>174</v>
      </c>
      <c r="C36" s="43" t="s">
        <v>381</v>
      </c>
      <c r="D36" s="43" t="s">
        <v>14</v>
      </c>
      <c r="E36" s="43" t="s">
        <v>507</v>
      </c>
      <c r="F36" s="43" t="s">
        <v>515</v>
      </c>
      <c r="G36" s="43" t="s">
        <v>516</v>
      </c>
      <c r="H36" s="43" t="s">
        <v>517</v>
      </c>
      <c r="I36" s="43" t="s">
        <v>518</v>
      </c>
      <c r="J36" s="43" t="s">
        <v>481</v>
      </c>
      <c r="K36" s="43">
        <v>0</v>
      </c>
      <c r="L36" s="43" t="s">
        <v>493</v>
      </c>
      <c r="M36" s="44">
        <v>6</v>
      </c>
      <c r="N36" s="44">
        <v>0</v>
      </c>
      <c r="O36" s="45">
        <v>200000</v>
      </c>
      <c r="P36" s="45">
        <f>CS_구축!$M36*CS_구축!$O36</f>
        <v>1200000</v>
      </c>
      <c r="Q36" s="44">
        <v>12</v>
      </c>
      <c r="R36" s="44">
        <v>108</v>
      </c>
      <c r="S36" s="43">
        <v>0.1</v>
      </c>
      <c r="T36" s="47">
        <v>1</v>
      </c>
      <c r="U36" s="43">
        <v>0</v>
      </c>
      <c r="V36" s="44">
        <v>10000</v>
      </c>
      <c r="W36" s="44">
        <v>1080000</v>
      </c>
      <c r="X36" s="44">
        <v>0</v>
      </c>
      <c r="Y36" s="44">
        <v>120000</v>
      </c>
      <c r="Z36" s="44">
        <v>120000</v>
      </c>
      <c r="AA36" s="44">
        <v>120000</v>
      </c>
      <c r="AB36" s="44">
        <v>120000</v>
      </c>
      <c r="AC36" s="44">
        <v>120000</v>
      </c>
      <c r="AD36" s="44">
        <v>120000</v>
      </c>
      <c r="AE36" s="44">
        <v>120000</v>
      </c>
      <c r="AF36" s="44">
        <v>120000</v>
      </c>
      <c r="AG36" s="44">
        <v>120000</v>
      </c>
      <c r="AH36" s="44">
        <v>0</v>
      </c>
      <c r="AI36" s="125">
        <v>0</v>
      </c>
      <c r="AJ36" s="125">
        <v>0</v>
      </c>
      <c r="AK36" s="125">
        <v>0</v>
      </c>
      <c r="AL36" s="125">
        <v>0</v>
      </c>
      <c r="AM36" s="125">
        <v>0</v>
      </c>
      <c r="AN36" s="125">
        <v>0</v>
      </c>
      <c r="AO36" s="125">
        <v>0</v>
      </c>
      <c r="AP36" s="125">
        <v>0</v>
      </c>
      <c r="AQ36" s="125">
        <v>0</v>
      </c>
      <c r="AR36" s="125">
        <v>0</v>
      </c>
      <c r="AS36" s="125">
        <v>0</v>
      </c>
      <c r="AT36" s="125">
        <v>0</v>
      </c>
      <c r="AU36" s="44">
        <v>10000</v>
      </c>
      <c r="AV36" s="44">
        <v>10000</v>
      </c>
      <c r="AW36" s="44">
        <v>10000</v>
      </c>
      <c r="AX36" s="44">
        <v>10000</v>
      </c>
      <c r="AY36" s="44">
        <v>10000</v>
      </c>
      <c r="AZ36" s="44">
        <v>10000</v>
      </c>
      <c r="BA36" s="44">
        <v>10000</v>
      </c>
      <c r="BB36" s="44">
        <v>10000</v>
      </c>
      <c r="BC36" s="44">
        <v>10000</v>
      </c>
      <c r="BD36" s="44">
        <v>10000</v>
      </c>
      <c r="BE36" s="44">
        <v>10000</v>
      </c>
      <c r="BF36" s="44">
        <v>10000</v>
      </c>
      <c r="BG36" s="44">
        <v>10000</v>
      </c>
      <c r="BH36" s="44">
        <v>10000</v>
      </c>
      <c r="BI36" s="44">
        <v>10000</v>
      </c>
      <c r="BJ36" s="44">
        <v>10000</v>
      </c>
      <c r="BK36" s="44">
        <v>10000</v>
      </c>
      <c r="BL36" s="44">
        <v>10000</v>
      </c>
      <c r="BM36" s="44">
        <v>10000</v>
      </c>
      <c r="BN36" s="44">
        <v>10000</v>
      </c>
      <c r="BO36" s="44">
        <v>10000</v>
      </c>
      <c r="BP36" s="44">
        <v>10000</v>
      </c>
      <c r="BQ36" s="44">
        <v>10000</v>
      </c>
      <c r="BR36" s="44">
        <v>10000</v>
      </c>
      <c r="BS36" s="44">
        <v>10000</v>
      </c>
      <c r="BT36" s="44">
        <v>10000</v>
      </c>
      <c r="BU36" s="44">
        <v>10000</v>
      </c>
      <c r="BV36" s="44">
        <v>10000</v>
      </c>
      <c r="BW36" s="44">
        <v>10000</v>
      </c>
      <c r="BX36" s="44">
        <v>10000</v>
      </c>
      <c r="BY36" s="44">
        <v>10000</v>
      </c>
      <c r="BZ36" s="44">
        <v>10000</v>
      </c>
      <c r="CA36" s="44">
        <v>10000</v>
      </c>
      <c r="CB36" s="44">
        <v>10000</v>
      </c>
      <c r="CC36" s="44">
        <v>10000</v>
      </c>
      <c r="CD36" s="44">
        <v>10000</v>
      </c>
      <c r="CE36" s="44">
        <v>10000</v>
      </c>
      <c r="CF36" s="44">
        <v>10000</v>
      </c>
      <c r="CG36" s="44">
        <v>10000</v>
      </c>
      <c r="CH36" s="44">
        <v>10000</v>
      </c>
      <c r="CI36" s="44">
        <v>10000</v>
      </c>
      <c r="CJ36" s="44">
        <v>10000</v>
      </c>
      <c r="CK36" s="44">
        <v>10000</v>
      </c>
      <c r="CL36" s="44">
        <v>10000</v>
      </c>
      <c r="CM36" s="44">
        <v>10000</v>
      </c>
      <c r="CN36" s="44">
        <v>10000</v>
      </c>
      <c r="CO36" s="44">
        <v>10000</v>
      </c>
      <c r="CP36" s="44">
        <v>10000</v>
      </c>
      <c r="CQ36" s="44">
        <v>10000</v>
      </c>
      <c r="CR36" s="44">
        <v>10000</v>
      </c>
      <c r="CS36" s="44">
        <v>10000</v>
      </c>
      <c r="CT36" s="44">
        <v>10000</v>
      </c>
      <c r="CU36" s="44">
        <v>10000</v>
      </c>
      <c r="CV36" s="44">
        <v>10000</v>
      </c>
      <c r="CW36" s="44">
        <v>10000</v>
      </c>
      <c r="CX36" s="44">
        <v>10000</v>
      </c>
      <c r="CY36" s="44">
        <v>10000</v>
      </c>
      <c r="CZ36" s="44">
        <v>10000</v>
      </c>
      <c r="DA36" s="44">
        <v>10000</v>
      </c>
      <c r="DB36" s="44">
        <v>10000</v>
      </c>
      <c r="DC36" s="44">
        <v>10000</v>
      </c>
      <c r="DD36" s="44">
        <v>10000</v>
      </c>
      <c r="DE36" s="44">
        <v>10000</v>
      </c>
      <c r="DF36" s="44">
        <v>10000</v>
      </c>
      <c r="DG36" s="44">
        <v>10000</v>
      </c>
      <c r="DH36" s="44">
        <v>10000</v>
      </c>
      <c r="DI36" s="44">
        <v>10000</v>
      </c>
      <c r="DJ36" s="44">
        <v>10000</v>
      </c>
      <c r="DK36" s="44">
        <v>10000</v>
      </c>
      <c r="DL36" s="44">
        <v>10000</v>
      </c>
      <c r="DM36" s="44">
        <v>10000</v>
      </c>
      <c r="DN36" s="44">
        <v>10000</v>
      </c>
      <c r="DO36" s="44">
        <v>10000</v>
      </c>
      <c r="DP36" s="44">
        <v>10000</v>
      </c>
      <c r="DQ36" s="44">
        <v>10000</v>
      </c>
      <c r="DR36" s="44">
        <v>10000</v>
      </c>
      <c r="DS36" s="44">
        <v>10000</v>
      </c>
      <c r="DT36" s="44">
        <v>10000</v>
      </c>
      <c r="DU36" s="44">
        <v>10000</v>
      </c>
      <c r="DV36" s="44">
        <v>10000</v>
      </c>
      <c r="DW36" s="44">
        <v>10000</v>
      </c>
      <c r="DX36" s="44">
        <v>10000</v>
      </c>
      <c r="DY36" s="44">
        <v>10000</v>
      </c>
      <c r="DZ36" s="44">
        <v>10000</v>
      </c>
      <c r="EA36" s="44">
        <v>10000</v>
      </c>
      <c r="EB36" s="44">
        <v>10000</v>
      </c>
      <c r="EC36" s="44">
        <v>10000</v>
      </c>
      <c r="ED36" s="44">
        <v>10000</v>
      </c>
      <c r="EE36" s="44">
        <v>10000</v>
      </c>
      <c r="EF36" s="44">
        <v>10000</v>
      </c>
      <c r="EG36" s="44">
        <v>10000</v>
      </c>
      <c r="EH36" s="44">
        <v>10000</v>
      </c>
      <c r="EI36" s="44">
        <v>10000</v>
      </c>
      <c r="EJ36" s="44">
        <v>10000</v>
      </c>
      <c r="EK36" s="44">
        <v>10000</v>
      </c>
      <c r="EL36" s="44">
        <v>10000</v>
      </c>
      <c r="EM36" s="44">
        <v>10000</v>
      </c>
      <c r="EN36" s="44">
        <v>10000</v>
      </c>
      <c r="EO36" s="44">
        <v>10000</v>
      </c>
      <c r="EP36" s="44">
        <v>10000</v>
      </c>
      <c r="EQ36" s="44">
        <v>10000</v>
      </c>
      <c r="ER36" s="44">
        <v>10000</v>
      </c>
      <c r="ES36" s="44">
        <v>10000</v>
      </c>
      <c r="ET36" s="44">
        <v>10000</v>
      </c>
      <c r="EU36" s="44">
        <v>10000</v>
      </c>
      <c r="EV36" s="44">
        <v>10000</v>
      </c>
      <c r="EW36" s="44">
        <v>10000</v>
      </c>
      <c r="EX36" s="44">
        <v>10000</v>
      </c>
      <c r="EY36" s="44">
        <v>0</v>
      </c>
      <c r="EZ36" s="44">
        <v>0</v>
      </c>
      <c r="FA36" s="44">
        <v>0</v>
      </c>
      <c r="FB36" s="44">
        <v>0</v>
      </c>
      <c r="FC36" s="44">
        <v>0</v>
      </c>
      <c r="FD36" s="44">
        <v>0</v>
      </c>
      <c r="FE36" s="44">
        <v>0</v>
      </c>
      <c r="FF36" s="44">
        <v>0</v>
      </c>
      <c r="FG36" s="44">
        <v>0</v>
      </c>
      <c r="FH36" s="44">
        <v>0</v>
      </c>
      <c r="FI36" s="44">
        <v>0</v>
      </c>
      <c r="FJ36" s="113">
        <v>0</v>
      </c>
    </row>
    <row r="37" spans="1:166" ht="18" thickBot="1" x14ac:dyDescent="0.45">
      <c r="A37" s="114">
        <v>0</v>
      </c>
      <c r="B37" s="115" t="s">
        <v>174</v>
      </c>
      <c r="C37" s="115" t="s">
        <v>381</v>
      </c>
      <c r="D37" s="115" t="s">
        <v>14</v>
      </c>
      <c r="E37" s="115" t="s">
        <v>507</v>
      </c>
      <c r="F37" s="115" t="s">
        <v>519</v>
      </c>
      <c r="G37" s="115" t="s">
        <v>520</v>
      </c>
      <c r="H37" s="115" t="s">
        <v>521</v>
      </c>
      <c r="I37" s="115" t="s">
        <v>522</v>
      </c>
      <c r="J37" s="115" t="s">
        <v>481</v>
      </c>
      <c r="K37" s="115">
        <v>0</v>
      </c>
      <c r="L37" s="115" t="s">
        <v>493</v>
      </c>
      <c r="M37" s="117">
        <v>16</v>
      </c>
      <c r="N37" s="117">
        <v>0</v>
      </c>
      <c r="O37" s="118">
        <v>1500000</v>
      </c>
      <c r="P37" s="118">
        <f>CS_구축!$M37*CS_구축!$O37</f>
        <v>24000000</v>
      </c>
      <c r="Q37" s="117">
        <v>12</v>
      </c>
      <c r="R37" s="117">
        <v>108</v>
      </c>
      <c r="S37" s="115">
        <v>0.1</v>
      </c>
      <c r="T37" s="121">
        <v>1</v>
      </c>
      <c r="U37" s="115">
        <v>0</v>
      </c>
      <c r="V37" s="117">
        <v>200000</v>
      </c>
      <c r="W37" s="117">
        <v>21600000</v>
      </c>
      <c r="X37" s="117">
        <v>0</v>
      </c>
      <c r="Y37" s="117">
        <v>2400000</v>
      </c>
      <c r="Z37" s="117">
        <v>2400000</v>
      </c>
      <c r="AA37" s="117">
        <v>2400000</v>
      </c>
      <c r="AB37" s="117">
        <v>2400000</v>
      </c>
      <c r="AC37" s="117">
        <v>2400000</v>
      </c>
      <c r="AD37" s="117">
        <v>2400000</v>
      </c>
      <c r="AE37" s="117">
        <v>2400000</v>
      </c>
      <c r="AF37" s="117">
        <v>2400000</v>
      </c>
      <c r="AG37" s="117">
        <v>2400000</v>
      </c>
      <c r="AH37" s="117">
        <v>0</v>
      </c>
      <c r="AI37" s="126">
        <v>0</v>
      </c>
      <c r="AJ37" s="126">
        <v>0</v>
      </c>
      <c r="AK37" s="126">
        <v>0</v>
      </c>
      <c r="AL37" s="126">
        <v>0</v>
      </c>
      <c r="AM37" s="126">
        <v>0</v>
      </c>
      <c r="AN37" s="126">
        <v>0</v>
      </c>
      <c r="AO37" s="126">
        <v>0</v>
      </c>
      <c r="AP37" s="126">
        <v>0</v>
      </c>
      <c r="AQ37" s="126">
        <v>0</v>
      </c>
      <c r="AR37" s="126">
        <v>0</v>
      </c>
      <c r="AS37" s="126">
        <v>0</v>
      </c>
      <c r="AT37" s="126">
        <v>0</v>
      </c>
      <c r="AU37" s="117">
        <v>200000</v>
      </c>
      <c r="AV37" s="117">
        <v>200000</v>
      </c>
      <c r="AW37" s="117">
        <v>200000</v>
      </c>
      <c r="AX37" s="117">
        <v>200000</v>
      </c>
      <c r="AY37" s="117">
        <v>200000</v>
      </c>
      <c r="AZ37" s="117">
        <v>200000</v>
      </c>
      <c r="BA37" s="117">
        <v>200000</v>
      </c>
      <c r="BB37" s="117">
        <v>200000</v>
      </c>
      <c r="BC37" s="117">
        <v>200000</v>
      </c>
      <c r="BD37" s="117">
        <v>200000</v>
      </c>
      <c r="BE37" s="117">
        <v>200000</v>
      </c>
      <c r="BF37" s="117">
        <v>200000</v>
      </c>
      <c r="BG37" s="117">
        <v>200000</v>
      </c>
      <c r="BH37" s="117">
        <v>200000</v>
      </c>
      <c r="BI37" s="117">
        <v>200000</v>
      </c>
      <c r="BJ37" s="117">
        <v>200000</v>
      </c>
      <c r="BK37" s="117">
        <v>200000</v>
      </c>
      <c r="BL37" s="117">
        <v>200000</v>
      </c>
      <c r="BM37" s="117">
        <v>200000</v>
      </c>
      <c r="BN37" s="117">
        <v>200000</v>
      </c>
      <c r="BO37" s="117">
        <v>200000</v>
      </c>
      <c r="BP37" s="117">
        <v>200000</v>
      </c>
      <c r="BQ37" s="117">
        <v>200000</v>
      </c>
      <c r="BR37" s="117">
        <v>200000</v>
      </c>
      <c r="BS37" s="117">
        <v>200000</v>
      </c>
      <c r="BT37" s="117">
        <v>200000</v>
      </c>
      <c r="BU37" s="117">
        <v>200000</v>
      </c>
      <c r="BV37" s="117">
        <v>200000</v>
      </c>
      <c r="BW37" s="117">
        <v>200000</v>
      </c>
      <c r="BX37" s="117">
        <v>200000</v>
      </c>
      <c r="BY37" s="117">
        <v>200000</v>
      </c>
      <c r="BZ37" s="117">
        <v>200000</v>
      </c>
      <c r="CA37" s="117">
        <v>200000</v>
      </c>
      <c r="CB37" s="117">
        <v>200000</v>
      </c>
      <c r="CC37" s="117">
        <v>200000</v>
      </c>
      <c r="CD37" s="117">
        <v>200000</v>
      </c>
      <c r="CE37" s="117">
        <v>200000</v>
      </c>
      <c r="CF37" s="117">
        <v>200000</v>
      </c>
      <c r="CG37" s="117">
        <v>200000</v>
      </c>
      <c r="CH37" s="117">
        <v>200000</v>
      </c>
      <c r="CI37" s="117">
        <v>200000</v>
      </c>
      <c r="CJ37" s="117">
        <v>200000</v>
      </c>
      <c r="CK37" s="117">
        <v>200000</v>
      </c>
      <c r="CL37" s="117">
        <v>200000</v>
      </c>
      <c r="CM37" s="117">
        <v>200000</v>
      </c>
      <c r="CN37" s="117">
        <v>200000</v>
      </c>
      <c r="CO37" s="117">
        <v>200000</v>
      </c>
      <c r="CP37" s="117">
        <v>200000</v>
      </c>
      <c r="CQ37" s="117">
        <v>200000</v>
      </c>
      <c r="CR37" s="117">
        <v>200000</v>
      </c>
      <c r="CS37" s="117">
        <v>200000</v>
      </c>
      <c r="CT37" s="117">
        <v>200000</v>
      </c>
      <c r="CU37" s="117">
        <v>200000</v>
      </c>
      <c r="CV37" s="117">
        <v>200000</v>
      </c>
      <c r="CW37" s="117">
        <v>200000</v>
      </c>
      <c r="CX37" s="117">
        <v>200000</v>
      </c>
      <c r="CY37" s="117">
        <v>200000</v>
      </c>
      <c r="CZ37" s="117">
        <v>200000</v>
      </c>
      <c r="DA37" s="117">
        <v>200000</v>
      </c>
      <c r="DB37" s="117">
        <v>200000</v>
      </c>
      <c r="DC37" s="117">
        <v>200000</v>
      </c>
      <c r="DD37" s="117">
        <v>200000</v>
      </c>
      <c r="DE37" s="117">
        <v>200000</v>
      </c>
      <c r="DF37" s="117">
        <v>200000</v>
      </c>
      <c r="DG37" s="117">
        <v>200000</v>
      </c>
      <c r="DH37" s="117">
        <v>200000</v>
      </c>
      <c r="DI37" s="117">
        <v>200000</v>
      </c>
      <c r="DJ37" s="117">
        <v>200000</v>
      </c>
      <c r="DK37" s="117">
        <v>200000</v>
      </c>
      <c r="DL37" s="117">
        <v>200000</v>
      </c>
      <c r="DM37" s="117">
        <v>200000</v>
      </c>
      <c r="DN37" s="117">
        <v>200000</v>
      </c>
      <c r="DO37" s="117">
        <v>200000</v>
      </c>
      <c r="DP37" s="117">
        <v>200000</v>
      </c>
      <c r="DQ37" s="117">
        <v>200000</v>
      </c>
      <c r="DR37" s="117">
        <v>200000</v>
      </c>
      <c r="DS37" s="117">
        <v>200000</v>
      </c>
      <c r="DT37" s="117">
        <v>200000</v>
      </c>
      <c r="DU37" s="117">
        <v>200000</v>
      </c>
      <c r="DV37" s="117">
        <v>200000</v>
      </c>
      <c r="DW37" s="117">
        <v>200000</v>
      </c>
      <c r="DX37" s="117">
        <v>200000</v>
      </c>
      <c r="DY37" s="117">
        <v>200000</v>
      </c>
      <c r="DZ37" s="117">
        <v>200000</v>
      </c>
      <c r="EA37" s="117">
        <v>200000</v>
      </c>
      <c r="EB37" s="117">
        <v>200000</v>
      </c>
      <c r="EC37" s="117">
        <v>200000</v>
      </c>
      <c r="ED37" s="117">
        <v>200000</v>
      </c>
      <c r="EE37" s="117">
        <v>200000</v>
      </c>
      <c r="EF37" s="117">
        <v>200000</v>
      </c>
      <c r="EG37" s="117">
        <v>200000</v>
      </c>
      <c r="EH37" s="117">
        <v>200000</v>
      </c>
      <c r="EI37" s="117">
        <v>200000</v>
      </c>
      <c r="EJ37" s="117">
        <v>200000</v>
      </c>
      <c r="EK37" s="117">
        <v>200000</v>
      </c>
      <c r="EL37" s="117">
        <v>200000</v>
      </c>
      <c r="EM37" s="117">
        <v>200000</v>
      </c>
      <c r="EN37" s="117">
        <v>200000</v>
      </c>
      <c r="EO37" s="117">
        <v>200000</v>
      </c>
      <c r="EP37" s="117">
        <v>200000</v>
      </c>
      <c r="EQ37" s="117">
        <v>200000</v>
      </c>
      <c r="ER37" s="117">
        <v>200000</v>
      </c>
      <c r="ES37" s="117">
        <v>200000</v>
      </c>
      <c r="ET37" s="117">
        <v>200000</v>
      </c>
      <c r="EU37" s="117">
        <v>200000</v>
      </c>
      <c r="EV37" s="117">
        <v>200000</v>
      </c>
      <c r="EW37" s="117">
        <v>200000</v>
      </c>
      <c r="EX37" s="117">
        <v>200000</v>
      </c>
      <c r="EY37" s="117">
        <v>0</v>
      </c>
      <c r="EZ37" s="117">
        <v>0</v>
      </c>
      <c r="FA37" s="117">
        <v>0</v>
      </c>
      <c r="FB37" s="117">
        <v>0</v>
      </c>
      <c r="FC37" s="117">
        <v>0</v>
      </c>
      <c r="FD37" s="117">
        <v>0</v>
      </c>
      <c r="FE37" s="117">
        <v>0</v>
      </c>
      <c r="FF37" s="117">
        <v>0</v>
      </c>
      <c r="FG37" s="117">
        <v>0</v>
      </c>
      <c r="FH37" s="117">
        <v>0</v>
      </c>
      <c r="FI37" s="117">
        <v>0</v>
      </c>
      <c r="FJ37" s="119">
        <v>0</v>
      </c>
    </row>
  </sheetData>
  <phoneticPr fontId="1" type="noConversion"/>
  <conditionalFormatting sqref="Q6:S7 Q5:R5 Q8:R8 Q9:S37 T5:U37 A5:P37">
    <cfRule type="expression" dxfId="2" priority="11">
      <formula>OR($D5="MA",$D5="운영")</formula>
    </cfRule>
  </conditionalFormatting>
  <conditionalFormatting sqref="S8">
    <cfRule type="expression" dxfId="1" priority="13">
      <formula>OR($D5="MA",$D5="운영")</formula>
    </cfRule>
  </conditionalFormatting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8681" r:id="rId4" name="OptionButton2">
          <controlPr defaultSize="0" autoFill="0" autoLine="0" r:id="rId5">
            <anchor moveWithCells="1">
              <from>
                <xdr:col>5</xdr:col>
                <xdr:colOff>1303020</xdr:colOff>
                <xdr:row>0</xdr:row>
                <xdr:rowOff>0</xdr:rowOff>
              </from>
              <to>
                <xdr:col>6</xdr:col>
                <xdr:colOff>525780</xdr:colOff>
                <xdr:row>0</xdr:row>
                <xdr:rowOff>251460</xdr:rowOff>
              </to>
            </anchor>
          </controlPr>
        </control>
      </mc:Choice>
      <mc:Fallback>
        <control shapeId="28681" r:id="rId4" name="OptionButton2"/>
      </mc:Fallback>
    </mc:AlternateContent>
    <mc:AlternateContent xmlns:mc="http://schemas.openxmlformats.org/markup-compatibility/2006">
      <mc:Choice Requires="x14">
        <control shapeId="28680" r:id="rId6" name="OptionButton1">
          <controlPr defaultSize="0" disabled="1" autoFill="0" autoLine="0" r:id="rId7">
            <anchor moveWithCells="1">
              <from>
                <xdr:col>4</xdr:col>
                <xdr:colOff>403860</xdr:colOff>
                <xdr:row>0</xdr:row>
                <xdr:rowOff>38100</xdr:rowOff>
              </from>
              <to>
                <xdr:col>5</xdr:col>
                <xdr:colOff>883920</xdr:colOff>
                <xdr:row>0</xdr:row>
                <xdr:rowOff>304800</xdr:rowOff>
              </to>
            </anchor>
          </controlPr>
        </control>
      </mc:Choice>
      <mc:Fallback>
        <control shapeId="28680" r:id="rId6" name="OptionButton1"/>
      </mc:Fallback>
    </mc:AlternateContent>
    <mc:AlternateContent xmlns:mc="http://schemas.openxmlformats.org/markup-compatibility/2006">
      <mc:Choice Requires="x14">
        <control shapeId="28673" r:id="rId8" name="cmd_CS구축">
          <controlPr defaultSize="0" autoFill="0" autoLine="0" r:id="rId9">
            <anchor moveWithCells="1">
              <from>
                <xdr:col>2</xdr:col>
                <xdr:colOff>259080</xdr:colOff>
                <xdr:row>0</xdr:row>
                <xdr:rowOff>15240</xdr:rowOff>
              </from>
              <to>
                <xdr:col>4</xdr:col>
                <xdr:colOff>0</xdr:colOff>
                <xdr:row>0</xdr:row>
                <xdr:rowOff>289560</xdr:rowOff>
              </to>
            </anchor>
          </controlPr>
        </control>
      </mc:Choice>
      <mc:Fallback>
        <control shapeId="28673" r:id="rId8" name="cmd_CS구축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1AA52F-5837-4594-A16F-D17FA6C85FEE}">
  <sheetPr codeName="C2_Sheet">
    <tabColor theme="4" tint="0.59999389629810485"/>
  </sheetPr>
  <dimension ref="A1:FJ17"/>
  <sheetViews>
    <sheetView showGridLines="0" zoomScale="70" zoomScaleNormal="70" workbookViewId="0">
      <selection sqref="A1:XFD1"/>
    </sheetView>
  </sheetViews>
  <sheetFormatPr defaultRowHeight="17.399999999999999" x14ac:dyDescent="0.4"/>
  <cols>
    <col min="1" max="1" width="7.59765625" bestFit="1" customWidth="1"/>
    <col min="2" max="2" width="10.8984375" bestFit="1" customWidth="1"/>
    <col min="3" max="4" width="7.59765625" customWidth="1"/>
    <col min="5" max="5" width="16.5" bestFit="1" customWidth="1"/>
    <col min="6" max="6" width="23.8984375" bestFit="1" customWidth="1"/>
    <col min="7" max="7" width="35" bestFit="1" customWidth="1"/>
    <col min="8" max="8" width="35.69921875" customWidth="1"/>
    <col min="9" max="9" width="18.5" hidden="1" customWidth="1"/>
    <col min="10" max="10" width="13" bestFit="1" customWidth="1"/>
    <col min="11" max="11" width="11.296875" hidden="1" customWidth="1"/>
    <col min="12" max="12" width="11" bestFit="1" customWidth="1"/>
    <col min="13" max="13" width="11.296875" bestFit="1" customWidth="1"/>
    <col min="14" max="14" width="16.19921875" hidden="1" customWidth="1"/>
    <col min="15" max="16" width="11.69921875" bestFit="1" customWidth="1"/>
    <col min="17" max="17" width="10" customWidth="1"/>
    <col min="18" max="18" width="9.59765625" customWidth="1"/>
    <col min="19" max="19" width="14" customWidth="1"/>
    <col min="20" max="20" width="15.5" customWidth="1"/>
    <col min="21" max="21" width="9.09765625" bestFit="1" customWidth="1"/>
    <col min="22" max="22" width="9.296875" bestFit="1" customWidth="1"/>
    <col min="23" max="23" width="14.5" bestFit="1" customWidth="1"/>
    <col min="24" max="25" width="11.69921875" bestFit="1" customWidth="1"/>
    <col min="26" max="26" width="17.69921875" bestFit="1" customWidth="1"/>
    <col min="27" max="32" width="11.69921875" bestFit="1" customWidth="1"/>
    <col min="33" max="34" width="13.19921875" bestFit="1" customWidth="1"/>
    <col min="35" max="118" width="10.5" bestFit="1" customWidth="1"/>
    <col min="119" max="142" width="10.59765625" bestFit="1" customWidth="1"/>
    <col min="143" max="166" width="11.796875" bestFit="1" customWidth="1"/>
  </cols>
  <sheetData>
    <row r="1" spans="1:166" ht="30" customHeight="1" thickBot="1" x14ac:dyDescent="0.45"/>
    <row r="2" spans="1:166" s="4" customFormat="1" ht="30" customHeight="1" thickBot="1" x14ac:dyDescent="0.45">
      <c r="A2" s="184" t="s">
        <v>561</v>
      </c>
      <c r="P2" s="93">
        <v>0</v>
      </c>
      <c r="W2" s="94">
        <v>1391225486.9998937</v>
      </c>
      <c r="X2" s="95">
        <v>207499450</v>
      </c>
      <c r="Y2" s="95">
        <v>127160330</v>
      </c>
      <c r="Z2" s="95">
        <v>121865438.25</v>
      </c>
      <c r="AA2" s="95">
        <v>124638174.20624994</v>
      </c>
      <c r="AB2" s="95">
        <v>127480228.56140618</v>
      </c>
      <c r="AC2" s="95">
        <v>130393334.27544133</v>
      </c>
      <c r="AD2" s="95">
        <v>133379267.63232739</v>
      </c>
      <c r="AE2" s="95">
        <v>136439849.32313561</v>
      </c>
      <c r="AF2" s="95">
        <v>139576945.55621392</v>
      </c>
      <c r="AG2" s="95">
        <v>142792469.19511932</v>
      </c>
      <c r="AH2" s="95">
        <v>0</v>
      </c>
      <c r="AI2" s="96">
        <v>27505750</v>
      </c>
      <c r="AJ2" s="96">
        <v>27505750</v>
      </c>
      <c r="AK2" s="96">
        <v>26505750</v>
      </c>
      <c r="AL2" s="96">
        <v>25505750</v>
      </c>
      <c r="AM2" s="96">
        <v>25505750</v>
      </c>
      <c r="AN2" s="96">
        <v>10710100</v>
      </c>
      <c r="AO2" s="96">
        <v>10710100</v>
      </c>
      <c r="AP2" s="96">
        <v>10710100</v>
      </c>
      <c r="AQ2" s="96">
        <v>10710100</v>
      </c>
      <c r="AR2" s="96">
        <v>10710100</v>
      </c>
      <c r="AS2" s="96">
        <v>10710100</v>
      </c>
      <c r="AT2" s="96">
        <v>10710100</v>
      </c>
      <c r="AU2" s="95">
        <v>10930027.5</v>
      </c>
      <c r="AV2" s="95">
        <v>10930027.5</v>
      </c>
      <c r="AW2" s="95">
        <v>10930027.5</v>
      </c>
      <c r="AX2" s="95">
        <v>10930027.5</v>
      </c>
      <c r="AY2" s="95">
        <v>10930027.5</v>
      </c>
      <c r="AZ2" s="95">
        <v>10930027.5</v>
      </c>
      <c r="BA2" s="95">
        <v>10930027.5</v>
      </c>
      <c r="BB2" s="95">
        <v>10930027.5</v>
      </c>
      <c r="BC2" s="95">
        <v>9930027.5</v>
      </c>
      <c r="BD2" s="95">
        <v>9930027.5</v>
      </c>
      <c r="BE2" s="95">
        <v>9930027.5</v>
      </c>
      <c r="BF2" s="95">
        <v>9930027.5</v>
      </c>
      <c r="BG2" s="96">
        <v>10155453.1875</v>
      </c>
      <c r="BH2" s="96">
        <v>10155453.1875</v>
      </c>
      <c r="BI2" s="96">
        <v>10155453.1875</v>
      </c>
      <c r="BJ2" s="96">
        <v>10155453.1875</v>
      </c>
      <c r="BK2" s="96">
        <v>10155453.1875</v>
      </c>
      <c r="BL2" s="96">
        <v>10155453.1875</v>
      </c>
      <c r="BM2" s="96">
        <v>10155453.1875</v>
      </c>
      <c r="BN2" s="96">
        <v>10155453.1875</v>
      </c>
      <c r="BO2" s="96">
        <v>10155453.1875</v>
      </c>
      <c r="BP2" s="96">
        <v>10155453.1875</v>
      </c>
      <c r="BQ2" s="96">
        <v>10155453.1875</v>
      </c>
      <c r="BR2" s="96">
        <v>10155453.1875</v>
      </c>
      <c r="BS2" s="95">
        <v>10386514.517187497</v>
      </c>
      <c r="BT2" s="95">
        <v>10386514.517187497</v>
      </c>
      <c r="BU2" s="95">
        <v>10386514.517187497</v>
      </c>
      <c r="BV2" s="95">
        <v>10386514.517187497</v>
      </c>
      <c r="BW2" s="95">
        <v>10386514.517187497</v>
      </c>
      <c r="BX2" s="95">
        <v>10386514.517187497</v>
      </c>
      <c r="BY2" s="95">
        <v>10386514.517187497</v>
      </c>
      <c r="BZ2" s="95">
        <v>10386514.517187497</v>
      </c>
      <c r="CA2" s="95">
        <v>10386514.517187497</v>
      </c>
      <c r="CB2" s="95">
        <v>10386514.517187497</v>
      </c>
      <c r="CC2" s="95">
        <v>10386514.517187497</v>
      </c>
      <c r="CD2" s="95">
        <v>10386514.517187497</v>
      </c>
      <c r="CE2" s="96">
        <v>10623352.380117184</v>
      </c>
      <c r="CF2" s="96">
        <v>10623352.380117184</v>
      </c>
      <c r="CG2" s="96">
        <v>10623352.380117184</v>
      </c>
      <c r="CH2" s="96">
        <v>10623352.380117184</v>
      </c>
      <c r="CI2" s="96">
        <v>10623352.380117184</v>
      </c>
      <c r="CJ2" s="96">
        <v>10623352.380117184</v>
      </c>
      <c r="CK2" s="96">
        <v>10623352.380117184</v>
      </c>
      <c r="CL2" s="96">
        <v>10623352.380117184</v>
      </c>
      <c r="CM2" s="96">
        <v>10623352.380117184</v>
      </c>
      <c r="CN2" s="96">
        <v>10623352.380117184</v>
      </c>
      <c r="CO2" s="96">
        <v>10623352.380117184</v>
      </c>
      <c r="CP2" s="96">
        <v>10623352.380117184</v>
      </c>
      <c r="CQ2" s="95">
        <v>10866111.189620113</v>
      </c>
      <c r="CR2" s="95">
        <v>10866111.189620113</v>
      </c>
      <c r="CS2" s="95">
        <v>10866111.189620113</v>
      </c>
      <c r="CT2" s="95">
        <v>10866111.189620113</v>
      </c>
      <c r="CU2" s="95">
        <v>10866111.189620113</v>
      </c>
      <c r="CV2" s="95">
        <v>10866111.189620113</v>
      </c>
      <c r="CW2" s="95">
        <v>10866111.189620113</v>
      </c>
      <c r="CX2" s="95">
        <v>10866111.189620113</v>
      </c>
      <c r="CY2" s="95">
        <v>10866111.189620113</v>
      </c>
      <c r="CZ2" s="95">
        <v>10866111.189620113</v>
      </c>
      <c r="DA2" s="95">
        <v>10866111.189620113</v>
      </c>
      <c r="DB2" s="95">
        <v>10866111.189620113</v>
      </c>
      <c r="DC2" s="96">
        <v>11114938.969360614</v>
      </c>
      <c r="DD2" s="96">
        <v>11114938.969360614</v>
      </c>
      <c r="DE2" s="96">
        <v>11114938.969360614</v>
      </c>
      <c r="DF2" s="96">
        <v>11114938.969360614</v>
      </c>
      <c r="DG2" s="96">
        <v>11114938.969360614</v>
      </c>
      <c r="DH2" s="96">
        <v>11114938.969360614</v>
      </c>
      <c r="DI2" s="96">
        <v>11114938.969360614</v>
      </c>
      <c r="DJ2" s="96">
        <v>11114938.969360614</v>
      </c>
      <c r="DK2" s="96">
        <v>11114938.969360614</v>
      </c>
      <c r="DL2" s="96">
        <v>11114938.969360614</v>
      </c>
      <c r="DM2" s="96">
        <v>11114938.969360614</v>
      </c>
      <c r="DN2" s="96">
        <v>11114938.969360614</v>
      </c>
      <c r="DO2" s="95">
        <v>11369987.443594631</v>
      </c>
      <c r="DP2" s="95">
        <v>11369987.443594631</v>
      </c>
      <c r="DQ2" s="95">
        <v>11369987.443594631</v>
      </c>
      <c r="DR2" s="95">
        <v>11369987.443594631</v>
      </c>
      <c r="DS2" s="95">
        <v>11369987.443594631</v>
      </c>
      <c r="DT2" s="95">
        <v>11369987.443594631</v>
      </c>
      <c r="DU2" s="95">
        <v>11369987.443594631</v>
      </c>
      <c r="DV2" s="95">
        <v>11369987.443594631</v>
      </c>
      <c r="DW2" s="95">
        <v>11369987.443594631</v>
      </c>
      <c r="DX2" s="95">
        <v>11369987.443594631</v>
      </c>
      <c r="DY2" s="95">
        <v>11369987.443594631</v>
      </c>
      <c r="DZ2" s="95">
        <v>11369987.443594631</v>
      </c>
      <c r="EA2" s="96">
        <v>11631412.129684493</v>
      </c>
      <c r="EB2" s="96">
        <v>11631412.129684493</v>
      </c>
      <c r="EC2" s="96">
        <v>11631412.129684493</v>
      </c>
      <c r="ED2" s="96">
        <v>11631412.129684493</v>
      </c>
      <c r="EE2" s="96">
        <v>11631412.129684493</v>
      </c>
      <c r="EF2" s="96">
        <v>11631412.129684493</v>
      </c>
      <c r="EG2" s="96">
        <v>11631412.129684493</v>
      </c>
      <c r="EH2" s="96">
        <v>11631412.129684493</v>
      </c>
      <c r="EI2" s="96">
        <v>11631412.129684493</v>
      </c>
      <c r="EJ2" s="96">
        <v>11631412.129684493</v>
      </c>
      <c r="EK2" s="96">
        <v>11631412.129684493</v>
      </c>
      <c r="EL2" s="96">
        <v>11631412.129684493</v>
      </c>
      <c r="EM2" s="95">
        <v>11899372.432926606</v>
      </c>
      <c r="EN2" s="95">
        <v>11899372.432926606</v>
      </c>
      <c r="EO2" s="95">
        <v>11899372.432926606</v>
      </c>
      <c r="EP2" s="95">
        <v>11899372.432926606</v>
      </c>
      <c r="EQ2" s="95">
        <v>11899372.432926606</v>
      </c>
      <c r="ER2" s="95">
        <v>11899372.432926606</v>
      </c>
      <c r="ES2" s="95">
        <v>11899372.432926606</v>
      </c>
      <c r="ET2" s="95">
        <v>11899372.432926606</v>
      </c>
      <c r="EU2" s="95">
        <v>11899372.432926606</v>
      </c>
      <c r="EV2" s="95">
        <v>11899372.432926606</v>
      </c>
      <c r="EW2" s="95">
        <v>11899372.432926606</v>
      </c>
      <c r="EX2" s="95">
        <v>11899372.432926606</v>
      </c>
      <c r="EY2" s="96">
        <v>0</v>
      </c>
      <c r="EZ2" s="96">
        <v>0</v>
      </c>
      <c r="FA2" s="96">
        <v>0</v>
      </c>
      <c r="FB2" s="96">
        <v>0</v>
      </c>
      <c r="FC2" s="96">
        <v>0</v>
      </c>
      <c r="FD2" s="96">
        <v>0</v>
      </c>
      <c r="FE2" s="96">
        <v>0</v>
      </c>
      <c r="FF2" s="96">
        <v>0</v>
      </c>
      <c r="FG2" s="96">
        <v>0</v>
      </c>
      <c r="FH2" s="96">
        <v>0</v>
      </c>
      <c r="FI2" s="96">
        <v>0</v>
      </c>
      <c r="FJ2" s="97">
        <v>0</v>
      </c>
    </row>
    <row r="3" spans="1:166" ht="8.4" customHeight="1" thickBot="1" x14ac:dyDescent="0.45"/>
    <row r="4" spans="1:166" s="1" customFormat="1" ht="23.25" customHeight="1" x14ac:dyDescent="0.4">
      <c r="A4" s="53" t="s">
        <v>0</v>
      </c>
      <c r="B4" s="54" t="s">
        <v>1</v>
      </c>
      <c r="C4" s="54" t="s">
        <v>2</v>
      </c>
      <c r="D4" s="54" t="s">
        <v>3</v>
      </c>
      <c r="E4" s="54" t="s">
        <v>4</v>
      </c>
      <c r="F4" s="55" t="s">
        <v>148</v>
      </c>
      <c r="G4" s="55" t="s">
        <v>149</v>
      </c>
      <c r="H4" s="55" t="s">
        <v>150</v>
      </c>
      <c r="I4" s="55" t="s">
        <v>151</v>
      </c>
      <c r="J4" s="55" t="s">
        <v>5</v>
      </c>
      <c r="K4" s="55" t="s">
        <v>157</v>
      </c>
      <c r="L4" s="55" t="s">
        <v>6</v>
      </c>
      <c r="M4" s="55" t="s">
        <v>7</v>
      </c>
      <c r="N4" s="55"/>
      <c r="O4" s="54" t="s">
        <v>9</v>
      </c>
      <c r="P4" s="54" t="s">
        <v>10</v>
      </c>
      <c r="Q4" s="54" t="s">
        <v>425</v>
      </c>
      <c r="R4" s="54" t="s">
        <v>424</v>
      </c>
      <c r="S4" s="54" t="s">
        <v>158</v>
      </c>
      <c r="T4" s="54" t="s">
        <v>42</v>
      </c>
      <c r="U4" s="55" t="s">
        <v>16</v>
      </c>
      <c r="V4" s="55" t="s">
        <v>426</v>
      </c>
      <c r="W4" s="55" t="s">
        <v>429</v>
      </c>
      <c r="X4" s="55" t="s">
        <v>41</v>
      </c>
      <c r="Y4" s="55" t="s">
        <v>139</v>
      </c>
      <c r="Z4" s="55" t="s">
        <v>140</v>
      </c>
      <c r="AA4" s="55" t="s">
        <v>141</v>
      </c>
      <c r="AB4" s="55" t="s">
        <v>142</v>
      </c>
      <c r="AC4" s="55" t="s">
        <v>143</v>
      </c>
      <c r="AD4" s="55" t="s">
        <v>144</v>
      </c>
      <c r="AE4" s="55" t="s">
        <v>145</v>
      </c>
      <c r="AF4" s="55" t="s">
        <v>146</v>
      </c>
      <c r="AG4" s="55" t="s">
        <v>147</v>
      </c>
      <c r="AH4" s="55" t="s">
        <v>189</v>
      </c>
      <c r="AI4" s="58" t="s">
        <v>17</v>
      </c>
      <c r="AJ4" s="58" t="s">
        <v>18</v>
      </c>
      <c r="AK4" s="58" t="s">
        <v>19</v>
      </c>
      <c r="AL4" s="58" t="s">
        <v>20</v>
      </c>
      <c r="AM4" s="58" t="s">
        <v>21</v>
      </c>
      <c r="AN4" s="58" t="s">
        <v>22</v>
      </c>
      <c r="AO4" s="58" t="s">
        <v>23</v>
      </c>
      <c r="AP4" s="58" t="s">
        <v>24</v>
      </c>
      <c r="AQ4" s="58" t="s">
        <v>25</v>
      </c>
      <c r="AR4" s="58" t="s">
        <v>26</v>
      </c>
      <c r="AS4" s="58" t="s">
        <v>27</v>
      </c>
      <c r="AT4" s="58" t="s">
        <v>28</v>
      </c>
      <c r="AU4" s="55" t="s">
        <v>29</v>
      </c>
      <c r="AV4" s="55" t="s">
        <v>30</v>
      </c>
      <c r="AW4" s="55" t="s">
        <v>31</v>
      </c>
      <c r="AX4" s="55" t="s">
        <v>32</v>
      </c>
      <c r="AY4" s="55" t="s">
        <v>33</v>
      </c>
      <c r="AZ4" s="55" t="s">
        <v>34</v>
      </c>
      <c r="BA4" s="55" t="s">
        <v>35</v>
      </c>
      <c r="BB4" s="55" t="s">
        <v>36</v>
      </c>
      <c r="BC4" s="55" t="s">
        <v>37</v>
      </c>
      <c r="BD4" s="55" t="s">
        <v>38</v>
      </c>
      <c r="BE4" s="55" t="s">
        <v>39</v>
      </c>
      <c r="BF4" s="55" t="s">
        <v>40</v>
      </c>
      <c r="BG4" s="58" t="s">
        <v>43</v>
      </c>
      <c r="BH4" s="58" t="s">
        <v>44</v>
      </c>
      <c r="BI4" s="58" t="s">
        <v>45</v>
      </c>
      <c r="BJ4" s="58" t="s">
        <v>46</v>
      </c>
      <c r="BK4" s="58" t="s">
        <v>47</v>
      </c>
      <c r="BL4" s="58" t="s">
        <v>48</v>
      </c>
      <c r="BM4" s="58" t="s">
        <v>49</v>
      </c>
      <c r="BN4" s="58" t="s">
        <v>50</v>
      </c>
      <c r="BO4" s="58" t="s">
        <v>51</v>
      </c>
      <c r="BP4" s="58" t="s">
        <v>52</v>
      </c>
      <c r="BQ4" s="58" t="s">
        <v>53</v>
      </c>
      <c r="BR4" s="58" t="s">
        <v>54</v>
      </c>
      <c r="BS4" s="55" t="s">
        <v>55</v>
      </c>
      <c r="BT4" s="55" t="s">
        <v>56</v>
      </c>
      <c r="BU4" s="55" t="s">
        <v>57</v>
      </c>
      <c r="BV4" s="55" t="s">
        <v>58</v>
      </c>
      <c r="BW4" s="55" t="s">
        <v>59</v>
      </c>
      <c r="BX4" s="55" t="s">
        <v>60</v>
      </c>
      <c r="BY4" s="55" t="s">
        <v>61</v>
      </c>
      <c r="BZ4" s="55" t="s">
        <v>62</v>
      </c>
      <c r="CA4" s="55" t="s">
        <v>63</v>
      </c>
      <c r="CB4" s="55" t="s">
        <v>64</v>
      </c>
      <c r="CC4" s="55" t="s">
        <v>65</v>
      </c>
      <c r="CD4" s="55" t="s">
        <v>66</v>
      </c>
      <c r="CE4" s="58" t="s">
        <v>67</v>
      </c>
      <c r="CF4" s="58" t="s">
        <v>68</v>
      </c>
      <c r="CG4" s="58" t="s">
        <v>69</v>
      </c>
      <c r="CH4" s="58" t="s">
        <v>70</v>
      </c>
      <c r="CI4" s="58" t="s">
        <v>71</v>
      </c>
      <c r="CJ4" s="58" t="s">
        <v>72</v>
      </c>
      <c r="CK4" s="58" t="s">
        <v>73</v>
      </c>
      <c r="CL4" s="58" t="s">
        <v>74</v>
      </c>
      <c r="CM4" s="58" t="s">
        <v>75</v>
      </c>
      <c r="CN4" s="58" t="s">
        <v>76</v>
      </c>
      <c r="CO4" s="58" t="s">
        <v>77</v>
      </c>
      <c r="CP4" s="58" t="s">
        <v>78</v>
      </c>
      <c r="CQ4" s="55" t="s">
        <v>79</v>
      </c>
      <c r="CR4" s="55" t="s">
        <v>80</v>
      </c>
      <c r="CS4" s="55" t="s">
        <v>81</v>
      </c>
      <c r="CT4" s="55" t="s">
        <v>82</v>
      </c>
      <c r="CU4" s="55" t="s">
        <v>83</v>
      </c>
      <c r="CV4" s="55" t="s">
        <v>84</v>
      </c>
      <c r="CW4" s="55" t="s">
        <v>85</v>
      </c>
      <c r="CX4" s="55" t="s">
        <v>86</v>
      </c>
      <c r="CY4" s="55" t="s">
        <v>87</v>
      </c>
      <c r="CZ4" s="55" t="s">
        <v>88</v>
      </c>
      <c r="DA4" s="55" t="s">
        <v>89</v>
      </c>
      <c r="DB4" s="55" t="s">
        <v>90</v>
      </c>
      <c r="DC4" s="58" t="s">
        <v>91</v>
      </c>
      <c r="DD4" s="58" t="s">
        <v>92</v>
      </c>
      <c r="DE4" s="58" t="s">
        <v>93</v>
      </c>
      <c r="DF4" s="58" t="s">
        <v>94</v>
      </c>
      <c r="DG4" s="58" t="s">
        <v>95</v>
      </c>
      <c r="DH4" s="58" t="s">
        <v>96</v>
      </c>
      <c r="DI4" s="58" t="s">
        <v>97</v>
      </c>
      <c r="DJ4" s="58" t="s">
        <v>98</v>
      </c>
      <c r="DK4" s="58" t="s">
        <v>99</v>
      </c>
      <c r="DL4" s="58" t="s">
        <v>100</v>
      </c>
      <c r="DM4" s="58" t="s">
        <v>101</v>
      </c>
      <c r="DN4" s="58" t="s">
        <v>102</v>
      </c>
      <c r="DO4" s="55" t="s">
        <v>103</v>
      </c>
      <c r="DP4" s="55" t="s">
        <v>104</v>
      </c>
      <c r="DQ4" s="55" t="s">
        <v>105</v>
      </c>
      <c r="DR4" s="55" t="s">
        <v>106</v>
      </c>
      <c r="DS4" s="55" t="s">
        <v>107</v>
      </c>
      <c r="DT4" s="55" t="s">
        <v>108</v>
      </c>
      <c r="DU4" s="55" t="s">
        <v>109</v>
      </c>
      <c r="DV4" s="55" t="s">
        <v>110</v>
      </c>
      <c r="DW4" s="55" t="s">
        <v>111</v>
      </c>
      <c r="DX4" s="55" t="s">
        <v>112</v>
      </c>
      <c r="DY4" s="55" t="s">
        <v>113</v>
      </c>
      <c r="DZ4" s="55" t="s">
        <v>114</v>
      </c>
      <c r="EA4" s="58" t="s">
        <v>115</v>
      </c>
      <c r="EB4" s="58" t="s">
        <v>116</v>
      </c>
      <c r="EC4" s="58" t="s">
        <v>117</v>
      </c>
      <c r="ED4" s="58" t="s">
        <v>118</v>
      </c>
      <c r="EE4" s="58" t="s">
        <v>119</v>
      </c>
      <c r="EF4" s="58" t="s">
        <v>120</v>
      </c>
      <c r="EG4" s="58" t="s">
        <v>121</v>
      </c>
      <c r="EH4" s="58" t="s">
        <v>122</v>
      </c>
      <c r="EI4" s="58" t="s">
        <v>123</v>
      </c>
      <c r="EJ4" s="58" t="s">
        <v>124</v>
      </c>
      <c r="EK4" s="58" t="s">
        <v>125</v>
      </c>
      <c r="EL4" s="58" t="s">
        <v>126</v>
      </c>
      <c r="EM4" s="55" t="s">
        <v>127</v>
      </c>
      <c r="EN4" s="55" t="s">
        <v>128</v>
      </c>
      <c r="EO4" s="55" t="s">
        <v>129</v>
      </c>
      <c r="EP4" s="55" t="s">
        <v>130</v>
      </c>
      <c r="EQ4" s="55" t="s">
        <v>131</v>
      </c>
      <c r="ER4" s="55" t="s">
        <v>132</v>
      </c>
      <c r="ES4" s="55" t="s">
        <v>133</v>
      </c>
      <c r="ET4" s="55" t="s">
        <v>134</v>
      </c>
      <c r="EU4" s="55" t="s">
        <v>135</v>
      </c>
      <c r="EV4" s="55" t="s">
        <v>136</v>
      </c>
      <c r="EW4" s="55" t="s">
        <v>137</v>
      </c>
      <c r="EX4" s="55" t="s">
        <v>138</v>
      </c>
      <c r="EY4" s="58" t="s">
        <v>176</v>
      </c>
      <c r="EZ4" s="58" t="s">
        <v>177</v>
      </c>
      <c r="FA4" s="58" t="s">
        <v>178</v>
      </c>
      <c r="FB4" s="58" t="s">
        <v>179</v>
      </c>
      <c r="FC4" s="58" t="s">
        <v>180</v>
      </c>
      <c r="FD4" s="58" t="s">
        <v>181</v>
      </c>
      <c r="FE4" s="58" t="s">
        <v>182</v>
      </c>
      <c r="FF4" s="58" t="s">
        <v>183</v>
      </c>
      <c r="FG4" s="58" t="s">
        <v>184</v>
      </c>
      <c r="FH4" s="58" t="s">
        <v>185</v>
      </c>
      <c r="FI4" s="58" t="s">
        <v>186</v>
      </c>
      <c r="FJ4" s="59" t="s">
        <v>187</v>
      </c>
    </row>
    <row r="5" spans="1:166" x14ac:dyDescent="0.4">
      <c r="A5" s="110" t="s">
        <v>430</v>
      </c>
      <c r="B5" s="48" t="s">
        <v>160</v>
      </c>
      <c r="C5" s="48" t="s">
        <v>427</v>
      </c>
      <c r="D5" s="48" t="s">
        <v>427</v>
      </c>
      <c r="E5" s="48" t="s">
        <v>14</v>
      </c>
      <c r="F5" s="48" t="s">
        <v>410</v>
      </c>
      <c r="G5" s="48" t="s">
        <v>422</v>
      </c>
      <c r="H5" s="48">
        <v>0</v>
      </c>
      <c r="I5" s="48">
        <v>0</v>
      </c>
      <c r="J5" s="48" t="s">
        <v>423</v>
      </c>
      <c r="K5" s="48">
        <v>0</v>
      </c>
      <c r="L5" s="48" t="s">
        <v>211</v>
      </c>
      <c r="M5" s="109">
        <v>1</v>
      </c>
      <c r="N5" s="49">
        <v>0</v>
      </c>
      <c r="O5" s="50">
        <v>0</v>
      </c>
      <c r="P5" s="50">
        <v>0</v>
      </c>
      <c r="Q5" s="49">
        <v>0</v>
      </c>
      <c r="R5" s="49">
        <v>5</v>
      </c>
      <c r="S5" s="51">
        <v>1</v>
      </c>
      <c r="T5" s="122">
        <v>1</v>
      </c>
      <c r="U5" s="48">
        <v>0</v>
      </c>
      <c r="V5" s="49">
        <v>8797100</v>
      </c>
      <c r="W5" s="49">
        <v>43985500</v>
      </c>
      <c r="X5" s="49">
        <v>43985500</v>
      </c>
      <c r="Y5" s="49">
        <v>0</v>
      </c>
      <c r="Z5" s="49">
        <v>0</v>
      </c>
      <c r="AA5" s="49">
        <v>0</v>
      </c>
      <c r="AB5" s="49">
        <v>0</v>
      </c>
      <c r="AC5" s="49">
        <v>0</v>
      </c>
      <c r="AD5" s="49">
        <v>0</v>
      </c>
      <c r="AE5" s="49">
        <v>0</v>
      </c>
      <c r="AF5" s="49">
        <v>0</v>
      </c>
      <c r="AG5" s="49">
        <v>0</v>
      </c>
      <c r="AH5" s="49">
        <v>0</v>
      </c>
      <c r="AI5" s="49">
        <v>8797100</v>
      </c>
      <c r="AJ5" s="49">
        <v>8797100</v>
      </c>
      <c r="AK5" s="49">
        <v>8797100</v>
      </c>
      <c r="AL5" s="49">
        <v>8797100</v>
      </c>
      <c r="AM5" s="49">
        <v>8797100</v>
      </c>
      <c r="AN5" s="49">
        <v>0</v>
      </c>
      <c r="AO5" s="49">
        <v>0</v>
      </c>
      <c r="AP5" s="49">
        <v>0</v>
      </c>
      <c r="AQ5" s="49">
        <v>0</v>
      </c>
      <c r="AR5" s="49">
        <v>0</v>
      </c>
      <c r="AS5" s="49">
        <v>0</v>
      </c>
      <c r="AT5" s="49">
        <v>0</v>
      </c>
      <c r="AU5" s="49">
        <v>0</v>
      </c>
      <c r="AV5" s="49">
        <v>0</v>
      </c>
      <c r="AW5" s="49">
        <v>0</v>
      </c>
      <c r="AX5" s="49">
        <v>0</v>
      </c>
      <c r="AY5" s="49">
        <v>0</v>
      </c>
      <c r="AZ5" s="49">
        <v>0</v>
      </c>
      <c r="BA5" s="49">
        <v>0</v>
      </c>
      <c r="BB5" s="49">
        <v>0</v>
      </c>
      <c r="BC5" s="49">
        <v>0</v>
      </c>
      <c r="BD5" s="49">
        <v>0</v>
      </c>
      <c r="BE5" s="49">
        <v>0</v>
      </c>
      <c r="BF5" s="49">
        <v>0</v>
      </c>
      <c r="BG5" s="49">
        <v>0</v>
      </c>
      <c r="BH5" s="49">
        <v>0</v>
      </c>
      <c r="BI5" s="49">
        <v>0</v>
      </c>
      <c r="BJ5" s="49">
        <v>0</v>
      </c>
      <c r="BK5" s="49">
        <v>0</v>
      </c>
      <c r="BL5" s="49">
        <v>0</v>
      </c>
      <c r="BM5" s="49">
        <v>0</v>
      </c>
      <c r="BN5" s="49">
        <v>0</v>
      </c>
      <c r="BO5" s="49">
        <v>0</v>
      </c>
      <c r="BP5" s="49">
        <v>0</v>
      </c>
      <c r="BQ5" s="49">
        <v>0</v>
      </c>
      <c r="BR5" s="49">
        <v>0</v>
      </c>
      <c r="BS5" s="49">
        <v>0</v>
      </c>
      <c r="BT5" s="49">
        <v>0</v>
      </c>
      <c r="BU5" s="49">
        <v>0</v>
      </c>
      <c r="BV5" s="49">
        <v>0</v>
      </c>
      <c r="BW5" s="49">
        <v>0</v>
      </c>
      <c r="BX5" s="49">
        <v>0</v>
      </c>
      <c r="BY5" s="49">
        <v>0</v>
      </c>
      <c r="BZ5" s="49">
        <v>0</v>
      </c>
      <c r="CA5" s="49">
        <v>0</v>
      </c>
      <c r="CB5" s="49">
        <v>0</v>
      </c>
      <c r="CC5" s="49">
        <v>0</v>
      </c>
      <c r="CD5" s="49">
        <v>0</v>
      </c>
      <c r="CE5" s="49">
        <v>0</v>
      </c>
      <c r="CF5" s="49">
        <v>0</v>
      </c>
      <c r="CG5" s="49">
        <v>0</v>
      </c>
      <c r="CH5" s="49">
        <v>0</v>
      </c>
      <c r="CI5" s="49">
        <v>0</v>
      </c>
      <c r="CJ5" s="49">
        <v>0</v>
      </c>
      <c r="CK5" s="49">
        <v>0</v>
      </c>
      <c r="CL5" s="49">
        <v>0</v>
      </c>
      <c r="CM5" s="49">
        <v>0</v>
      </c>
      <c r="CN5" s="49">
        <v>0</v>
      </c>
      <c r="CO5" s="49">
        <v>0</v>
      </c>
      <c r="CP5" s="49">
        <v>0</v>
      </c>
      <c r="CQ5" s="49">
        <v>0</v>
      </c>
      <c r="CR5" s="49">
        <v>0</v>
      </c>
      <c r="CS5" s="49">
        <v>0</v>
      </c>
      <c r="CT5" s="49">
        <v>0</v>
      </c>
      <c r="CU5" s="49">
        <v>0</v>
      </c>
      <c r="CV5" s="49">
        <v>0</v>
      </c>
      <c r="CW5" s="49">
        <v>0</v>
      </c>
      <c r="CX5" s="49">
        <v>0</v>
      </c>
      <c r="CY5" s="49">
        <v>0</v>
      </c>
      <c r="CZ5" s="49">
        <v>0</v>
      </c>
      <c r="DA5" s="49">
        <v>0</v>
      </c>
      <c r="DB5" s="49">
        <v>0</v>
      </c>
      <c r="DC5" s="49">
        <v>0</v>
      </c>
      <c r="DD5" s="49">
        <v>0</v>
      </c>
      <c r="DE5" s="49">
        <v>0</v>
      </c>
      <c r="DF5" s="49">
        <v>0</v>
      </c>
      <c r="DG5" s="49">
        <v>0</v>
      </c>
      <c r="DH5" s="49">
        <v>0</v>
      </c>
      <c r="DI5" s="49">
        <v>0</v>
      </c>
      <c r="DJ5" s="49">
        <v>0</v>
      </c>
      <c r="DK5" s="49">
        <v>0</v>
      </c>
      <c r="DL5" s="49">
        <v>0</v>
      </c>
      <c r="DM5" s="49">
        <v>0</v>
      </c>
      <c r="DN5" s="49">
        <v>0</v>
      </c>
      <c r="DO5" s="49">
        <v>0</v>
      </c>
      <c r="DP5" s="49">
        <v>0</v>
      </c>
      <c r="DQ5" s="49">
        <v>0</v>
      </c>
      <c r="DR5" s="49">
        <v>0</v>
      </c>
      <c r="DS5" s="49">
        <v>0</v>
      </c>
      <c r="DT5" s="49">
        <v>0</v>
      </c>
      <c r="DU5" s="49">
        <v>0</v>
      </c>
      <c r="DV5" s="49">
        <v>0</v>
      </c>
      <c r="DW5" s="49">
        <v>0</v>
      </c>
      <c r="DX5" s="49">
        <v>0</v>
      </c>
      <c r="DY5" s="49">
        <v>0</v>
      </c>
      <c r="DZ5" s="49">
        <v>0</v>
      </c>
      <c r="EA5" s="49">
        <v>0</v>
      </c>
      <c r="EB5" s="49">
        <v>0</v>
      </c>
      <c r="EC5" s="49">
        <v>0</v>
      </c>
      <c r="ED5" s="49">
        <v>0</v>
      </c>
      <c r="EE5" s="49">
        <v>0</v>
      </c>
      <c r="EF5" s="49">
        <v>0</v>
      </c>
      <c r="EG5" s="49">
        <v>0</v>
      </c>
      <c r="EH5" s="49">
        <v>0</v>
      </c>
      <c r="EI5" s="49">
        <v>0</v>
      </c>
      <c r="EJ5" s="49">
        <v>0</v>
      </c>
      <c r="EK5" s="49">
        <v>0</v>
      </c>
      <c r="EL5" s="49">
        <v>0</v>
      </c>
      <c r="EM5" s="49">
        <v>0</v>
      </c>
      <c r="EN5" s="49">
        <v>0</v>
      </c>
      <c r="EO5" s="49">
        <v>0</v>
      </c>
      <c r="EP5" s="49">
        <v>0</v>
      </c>
      <c r="EQ5" s="49">
        <v>0</v>
      </c>
      <c r="ER5" s="49">
        <v>0</v>
      </c>
      <c r="ES5" s="49">
        <v>0</v>
      </c>
      <c r="ET5" s="49">
        <v>0</v>
      </c>
      <c r="EU5" s="49">
        <v>0</v>
      </c>
      <c r="EV5" s="49">
        <v>0</v>
      </c>
      <c r="EW5" s="49">
        <v>0</v>
      </c>
      <c r="EX5" s="49">
        <v>0</v>
      </c>
      <c r="EY5" s="49">
        <v>0</v>
      </c>
      <c r="EZ5" s="49">
        <v>0</v>
      </c>
      <c r="FA5" s="49">
        <v>0</v>
      </c>
      <c r="FB5" s="49">
        <v>0</v>
      </c>
      <c r="FC5" s="49">
        <v>0</v>
      </c>
      <c r="FD5" s="49">
        <v>0</v>
      </c>
      <c r="FE5" s="49">
        <v>0</v>
      </c>
      <c r="FF5" s="49">
        <v>0</v>
      </c>
      <c r="FG5" s="49">
        <v>0</v>
      </c>
      <c r="FH5" s="49">
        <v>0</v>
      </c>
      <c r="FI5" s="49">
        <v>0</v>
      </c>
      <c r="FJ5" s="111">
        <v>0</v>
      </c>
    </row>
    <row r="6" spans="1:166" x14ac:dyDescent="0.4">
      <c r="A6" s="112" t="s">
        <v>431</v>
      </c>
      <c r="B6" s="43" t="s">
        <v>160</v>
      </c>
      <c r="C6" s="43" t="s">
        <v>427</v>
      </c>
      <c r="D6" s="43" t="s">
        <v>399</v>
      </c>
      <c r="E6" s="43" t="s">
        <v>14</v>
      </c>
      <c r="F6" s="43" t="s">
        <v>411</v>
      </c>
      <c r="G6" s="43" t="s">
        <v>422</v>
      </c>
      <c r="H6" s="43">
        <v>0</v>
      </c>
      <c r="I6" s="43">
        <v>0</v>
      </c>
      <c r="J6" s="43" t="s">
        <v>423</v>
      </c>
      <c r="K6" s="43">
        <v>0</v>
      </c>
      <c r="L6" s="43" t="s">
        <v>211</v>
      </c>
      <c r="M6" s="108">
        <v>0.5</v>
      </c>
      <c r="N6" s="44">
        <v>0</v>
      </c>
      <c r="O6" s="45">
        <v>0</v>
      </c>
      <c r="P6" s="45">
        <v>0</v>
      </c>
      <c r="Q6" s="44">
        <v>0</v>
      </c>
      <c r="R6" s="44">
        <v>5</v>
      </c>
      <c r="S6" s="46">
        <v>1</v>
      </c>
      <c r="T6" s="123">
        <v>1</v>
      </c>
      <c r="U6" s="43">
        <v>0</v>
      </c>
      <c r="V6" s="44">
        <v>4398550</v>
      </c>
      <c r="W6" s="44">
        <v>21992750</v>
      </c>
      <c r="X6" s="44">
        <v>21992750</v>
      </c>
      <c r="Y6" s="44">
        <v>0</v>
      </c>
      <c r="Z6" s="44">
        <v>0</v>
      </c>
      <c r="AA6" s="44">
        <v>0</v>
      </c>
      <c r="AB6" s="44">
        <v>0</v>
      </c>
      <c r="AC6" s="44">
        <v>0</v>
      </c>
      <c r="AD6" s="44">
        <v>0</v>
      </c>
      <c r="AE6" s="44">
        <v>0</v>
      </c>
      <c r="AF6" s="44">
        <v>0</v>
      </c>
      <c r="AG6" s="44">
        <v>0</v>
      </c>
      <c r="AH6" s="44">
        <v>0</v>
      </c>
      <c r="AI6" s="44">
        <v>4398550</v>
      </c>
      <c r="AJ6" s="44">
        <v>4398550</v>
      </c>
      <c r="AK6" s="44">
        <v>4398550</v>
      </c>
      <c r="AL6" s="44">
        <v>4398550</v>
      </c>
      <c r="AM6" s="44">
        <v>4398550</v>
      </c>
      <c r="AN6" s="44">
        <v>0</v>
      </c>
      <c r="AO6" s="44">
        <v>0</v>
      </c>
      <c r="AP6" s="44">
        <v>0</v>
      </c>
      <c r="AQ6" s="44">
        <v>0</v>
      </c>
      <c r="AR6" s="44">
        <v>0</v>
      </c>
      <c r="AS6" s="44">
        <v>0</v>
      </c>
      <c r="AT6" s="44">
        <v>0</v>
      </c>
      <c r="AU6" s="44">
        <v>0</v>
      </c>
      <c r="AV6" s="44">
        <v>0</v>
      </c>
      <c r="AW6" s="44">
        <v>0</v>
      </c>
      <c r="AX6" s="44">
        <v>0</v>
      </c>
      <c r="AY6" s="44">
        <v>0</v>
      </c>
      <c r="AZ6" s="44">
        <v>0</v>
      </c>
      <c r="BA6" s="44">
        <v>0</v>
      </c>
      <c r="BB6" s="44">
        <v>0</v>
      </c>
      <c r="BC6" s="44">
        <v>0</v>
      </c>
      <c r="BD6" s="44">
        <v>0</v>
      </c>
      <c r="BE6" s="44">
        <v>0</v>
      </c>
      <c r="BF6" s="44">
        <v>0</v>
      </c>
      <c r="BG6" s="44">
        <v>0</v>
      </c>
      <c r="BH6" s="44">
        <v>0</v>
      </c>
      <c r="BI6" s="44">
        <v>0</v>
      </c>
      <c r="BJ6" s="44">
        <v>0</v>
      </c>
      <c r="BK6" s="44">
        <v>0</v>
      </c>
      <c r="BL6" s="44">
        <v>0</v>
      </c>
      <c r="BM6" s="44">
        <v>0</v>
      </c>
      <c r="BN6" s="44">
        <v>0</v>
      </c>
      <c r="BO6" s="44">
        <v>0</v>
      </c>
      <c r="BP6" s="44">
        <v>0</v>
      </c>
      <c r="BQ6" s="44">
        <v>0</v>
      </c>
      <c r="BR6" s="44">
        <v>0</v>
      </c>
      <c r="BS6" s="44">
        <v>0</v>
      </c>
      <c r="BT6" s="44">
        <v>0</v>
      </c>
      <c r="BU6" s="44">
        <v>0</v>
      </c>
      <c r="BV6" s="44">
        <v>0</v>
      </c>
      <c r="BW6" s="44">
        <v>0</v>
      </c>
      <c r="BX6" s="44">
        <v>0</v>
      </c>
      <c r="BY6" s="44">
        <v>0</v>
      </c>
      <c r="BZ6" s="44">
        <v>0</v>
      </c>
      <c r="CA6" s="44">
        <v>0</v>
      </c>
      <c r="CB6" s="44">
        <v>0</v>
      </c>
      <c r="CC6" s="44">
        <v>0</v>
      </c>
      <c r="CD6" s="44">
        <v>0</v>
      </c>
      <c r="CE6" s="44">
        <v>0</v>
      </c>
      <c r="CF6" s="44">
        <v>0</v>
      </c>
      <c r="CG6" s="44">
        <v>0</v>
      </c>
      <c r="CH6" s="44">
        <v>0</v>
      </c>
      <c r="CI6" s="44">
        <v>0</v>
      </c>
      <c r="CJ6" s="44">
        <v>0</v>
      </c>
      <c r="CK6" s="44">
        <v>0</v>
      </c>
      <c r="CL6" s="44">
        <v>0</v>
      </c>
      <c r="CM6" s="44">
        <v>0</v>
      </c>
      <c r="CN6" s="44">
        <v>0</v>
      </c>
      <c r="CO6" s="44">
        <v>0</v>
      </c>
      <c r="CP6" s="44">
        <v>0</v>
      </c>
      <c r="CQ6" s="44">
        <v>0</v>
      </c>
      <c r="CR6" s="44">
        <v>0</v>
      </c>
      <c r="CS6" s="44">
        <v>0</v>
      </c>
      <c r="CT6" s="44">
        <v>0</v>
      </c>
      <c r="CU6" s="44">
        <v>0</v>
      </c>
      <c r="CV6" s="44">
        <v>0</v>
      </c>
      <c r="CW6" s="44">
        <v>0</v>
      </c>
      <c r="CX6" s="44">
        <v>0</v>
      </c>
      <c r="CY6" s="44">
        <v>0</v>
      </c>
      <c r="CZ6" s="44">
        <v>0</v>
      </c>
      <c r="DA6" s="44">
        <v>0</v>
      </c>
      <c r="DB6" s="44">
        <v>0</v>
      </c>
      <c r="DC6" s="44">
        <v>0</v>
      </c>
      <c r="DD6" s="44">
        <v>0</v>
      </c>
      <c r="DE6" s="44">
        <v>0</v>
      </c>
      <c r="DF6" s="44">
        <v>0</v>
      </c>
      <c r="DG6" s="44">
        <v>0</v>
      </c>
      <c r="DH6" s="44">
        <v>0</v>
      </c>
      <c r="DI6" s="44">
        <v>0</v>
      </c>
      <c r="DJ6" s="44">
        <v>0</v>
      </c>
      <c r="DK6" s="44">
        <v>0</v>
      </c>
      <c r="DL6" s="44">
        <v>0</v>
      </c>
      <c r="DM6" s="44">
        <v>0</v>
      </c>
      <c r="DN6" s="44">
        <v>0</v>
      </c>
      <c r="DO6" s="44">
        <v>0</v>
      </c>
      <c r="DP6" s="44">
        <v>0</v>
      </c>
      <c r="DQ6" s="44">
        <v>0</v>
      </c>
      <c r="DR6" s="44">
        <v>0</v>
      </c>
      <c r="DS6" s="44">
        <v>0</v>
      </c>
      <c r="DT6" s="44">
        <v>0</v>
      </c>
      <c r="DU6" s="44">
        <v>0</v>
      </c>
      <c r="DV6" s="44">
        <v>0</v>
      </c>
      <c r="DW6" s="44">
        <v>0</v>
      </c>
      <c r="DX6" s="44">
        <v>0</v>
      </c>
      <c r="DY6" s="44">
        <v>0</v>
      </c>
      <c r="DZ6" s="44">
        <v>0</v>
      </c>
      <c r="EA6" s="44">
        <v>0</v>
      </c>
      <c r="EB6" s="44">
        <v>0</v>
      </c>
      <c r="EC6" s="44">
        <v>0</v>
      </c>
      <c r="ED6" s="44">
        <v>0</v>
      </c>
      <c r="EE6" s="44">
        <v>0</v>
      </c>
      <c r="EF6" s="44">
        <v>0</v>
      </c>
      <c r="EG6" s="44">
        <v>0</v>
      </c>
      <c r="EH6" s="44">
        <v>0</v>
      </c>
      <c r="EI6" s="44">
        <v>0</v>
      </c>
      <c r="EJ6" s="44">
        <v>0</v>
      </c>
      <c r="EK6" s="44">
        <v>0</v>
      </c>
      <c r="EL6" s="44">
        <v>0</v>
      </c>
      <c r="EM6" s="44">
        <v>0</v>
      </c>
      <c r="EN6" s="44">
        <v>0</v>
      </c>
      <c r="EO6" s="44">
        <v>0</v>
      </c>
      <c r="EP6" s="44">
        <v>0</v>
      </c>
      <c r="EQ6" s="44">
        <v>0</v>
      </c>
      <c r="ER6" s="44">
        <v>0</v>
      </c>
      <c r="ES6" s="44">
        <v>0</v>
      </c>
      <c r="ET6" s="44">
        <v>0</v>
      </c>
      <c r="EU6" s="44">
        <v>0</v>
      </c>
      <c r="EV6" s="44">
        <v>0</v>
      </c>
      <c r="EW6" s="44">
        <v>0</v>
      </c>
      <c r="EX6" s="44">
        <v>0</v>
      </c>
      <c r="EY6" s="44">
        <v>0</v>
      </c>
      <c r="EZ6" s="44">
        <v>0</v>
      </c>
      <c r="FA6" s="44">
        <v>0</v>
      </c>
      <c r="FB6" s="44">
        <v>0</v>
      </c>
      <c r="FC6" s="44">
        <v>0</v>
      </c>
      <c r="FD6" s="44">
        <v>0</v>
      </c>
      <c r="FE6" s="44">
        <v>0</v>
      </c>
      <c r="FF6" s="44">
        <v>0</v>
      </c>
      <c r="FG6" s="44">
        <v>0</v>
      </c>
      <c r="FH6" s="44">
        <v>0</v>
      </c>
      <c r="FI6" s="44">
        <v>0</v>
      </c>
      <c r="FJ6" s="113">
        <v>0</v>
      </c>
    </row>
    <row r="7" spans="1:166" x14ac:dyDescent="0.4">
      <c r="A7" s="112" t="s">
        <v>432</v>
      </c>
      <c r="B7" s="43" t="s">
        <v>160</v>
      </c>
      <c r="C7" s="43" t="s">
        <v>427</v>
      </c>
      <c r="D7" s="43" t="s">
        <v>399</v>
      </c>
      <c r="E7" s="43" t="s">
        <v>401</v>
      </c>
      <c r="F7" s="43" t="s">
        <v>403</v>
      </c>
      <c r="G7" s="43" t="s">
        <v>422</v>
      </c>
      <c r="H7" s="43">
        <v>0</v>
      </c>
      <c r="I7" s="43">
        <v>0</v>
      </c>
      <c r="J7" s="43" t="s">
        <v>423</v>
      </c>
      <c r="K7" s="43">
        <v>0</v>
      </c>
      <c r="L7" s="43" t="s">
        <v>211</v>
      </c>
      <c r="M7" s="108">
        <v>1</v>
      </c>
      <c r="N7" s="44">
        <v>0</v>
      </c>
      <c r="O7" s="45">
        <v>0</v>
      </c>
      <c r="P7" s="45">
        <v>0</v>
      </c>
      <c r="Q7" s="44">
        <v>0</v>
      </c>
      <c r="R7" s="44">
        <v>120</v>
      </c>
      <c r="S7" s="46">
        <v>1</v>
      </c>
      <c r="T7" s="123">
        <v>1.0249999999999999</v>
      </c>
      <c r="U7" s="43">
        <v>0</v>
      </c>
      <c r="V7" s="44">
        <v>8797100</v>
      </c>
      <c r="W7" s="44">
        <v>1182687236.9998937</v>
      </c>
      <c r="X7" s="44">
        <v>105565200</v>
      </c>
      <c r="Y7" s="44">
        <v>108204330</v>
      </c>
      <c r="Z7" s="44">
        <v>110909438.25</v>
      </c>
      <c r="AA7" s="44">
        <v>113682174.20624994</v>
      </c>
      <c r="AB7" s="44">
        <v>116524228.56140618</v>
      </c>
      <c r="AC7" s="44">
        <v>119437334.27544133</v>
      </c>
      <c r="AD7" s="44">
        <v>122423267.63232739</v>
      </c>
      <c r="AE7" s="44">
        <v>125483849.3231356</v>
      </c>
      <c r="AF7" s="44">
        <v>128620945.55621392</v>
      </c>
      <c r="AG7" s="44">
        <v>131836469.19511931</v>
      </c>
      <c r="AH7" s="44">
        <v>0</v>
      </c>
      <c r="AI7" s="44">
        <v>8797100</v>
      </c>
      <c r="AJ7" s="44">
        <v>8797100</v>
      </c>
      <c r="AK7" s="44">
        <v>8797100</v>
      </c>
      <c r="AL7" s="44">
        <v>8797100</v>
      </c>
      <c r="AM7" s="44">
        <v>8797100</v>
      </c>
      <c r="AN7" s="44">
        <v>8797100</v>
      </c>
      <c r="AO7" s="44">
        <v>8797100</v>
      </c>
      <c r="AP7" s="44">
        <v>8797100</v>
      </c>
      <c r="AQ7" s="44">
        <v>8797100</v>
      </c>
      <c r="AR7" s="44">
        <v>8797100</v>
      </c>
      <c r="AS7" s="44">
        <v>8797100</v>
      </c>
      <c r="AT7" s="44">
        <v>8797100</v>
      </c>
      <c r="AU7" s="44">
        <v>9017027.5</v>
      </c>
      <c r="AV7" s="44">
        <v>9017027.5</v>
      </c>
      <c r="AW7" s="44">
        <v>9017027.5</v>
      </c>
      <c r="AX7" s="44">
        <v>9017027.5</v>
      </c>
      <c r="AY7" s="44">
        <v>9017027.5</v>
      </c>
      <c r="AZ7" s="44">
        <v>9017027.5</v>
      </c>
      <c r="BA7" s="44">
        <v>9017027.5</v>
      </c>
      <c r="BB7" s="44">
        <v>9017027.5</v>
      </c>
      <c r="BC7" s="44">
        <v>9017027.5</v>
      </c>
      <c r="BD7" s="44">
        <v>9017027.5</v>
      </c>
      <c r="BE7" s="44">
        <v>9017027.5</v>
      </c>
      <c r="BF7" s="44">
        <v>9017027.5</v>
      </c>
      <c r="BG7" s="44">
        <v>9242453.1875</v>
      </c>
      <c r="BH7" s="44">
        <v>9242453.1875</v>
      </c>
      <c r="BI7" s="44">
        <v>9242453.1875</v>
      </c>
      <c r="BJ7" s="44">
        <v>9242453.1875</v>
      </c>
      <c r="BK7" s="44">
        <v>9242453.1875</v>
      </c>
      <c r="BL7" s="44">
        <v>9242453.1875</v>
      </c>
      <c r="BM7" s="44">
        <v>9242453.1875</v>
      </c>
      <c r="BN7" s="44">
        <v>9242453.1875</v>
      </c>
      <c r="BO7" s="44">
        <v>9242453.1875</v>
      </c>
      <c r="BP7" s="44">
        <v>9242453.1875</v>
      </c>
      <c r="BQ7" s="44">
        <v>9242453.1875</v>
      </c>
      <c r="BR7" s="44">
        <v>9242453.1875</v>
      </c>
      <c r="BS7" s="44">
        <v>9473514.5171874966</v>
      </c>
      <c r="BT7" s="44">
        <v>9473514.5171874966</v>
      </c>
      <c r="BU7" s="44">
        <v>9473514.5171874966</v>
      </c>
      <c r="BV7" s="44">
        <v>9473514.5171874966</v>
      </c>
      <c r="BW7" s="44">
        <v>9473514.5171874966</v>
      </c>
      <c r="BX7" s="44">
        <v>9473514.5171874966</v>
      </c>
      <c r="BY7" s="44">
        <v>9473514.5171874966</v>
      </c>
      <c r="BZ7" s="44">
        <v>9473514.5171874966</v>
      </c>
      <c r="CA7" s="44">
        <v>9473514.5171874966</v>
      </c>
      <c r="CB7" s="44">
        <v>9473514.5171874966</v>
      </c>
      <c r="CC7" s="44">
        <v>9473514.5171874966</v>
      </c>
      <c r="CD7" s="44">
        <v>9473514.5171874966</v>
      </c>
      <c r="CE7" s="44">
        <v>9710352.3801171836</v>
      </c>
      <c r="CF7" s="44">
        <v>9710352.3801171836</v>
      </c>
      <c r="CG7" s="44">
        <v>9710352.3801171836</v>
      </c>
      <c r="CH7" s="44">
        <v>9710352.3801171836</v>
      </c>
      <c r="CI7" s="44">
        <v>9710352.3801171836</v>
      </c>
      <c r="CJ7" s="44">
        <v>9710352.3801171836</v>
      </c>
      <c r="CK7" s="44">
        <v>9710352.3801171836</v>
      </c>
      <c r="CL7" s="44">
        <v>9710352.3801171836</v>
      </c>
      <c r="CM7" s="44">
        <v>9710352.3801171836</v>
      </c>
      <c r="CN7" s="44">
        <v>9710352.3801171836</v>
      </c>
      <c r="CO7" s="44">
        <v>9710352.3801171836</v>
      </c>
      <c r="CP7" s="44">
        <v>9710352.3801171836</v>
      </c>
      <c r="CQ7" s="44">
        <v>9953111.189620113</v>
      </c>
      <c r="CR7" s="44">
        <v>9953111.189620113</v>
      </c>
      <c r="CS7" s="44">
        <v>9953111.189620113</v>
      </c>
      <c r="CT7" s="44">
        <v>9953111.189620113</v>
      </c>
      <c r="CU7" s="44">
        <v>9953111.189620113</v>
      </c>
      <c r="CV7" s="44">
        <v>9953111.189620113</v>
      </c>
      <c r="CW7" s="44">
        <v>9953111.189620113</v>
      </c>
      <c r="CX7" s="44">
        <v>9953111.189620113</v>
      </c>
      <c r="CY7" s="44">
        <v>9953111.189620113</v>
      </c>
      <c r="CZ7" s="44">
        <v>9953111.189620113</v>
      </c>
      <c r="DA7" s="44">
        <v>9953111.189620113</v>
      </c>
      <c r="DB7" s="44">
        <v>9953111.189620113</v>
      </c>
      <c r="DC7" s="44">
        <v>10201938.969360614</v>
      </c>
      <c r="DD7" s="44">
        <v>10201938.969360614</v>
      </c>
      <c r="DE7" s="44">
        <v>10201938.969360614</v>
      </c>
      <c r="DF7" s="44">
        <v>10201938.969360614</v>
      </c>
      <c r="DG7" s="44">
        <v>10201938.969360614</v>
      </c>
      <c r="DH7" s="44">
        <v>10201938.969360614</v>
      </c>
      <c r="DI7" s="44">
        <v>10201938.969360614</v>
      </c>
      <c r="DJ7" s="44">
        <v>10201938.969360614</v>
      </c>
      <c r="DK7" s="44">
        <v>10201938.969360614</v>
      </c>
      <c r="DL7" s="44">
        <v>10201938.969360614</v>
      </c>
      <c r="DM7" s="44">
        <v>10201938.969360614</v>
      </c>
      <c r="DN7" s="44">
        <v>10201938.969360614</v>
      </c>
      <c r="DO7" s="44">
        <v>10456987.443594631</v>
      </c>
      <c r="DP7" s="44">
        <v>10456987.443594631</v>
      </c>
      <c r="DQ7" s="44">
        <v>10456987.443594631</v>
      </c>
      <c r="DR7" s="44">
        <v>10456987.443594631</v>
      </c>
      <c r="DS7" s="44">
        <v>10456987.443594631</v>
      </c>
      <c r="DT7" s="44">
        <v>10456987.443594631</v>
      </c>
      <c r="DU7" s="44">
        <v>10456987.443594631</v>
      </c>
      <c r="DV7" s="44">
        <v>10456987.443594631</v>
      </c>
      <c r="DW7" s="44">
        <v>10456987.443594631</v>
      </c>
      <c r="DX7" s="44">
        <v>10456987.443594631</v>
      </c>
      <c r="DY7" s="44">
        <v>10456987.443594631</v>
      </c>
      <c r="DZ7" s="44">
        <v>10456987.443594631</v>
      </c>
      <c r="EA7" s="44">
        <v>10718412.129684493</v>
      </c>
      <c r="EB7" s="44">
        <v>10718412.129684493</v>
      </c>
      <c r="EC7" s="44">
        <v>10718412.129684493</v>
      </c>
      <c r="ED7" s="44">
        <v>10718412.129684493</v>
      </c>
      <c r="EE7" s="44">
        <v>10718412.129684493</v>
      </c>
      <c r="EF7" s="44">
        <v>10718412.129684493</v>
      </c>
      <c r="EG7" s="44">
        <v>10718412.129684493</v>
      </c>
      <c r="EH7" s="44">
        <v>10718412.129684493</v>
      </c>
      <c r="EI7" s="44">
        <v>10718412.129684493</v>
      </c>
      <c r="EJ7" s="44">
        <v>10718412.129684493</v>
      </c>
      <c r="EK7" s="44">
        <v>10718412.129684493</v>
      </c>
      <c r="EL7" s="44">
        <v>10718412.129684493</v>
      </c>
      <c r="EM7" s="44">
        <v>10986372.432926606</v>
      </c>
      <c r="EN7" s="44">
        <v>10986372.432926606</v>
      </c>
      <c r="EO7" s="44">
        <v>10986372.432926606</v>
      </c>
      <c r="EP7" s="44">
        <v>10986372.432926606</v>
      </c>
      <c r="EQ7" s="44">
        <v>10986372.432926606</v>
      </c>
      <c r="ER7" s="44">
        <v>10986372.432926606</v>
      </c>
      <c r="ES7" s="44">
        <v>10986372.432926606</v>
      </c>
      <c r="ET7" s="44">
        <v>10986372.432926606</v>
      </c>
      <c r="EU7" s="44">
        <v>10986372.432926606</v>
      </c>
      <c r="EV7" s="44">
        <v>10986372.432926606</v>
      </c>
      <c r="EW7" s="44">
        <v>10986372.432926606</v>
      </c>
      <c r="EX7" s="44">
        <v>10986372.432926606</v>
      </c>
      <c r="EY7" s="44">
        <v>0</v>
      </c>
      <c r="EZ7" s="44">
        <v>0</v>
      </c>
      <c r="FA7" s="44">
        <v>0</v>
      </c>
      <c r="FB7" s="44">
        <v>0</v>
      </c>
      <c r="FC7" s="44">
        <v>0</v>
      </c>
      <c r="FD7" s="44">
        <v>0</v>
      </c>
      <c r="FE7" s="44">
        <v>0</v>
      </c>
      <c r="FF7" s="44">
        <v>0</v>
      </c>
      <c r="FG7" s="44">
        <v>0</v>
      </c>
      <c r="FH7" s="44">
        <v>0</v>
      </c>
      <c r="FI7" s="44">
        <v>0</v>
      </c>
      <c r="FJ7" s="113">
        <v>0</v>
      </c>
    </row>
    <row r="8" spans="1:166" x14ac:dyDescent="0.4">
      <c r="A8" s="112" t="s">
        <v>433</v>
      </c>
      <c r="B8" s="43" t="s">
        <v>160</v>
      </c>
      <c r="C8" s="43" t="s">
        <v>427</v>
      </c>
      <c r="D8" s="43" t="s">
        <v>399</v>
      </c>
      <c r="E8" s="43" t="s">
        <v>402</v>
      </c>
      <c r="F8" s="43" t="s">
        <v>404</v>
      </c>
      <c r="G8" s="43" t="s">
        <v>412</v>
      </c>
      <c r="H8" s="43">
        <v>0</v>
      </c>
      <c r="I8" s="43">
        <v>0</v>
      </c>
      <c r="J8" s="43" t="s">
        <v>423</v>
      </c>
      <c r="K8" s="43">
        <v>0</v>
      </c>
      <c r="L8" s="43" t="s">
        <v>444</v>
      </c>
      <c r="M8" s="108">
        <v>2</v>
      </c>
      <c r="N8" s="44">
        <v>0</v>
      </c>
      <c r="O8" s="45">
        <v>0</v>
      </c>
      <c r="P8" s="45">
        <v>0</v>
      </c>
      <c r="Q8" s="44">
        <v>0</v>
      </c>
      <c r="R8" s="44">
        <v>5</v>
      </c>
      <c r="S8" s="46">
        <v>1</v>
      </c>
      <c r="T8" s="123">
        <v>1</v>
      </c>
      <c r="U8" s="43">
        <v>0</v>
      </c>
      <c r="V8" s="44">
        <v>400000</v>
      </c>
      <c r="W8" s="44">
        <v>2000000</v>
      </c>
      <c r="X8" s="44">
        <v>2000000</v>
      </c>
      <c r="Y8" s="44">
        <v>0</v>
      </c>
      <c r="Z8" s="44">
        <v>0</v>
      </c>
      <c r="AA8" s="44">
        <v>0</v>
      </c>
      <c r="AB8" s="44">
        <v>0</v>
      </c>
      <c r="AC8" s="44">
        <v>0</v>
      </c>
      <c r="AD8" s="44">
        <v>0</v>
      </c>
      <c r="AE8" s="44">
        <v>0</v>
      </c>
      <c r="AF8" s="44">
        <v>0</v>
      </c>
      <c r="AG8" s="44">
        <v>0</v>
      </c>
      <c r="AH8" s="44">
        <v>0</v>
      </c>
      <c r="AI8" s="44">
        <v>400000</v>
      </c>
      <c r="AJ8" s="44">
        <v>400000</v>
      </c>
      <c r="AK8" s="44">
        <v>400000</v>
      </c>
      <c r="AL8" s="44">
        <v>400000</v>
      </c>
      <c r="AM8" s="44">
        <v>400000</v>
      </c>
      <c r="AN8" s="44">
        <v>0</v>
      </c>
      <c r="AO8" s="44">
        <v>0</v>
      </c>
      <c r="AP8" s="44">
        <v>0</v>
      </c>
      <c r="AQ8" s="44">
        <v>0</v>
      </c>
      <c r="AR8" s="44">
        <v>0</v>
      </c>
      <c r="AS8" s="44">
        <v>0</v>
      </c>
      <c r="AT8" s="44">
        <v>0</v>
      </c>
      <c r="AU8" s="44">
        <v>0</v>
      </c>
      <c r="AV8" s="44">
        <v>0</v>
      </c>
      <c r="AW8" s="44">
        <v>0</v>
      </c>
      <c r="AX8" s="44">
        <v>0</v>
      </c>
      <c r="AY8" s="44">
        <v>0</v>
      </c>
      <c r="AZ8" s="44">
        <v>0</v>
      </c>
      <c r="BA8" s="44">
        <v>0</v>
      </c>
      <c r="BB8" s="44">
        <v>0</v>
      </c>
      <c r="BC8" s="44">
        <v>0</v>
      </c>
      <c r="BD8" s="44">
        <v>0</v>
      </c>
      <c r="BE8" s="44">
        <v>0</v>
      </c>
      <c r="BF8" s="44">
        <v>0</v>
      </c>
      <c r="BG8" s="44">
        <v>0</v>
      </c>
      <c r="BH8" s="44">
        <v>0</v>
      </c>
      <c r="BI8" s="44">
        <v>0</v>
      </c>
      <c r="BJ8" s="44">
        <v>0</v>
      </c>
      <c r="BK8" s="44">
        <v>0</v>
      </c>
      <c r="BL8" s="44">
        <v>0</v>
      </c>
      <c r="BM8" s="44">
        <v>0</v>
      </c>
      <c r="BN8" s="44">
        <v>0</v>
      </c>
      <c r="BO8" s="44">
        <v>0</v>
      </c>
      <c r="BP8" s="44">
        <v>0</v>
      </c>
      <c r="BQ8" s="44">
        <v>0</v>
      </c>
      <c r="BR8" s="44">
        <v>0</v>
      </c>
      <c r="BS8" s="44">
        <v>0</v>
      </c>
      <c r="BT8" s="44">
        <v>0</v>
      </c>
      <c r="BU8" s="44">
        <v>0</v>
      </c>
      <c r="BV8" s="44">
        <v>0</v>
      </c>
      <c r="BW8" s="44">
        <v>0</v>
      </c>
      <c r="BX8" s="44">
        <v>0</v>
      </c>
      <c r="BY8" s="44">
        <v>0</v>
      </c>
      <c r="BZ8" s="44">
        <v>0</v>
      </c>
      <c r="CA8" s="44">
        <v>0</v>
      </c>
      <c r="CB8" s="44">
        <v>0</v>
      </c>
      <c r="CC8" s="44">
        <v>0</v>
      </c>
      <c r="CD8" s="44">
        <v>0</v>
      </c>
      <c r="CE8" s="44">
        <v>0</v>
      </c>
      <c r="CF8" s="44">
        <v>0</v>
      </c>
      <c r="CG8" s="44">
        <v>0</v>
      </c>
      <c r="CH8" s="44">
        <v>0</v>
      </c>
      <c r="CI8" s="44">
        <v>0</v>
      </c>
      <c r="CJ8" s="44">
        <v>0</v>
      </c>
      <c r="CK8" s="44">
        <v>0</v>
      </c>
      <c r="CL8" s="44">
        <v>0</v>
      </c>
      <c r="CM8" s="44">
        <v>0</v>
      </c>
      <c r="CN8" s="44">
        <v>0</v>
      </c>
      <c r="CO8" s="44">
        <v>0</v>
      </c>
      <c r="CP8" s="44">
        <v>0</v>
      </c>
      <c r="CQ8" s="44">
        <v>0</v>
      </c>
      <c r="CR8" s="44">
        <v>0</v>
      </c>
      <c r="CS8" s="44">
        <v>0</v>
      </c>
      <c r="CT8" s="44">
        <v>0</v>
      </c>
      <c r="CU8" s="44">
        <v>0</v>
      </c>
      <c r="CV8" s="44">
        <v>0</v>
      </c>
      <c r="CW8" s="44">
        <v>0</v>
      </c>
      <c r="CX8" s="44">
        <v>0</v>
      </c>
      <c r="CY8" s="44">
        <v>0</v>
      </c>
      <c r="CZ8" s="44">
        <v>0</v>
      </c>
      <c r="DA8" s="44">
        <v>0</v>
      </c>
      <c r="DB8" s="44">
        <v>0</v>
      </c>
      <c r="DC8" s="44">
        <v>0</v>
      </c>
      <c r="DD8" s="44">
        <v>0</v>
      </c>
      <c r="DE8" s="44">
        <v>0</v>
      </c>
      <c r="DF8" s="44">
        <v>0</v>
      </c>
      <c r="DG8" s="44">
        <v>0</v>
      </c>
      <c r="DH8" s="44">
        <v>0</v>
      </c>
      <c r="DI8" s="44">
        <v>0</v>
      </c>
      <c r="DJ8" s="44">
        <v>0</v>
      </c>
      <c r="DK8" s="44">
        <v>0</v>
      </c>
      <c r="DL8" s="44">
        <v>0</v>
      </c>
      <c r="DM8" s="44">
        <v>0</v>
      </c>
      <c r="DN8" s="44">
        <v>0</v>
      </c>
      <c r="DO8" s="44">
        <v>0</v>
      </c>
      <c r="DP8" s="44">
        <v>0</v>
      </c>
      <c r="DQ8" s="44">
        <v>0</v>
      </c>
      <c r="DR8" s="44">
        <v>0</v>
      </c>
      <c r="DS8" s="44">
        <v>0</v>
      </c>
      <c r="DT8" s="44">
        <v>0</v>
      </c>
      <c r="DU8" s="44">
        <v>0</v>
      </c>
      <c r="DV8" s="44">
        <v>0</v>
      </c>
      <c r="DW8" s="44">
        <v>0</v>
      </c>
      <c r="DX8" s="44">
        <v>0</v>
      </c>
      <c r="DY8" s="44">
        <v>0</v>
      </c>
      <c r="DZ8" s="44">
        <v>0</v>
      </c>
      <c r="EA8" s="44">
        <v>0</v>
      </c>
      <c r="EB8" s="44">
        <v>0</v>
      </c>
      <c r="EC8" s="44">
        <v>0</v>
      </c>
      <c r="ED8" s="44">
        <v>0</v>
      </c>
      <c r="EE8" s="44">
        <v>0</v>
      </c>
      <c r="EF8" s="44">
        <v>0</v>
      </c>
      <c r="EG8" s="44">
        <v>0</v>
      </c>
      <c r="EH8" s="44">
        <v>0</v>
      </c>
      <c r="EI8" s="44">
        <v>0</v>
      </c>
      <c r="EJ8" s="44">
        <v>0</v>
      </c>
      <c r="EK8" s="44">
        <v>0</v>
      </c>
      <c r="EL8" s="44">
        <v>0</v>
      </c>
      <c r="EM8" s="44">
        <v>0</v>
      </c>
      <c r="EN8" s="44">
        <v>0</v>
      </c>
      <c r="EO8" s="44">
        <v>0</v>
      </c>
      <c r="EP8" s="44">
        <v>0</v>
      </c>
      <c r="EQ8" s="44">
        <v>0</v>
      </c>
      <c r="ER8" s="44">
        <v>0</v>
      </c>
      <c r="ES8" s="44">
        <v>0</v>
      </c>
      <c r="ET8" s="44">
        <v>0</v>
      </c>
      <c r="EU8" s="44">
        <v>0</v>
      </c>
      <c r="EV8" s="44">
        <v>0</v>
      </c>
      <c r="EW8" s="44">
        <v>0</v>
      </c>
      <c r="EX8" s="44">
        <v>0</v>
      </c>
      <c r="EY8" s="44">
        <v>0</v>
      </c>
      <c r="EZ8" s="44">
        <v>0</v>
      </c>
      <c r="FA8" s="44">
        <v>0</v>
      </c>
      <c r="FB8" s="44">
        <v>0</v>
      </c>
      <c r="FC8" s="44">
        <v>0</v>
      </c>
      <c r="FD8" s="44">
        <v>0</v>
      </c>
      <c r="FE8" s="44">
        <v>0</v>
      </c>
      <c r="FF8" s="44">
        <v>0</v>
      </c>
      <c r="FG8" s="44">
        <v>0</v>
      </c>
      <c r="FH8" s="44">
        <v>0</v>
      </c>
      <c r="FI8" s="44">
        <v>0</v>
      </c>
      <c r="FJ8" s="113">
        <v>0</v>
      </c>
    </row>
    <row r="9" spans="1:166" x14ac:dyDescent="0.4">
      <c r="A9" s="112" t="s">
        <v>434</v>
      </c>
      <c r="B9" s="43" t="s">
        <v>160</v>
      </c>
      <c r="C9" s="43" t="s">
        <v>427</v>
      </c>
      <c r="D9" s="43" t="s">
        <v>399</v>
      </c>
      <c r="E9" s="43" t="s">
        <v>402</v>
      </c>
      <c r="F9" s="43" t="s">
        <v>404</v>
      </c>
      <c r="G9" s="43" t="s">
        <v>413</v>
      </c>
      <c r="H9" s="43">
        <v>0</v>
      </c>
      <c r="I9" s="43">
        <v>0</v>
      </c>
      <c r="J9" s="43" t="s">
        <v>423</v>
      </c>
      <c r="K9" s="43">
        <v>0</v>
      </c>
      <c r="L9" s="43" t="s">
        <v>444</v>
      </c>
      <c r="M9" s="108">
        <v>1</v>
      </c>
      <c r="N9" s="44">
        <v>0</v>
      </c>
      <c r="O9" s="45">
        <v>0</v>
      </c>
      <c r="P9" s="45">
        <v>0</v>
      </c>
      <c r="Q9" s="44">
        <v>0</v>
      </c>
      <c r="R9" s="44">
        <v>120</v>
      </c>
      <c r="S9" s="46">
        <v>1</v>
      </c>
      <c r="T9" s="123">
        <v>1</v>
      </c>
      <c r="U9" s="43">
        <v>0</v>
      </c>
      <c r="V9" s="44">
        <v>200000</v>
      </c>
      <c r="W9" s="44">
        <v>24000000</v>
      </c>
      <c r="X9" s="44">
        <v>2400000</v>
      </c>
      <c r="Y9" s="44">
        <v>2400000</v>
      </c>
      <c r="Z9" s="44">
        <v>2400000</v>
      </c>
      <c r="AA9" s="44">
        <v>2400000</v>
      </c>
      <c r="AB9" s="44">
        <v>2400000</v>
      </c>
      <c r="AC9" s="44">
        <v>2400000</v>
      </c>
      <c r="AD9" s="44">
        <v>2400000</v>
      </c>
      <c r="AE9" s="44">
        <v>2400000</v>
      </c>
      <c r="AF9" s="44">
        <v>2400000</v>
      </c>
      <c r="AG9" s="44">
        <v>2400000</v>
      </c>
      <c r="AH9" s="44">
        <v>0</v>
      </c>
      <c r="AI9" s="44">
        <v>200000</v>
      </c>
      <c r="AJ9" s="44">
        <v>200000</v>
      </c>
      <c r="AK9" s="44">
        <v>200000</v>
      </c>
      <c r="AL9" s="44">
        <v>200000</v>
      </c>
      <c r="AM9" s="44">
        <v>200000</v>
      </c>
      <c r="AN9" s="44">
        <v>200000</v>
      </c>
      <c r="AO9" s="44">
        <v>200000</v>
      </c>
      <c r="AP9" s="44">
        <v>200000</v>
      </c>
      <c r="AQ9" s="44">
        <v>200000</v>
      </c>
      <c r="AR9" s="44">
        <v>200000</v>
      </c>
      <c r="AS9" s="44">
        <v>200000</v>
      </c>
      <c r="AT9" s="44">
        <v>200000</v>
      </c>
      <c r="AU9" s="44">
        <v>200000</v>
      </c>
      <c r="AV9" s="44">
        <v>200000</v>
      </c>
      <c r="AW9" s="44">
        <v>200000</v>
      </c>
      <c r="AX9" s="44">
        <v>200000</v>
      </c>
      <c r="AY9" s="44">
        <v>200000</v>
      </c>
      <c r="AZ9" s="44">
        <v>200000</v>
      </c>
      <c r="BA9" s="44">
        <v>200000</v>
      </c>
      <c r="BB9" s="44">
        <v>200000</v>
      </c>
      <c r="BC9" s="44">
        <v>200000</v>
      </c>
      <c r="BD9" s="44">
        <v>200000</v>
      </c>
      <c r="BE9" s="44">
        <v>200000</v>
      </c>
      <c r="BF9" s="44">
        <v>200000</v>
      </c>
      <c r="BG9" s="44">
        <v>200000</v>
      </c>
      <c r="BH9" s="44">
        <v>200000</v>
      </c>
      <c r="BI9" s="44">
        <v>200000</v>
      </c>
      <c r="BJ9" s="44">
        <v>200000</v>
      </c>
      <c r="BK9" s="44">
        <v>200000</v>
      </c>
      <c r="BL9" s="44">
        <v>200000</v>
      </c>
      <c r="BM9" s="44">
        <v>200000</v>
      </c>
      <c r="BN9" s="44">
        <v>200000</v>
      </c>
      <c r="BO9" s="44">
        <v>200000</v>
      </c>
      <c r="BP9" s="44">
        <v>200000</v>
      </c>
      <c r="BQ9" s="44">
        <v>200000</v>
      </c>
      <c r="BR9" s="44">
        <v>200000</v>
      </c>
      <c r="BS9" s="44">
        <v>200000</v>
      </c>
      <c r="BT9" s="44">
        <v>200000</v>
      </c>
      <c r="BU9" s="44">
        <v>200000</v>
      </c>
      <c r="BV9" s="44">
        <v>200000</v>
      </c>
      <c r="BW9" s="44">
        <v>200000</v>
      </c>
      <c r="BX9" s="44">
        <v>200000</v>
      </c>
      <c r="BY9" s="44">
        <v>200000</v>
      </c>
      <c r="BZ9" s="44">
        <v>200000</v>
      </c>
      <c r="CA9" s="44">
        <v>200000</v>
      </c>
      <c r="CB9" s="44">
        <v>200000</v>
      </c>
      <c r="CC9" s="44">
        <v>200000</v>
      </c>
      <c r="CD9" s="44">
        <v>200000</v>
      </c>
      <c r="CE9" s="44">
        <v>200000</v>
      </c>
      <c r="CF9" s="44">
        <v>200000</v>
      </c>
      <c r="CG9" s="44">
        <v>200000</v>
      </c>
      <c r="CH9" s="44">
        <v>200000</v>
      </c>
      <c r="CI9" s="44">
        <v>200000</v>
      </c>
      <c r="CJ9" s="44">
        <v>200000</v>
      </c>
      <c r="CK9" s="44">
        <v>200000</v>
      </c>
      <c r="CL9" s="44">
        <v>200000</v>
      </c>
      <c r="CM9" s="44">
        <v>200000</v>
      </c>
      <c r="CN9" s="44">
        <v>200000</v>
      </c>
      <c r="CO9" s="44">
        <v>200000</v>
      </c>
      <c r="CP9" s="44">
        <v>200000</v>
      </c>
      <c r="CQ9" s="44">
        <v>200000</v>
      </c>
      <c r="CR9" s="44">
        <v>200000</v>
      </c>
      <c r="CS9" s="44">
        <v>200000</v>
      </c>
      <c r="CT9" s="44">
        <v>200000</v>
      </c>
      <c r="CU9" s="44">
        <v>200000</v>
      </c>
      <c r="CV9" s="44">
        <v>200000</v>
      </c>
      <c r="CW9" s="44">
        <v>200000</v>
      </c>
      <c r="CX9" s="44">
        <v>200000</v>
      </c>
      <c r="CY9" s="44">
        <v>200000</v>
      </c>
      <c r="CZ9" s="44">
        <v>200000</v>
      </c>
      <c r="DA9" s="44">
        <v>200000</v>
      </c>
      <c r="DB9" s="44">
        <v>200000</v>
      </c>
      <c r="DC9" s="44">
        <v>200000</v>
      </c>
      <c r="DD9" s="44">
        <v>200000</v>
      </c>
      <c r="DE9" s="44">
        <v>200000</v>
      </c>
      <c r="DF9" s="44">
        <v>200000</v>
      </c>
      <c r="DG9" s="44">
        <v>200000</v>
      </c>
      <c r="DH9" s="44">
        <v>200000</v>
      </c>
      <c r="DI9" s="44">
        <v>200000</v>
      </c>
      <c r="DJ9" s="44">
        <v>200000</v>
      </c>
      <c r="DK9" s="44">
        <v>200000</v>
      </c>
      <c r="DL9" s="44">
        <v>200000</v>
      </c>
      <c r="DM9" s="44">
        <v>200000</v>
      </c>
      <c r="DN9" s="44">
        <v>200000</v>
      </c>
      <c r="DO9" s="44">
        <v>200000</v>
      </c>
      <c r="DP9" s="44">
        <v>200000</v>
      </c>
      <c r="DQ9" s="44">
        <v>200000</v>
      </c>
      <c r="DR9" s="44">
        <v>200000</v>
      </c>
      <c r="DS9" s="44">
        <v>200000</v>
      </c>
      <c r="DT9" s="44">
        <v>200000</v>
      </c>
      <c r="DU9" s="44">
        <v>200000</v>
      </c>
      <c r="DV9" s="44">
        <v>200000</v>
      </c>
      <c r="DW9" s="44">
        <v>200000</v>
      </c>
      <c r="DX9" s="44">
        <v>200000</v>
      </c>
      <c r="DY9" s="44">
        <v>200000</v>
      </c>
      <c r="DZ9" s="44">
        <v>200000</v>
      </c>
      <c r="EA9" s="44">
        <v>200000</v>
      </c>
      <c r="EB9" s="44">
        <v>200000</v>
      </c>
      <c r="EC9" s="44">
        <v>200000</v>
      </c>
      <c r="ED9" s="44">
        <v>200000</v>
      </c>
      <c r="EE9" s="44">
        <v>200000</v>
      </c>
      <c r="EF9" s="44">
        <v>200000</v>
      </c>
      <c r="EG9" s="44">
        <v>200000</v>
      </c>
      <c r="EH9" s="44">
        <v>200000</v>
      </c>
      <c r="EI9" s="44">
        <v>200000</v>
      </c>
      <c r="EJ9" s="44">
        <v>200000</v>
      </c>
      <c r="EK9" s="44">
        <v>200000</v>
      </c>
      <c r="EL9" s="44">
        <v>200000</v>
      </c>
      <c r="EM9" s="44">
        <v>200000</v>
      </c>
      <c r="EN9" s="44">
        <v>200000</v>
      </c>
      <c r="EO9" s="44">
        <v>200000</v>
      </c>
      <c r="EP9" s="44">
        <v>200000</v>
      </c>
      <c r="EQ9" s="44">
        <v>200000</v>
      </c>
      <c r="ER9" s="44">
        <v>200000</v>
      </c>
      <c r="ES9" s="44">
        <v>200000</v>
      </c>
      <c r="ET9" s="44">
        <v>200000</v>
      </c>
      <c r="EU9" s="44">
        <v>200000</v>
      </c>
      <c r="EV9" s="44">
        <v>200000</v>
      </c>
      <c r="EW9" s="44">
        <v>200000</v>
      </c>
      <c r="EX9" s="44">
        <v>200000</v>
      </c>
      <c r="EY9" s="44">
        <v>0</v>
      </c>
      <c r="EZ9" s="44">
        <v>0</v>
      </c>
      <c r="FA9" s="44">
        <v>0</v>
      </c>
      <c r="FB9" s="44">
        <v>0</v>
      </c>
      <c r="FC9" s="44">
        <v>0</v>
      </c>
      <c r="FD9" s="44">
        <v>0</v>
      </c>
      <c r="FE9" s="44">
        <v>0</v>
      </c>
      <c r="FF9" s="44">
        <v>0</v>
      </c>
      <c r="FG9" s="44">
        <v>0</v>
      </c>
      <c r="FH9" s="44">
        <v>0</v>
      </c>
      <c r="FI9" s="44">
        <v>0</v>
      </c>
      <c r="FJ9" s="113">
        <v>0</v>
      </c>
    </row>
    <row r="10" spans="1:166" x14ac:dyDescent="0.4">
      <c r="A10" s="112" t="s">
        <v>435</v>
      </c>
      <c r="B10" s="43" t="s">
        <v>160</v>
      </c>
      <c r="C10" s="43" t="s">
        <v>427</v>
      </c>
      <c r="D10" s="43" t="s">
        <v>399</v>
      </c>
      <c r="E10" s="43" t="s">
        <v>402</v>
      </c>
      <c r="F10" s="43" t="s">
        <v>405</v>
      </c>
      <c r="G10" s="43" t="s">
        <v>414</v>
      </c>
      <c r="H10" s="43">
        <v>0</v>
      </c>
      <c r="I10" s="43">
        <v>0</v>
      </c>
      <c r="J10" s="43" t="s">
        <v>423</v>
      </c>
      <c r="K10" s="43">
        <v>0</v>
      </c>
      <c r="L10" s="43" t="s">
        <v>444</v>
      </c>
      <c r="M10" s="108">
        <v>1</v>
      </c>
      <c r="N10" s="44">
        <v>0</v>
      </c>
      <c r="O10" s="45">
        <v>0</v>
      </c>
      <c r="P10" s="45">
        <v>0</v>
      </c>
      <c r="Q10" s="44">
        <v>0</v>
      </c>
      <c r="R10" s="44">
        <v>3</v>
      </c>
      <c r="S10" s="46">
        <v>1</v>
      </c>
      <c r="T10" s="123">
        <v>1</v>
      </c>
      <c r="U10" s="43">
        <v>0</v>
      </c>
      <c r="V10" s="44">
        <v>1000000</v>
      </c>
      <c r="W10" s="44">
        <v>3000000</v>
      </c>
      <c r="X10" s="44">
        <v>3000000</v>
      </c>
      <c r="Y10" s="44">
        <v>0</v>
      </c>
      <c r="Z10" s="44">
        <v>0</v>
      </c>
      <c r="AA10" s="44">
        <v>0</v>
      </c>
      <c r="AB10" s="44">
        <v>0</v>
      </c>
      <c r="AC10" s="44">
        <v>0</v>
      </c>
      <c r="AD10" s="44">
        <v>0</v>
      </c>
      <c r="AE10" s="44">
        <v>0</v>
      </c>
      <c r="AF10" s="44">
        <v>0</v>
      </c>
      <c r="AG10" s="44">
        <v>0</v>
      </c>
      <c r="AH10" s="44">
        <v>0</v>
      </c>
      <c r="AI10" s="44">
        <v>1000000</v>
      </c>
      <c r="AJ10" s="44">
        <v>1000000</v>
      </c>
      <c r="AK10" s="44">
        <v>1000000</v>
      </c>
      <c r="AL10" s="44">
        <v>0</v>
      </c>
      <c r="AM10" s="44">
        <v>0</v>
      </c>
      <c r="AN10" s="44">
        <v>0</v>
      </c>
      <c r="AO10" s="44">
        <v>0</v>
      </c>
      <c r="AP10" s="44">
        <v>0</v>
      </c>
      <c r="AQ10" s="44">
        <v>0</v>
      </c>
      <c r="AR10" s="44">
        <v>0</v>
      </c>
      <c r="AS10" s="44">
        <v>0</v>
      </c>
      <c r="AT10" s="44">
        <v>0</v>
      </c>
      <c r="AU10" s="44">
        <v>0</v>
      </c>
      <c r="AV10" s="44">
        <v>0</v>
      </c>
      <c r="AW10" s="44">
        <v>0</v>
      </c>
      <c r="AX10" s="44">
        <v>0</v>
      </c>
      <c r="AY10" s="44">
        <v>0</v>
      </c>
      <c r="AZ10" s="44">
        <v>0</v>
      </c>
      <c r="BA10" s="44">
        <v>0</v>
      </c>
      <c r="BB10" s="44">
        <v>0</v>
      </c>
      <c r="BC10" s="44">
        <v>0</v>
      </c>
      <c r="BD10" s="44">
        <v>0</v>
      </c>
      <c r="BE10" s="44">
        <v>0</v>
      </c>
      <c r="BF10" s="44">
        <v>0</v>
      </c>
      <c r="BG10" s="44">
        <v>0</v>
      </c>
      <c r="BH10" s="44">
        <v>0</v>
      </c>
      <c r="BI10" s="44">
        <v>0</v>
      </c>
      <c r="BJ10" s="44">
        <v>0</v>
      </c>
      <c r="BK10" s="44">
        <v>0</v>
      </c>
      <c r="BL10" s="44">
        <v>0</v>
      </c>
      <c r="BM10" s="44">
        <v>0</v>
      </c>
      <c r="BN10" s="44">
        <v>0</v>
      </c>
      <c r="BO10" s="44">
        <v>0</v>
      </c>
      <c r="BP10" s="44">
        <v>0</v>
      </c>
      <c r="BQ10" s="44">
        <v>0</v>
      </c>
      <c r="BR10" s="44">
        <v>0</v>
      </c>
      <c r="BS10" s="44">
        <v>0</v>
      </c>
      <c r="BT10" s="44">
        <v>0</v>
      </c>
      <c r="BU10" s="44">
        <v>0</v>
      </c>
      <c r="BV10" s="44">
        <v>0</v>
      </c>
      <c r="BW10" s="44">
        <v>0</v>
      </c>
      <c r="BX10" s="44">
        <v>0</v>
      </c>
      <c r="BY10" s="44">
        <v>0</v>
      </c>
      <c r="BZ10" s="44">
        <v>0</v>
      </c>
      <c r="CA10" s="44">
        <v>0</v>
      </c>
      <c r="CB10" s="44">
        <v>0</v>
      </c>
      <c r="CC10" s="44">
        <v>0</v>
      </c>
      <c r="CD10" s="44">
        <v>0</v>
      </c>
      <c r="CE10" s="44">
        <v>0</v>
      </c>
      <c r="CF10" s="44">
        <v>0</v>
      </c>
      <c r="CG10" s="44">
        <v>0</v>
      </c>
      <c r="CH10" s="44">
        <v>0</v>
      </c>
      <c r="CI10" s="44">
        <v>0</v>
      </c>
      <c r="CJ10" s="44">
        <v>0</v>
      </c>
      <c r="CK10" s="44">
        <v>0</v>
      </c>
      <c r="CL10" s="44">
        <v>0</v>
      </c>
      <c r="CM10" s="44">
        <v>0</v>
      </c>
      <c r="CN10" s="44">
        <v>0</v>
      </c>
      <c r="CO10" s="44">
        <v>0</v>
      </c>
      <c r="CP10" s="44">
        <v>0</v>
      </c>
      <c r="CQ10" s="44">
        <v>0</v>
      </c>
      <c r="CR10" s="44">
        <v>0</v>
      </c>
      <c r="CS10" s="44">
        <v>0</v>
      </c>
      <c r="CT10" s="44">
        <v>0</v>
      </c>
      <c r="CU10" s="44">
        <v>0</v>
      </c>
      <c r="CV10" s="44">
        <v>0</v>
      </c>
      <c r="CW10" s="44">
        <v>0</v>
      </c>
      <c r="CX10" s="44">
        <v>0</v>
      </c>
      <c r="CY10" s="44">
        <v>0</v>
      </c>
      <c r="CZ10" s="44">
        <v>0</v>
      </c>
      <c r="DA10" s="44">
        <v>0</v>
      </c>
      <c r="DB10" s="44">
        <v>0</v>
      </c>
      <c r="DC10" s="44">
        <v>0</v>
      </c>
      <c r="DD10" s="44">
        <v>0</v>
      </c>
      <c r="DE10" s="44">
        <v>0</v>
      </c>
      <c r="DF10" s="44">
        <v>0</v>
      </c>
      <c r="DG10" s="44">
        <v>0</v>
      </c>
      <c r="DH10" s="44">
        <v>0</v>
      </c>
      <c r="DI10" s="44">
        <v>0</v>
      </c>
      <c r="DJ10" s="44">
        <v>0</v>
      </c>
      <c r="DK10" s="44">
        <v>0</v>
      </c>
      <c r="DL10" s="44">
        <v>0</v>
      </c>
      <c r="DM10" s="44">
        <v>0</v>
      </c>
      <c r="DN10" s="44">
        <v>0</v>
      </c>
      <c r="DO10" s="44">
        <v>0</v>
      </c>
      <c r="DP10" s="44">
        <v>0</v>
      </c>
      <c r="DQ10" s="44">
        <v>0</v>
      </c>
      <c r="DR10" s="44">
        <v>0</v>
      </c>
      <c r="DS10" s="44">
        <v>0</v>
      </c>
      <c r="DT10" s="44">
        <v>0</v>
      </c>
      <c r="DU10" s="44">
        <v>0</v>
      </c>
      <c r="DV10" s="44">
        <v>0</v>
      </c>
      <c r="DW10" s="44">
        <v>0</v>
      </c>
      <c r="DX10" s="44">
        <v>0</v>
      </c>
      <c r="DY10" s="44">
        <v>0</v>
      </c>
      <c r="DZ10" s="44">
        <v>0</v>
      </c>
      <c r="EA10" s="44">
        <v>0</v>
      </c>
      <c r="EB10" s="44">
        <v>0</v>
      </c>
      <c r="EC10" s="44">
        <v>0</v>
      </c>
      <c r="ED10" s="44">
        <v>0</v>
      </c>
      <c r="EE10" s="44">
        <v>0</v>
      </c>
      <c r="EF10" s="44">
        <v>0</v>
      </c>
      <c r="EG10" s="44">
        <v>0</v>
      </c>
      <c r="EH10" s="44">
        <v>0</v>
      </c>
      <c r="EI10" s="44">
        <v>0</v>
      </c>
      <c r="EJ10" s="44">
        <v>0</v>
      </c>
      <c r="EK10" s="44">
        <v>0</v>
      </c>
      <c r="EL10" s="44">
        <v>0</v>
      </c>
      <c r="EM10" s="44">
        <v>0</v>
      </c>
      <c r="EN10" s="44">
        <v>0</v>
      </c>
      <c r="EO10" s="44">
        <v>0</v>
      </c>
      <c r="EP10" s="44">
        <v>0</v>
      </c>
      <c r="EQ10" s="44">
        <v>0</v>
      </c>
      <c r="ER10" s="44">
        <v>0</v>
      </c>
      <c r="ES10" s="44">
        <v>0</v>
      </c>
      <c r="ET10" s="44">
        <v>0</v>
      </c>
      <c r="EU10" s="44">
        <v>0</v>
      </c>
      <c r="EV10" s="44">
        <v>0</v>
      </c>
      <c r="EW10" s="44">
        <v>0</v>
      </c>
      <c r="EX10" s="44">
        <v>0</v>
      </c>
      <c r="EY10" s="44">
        <v>0</v>
      </c>
      <c r="EZ10" s="44">
        <v>0</v>
      </c>
      <c r="FA10" s="44">
        <v>0</v>
      </c>
      <c r="FB10" s="44">
        <v>0</v>
      </c>
      <c r="FC10" s="44">
        <v>0</v>
      </c>
      <c r="FD10" s="44">
        <v>0</v>
      </c>
      <c r="FE10" s="44">
        <v>0</v>
      </c>
      <c r="FF10" s="44">
        <v>0</v>
      </c>
      <c r="FG10" s="44">
        <v>0</v>
      </c>
      <c r="FH10" s="44">
        <v>0</v>
      </c>
      <c r="FI10" s="44">
        <v>0</v>
      </c>
      <c r="FJ10" s="113">
        <v>0</v>
      </c>
    </row>
    <row r="11" spans="1:166" x14ac:dyDescent="0.4">
      <c r="A11" s="112" t="s">
        <v>436</v>
      </c>
      <c r="B11" s="43" t="s">
        <v>160</v>
      </c>
      <c r="C11" s="43" t="s">
        <v>427</v>
      </c>
      <c r="D11" s="43" t="s">
        <v>399</v>
      </c>
      <c r="E11" s="43" t="s">
        <v>402</v>
      </c>
      <c r="F11" s="43" t="s">
        <v>406</v>
      </c>
      <c r="G11" s="43" t="s">
        <v>415</v>
      </c>
      <c r="H11" s="43">
        <v>0</v>
      </c>
      <c r="I11" s="43">
        <v>0</v>
      </c>
      <c r="J11" s="43" t="s">
        <v>423</v>
      </c>
      <c r="K11" s="43">
        <v>0</v>
      </c>
      <c r="L11" s="43" t="s">
        <v>444</v>
      </c>
      <c r="M11" s="108">
        <v>1</v>
      </c>
      <c r="N11" s="44">
        <v>0</v>
      </c>
      <c r="O11" s="45">
        <v>0</v>
      </c>
      <c r="P11" s="45">
        <v>0</v>
      </c>
      <c r="Q11" s="44">
        <v>0</v>
      </c>
      <c r="R11" s="44">
        <v>2</v>
      </c>
      <c r="S11" s="46">
        <v>1</v>
      </c>
      <c r="T11" s="123">
        <v>1</v>
      </c>
      <c r="U11" s="43">
        <v>0</v>
      </c>
      <c r="V11" s="44">
        <v>1000000</v>
      </c>
      <c r="W11" s="44">
        <v>2000000</v>
      </c>
      <c r="X11" s="44">
        <v>2000000</v>
      </c>
      <c r="Y11" s="44">
        <v>0</v>
      </c>
      <c r="Z11" s="44">
        <v>0</v>
      </c>
      <c r="AA11" s="44">
        <v>0</v>
      </c>
      <c r="AB11" s="44">
        <v>0</v>
      </c>
      <c r="AC11" s="44">
        <v>0</v>
      </c>
      <c r="AD11" s="44">
        <v>0</v>
      </c>
      <c r="AE11" s="44">
        <v>0</v>
      </c>
      <c r="AF11" s="44">
        <v>0</v>
      </c>
      <c r="AG11" s="44">
        <v>0</v>
      </c>
      <c r="AH11" s="44">
        <v>0</v>
      </c>
      <c r="AI11" s="44">
        <v>1000000</v>
      </c>
      <c r="AJ11" s="44">
        <v>1000000</v>
      </c>
      <c r="AK11" s="44">
        <v>0</v>
      </c>
      <c r="AL11" s="44">
        <v>0</v>
      </c>
      <c r="AM11" s="44">
        <v>0</v>
      </c>
      <c r="AN11" s="44">
        <v>0</v>
      </c>
      <c r="AO11" s="44">
        <v>0</v>
      </c>
      <c r="AP11" s="44">
        <v>0</v>
      </c>
      <c r="AQ11" s="44">
        <v>0</v>
      </c>
      <c r="AR11" s="44">
        <v>0</v>
      </c>
      <c r="AS11" s="44">
        <v>0</v>
      </c>
      <c r="AT11" s="44">
        <v>0</v>
      </c>
      <c r="AU11" s="44">
        <v>0</v>
      </c>
      <c r="AV11" s="44">
        <v>0</v>
      </c>
      <c r="AW11" s="44">
        <v>0</v>
      </c>
      <c r="AX11" s="44">
        <v>0</v>
      </c>
      <c r="AY11" s="44">
        <v>0</v>
      </c>
      <c r="AZ11" s="44">
        <v>0</v>
      </c>
      <c r="BA11" s="44">
        <v>0</v>
      </c>
      <c r="BB11" s="44">
        <v>0</v>
      </c>
      <c r="BC11" s="44">
        <v>0</v>
      </c>
      <c r="BD11" s="44">
        <v>0</v>
      </c>
      <c r="BE11" s="44">
        <v>0</v>
      </c>
      <c r="BF11" s="44">
        <v>0</v>
      </c>
      <c r="BG11" s="44">
        <v>0</v>
      </c>
      <c r="BH11" s="44">
        <v>0</v>
      </c>
      <c r="BI11" s="44">
        <v>0</v>
      </c>
      <c r="BJ11" s="44">
        <v>0</v>
      </c>
      <c r="BK11" s="44">
        <v>0</v>
      </c>
      <c r="BL11" s="44">
        <v>0</v>
      </c>
      <c r="BM11" s="44">
        <v>0</v>
      </c>
      <c r="BN11" s="44">
        <v>0</v>
      </c>
      <c r="BO11" s="44">
        <v>0</v>
      </c>
      <c r="BP11" s="44">
        <v>0</v>
      </c>
      <c r="BQ11" s="44">
        <v>0</v>
      </c>
      <c r="BR11" s="44">
        <v>0</v>
      </c>
      <c r="BS11" s="44">
        <v>0</v>
      </c>
      <c r="BT11" s="44">
        <v>0</v>
      </c>
      <c r="BU11" s="44">
        <v>0</v>
      </c>
      <c r="BV11" s="44">
        <v>0</v>
      </c>
      <c r="BW11" s="44">
        <v>0</v>
      </c>
      <c r="BX11" s="44">
        <v>0</v>
      </c>
      <c r="BY11" s="44">
        <v>0</v>
      </c>
      <c r="BZ11" s="44">
        <v>0</v>
      </c>
      <c r="CA11" s="44">
        <v>0</v>
      </c>
      <c r="CB11" s="44">
        <v>0</v>
      </c>
      <c r="CC11" s="44">
        <v>0</v>
      </c>
      <c r="CD11" s="44">
        <v>0</v>
      </c>
      <c r="CE11" s="44">
        <v>0</v>
      </c>
      <c r="CF11" s="44">
        <v>0</v>
      </c>
      <c r="CG11" s="44">
        <v>0</v>
      </c>
      <c r="CH11" s="44">
        <v>0</v>
      </c>
      <c r="CI11" s="44">
        <v>0</v>
      </c>
      <c r="CJ11" s="44">
        <v>0</v>
      </c>
      <c r="CK11" s="44">
        <v>0</v>
      </c>
      <c r="CL11" s="44">
        <v>0</v>
      </c>
      <c r="CM11" s="44">
        <v>0</v>
      </c>
      <c r="CN11" s="44">
        <v>0</v>
      </c>
      <c r="CO11" s="44">
        <v>0</v>
      </c>
      <c r="CP11" s="44">
        <v>0</v>
      </c>
      <c r="CQ11" s="44">
        <v>0</v>
      </c>
      <c r="CR11" s="44">
        <v>0</v>
      </c>
      <c r="CS11" s="44">
        <v>0</v>
      </c>
      <c r="CT11" s="44">
        <v>0</v>
      </c>
      <c r="CU11" s="44">
        <v>0</v>
      </c>
      <c r="CV11" s="44">
        <v>0</v>
      </c>
      <c r="CW11" s="44">
        <v>0</v>
      </c>
      <c r="CX11" s="44">
        <v>0</v>
      </c>
      <c r="CY11" s="44">
        <v>0</v>
      </c>
      <c r="CZ11" s="44">
        <v>0</v>
      </c>
      <c r="DA11" s="44">
        <v>0</v>
      </c>
      <c r="DB11" s="44">
        <v>0</v>
      </c>
      <c r="DC11" s="44">
        <v>0</v>
      </c>
      <c r="DD11" s="44">
        <v>0</v>
      </c>
      <c r="DE11" s="44">
        <v>0</v>
      </c>
      <c r="DF11" s="44">
        <v>0</v>
      </c>
      <c r="DG11" s="44">
        <v>0</v>
      </c>
      <c r="DH11" s="44">
        <v>0</v>
      </c>
      <c r="DI11" s="44">
        <v>0</v>
      </c>
      <c r="DJ11" s="44">
        <v>0</v>
      </c>
      <c r="DK11" s="44">
        <v>0</v>
      </c>
      <c r="DL11" s="44">
        <v>0</v>
      </c>
      <c r="DM11" s="44">
        <v>0</v>
      </c>
      <c r="DN11" s="44">
        <v>0</v>
      </c>
      <c r="DO11" s="44">
        <v>0</v>
      </c>
      <c r="DP11" s="44">
        <v>0</v>
      </c>
      <c r="DQ11" s="44">
        <v>0</v>
      </c>
      <c r="DR11" s="44">
        <v>0</v>
      </c>
      <c r="DS11" s="44">
        <v>0</v>
      </c>
      <c r="DT11" s="44">
        <v>0</v>
      </c>
      <c r="DU11" s="44">
        <v>0</v>
      </c>
      <c r="DV11" s="44">
        <v>0</v>
      </c>
      <c r="DW11" s="44">
        <v>0</v>
      </c>
      <c r="DX11" s="44">
        <v>0</v>
      </c>
      <c r="DY11" s="44">
        <v>0</v>
      </c>
      <c r="DZ11" s="44">
        <v>0</v>
      </c>
      <c r="EA11" s="44">
        <v>0</v>
      </c>
      <c r="EB11" s="44">
        <v>0</v>
      </c>
      <c r="EC11" s="44">
        <v>0</v>
      </c>
      <c r="ED11" s="44">
        <v>0</v>
      </c>
      <c r="EE11" s="44">
        <v>0</v>
      </c>
      <c r="EF11" s="44">
        <v>0</v>
      </c>
      <c r="EG11" s="44">
        <v>0</v>
      </c>
      <c r="EH11" s="44">
        <v>0</v>
      </c>
      <c r="EI11" s="44">
        <v>0</v>
      </c>
      <c r="EJ11" s="44">
        <v>0</v>
      </c>
      <c r="EK11" s="44">
        <v>0</v>
      </c>
      <c r="EL11" s="44">
        <v>0</v>
      </c>
      <c r="EM11" s="44">
        <v>0</v>
      </c>
      <c r="EN11" s="44">
        <v>0</v>
      </c>
      <c r="EO11" s="44">
        <v>0</v>
      </c>
      <c r="EP11" s="44">
        <v>0</v>
      </c>
      <c r="EQ11" s="44">
        <v>0</v>
      </c>
      <c r="ER11" s="44">
        <v>0</v>
      </c>
      <c r="ES11" s="44">
        <v>0</v>
      </c>
      <c r="ET11" s="44">
        <v>0</v>
      </c>
      <c r="EU11" s="44">
        <v>0</v>
      </c>
      <c r="EV11" s="44">
        <v>0</v>
      </c>
      <c r="EW11" s="44">
        <v>0</v>
      </c>
      <c r="EX11" s="44">
        <v>0</v>
      </c>
      <c r="EY11" s="44">
        <v>0</v>
      </c>
      <c r="EZ11" s="44">
        <v>0</v>
      </c>
      <c r="FA11" s="44">
        <v>0</v>
      </c>
      <c r="FB11" s="44">
        <v>0</v>
      </c>
      <c r="FC11" s="44">
        <v>0</v>
      </c>
      <c r="FD11" s="44">
        <v>0</v>
      </c>
      <c r="FE11" s="44">
        <v>0</v>
      </c>
      <c r="FF11" s="44">
        <v>0</v>
      </c>
      <c r="FG11" s="44">
        <v>0</v>
      </c>
      <c r="FH11" s="44">
        <v>0</v>
      </c>
      <c r="FI11" s="44">
        <v>0</v>
      </c>
      <c r="FJ11" s="113">
        <v>0</v>
      </c>
    </row>
    <row r="12" spans="1:166" x14ac:dyDescent="0.4">
      <c r="A12" s="112" t="s">
        <v>437</v>
      </c>
      <c r="B12" s="43" t="s">
        <v>160</v>
      </c>
      <c r="C12" s="43" t="s">
        <v>427</v>
      </c>
      <c r="D12" s="43" t="s">
        <v>399</v>
      </c>
      <c r="E12" s="43" t="s">
        <v>402</v>
      </c>
      <c r="F12" s="43" t="s">
        <v>405</v>
      </c>
      <c r="G12" s="43" t="s">
        <v>416</v>
      </c>
      <c r="H12" s="43">
        <v>0</v>
      </c>
      <c r="I12" s="43">
        <v>0</v>
      </c>
      <c r="J12" s="43" t="s">
        <v>423</v>
      </c>
      <c r="K12" s="43">
        <v>0</v>
      </c>
      <c r="L12" s="43" t="s">
        <v>444</v>
      </c>
      <c r="M12" s="108">
        <v>1</v>
      </c>
      <c r="N12" s="44">
        <v>0</v>
      </c>
      <c r="O12" s="45">
        <v>0</v>
      </c>
      <c r="P12" s="45">
        <v>0</v>
      </c>
      <c r="Q12" s="44">
        <v>0</v>
      </c>
      <c r="R12" s="44">
        <v>20</v>
      </c>
      <c r="S12" s="46">
        <v>1</v>
      </c>
      <c r="T12" s="123">
        <v>1</v>
      </c>
      <c r="U12" s="43">
        <v>0</v>
      </c>
      <c r="V12" s="44">
        <v>1000000</v>
      </c>
      <c r="W12" s="44">
        <v>20000000</v>
      </c>
      <c r="X12" s="44">
        <v>12000000</v>
      </c>
      <c r="Y12" s="44">
        <v>8000000</v>
      </c>
      <c r="Z12" s="44">
        <v>0</v>
      </c>
      <c r="AA12" s="44">
        <v>0</v>
      </c>
      <c r="AB12" s="44">
        <v>0</v>
      </c>
      <c r="AC12" s="44">
        <v>0</v>
      </c>
      <c r="AD12" s="44">
        <v>0</v>
      </c>
      <c r="AE12" s="44">
        <v>0</v>
      </c>
      <c r="AF12" s="44">
        <v>0</v>
      </c>
      <c r="AG12" s="44">
        <v>0</v>
      </c>
      <c r="AH12" s="44">
        <v>0</v>
      </c>
      <c r="AI12" s="44">
        <v>1000000</v>
      </c>
      <c r="AJ12" s="44">
        <v>1000000</v>
      </c>
      <c r="AK12" s="44">
        <v>1000000</v>
      </c>
      <c r="AL12" s="44">
        <v>1000000</v>
      </c>
      <c r="AM12" s="44">
        <v>1000000</v>
      </c>
      <c r="AN12" s="44">
        <v>1000000</v>
      </c>
      <c r="AO12" s="44">
        <v>1000000</v>
      </c>
      <c r="AP12" s="44">
        <v>1000000</v>
      </c>
      <c r="AQ12" s="44">
        <v>1000000</v>
      </c>
      <c r="AR12" s="44">
        <v>1000000</v>
      </c>
      <c r="AS12" s="44">
        <v>1000000</v>
      </c>
      <c r="AT12" s="44">
        <v>1000000</v>
      </c>
      <c r="AU12" s="44">
        <v>1000000</v>
      </c>
      <c r="AV12" s="44">
        <v>1000000</v>
      </c>
      <c r="AW12" s="44">
        <v>1000000</v>
      </c>
      <c r="AX12" s="44">
        <v>1000000</v>
      </c>
      <c r="AY12" s="44">
        <v>1000000</v>
      </c>
      <c r="AZ12" s="44">
        <v>1000000</v>
      </c>
      <c r="BA12" s="44">
        <v>1000000</v>
      </c>
      <c r="BB12" s="44">
        <v>1000000</v>
      </c>
      <c r="BC12" s="44">
        <v>0</v>
      </c>
      <c r="BD12" s="44">
        <v>0</v>
      </c>
      <c r="BE12" s="44">
        <v>0</v>
      </c>
      <c r="BF12" s="44">
        <v>0</v>
      </c>
      <c r="BG12" s="44">
        <v>0</v>
      </c>
      <c r="BH12" s="44">
        <v>0</v>
      </c>
      <c r="BI12" s="44">
        <v>0</v>
      </c>
      <c r="BJ12" s="44">
        <v>0</v>
      </c>
      <c r="BK12" s="44">
        <v>0</v>
      </c>
      <c r="BL12" s="44">
        <v>0</v>
      </c>
      <c r="BM12" s="44">
        <v>0</v>
      </c>
      <c r="BN12" s="44">
        <v>0</v>
      </c>
      <c r="BO12" s="44">
        <v>0</v>
      </c>
      <c r="BP12" s="44">
        <v>0</v>
      </c>
      <c r="BQ12" s="44">
        <v>0</v>
      </c>
      <c r="BR12" s="44">
        <v>0</v>
      </c>
      <c r="BS12" s="44">
        <v>0</v>
      </c>
      <c r="BT12" s="44">
        <v>0</v>
      </c>
      <c r="BU12" s="44">
        <v>0</v>
      </c>
      <c r="BV12" s="44">
        <v>0</v>
      </c>
      <c r="BW12" s="44">
        <v>0</v>
      </c>
      <c r="BX12" s="44">
        <v>0</v>
      </c>
      <c r="BY12" s="44">
        <v>0</v>
      </c>
      <c r="BZ12" s="44">
        <v>0</v>
      </c>
      <c r="CA12" s="44">
        <v>0</v>
      </c>
      <c r="CB12" s="44">
        <v>0</v>
      </c>
      <c r="CC12" s="44">
        <v>0</v>
      </c>
      <c r="CD12" s="44">
        <v>0</v>
      </c>
      <c r="CE12" s="44">
        <v>0</v>
      </c>
      <c r="CF12" s="44">
        <v>0</v>
      </c>
      <c r="CG12" s="44">
        <v>0</v>
      </c>
      <c r="CH12" s="44">
        <v>0</v>
      </c>
      <c r="CI12" s="44">
        <v>0</v>
      </c>
      <c r="CJ12" s="44">
        <v>0</v>
      </c>
      <c r="CK12" s="44">
        <v>0</v>
      </c>
      <c r="CL12" s="44">
        <v>0</v>
      </c>
      <c r="CM12" s="44">
        <v>0</v>
      </c>
      <c r="CN12" s="44">
        <v>0</v>
      </c>
      <c r="CO12" s="44">
        <v>0</v>
      </c>
      <c r="CP12" s="44">
        <v>0</v>
      </c>
      <c r="CQ12" s="44">
        <v>0</v>
      </c>
      <c r="CR12" s="44">
        <v>0</v>
      </c>
      <c r="CS12" s="44">
        <v>0</v>
      </c>
      <c r="CT12" s="44">
        <v>0</v>
      </c>
      <c r="CU12" s="44">
        <v>0</v>
      </c>
      <c r="CV12" s="44">
        <v>0</v>
      </c>
      <c r="CW12" s="44">
        <v>0</v>
      </c>
      <c r="CX12" s="44">
        <v>0</v>
      </c>
      <c r="CY12" s="44">
        <v>0</v>
      </c>
      <c r="CZ12" s="44">
        <v>0</v>
      </c>
      <c r="DA12" s="44">
        <v>0</v>
      </c>
      <c r="DB12" s="44">
        <v>0</v>
      </c>
      <c r="DC12" s="44">
        <v>0</v>
      </c>
      <c r="DD12" s="44">
        <v>0</v>
      </c>
      <c r="DE12" s="44">
        <v>0</v>
      </c>
      <c r="DF12" s="44">
        <v>0</v>
      </c>
      <c r="DG12" s="44">
        <v>0</v>
      </c>
      <c r="DH12" s="44">
        <v>0</v>
      </c>
      <c r="DI12" s="44">
        <v>0</v>
      </c>
      <c r="DJ12" s="44">
        <v>0</v>
      </c>
      <c r="DK12" s="44">
        <v>0</v>
      </c>
      <c r="DL12" s="44">
        <v>0</v>
      </c>
      <c r="DM12" s="44">
        <v>0</v>
      </c>
      <c r="DN12" s="44">
        <v>0</v>
      </c>
      <c r="DO12" s="44">
        <v>0</v>
      </c>
      <c r="DP12" s="44">
        <v>0</v>
      </c>
      <c r="DQ12" s="44">
        <v>0</v>
      </c>
      <c r="DR12" s="44">
        <v>0</v>
      </c>
      <c r="DS12" s="44">
        <v>0</v>
      </c>
      <c r="DT12" s="44">
        <v>0</v>
      </c>
      <c r="DU12" s="44">
        <v>0</v>
      </c>
      <c r="DV12" s="44">
        <v>0</v>
      </c>
      <c r="DW12" s="44">
        <v>0</v>
      </c>
      <c r="DX12" s="44">
        <v>0</v>
      </c>
      <c r="DY12" s="44">
        <v>0</v>
      </c>
      <c r="DZ12" s="44">
        <v>0</v>
      </c>
      <c r="EA12" s="44">
        <v>0</v>
      </c>
      <c r="EB12" s="44">
        <v>0</v>
      </c>
      <c r="EC12" s="44">
        <v>0</v>
      </c>
      <c r="ED12" s="44">
        <v>0</v>
      </c>
      <c r="EE12" s="44">
        <v>0</v>
      </c>
      <c r="EF12" s="44">
        <v>0</v>
      </c>
      <c r="EG12" s="44">
        <v>0</v>
      </c>
      <c r="EH12" s="44">
        <v>0</v>
      </c>
      <c r="EI12" s="44">
        <v>0</v>
      </c>
      <c r="EJ12" s="44">
        <v>0</v>
      </c>
      <c r="EK12" s="44">
        <v>0</v>
      </c>
      <c r="EL12" s="44">
        <v>0</v>
      </c>
      <c r="EM12" s="44">
        <v>0</v>
      </c>
      <c r="EN12" s="44">
        <v>0</v>
      </c>
      <c r="EO12" s="44">
        <v>0</v>
      </c>
      <c r="EP12" s="44">
        <v>0</v>
      </c>
      <c r="EQ12" s="44">
        <v>0</v>
      </c>
      <c r="ER12" s="44">
        <v>0</v>
      </c>
      <c r="ES12" s="44">
        <v>0</v>
      </c>
      <c r="ET12" s="44">
        <v>0</v>
      </c>
      <c r="EU12" s="44">
        <v>0</v>
      </c>
      <c r="EV12" s="44">
        <v>0</v>
      </c>
      <c r="EW12" s="44">
        <v>0</v>
      </c>
      <c r="EX12" s="44">
        <v>0</v>
      </c>
      <c r="EY12" s="44">
        <v>0</v>
      </c>
      <c r="EZ12" s="44">
        <v>0</v>
      </c>
      <c r="FA12" s="44">
        <v>0</v>
      </c>
      <c r="FB12" s="44">
        <v>0</v>
      </c>
      <c r="FC12" s="44">
        <v>0</v>
      </c>
      <c r="FD12" s="44">
        <v>0</v>
      </c>
      <c r="FE12" s="44">
        <v>0</v>
      </c>
      <c r="FF12" s="44">
        <v>0</v>
      </c>
      <c r="FG12" s="44">
        <v>0</v>
      </c>
      <c r="FH12" s="44">
        <v>0</v>
      </c>
      <c r="FI12" s="44">
        <v>0</v>
      </c>
      <c r="FJ12" s="113">
        <v>0</v>
      </c>
    </row>
    <row r="13" spans="1:166" x14ac:dyDescent="0.4">
      <c r="A13" s="112" t="s">
        <v>438</v>
      </c>
      <c r="B13" s="43" t="s">
        <v>160</v>
      </c>
      <c r="C13" s="43" t="s">
        <v>427</v>
      </c>
      <c r="D13" s="43" t="s">
        <v>399</v>
      </c>
      <c r="E13" s="43" t="s">
        <v>402</v>
      </c>
      <c r="F13" s="43" t="s">
        <v>406</v>
      </c>
      <c r="G13" s="43" t="s">
        <v>417</v>
      </c>
      <c r="H13" s="43">
        <v>0</v>
      </c>
      <c r="I13" s="43">
        <v>0</v>
      </c>
      <c r="J13" s="43" t="s">
        <v>423</v>
      </c>
      <c r="K13" s="43">
        <v>0</v>
      </c>
      <c r="L13" s="43" t="s">
        <v>444</v>
      </c>
      <c r="M13" s="108">
        <v>1</v>
      </c>
      <c r="N13" s="44">
        <v>0</v>
      </c>
      <c r="O13" s="45">
        <v>0</v>
      </c>
      <c r="P13" s="45">
        <v>0</v>
      </c>
      <c r="Q13" s="44">
        <v>0</v>
      </c>
      <c r="R13" s="44">
        <v>5</v>
      </c>
      <c r="S13" s="46">
        <v>1</v>
      </c>
      <c r="T13" s="123">
        <v>1</v>
      </c>
      <c r="U13" s="43">
        <v>0</v>
      </c>
      <c r="V13" s="44">
        <v>1000000</v>
      </c>
      <c r="W13" s="44">
        <v>5000000</v>
      </c>
      <c r="X13" s="44">
        <v>5000000</v>
      </c>
      <c r="Y13" s="44">
        <v>0</v>
      </c>
      <c r="Z13" s="44">
        <v>0</v>
      </c>
      <c r="AA13" s="44">
        <v>0</v>
      </c>
      <c r="AB13" s="44">
        <v>0</v>
      </c>
      <c r="AC13" s="44">
        <v>0</v>
      </c>
      <c r="AD13" s="44">
        <v>0</v>
      </c>
      <c r="AE13" s="44">
        <v>0</v>
      </c>
      <c r="AF13" s="44">
        <v>0</v>
      </c>
      <c r="AG13" s="44">
        <v>0</v>
      </c>
      <c r="AH13" s="44">
        <v>0</v>
      </c>
      <c r="AI13" s="44">
        <v>1000000</v>
      </c>
      <c r="AJ13" s="44">
        <v>1000000</v>
      </c>
      <c r="AK13" s="44">
        <v>1000000</v>
      </c>
      <c r="AL13" s="44">
        <v>1000000</v>
      </c>
      <c r="AM13" s="44">
        <v>1000000</v>
      </c>
      <c r="AN13" s="44">
        <v>0</v>
      </c>
      <c r="AO13" s="44">
        <v>0</v>
      </c>
      <c r="AP13" s="44">
        <v>0</v>
      </c>
      <c r="AQ13" s="44">
        <v>0</v>
      </c>
      <c r="AR13" s="44">
        <v>0</v>
      </c>
      <c r="AS13" s="44">
        <v>0</v>
      </c>
      <c r="AT13" s="44">
        <v>0</v>
      </c>
      <c r="AU13" s="44">
        <v>0</v>
      </c>
      <c r="AV13" s="44">
        <v>0</v>
      </c>
      <c r="AW13" s="44">
        <v>0</v>
      </c>
      <c r="AX13" s="44">
        <v>0</v>
      </c>
      <c r="AY13" s="44">
        <v>0</v>
      </c>
      <c r="AZ13" s="44">
        <v>0</v>
      </c>
      <c r="BA13" s="44">
        <v>0</v>
      </c>
      <c r="BB13" s="44">
        <v>0</v>
      </c>
      <c r="BC13" s="44">
        <v>0</v>
      </c>
      <c r="BD13" s="44">
        <v>0</v>
      </c>
      <c r="BE13" s="44">
        <v>0</v>
      </c>
      <c r="BF13" s="44">
        <v>0</v>
      </c>
      <c r="BG13" s="44">
        <v>0</v>
      </c>
      <c r="BH13" s="44">
        <v>0</v>
      </c>
      <c r="BI13" s="44">
        <v>0</v>
      </c>
      <c r="BJ13" s="44">
        <v>0</v>
      </c>
      <c r="BK13" s="44">
        <v>0</v>
      </c>
      <c r="BL13" s="44">
        <v>0</v>
      </c>
      <c r="BM13" s="44">
        <v>0</v>
      </c>
      <c r="BN13" s="44">
        <v>0</v>
      </c>
      <c r="BO13" s="44">
        <v>0</v>
      </c>
      <c r="BP13" s="44">
        <v>0</v>
      </c>
      <c r="BQ13" s="44">
        <v>0</v>
      </c>
      <c r="BR13" s="44">
        <v>0</v>
      </c>
      <c r="BS13" s="44">
        <v>0</v>
      </c>
      <c r="BT13" s="44">
        <v>0</v>
      </c>
      <c r="BU13" s="44">
        <v>0</v>
      </c>
      <c r="BV13" s="44">
        <v>0</v>
      </c>
      <c r="BW13" s="44">
        <v>0</v>
      </c>
      <c r="BX13" s="44">
        <v>0</v>
      </c>
      <c r="BY13" s="44">
        <v>0</v>
      </c>
      <c r="BZ13" s="44">
        <v>0</v>
      </c>
      <c r="CA13" s="44">
        <v>0</v>
      </c>
      <c r="CB13" s="44">
        <v>0</v>
      </c>
      <c r="CC13" s="44">
        <v>0</v>
      </c>
      <c r="CD13" s="44">
        <v>0</v>
      </c>
      <c r="CE13" s="44">
        <v>0</v>
      </c>
      <c r="CF13" s="44">
        <v>0</v>
      </c>
      <c r="CG13" s="44">
        <v>0</v>
      </c>
      <c r="CH13" s="44">
        <v>0</v>
      </c>
      <c r="CI13" s="44">
        <v>0</v>
      </c>
      <c r="CJ13" s="44">
        <v>0</v>
      </c>
      <c r="CK13" s="44">
        <v>0</v>
      </c>
      <c r="CL13" s="44">
        <v>0</v>
      </c>
      <c r="CM13" s="44">
        <v>0</v>
      </c>
      <c r="CN13" s="44">
        <v>0</v>
      </c>
      <c r="CO13" s="44">
        <v>0</v>
      </c>
      <c r="CP13" s="44">
        <v>0</v>
      </c>
      <c r="CQ13" s="44">
        <v>0</v>
      </c>
      <c r="CR13" s="44">
        <v>0</v>
      </c>
      <c r="CS13" s="44">
        <v>0</v>
      </c>
      <c r="CT13" s="44">
        <v>0</v>
      </c>
      <c r="CU13" s="44">
        <v>0</v>
      </c>
      <c r="CV13" s="44">
        <v>0</v>
      </c>
      <c r="CW13" s="44">
        <v>0</v>
      </c>
      <c r="CX13" s="44">
        <v>0</v>
      </c>
      <c r="CY13" s="44">
        <v>0</v>
      </c>
      <c r="CZ13" s="44">
        <v>0</v>
      </c>
      <c r="DA13" s="44">
        <v>0</v>
      </c>
      <c r="DB13" s="44">
        <v>0</v>
      </c>
      <c r="DC13" s="44">
        <v>0</v>
      </c>
      <c r="DD13" s="44">
        <v>0</v>
      </c>
      <c r="DE13" s="44">
        <v>0</v>
      </c>
      <c r="DF13" s="44">
        <v>0</v>
      </c>
      <c r="DG13" s="44">
        <v>0</v>
      </c>
      <c r="DH13" s="44">
        <v>0</v>
      </c>
      <c r="DI13" s="44">
        <v>0</v>
      </c>
      <c r="DJ13" s="44">
        <v>0</v>
      </c>
      <c r="DK13" s="44">
        <v>0</v>
      </c>
      <c r="DL13" s="44">
        <v>0</v>
      </c>
      <c r="DM13" s="44">
        <v>0</v>
      </c>
      <c r="DN13" s="44">
        <v>0</v>
      </c>
      <c r="DO13" s="44">
        <v>0</v>
      </c>
      <c r="DP13" s="44">
        <v>0</v>
      </c>
      <c r="DQ13" s="44">
        <v>0</v>
      </c>
      <c r="DR13" s="44">
        <v>0</v>
      </c>
      <c r="DS13" s="44">
        <v>0</v>
      </c>
      <c r="DT13" s="44">
        <v>0</v>
      </c>
      <c r="DU13" s="44">
        <v>0</v>
      </c>
      <c r="DV13" s="44">
        <v>0</v>
      </c>
      <c r="DW13" s="44">
        <v>0</v>
      </c>
      <c r="DX13" s="44">
        <v>0</v>
      </c>
      <c r="DY13" s="44">
        <v>0</v>
      </c>
      <c r="DZ13" s="44">
        <v>0</v>
      </c>
      <c r="EA13" s="44">
        <v>0</v>
      </c>
      <c r="EB13" s="44">
        <v>0</v>
      </c>
      <c r="EC13" s="44">
        <v>0</v>
      </c>
      <c r="ED13" s="44">
        <v>0</v>
      </c>
      <c r="EE13" s="44">
        <v>0</v>
      </c>
      <c r="EF13" s="44">
        <v>0</v>
      </c>
      <c r="EG13" s="44">
        <v>0</v>
      </c>
      <c r="EH13" s="44">
        <v>0</v>
      </c>
      <c r="EI13" s="44">
        <v>0</v>
      </c>
      <c r="EJ13" s="44">
        <v>0</v>
      </c>
      <c r="EK13" s="44">
        <v>0</v>
      </c>
      <c r="EL13" s="44">
        <v>0</v>
      </c>
      <c r="EM13" s="44">
        <v>0</v>
      </c>
      <c r="EN13" s="44">
        <v>0</v>
      </c>
      <c r="EO13" s="44">
        <v>0</v>
      </c>
      <c r="EP13" s="44">
        <v>0</v>
      </c>
      <c r="EQ13" s="44">
        <v>0</v>
      </c>
      <c r="ER13" s="44">
        <v>0</v>
      </c>
      <c r="ES13" s="44">
        <v>0</v>
      </c>
      <c r="ET13" s="44">
        <v>0</v>
      </c>
      <c r="EU13" s="44">
        <v>0</v>
      </c>
      <c r="EV13" s="44">
        <v>0</v>
      </c>
      <c r="EW13" s="44">
        <v>0</v>
      </c>
      <c r="EX13" s="44">
        <v>0</v>
      </c>
      <c r="EY13" s="44">
        <v>0</v>
      </c>
      <c r="EZ13" s="44">
        <v>0</v>
      </c>
      <c r="FA13" s="44">
        <v>0</v>
      </c>
      <c r="FB13" s="44">
        <v>0</v>
      </c>
      <c r="FC13" s="44">
        <v>0</v>
      </c>
      <c r="FD13" s="44">
        <v>0</v>
      </c>
      <c r="FE13" s="44">
        <v>0</v>
      </c>
      <c r="FF13" s="44">
        <v>0</v>
      </c>
      <c r="FG13" s="44">
        <v>0</v>
      </c>
      <c r="FH13" s="44">
        <v>0</v>
      </c>
      <c r="FI13" s="44">
        <v>0</v>
      </c>
      <c r="FJ13" s="113">
        <v>0</v>
      </c>
    </row>
    <row r="14" spans="1:166" x14ac:dyDescent="0.4">
      <c r="A14" s="112" t="s">
        <v>439</v>
      </c>
      <c r="B14" s="43" t="s">
        <v>160</v>
      </c>
      <c r="C14" s="43" t="s">
        <v>427</v>
      </c>
      <c r="D14" s="43" t="s">
        <v>399</v>
      </c>
      <c r="E14" s="43" t="s">
        <v>402</v>
      </c>
      <c r="F14" s="43" t="s">
        <v>407</v>
      </c>
      <c r="G14" s="43" t="s">
        <v>418</v>
      </c>
      <c r="H14" s="43">
        <v>0</v>
      </c>
      <c r="I14" s="43">
        <v>0</v>
      </c>
      <c r="J14" s="43" t="s">
        <v>423</v>
      </c>
      <c r="K14" s="43">
        <v>0</v>
      </c>
      <c r="L14" s="43" t="s">
        <v>444</v>
      </c>
      <c r="M14" s="108">
        <v>1</v>
      </c>
      <c r="N14" s="44">
        <v>0</v>
      </c>
      <c r="O14" s="45">
        <v>0</v>
      </c>
      <c r="P14" s="45">
        <v>0</v>
      </c>
      <c r="Q14" s="44">
        <v>0</v>
      </c>
      <c r="R14" s="44">
        <v>5</v>
      </c>
      <c r="S14" s="46">
        <v>1</v>
      </c>
      <c r="T14" s="123">
        <v>1</v>
      </c>
      <c r="U14" s="43">
        <v>0</v>
      </c>
      <c r="V14" s="44">
        <v>200000</v>
      </c>
      <c r="W14" s="44">
        <v>1000000</v>
      </c>
      <c r="X14" s="44">
        <v>1000000</v>
      </c>
      <c r="Y14" s="44">
        <v>0</v>
      </c>
      <c r="Z14" s="44">
        <v>0</v>
      </c>
      <c r="AA14" s="44">
        <v>0</v>
      </c>
      <c r="AB14" s="44">
        <v>0</v>
      </c>
      <c r="AC14" s="44">
        <v>0</v>
      </c>
      <c r="AD14" s="44">
        <v>0</v>
      </c>
      <c r="AE14" s="44">
        <v>0</v>
      </c>
      <c r="AF14" s="44">
        <v>0</v>
      </c>
      <c r="AG14" s="44">
        <v>0</v>
      </c>
      <c r="AH14" s="44">
        <v>0</v>
      </c>
      <c r="AI14" s="44">
        <v>200000</v>
      </c>
      <c r="AJ14" s="44">
        <v>200000</v>
      </c>
      <c r="AK14" s="44">
        <v>200000</v>
      </c>
      <c r="AL14" s="44">
        <v>200000</v>
      </c>
      <c r="AM14" s="44">
        <v>200000</v>
      </c>
      <c r="AN14" s="44">
        <v>0</v>
      </c>
      <c r="AO14" s="44">
        <v>0</v>
      </c>
      <c r="AP14" s="44">
        <v>0</v>
      </c>
      <c r="AQ14" s="44">
        <v>0</v>
      </c>
      <c r="AR14" s="44">
        <v>0</v>
      </c>
      <c r="AS14" s="44">
        <v>0</v>
      </c>
      <c r="AT14" s="44">
        <v>0</v>
      </c>
      <c r="AU14" s="44">
        <v>0</v>
      </c>
      <c r="AV14" s="44">
        <v>0</v>
      </c>
      <c r="AW14" s="44">
        <v>0</v>
      </c>
      <c r="AX14" s="44">
        <v>0</v>
      </c>
      <c r="AY14" s="44">
        <v>0</v>
      </c>
      <c r="AZ14" s="44">
        <v>0</v>
      </c>
      <c r="BA14" s="44">
        <v>0</v>
      </c>
      <c r="BB14" s="44">
        <v>0</v>
      </c>
      <c r="BC14" s="44">
        <v>0</v>
      </c>
      <c r="BD14" s="44">
        <v>0</v>
      </c>
      <c r="BE14" s="44">
        <v>0</v>
      </c>
      <c r="BF14" s="44">
        <v>0</v>
      </c>
      <c r="BG14" s="44">
        <v>0</v>
      </c>
      <c r="BH14" s="44">
        <v>0</v>
      </c>
      <c r="BI14" s="44">
        <v>0</v>
      </c>
      <c r="BJ14" s="44">
        <v>0</v>
      </c>
      <c r="BK14" s="44">
        <v>0</v>
      </c>
      <c r="BL14" s="44">
        <v>0</v>
      </c>
      <c r="BM14" s="44">
        <v>0</v>
      </c>
      <c r="BN14" s="44">
        <v>0</v>
      </c>
      <c r="BO14" s="44">
        <v>0</v>
      </c>
      <c r="BP14" s="44">
        <v>0</v>
      </c>
      <c r="BQ14" s="44">
        <v>0</v>
      </c>
      <c r="BR14" s="44">
        <v>0</v>
      </c>
      <c r="BS14" s="44">
        <v>0</v>
      </c>
      <c r="BT14" s="44">
        <v>0</v>
      </c>
      <c r="BU14" s="44">
        <v>0</v>
      </c>
      <c r="BV14" s="44">
        <v>0</v>
      </c>
      <c r="BW14" s="44">
        <v>0</v>
      </c>
      <c r="BX14" s="44">
        <v>0</v>
      </c>
      <c r="BY14" s="44">
        <v>0</v>
      </c>
      <c r="BZ14" s="44">
        <v>0</v>
      </c>
      <c r="CA14" s="44">
        <v>0</v>
      </c>
      <c r="CB14" s="44">
        <v>0</v>
      </c>
      <c r="CC14" s="44">
        <v>0</v>
      </c>
      <c r="CD14" s="44">
        <v>0</v>
      </c>
      <c r="CE14" s="44">
        <v>0</v>
      </c>
      <c r="CF14" s="44">
        <v>0</v>
      </c>
      <c r="CG14" s="44">
        <v>0</v>
      </c>
      <c r="CH14" s="44">
        <v>0</v>
      </c>
      <c r="CI14" s="44">
        <v>0</v>
      </c>
      <c r="CJ14" s="44">
        <v>0</v>
      </c>
      <c r="CK14" s="44">
        <v>0</v>
      </c>
      <c r="CL14" s="44">
        <v>0</v>
      </c>
      <c r="CM14" s="44">
        <v>0</v>
      </c>
      <c r="CN14" s="44">
        <v>0</v>
      </c>
      <c r="CO14" s="44">
        <v>0</v>
      </c>
      <c r="CP14" s="44">
        <v>0</v>
      </c>
      <c r="CQ14" s="44">
        <v>0</v>
      </c>
      <c r="CR14" s="44">
        <v>0</v>
      </c>
      <c r="CS14" s="44">
        <v>0</v>
      </c>
      <c r="CT14" s="44">
        <v>0</v>
      </c>
      <c r="CU14" s="44">
        <v>0</v>
      </c>
      <c r="CV14" s="44">
        <v>0</v>
      </c>
      <c r="CW14" s="44">
        <v>0</v>
      </c>
      <c r="CX14" s="44">
        <v>0</v>
      </c>
      <c r="CY14" s="44">
        <v>0</v>
      </c>
      <c r="CZ14" s="44">
        <v>0</v>
      </c>
      <c r="DA14" s="44">
        <v>0</v>
      </c>
      <c r="DB14" s="44">
        <v>0</v>
      </c>
      <c r="DC14" s="44">
        <v>0</v>
      </c>
      <c r="DD14" s="44">
        <v>0</v>
      </c>
      <c r="DE14" s="44">
        <v>0</v>
      </c>
      <c r="DF14" s="44">
        <v>0</v>
      </c>
      <c r="DG14" s="44">
        <v>0</v>
      </c>
      <c r="DH14" s="44">
        <v>0</v>
      </c>
      <c r="DI14" s="44">
        <v>0</v>
      </c>
      <c r="DJ14" s="44">
        <v>0</v>
      </c>
      <c r="DK14" s="44">
        <v>0</v>
      </c>
      <c r="DL14" s="44">
        <v>0</v>
      </c>
      <c r="DM14" s="44">
        <v>0</v>
      </c>
      <c r="DN14" s="44">
        <v>0</v>
      </c>
      <c r="DO14" s="44">
        <v>0</v>
      </c>
      <c r="DP14" s="44">
        <v>0</v>
      </c>
      <c r="DQ14" s="44">
        <v>0</v>
      </c>
      <c r="DR14" s="44">
        <v>0</v>
      </c>
      <c r="DS14" s="44">
        <v>0</v>
      </c>
      <c r="DT14" s="44">
        <v>0</v>
      </c>
      <c r="DU14" s="44">
        <v>0</v>
      </c>
      <c r="DV14" s="44">
        <v>0</v>
      </c>
      <c r="DW14" s="44">
        <v>0</v>
      </c>
      <c r="DX14" s="44">
        <v>0</v>
      </c>
      <c r="DY14" s="44">
        <v>0</v>
      </c>
      <c r="DZ14" s="44">
        <v>0</v>
      </c>
      <c r="EA14" s="44">
        <v>0</v>
      </c>
      <c r="EB14" s="44">
        <v>0</v>
      </c>
      <c r="EC14" s="44">
        <v>0</v>
      </c>
      <c r="ED14" s="44">
        <v>0</v>
      </c>
      <c r="EE14" s="44">
        <v>0</v>
      </c>
      <c r="EF14" s="44">
        <v>0</v>
      </c>
      <c r="EG14" s="44">
        <v>0</v>
      </c>
      <c r="EH14" s="44">
        <v>0</v>
      </c>
      <c r="EI14" s="44">
        <v>0</v>
      </c>
      <c r="EJ14" s="44">
        <v>0</v>
      </c>
      <c r="EK14" s="44">
        <v>0</v>
      </c>
      <c r="EL14" s="44">
        <v>0</v>
      </c>
      <c r="EM14" s="44">
        <v>0</v>
      </c>
      <c r="EN14" s="44">
        <v>0</v>
      </c>
      <c r="EO14" s="44">
        <v>0</v>
      </c>
      <c r="EP14" s="44">
        <v>0</v>
      </c>
      <c r="EQ14" s="44">
        <v>0</v>
      </c>
      <c r="ER14" s="44">
        <v>0</v>
      </c>
      <c r="ES14" s="44">
        <v>0</v>
      </c>
      <c r="ET14" s="44">
        <v>0</v>
      </c>
      <c r="EU14" s="44">
        <v>0</v>
      </c>
      <c r="EV14" s="44">
        <v>0</v>
      </c>
      <c r="EW14" s="44">
        <v>0</v>
      </c>
      <c r="EX14" s="44">
        <v>0</v>
      </c>
      <c r="EY14" s="44">
        <v>0</v>
      </c>
      <c r="EZ14" s="44">
        <v>0</v>
      </c>
      <c r="FA14" s="44">
        <v>0</v>
      </c>
      <c r="FB14" s="44">
        <v>0</v>
      </c>
      <c r="FC14" s="44">
        <v>0</v>
      </c>
      <c r="FD14" s="44">
        <v>0</v>
      </c>
      <c r="FE14" s="44">
        <v>0</v>
      </c>
      <c r="FF14" s="44">
        <v>0</v>
      </c>
      <c r="FG14" s="44">
        <v>0</v>
      </c>
      <c r="FH14" s="44">
        <v>0</v>
      </c>
      <c r="FI14" s="44">
        <v>0</v>
      </c>
      <c r="FJ14" s="113">
        <v>0</v>
      </c>
    </row>
    <row r="15" spans="1:166" x14ac:dyDescent="0.4">
      <c r="A15" s="112" t="s">
        <v>440</v>
      </c>
      <c r="B15" s="43" t="s">
        <v>160</v>
      </c>
      <c r="C15" s="43" t="s">
        <v>427</v>
      </c>
      <c r="D15" s="43" t="s">
        <v>399</v>
      </c>
      <c r="E15" s="43" t="s">
        <v>402</v>
      </c>
      <c r="F15" s="43" t="s">
        <v>407</v>
      </c>
      <c r="G15" s="43" t="s">
        <v>419</v>
      </c>
      <c r="H15" s="43">
        <v>0</v>
      </c>
      <c r="I15" s="43">
        <v>0</v>
      </c>
      <c r="J15" s="43" t="s">
        <v>423</v>
      </c>
      <c r="K15" s="43">
        <v>0</v>
      </c>
      <c r="L15" s="43" t="s">
        <v>444</v>
      </c>
      <c r="M15" s="108">
        <v>1</v>
      </c>
      <c r="N15" s="44">
        <v>0</v>
      </c>
      <c r="O15" s="45">
        <v>0</v>
      </c>
      <c r="P15" s="45">
        <v>0</v>
      </c>
      <c r="Q15" s="44">
        <v>0</v>
      </c>
      <c r="R15" s="44">
        <v>120</v>
      </c>
      <c r="S15" s="46">
        <v>1</v>
      </c>
      <c r="T15" s="123">
        <v>1</v>
      </c>
      <c r="U15" s="43">
        <v>0</v>
      </c>
      <c r="V15" s="44">
        <v>200000</v>
      </c>
      <c r="W15" s="44">
        <v>24000000</v>
      </c>
      <c r="X15" s="44">
        <v>2400000</v>
      </c>
      <c r="Y15" s="44">
        <v>2400000</v>
      </c>
      <c r="Z15" s="44">
        <v>2400000</v>
      </c>
      <c r="AA15" s="44">
        <v>2400000</v>
      </c>
      <c r="AB15" s="44">
        <v>2400000</v>
      </c>
      <c r="AC15" s="44">
        <v>2400000</v>
      </c>
      <c r="AD15" s="44">
        <v>2400000</v>
      </c>
      <c r="AE15" s="44">
        <v>2400000</v>
      </c>
      <c r="AF15" s="44">
        <v>2400000</v>
      </c>
      <c r="AG15" s="44">
        <v>2400000</v>
      </c>
      <c r="AH15" s="44">
        <v>0</v>
      </c>
      <c r="AI15" s="44">
        <v>200000</v>
      </c>
      <c r="AJ15" s="44">
        <v>200000</v>
      </c>
      <c r="AK15" s="44">
        <v>200000</v>
      </c>
      <c r="AL15" s="44">
        <v>200000</v>
      </c>
      <c r="AM15" s="44">
        <v>200000</v>
      </c>
      <c r="AN15" s="44">
        <v>200000</v>
      </c>
      <c r="AO15" s="44">
        <v>200000</v>
      </c>
      <c r="AP15" s="44">
        <v>200000</v>
      </c>
      <c r="AQ15" s="44">
        <v>200000</v>
      </c>
      <c r="AR15" s="44">
        <v>200000</v>
      </c>
      <c r="AS15" s="44">
        <v>200000</v>
      </c>
      <c r="AT15" s="44">
        <v>200000</v>
      </c>
      <c r="AU15" s="44">
        <v>200000</v>
      </c>
      <c r="AV15" s="44">
        <v>200000</v>
      </c>
      <c r="AW15" s="44">
        <v>200000</v>
      </c>
      <c r="AX15" s="44">
        <v>200000</v>
      </c>
      <c r="AY15" s="44">
        <v>200000</v>
      </c>
      <c r="AZ15" s="44">
        <v>200000</v>
      </c>
      <c r="BA15" s="44">
        <v>200000</v>
      </c>
      <c r="BB15" s="44">
        <v>200000</v>
      </c>
      <c r="BC15" s="44">
        <v>200000</v>
      </c>
      <c r="BD15" s="44">
        <v>200000</v>
      </c>
      <c r="BE15" s="44">
        <v>200000</v>
      </c>
      <c r="BF15" s="44">
        <v>200000</v>
      </c>
      <c r="BG15" s="44">
        <v>200000</v>
      </c>
      <c r="BH15" s="44">
        <v>200000</v>
      </c>
      <c r="BI15" s="44">
        <v>200000</v>
      </c>
      <c r="BJ15" s="44">
        <v>200000</v>
      </c>
      <c r="BK15" s="44">
        <v>200000</v>
      </c>
      <c r="BL15" s="44">
        <v>200000</v>
      </c>
      <c r="BM15" s="44">
        <v>200000</v>
      </c>
      <c r="BN15" s="44">
        <v>200000</v>
      </c>
      <c r="BO15" s="44">
        <v>200000</v>
      </c>
      <c r="BP15" s="44">
        <v>200000</v>
      </c>
      <c r="BQ15" s="44">
        <v>200000</v>
      </c>
      <c r="BR15" s="44">
        <v>200000</v>
      </c>
      <c r="BS15" s="44">
        <v>200000</v>
      </c>
      <c r="BT15" s="44">
        <v>200000</v>
      </c>
      <c r="BU15" s="44">
        <v>200000</v>
      </c>
      <c r="BV15" s="44">
        <v>200000</v>
      </c>
      <c r="BW15" s="44">
        <v>200000</v>
      </c>
      <c r="BX15" s="44">
        <v>200000</v>
      </c>
      <c r="BY15" s="44">
        <v>200000</v>
      </c>
      <c r="BZ15" s="44">
        <v>200000</v>
      </c>
      <c r="CA15" s="44">
        <v>200000</v>
      </c>
      <c r="CB15" s="44">
        <v>200000</v>
      </c>
      <c r="CC15" s="44">
        <v>200000</v>
      </c>
      <c r="CD15" s="44">
        <v>200000</v>
      </c>
      <c r="CE15" s="44">
        <v>200000</v>
      </c>
      <c r="CF15" s="44">
        <v>200000</v>
      </c>
      <c r="CG15" s="44">
        <v>200000</v>
      </c>
      <c r="CH15" s="44">
        <v>200000</v>
      </c>
      <c r="CI15" s="44">
        <v>200000</v>
      </c>
      <c r="CJ15" s="44">
        <v>200000</v>
      </c>
      <c r="CK15" s="44">
        <v>200000</v>
      </c>
      <c r="CL15" s="44">
        <v>200000</v>
      </c>
      <c r="CM15" s="44">
        <v>200000</v>
      </c>
      <c r="CN15" s="44">
        <v>200000</v>
      </c>
      <c r="CO15" s="44">
        <v>200000</v>
      </c>
      <c r="CP15" s="44">
        <v>200000</v>
      </c>
      <c r="CQ15" s="44">
        <v>200000</v>
      </c>
      <c r="CR15" s="44">
        <v>200000</v>
      </c>
      <c r="CS15" s="44">
        <v>200000</v>
      </c>
      <c r="CT15" s="44">
        <v>200000</v>
      </c>
      <c r="CU15" s="44">
        <v>200000</v>
      </c>
      <c r="CV15" s="44">
        <v>200000</v>
      </c>
      <c r="CW15" s="44">
        <v>200000</v>
      </c>
      <c r="CX15" s="44">
        <v>200000</v>
      </c>
      <c r="CY15" s="44">
        <v>200000</v>
      </c>
      <c r="CZ15" s="44">
        <v>200000</v>
      </c>
      <c r="DA15" s="44">
        <v>200000</v>
      </c>
      <c r="DB15" s="44">
        <v>200000</v>
      </c>
      <c r="DC15" s="44">
        <v>200000</v>
      </c>
      <c r="DD15" s="44">
        <v>200000</v>
      </c>
      <c r="DE15" s="44">
        <v>200000</v>
      </c>
      <c r="DF15" s="44">
        <v>200000</v>
      </c>
      <c r="DG15" s="44">
        <v>200000</v>
      </c>
      <c r="DH15" s="44">
        <v>200000</v>
      </c>
      <c r="DI15" s="44">
        <v>200000</v>
      </c>
      <c r="DJ15" s="44">
        <v>200000</v>
      </c>
      <c r="DK15" s="44">
        <v>200000</v>
      </c>
      <c r="DL15" s="44">
        <v>200000</v>
      </c>
      <c r="DM15" s="44">
        <v>200000</v>
      </c>
      <c r="DN15" s="44">
        <v>200000</v>
      </c>
      <c r="DO15" s="44">
        <v>200000</v>
      </c>
      <c r="DP15" s="44">
        <v>200000</v>
      </c>
      <c r="DQ15" s="44">
        <v>200000</v>
      </c>
      <c r="DR15" s="44">
        <v>200000</v>
      </c>
      <c r="DS15" s="44">
        <v>200000</v>
      </c>
      <c r="DT15" s="44">
        <v>200000</v>
      </c>
      <c r="DU15" s="44">
        <v>200000</v>
      </c>
      <c r="DV15" s="44">
        <v>200000</v>
      </c>
      <c r="DW15" s="44">
        <v>200000</v>
      </c>
      <c r="DX15" s="44">
        <v>200000</v>
      </c>
      <c r="DY15" s="44">
        <v>200000</v>
      </c>
      <c r="DZ15" s="44">
        <v>200000</v>
      </c>
      <c r="EA15" s="44">
        <v>200000</v>
      </c>
      <c r="EB15" s="44">
        <v>200000</v>
      </c>
      <c r="EC15" s="44">
        <v>200000</v>
      </c>
      <c r="ED15" s="44">
        <v>200000</v>
      </c>
      <c r="EE15" s="44">
        <v>200000</v>
      </c>
      <c r="EF15" s="44">
        <v>200000</v>
      </c>
      <c r="EG15" s="44">
        <v>200000</v>
      </c>
      <c r="EH15" s="44">
        <v>200000</v>
      </c>
      <c r="EI15" s="44">
        <v>200000</v>
      </c>
      <c r="EJ15" s="44">
        <v>200000</v>
      </c>
      <c r="EK15" s="44">
        <v>200000</v>
      </c>
      <c r="EL15" s="44">
        <v>200000</v>
      </c>
      <c r="EM15" s="44">
        <v>200000</v>
      </c>
      <c r="EN15" s="44">
        <v>200000</v>
      </c>
      <c r="EO15" s="44">
        <v>200000</v>
      </c>
      <c r="EP15" s="44">
        <v>200000</v>
      </c>
      <c r="EQ15" s="44">
        <v>200000</v>
      </c>
      <c r="ER15" s="44">
        <v>200000</v>
      </c>
      <c r="ES15" s="44">
        <v>200000</v>
      </c>
      <c r="ET15" s="44">
        <v>200000</v>
      </c>
      <c r="EU15" s="44">
        <v>200000</v>
      </c>
      <c r="EV15" s="44">
        <v>200000</v>
      </c>
      <c r="EW15" s="44">
        <v>200000</v>
      </c>
      <c r="EX15" s="44">
        <v>200000</v>
      </c>
      <c r="EY15" s="44">
        <v>0</v>
      </c>
      <c r="EZ15" s="44">
        <v>0</v>
      </c>
      <c r="FA15" s="44">
        <v>0</v>
      </c>
      <c r="FB15" s="44">
        <v>0</v>
      </c>
      <c r="FC15" s="44">
        <v>0</v>
      </c>
      <c r="FD15" s="44">
        <v>0</v>
      </c>
      <c r="FE15" s="44">
        <v>0</v>
      </c>
      <c r="FF15" s="44">
        <v>0</v>
      </c>
      <c r="FG15" s="44">
        <v>0</v>
      </c>
      <c r="FH15" s="44">
        <v>0</v>
      </c>
      <c r="FI15" s="44">
        <v>0</v>
      </c>
      <c r="FJ15" s="113">
        <v>0</v>
      </c>
    </row>
    <row r="16" spans="1:166" x14ac:dyDescent="0.4">
      <c r="A16" s="112" t="s">
        <v>441</v>
      </c>
      <c r="B16" s="43" t="s">
        <v>160</v>
      </c>
      <c r="C16" s="43" t="s">
        <v>427</v>
      </c>
      <c r="D16" s="43" t="s">
        <v>399</v>
      </c>
      <c r="E16" s="43" t="s">
        <v>428</v>
      </c>
      <c r="F16" s="43" t="s">
        <v>408</v>
      </c>
      <c r="G16" s="43" t="s">
        <v>420</v>
      </c>
      <c r="H16" s="43">
        <v>0</v>
      </c>
      <c r="I16" s="43">
        <v>0</v>
      </c>
      <c r="J16" s="43" t="s">
        <v>423</v>
      </c>
      <c r="K16" s="43">
        <v>0</v>
      </c>
      <c r="L16" s="43" t="s">
        <v>444</v>
      </c>
      <c r="M16" s="108">
        <v>1</v>
      </c>
      <c r="N16" s="44">
        <v>0</v>
      </c>
      <c r="O16" s="45">
        <v>0</v>
      </c>
      <c r="P16" s="45">
        <v>0</v>
      </c>
      <c r="Q16" s="44">
        <v>0</v>
      </c>
      <c r="R16" s="44">
        <v>120</v>
      </c>
      <c r="S16" s="46">
        <v>1</v>
      </c>
      <c r="T16" s="123">
        <v>1</v>
      </c>
      <c r="U16" s="43">
        <v>0</v>
      </c>
      <c r="V16" s="44">
        <v>13000</v>
      </c>
      <c r="W16" s="44">
        <v>1560000</v>
      </c>
      <c r="X16" s="44">
        <v>156000</v>
      </c>
      <c r="Y16" s="44">
        <v>156000</v>
      </c>
      <c r="Z16" s="44">
        <v>156000</v>
      </c>
      <c r="AA16" s="44">
        <v>156000</v>
      </c>
      <c r="AB16" s="44">
        <v>156000</v>
      </c>
      <c r="AC16" s="44">
        <v>156000</v>
      </c>
      <c r="AD16" s="44">
        <v>156000</v>
      </c>
      <c r="AE16" s="44">
        <v>156000</v>
      </c>
      <c r="AF16" s="44">
        <v>156000</v>
      </c>
      <c r="AG16" s="44">
        <v>156000</v>
      </c>
      <c r="AH16" s="44">
        <v>0</v>
      </c>
      <c r="AI16" s="44">
        <v>13000</v>
      </c>
      <c r="AJ16" s="44">
        <v>13000</v>
      </c>
      <c r="AK16" s="44">
        <v>13000</v>
      </c>
      <c r="AL16" s="44">
        <v>13000</v>
      </c>
      <c r="AM16" s="44">
        <v>13000</v>
      </c>
      <c r="AN16" s="44">
        <v>13000</v>
      </c>
      <c r="AO16" s="44">
        <v>13000</v>
      </c>
      <c r="AP16" s="44">
        <v>13000</v>
      </c>
      <c r="AQ16" s="44">
        <v>13000</v>
      </c>
      <c r="AR16" s="44">
        <v>13000</v>
      </c>
      <c r="AS16" s="44">
        <v>13000</v>
      </c>
      <c r="AT16" s="44">
        <v>13000</v>
      </c>
      <c r="AU16" s="44">
        <v>13000</v>
      </c>
      <c r="AV16" s="44">
        <v>13000</v>
      </c>
      <c r="AW16" s="44">
        <v>13000</v>
      </c>
      <c r="AX16" s="44">
        <v>13000</v>
      </c>
      <c r="AY16" s="44">
        <v>13000</v>
      </c>
      <c r="AZ16" s="44">
        <v>13000</v>
      </c>
      <c r="BA16" s="44">
        <v>13000</v>
      </c>
      <c r="BB16" s="44">
        <v>13000</v>
      </c>
      <c r="BC16" s="44">
        <v>13000</v>
      </c>
      <c r="BD16" s="44">
        <v>13000</v>
      </c>
      <c r="BE16" s="44">
        <v>13000</v>
      </c>
      <c r="BF16" s="44">
        <v>13000</v>
      </c>
      <c r="BG16" s="44">
        <v>13000</v>
      </c>
      <c r="BH16" s="44">
        <v>13000</v>
      </c>
      <c r="BI16" s="44">
        <v>13000</v>
      </c>
      <c r="BJ16" s="44">
        <v>13000</v>
      </c>
      <c r="BK16" s="44">
        <v>13000</v>
      </c>
      <c r="BL16" s="44">
        <v>13000</v>
      </c>
      <c r="BM16" s="44">
        <v>13000</v>
      </c>
      <c r="BN16" s="44">
        <v>13000</v>
      </c>
      <c r="BO16" s="44">
        <v>13000</v>
      </c>
      <c r="BP16" s="44">
        <v>13000</v>
      </c>
      <c r="BQ16" s="44">
        <v>13000</v>
      </c>
      <c r="BR16" s="44">
        <v>13000</v>
      </c>
      <c r="BS16" s="44">
        <v>13000</v>
      </c>
      <c r="BT16" s="44">
        <v>13000</v>
      </c>
      <c r="BU16" s="44">
        <v>13000</v>
      </c>
      <c r="BV16" s="44">
        <v>13000</v>
      </c>
      <c r="BW16" s="44">
        <v>13000</v>
      </c>
      <c r="BX16" s="44">
        <v>13000</v>
      </c>
      <c r="BY16" s="44">
        <v>13000</v>
      </c>
      <c r="BZ16" s="44">
        <v>13000</v>
      </c>
      <c r="CA16" s="44">
        <v>13000</v>
      </c>
      <c r="CB16" s="44">
        <v>13000</v>
      </c>
      <c r="CC16" s="44">
        <v>13000</v>
      </c>
      <c r="CD16" s="44">
        <v>13000</v>
      </c>
      <c r="CE16" s="44">
        <v>13000</v>
      </c>
      <c r="CF16" s="44">
        <v>13000</v>
      </c>
      <c r="CG16" s="44">
        <v>13000</v>
      </c>
      <c r="CH16" s="44">
        <v>13000</v>
      </c>
      <c r="CI16" s="44">
        <v>13000</v>
      </c>
      <c r="CJ16" s="44">
        <v>13000</v>
      </c>
      <c r="CK16" s="44">
        <v>13000</v>
      </c>
      <c r="CL16" s="44">
        <v>13000</v>
      </c>
      <c r="CM16" s="44">
        <v>13000</v>
      </c>
      <c r="CN16" s="44">
        <v>13000</v>
      </c>
      <c r="CO16" s="44">
        <v>13000</v>
      </c>
      <c r="CP16" s="44">
        <v>13000</v>
      </c>
      <c r="CQ16" s="44">
        <v>13000</v>
      </c>
      <c r="CR16" s="44">
        <v>13000</v>
      </c>
      <c r="CS16" s="44">
        <v>13000</v>
      </c>
      <c r="CT16" s="44">
        <v>13000</v>
      </c>
      <c r="CU16" s="44">
        <v>13000</v>
      </c>
      <c r="CV16" s="44">
        <v>13000</v>
      </c>
      <c r="CW16" s="44">
        <v>13000</v>
      </c>
      <c r="CX16" s="44">
        <v>13000</v>
      </c>
      <c r="CY16" s="44">
        <v>13000</v>
      </c>
      <c r="CZ16" s="44">
        <v>13000</v>
      </c>
      <c r="DA16" s="44">
        <v>13000</v>
      </c>
      <c r="DB16" s="44">
        <v>13000</v>
      </c>
      <c r="DC16" s="44">
        <v>13000</v>
      </c>
      <c r="DD16" s="44">
        <v>13000</v>
      </c>
      <c r="DE16" s="44">
        <v>13000</v>
      </c>
      <c r="DF16" s="44">
        <v>13000</v>
      </c>
      <c r="DG16" s="44">
        <v>13000</v>
      </c>
      <c r="DH16" s="44">
        <v>13000</v>
      </c>
      <c r="DI16" s="44">
        <v>13000</v>
      </c>
      <c r="DJ16" s="44">
        <v>13000</v>
      </c>
      <c r="DK16" s="44">
        <v>13000</v>
      </c>
      <c r="DL16" s="44">
        <v>13000</v>
      </c>
      <c r="DM16" s="44">
        <v>13000</v>
      </c>
      <c r="DN16" s="44">
        <v>13000</v>
      </c>
      <c r="DO16" s="44">
        <v>13000</v>
      </c>
      <c r="DP16" s="44">
        <v>13000</v>
      </c>
      <c r="DQ16" s="44">
        <v>13000</v>
      </c>
      <c r="DR16" s="44">
        <v>13000</v>
      </c>
      <c r="DS16" s="44">
        <v>13000</v>
      </c>
      <c r="DT16" s="44">
        <v>13000</v>
      </c>
      <c r="DU16" s="44">
        <v>13000</v>
      </c>
      <c r="DV16" s="44">
        <v>13000</v>
      </c>
      <c r="DW16" s="44">
        <v>13000</v>
      </c>
      <c r="DX16" s="44">
        <v>13000</v>
      </c>
      <c r="DY16" s="44">
        <v>13000</v>
      </c>
      <c r="DZ16" s="44">
        <v>13000</v>
      </c>
      <c r="EA16" s="44">
        <v>13000</v>
      </c>
      <c r="EB16" s="44">
        <v>13000</v>
      </c>
      <c r="EC16" s="44">
        <v>13000</v>
      </c>
      <c r="ED16" s="44">
        <v>13000</v>
      </c>
      <c r="EE16" s="44">
        <v>13000</v>
      </c>
      <c r="EF16" s="44">
        <v>13000</v>
      </c>
      <c r="EG16" s="44">
        <v>13000</v>
      </c>
      <c r="EH16" s="44">
        <v>13000</v>
      </c>
      <c r="EI16" s="44">
        <v>13000</v>
      </c>
      <c r="EJ16" s="44">
        <v>13000</v>
      </c>
      <c r="EK16" s="44">
        <v>13000</v>
      </c>
      <c r="EL16" s="44">
        <v>13000</v>
      </c>
      <c r="EM16" s="44">
        <v>13000</v>
      </c>
      <c r="EN16" s="44">
        <v>13000</v>
      </c>
      <c r="EO16" s="44">
        <v>13000</v>
      </c>
      <c r="EP16" s="44">
        <v>13000</v>
      </c>
      <c r="EQ16" s="44">
        <v>13000</v>
      </c>
      <c r="ER16" s="44">
        <v>13000</v>
      </c>
      <c r="ES16" s="44">
        <v>13000</v>
      </c>
      <c r="ET16" s="44">
        <v>13000</v>
      </c>
      <c r="EU16" s="44">
        <v>13000</v>
      </c>
      <c r="EV16" s="44">
        <v>13000</v>
      </c>
      <c r="EW16" s="44">
        <v>13000</v>
      </c>
      <c r="EX16" s="44">
        <v>13000</v>
      </c>
      <c r="EY16" s="44">
        <v>0</v>
      </c>
      <c r="EZ16" s="44">
        <v>0</v>
      </c>
      <c r="FA16" s="44">
        <v>0</v>
      </c>
      <c r="FB16" s="44">
        <v>0</v>
      </c>
      <c r="FC16" s="44">
        <v>0</v>
      </c>
      <c r="FD16" s="44">
        <v>0</v>
      </c>
      <c r="FE16" s="44">
        <v>0</v>
      </c>
      <c r="FF16" s="44">
        <v>0</v>
      </c>
      <c r="FG16" s="44">
        <v>0</v>
      </c>
      <c r="FH16" s="44">
        <v>0</v>
      </c>
      <c r="FI16" s="44">
        <v>0</v>
      </c>
      <c r="FJ16" s="113">
        <v>0</v>
      </c>
    </row>
    <row r="17" spans="1:166" ht="18" thickBot="1" x14ac:dyDescent="0.45">
      <c r="A17" s="114" t="s">
        <v>442</v>
      </c>
      <c r="B17" s="115" t="s">
        <v>160</v>
      </c>
      <c r="C17" s="115" t="s">
        <v>427</v>
      </c>
      <c r="D17" s="115" t="s">
        <v>399</v>
      </c>
      <c r="E17" s="115" t="s">
        <v>428</v>
      </c>
      <c r="F17" s="115" t="s">
        <v>409</v>
      </c>
      <c r="G17" s="115" t="s">
        <v>421</v>
      </c>
      <c r="H17" s="115">
        <v>0</v>
      </c>
      <c r="I17" s="115">
        <v>0</v>
      </c>
      <c r="J17" s="115" t="s">
        <v>423</v>
      </c>
      <c r="K17" s="115">
        <v>0</v>
      </c>
      <c r="L17" s="115" t="s">
        <v>444</v>
      </c>
      <c r="M17" s="116">
        <v>1</v>
      </c>
      <c r="N17" s="117">
        <v>0</v>
      </c>
      <c r="O17" s="118">
        <v>0</v>
      </c>
      <c r="P17" s="118">
        <v>0</v>
      </c>
      <c r="Q17" s="117">
        <v>0</v>
      </c>
      <c r="R17" s="117">
        <v>120</v>
      </c>
      <c r="S17" s="120">
        <v>1</v>
      </c>
      <c r="T17" s="124">
        <v>1</v>
      </c>
      <c r="U17" s="115">
        <v>0</v>
      </c>
      <c r="V17" s="117">
        <v>500000</v>
      </c>
      <c r="W17" s="117">
        <v>60000000</v>
      </c>
      <c r="X17" s="117">
        <v>6000000</v>
      </c>
      <c r="Y17" s="117">
        <v>6000000</v>
      </c>
      <c r="Z17" s="117">
        <v>6000000</v>
      </c>
      <c r="AA17" s="117">
        <v>6000000</v>
      </c>
      <c r="AB17" s="117">
        <v>6000000</v>
      </c>
      <c r="AC17" s="117">
        <v>6000000</v>
      </c>
      <c r="AD17" s="117">
        <v>6000000</v>
      </c>
      <c r="AE17" s="117">
        <v>6000000</v>
      </c>
      <c r="AF17" s="117">
        <v>6000000</v>
      </c>
      <c r="AG17" s="117">
        <v>6000000</v>
      </c>
      <c r="AH17" s="117">
        <v>0</v>
      </c>
      <c r="AI17" s="117">
        <v>500000</v>
      </c>
      <c r="AJ17" s="117">
        <v>500000</v>
      </c>
      <c r="AK17" s="117">
        <v>500000</v>
      </c>
      <c r="AL17" s="117">
        <v>500000</v>
      </c>
      <c r="AM17" s="117">
        <v>500000</v>
      </c>
      <c r="AN17" s="117">
        <v>500000</v>
      </c>
      <c r="AO17" s="117">
        <v>500000</v>
      </c>
      <c r="AP17" s="117">
        <v>500000</v>
      </c>
      <c r="AQ17" s="117">
        <v>500000</v>
      </c>
      <c r="AR17" s="117">
        <v>500000</v>
      </c>
      <c r="AS17" s="117">
        <v>500000</v>
      </c>
      <c r="AT17" s="117">
        <v>500000</v>
      </c>
      <c r="AU17" s="117">
        <v>500000</v>
      </c>
      <c r="AV17" s="117">
        <v>500000</v>
      </c>
      <c r="AW17" s="117">
        <v>500000</v>
      </c>
      <c r="AX17" s="117">
        <v>500000</v>
      </c>
      <c r="AY17" s="117">
        <v>500000</v>
      </c>
      <c r="AZ17" s="117">
        <v>500000</v>
      </c>
      <c r="BA17" s="117">
        <v>500000</v>
      </c>
      <c r="BB17" s="117">
        <v>500000</v>
      </c>
      <c r="BC17" s="117">
        <v>500000</v>
      </c>
      <c r="BD17" s="117">
        <v>500000</v>
      </c>
      <c r="BE17" s="117">
        <v>500000</v>
      </c>
      <c r="BF17" s="117">
        <v>500000</v>
      </c>
      <c r="BG17" s="117">
        <v>500000</v>
      </c>
      <c r="BH17" s="117">
        <v>500000</v>
      </c>
      <c r="BI17" s="117">
        <v>500000</v>
      </c>
      <c r="BJ17" s="117">
        <v>500000</v>
      </c>
      <c r="BK17" s="117">
        <v>500000</v>
      </c>
      <c r="BL17" s="117">
        <v>500000</v>
      </c>
      <c r="BM17" s="117">
        <v>500000</v>
      </c>
      <c r="BN17" s="117">
        <v>500000</v>
      </c>
      <c r="BO17" s="117">
        <v>500000</v>
      </c>
      <c r="BP17" s="117">
        <v>500000</v>
      </c>
      <c r="BQ17" s="117">
        <v>500000</v>
      </c>
      <c r="BR17" s="117">
        <v>500000</v>
      </c>
      <c r="BS17" s="117">
        <v>500000</v>
      </c>
      <c r="BT17" s="117">
        <v>500000</v>
      </c>
      <c r="BU17" s="117">
        <v>500000</v>
      </c>
      <c r="BV17" s="117">
        <v>500000</v>
      </c>
      <c r="BW17" s="117">
        <v>500000</v>
      </c>
      <c r="BX17" s="117">
        <v>500000</v>
      </c>
      <c r="BY17" s="117">
        <v>500000</v>
      </c>
      <c r="BZ17" s="117">
        <v>500000</v>
      </c>
      <c r="CA17" s="117">
        <v>500000</v>
      </c>
      <c r="CB17" s="117">
        <v>500000</v>
      </c>
      <c r="CC17" s="117">
        <v>500000</v>
      </c>
      <c r="CD17" s="117">
        <v>500000</v>
      </c>
      <c r="CE17" s="117">
        <v>500000</v>
      </c>
      <c r="CF17" s="117">
        <v>500000</v>
      </c>
      <c r="CG17" s="117">
        <v>500000</v>
      </c>
      <c r="CH17" s="117">
        <v>500000</v>
      </c>
      <c r="CI17" s="117">
        <v>500000</v>
      </c>
      <c r="CJ17" s="117">
        <v>500000</v>
      </c>
      <c r="CK17" s="117">
        <v>500000</v>
      </c>
      <c r="CL17" s="117">
        <v>500000</v>
      </c>
      <c r="CM17" s="117">
        <v>500000</v>
      </c>
      <c r="CN17" s="117">
        <v>500000</v>
      </c>
      <c r="CO17" s="117">
        <v>500000</v>
      </c>
      <c r="CP17" s="117">
        <v>500000</v>
      </c>
      <c r="CQ17" s="117">
        <v>500000</v>
      </c>
      <c r="CR17" s="117">
        <v>500000</v>
      </c>
      <c r="CS17" s="117">
        <v>500000</v>
      </c>
      <c r="CT17" s="117">
        <v>500000</v>
      </c>
      <c r="CU17" s="117">
        <v>500000</v>
      </c>
      <c r="CV17" s="117">
        <v>500000</v>
      </c>
      <c r="CW17" s="117">
        <v>500000</v>
      </c>
      <c r="CX17" s="117">
        <v>500000</v>
      </c>
      <c r="CY17" s="117">
        <v>500000</v>
      </c>
      <c r="CZ17" s="117">
        <v>500000</v>
      </c>
      <c r="DA17" s="117">
        <v>500000</v>
      </c>
      <c r="DB17" s="117">
        <v>500000</v>
      </c>
      <c r="DC17" s="117">
        <v>500000</v>
      </c>
      <c r="DD17" s="117">
        <v>500000</v>
      </c>
      <c r="DE17" s="117">
        <v>500000</v>
      </c>
      <c r="DF17" s="117">
        <v>500000</v>
      </c>
      <c r="DG17" s="117">
        <v>500000</v>
      </c>
      <c r="DH17" s="117">
        <v>500000</v>
      </c>
      <c r="DI17" s="117">
        <v>500000</v>
      </c>
      <c r="DJ17" s="117">
        <v>500000</v>
      </c>
      <c r="DK17" s="117">
        <v>500000</v>
      </c>
      <c r="DL17" s="117">
        <v>500000</v>
      </c>
      <c r="DM17" s="117">
        <v>500000</v>
      </c>
      <c r="DN17" s="117">
        <v>500000</v>
      </c>
      <c r="DO17" s="117">
        <v>500000</v>
      </c>
      <c r="DP17" s="117">
        <v>500000</v>
      </c>
      <c r="DQ17" s="117">
        <v>500000</v>
      </c>
      <c r="DR17" s="117">
        <v>500000</v>
      </c>
      <c r="DS17" s="117">
        <v>500000</v>
      </c>
      <c r="DT17" s="117">
        <v>500000</v>
      </c>
      <c r="DU17" s="117">
        <v>500000</v>
      </c>
      <c r="DV17" s="117">
        <v>500000</v>
      </c>
      <c r="DW17" s="117">
        <v>500000</v>
      </c>
      <c r="DX17" s="117">
        <v>500000</v>
      </c>
      <c r="DY17" s="117">
        <v>500000</v>
      </c>
      <c r="DZ17" s="117">
        <v>500000</v>
      </c>
      <c r="EA17" s="117">
        <v>500000</v>
      </c>
      <c r="EB17" s="117">
        <v>500000</v>
      </c>
      <c r="EC17" s="117">
        <v>500000</v>
      </c>
      <c r="ED17" s="117">
        <v>500000</v>
      </c>
      <c r="EE17" s="117">
        <v>500000</v>
      </c>
      <c r="EF17" s="117">
        <v>500000</v>
      </c>
      <c r="EG17" s="117">
        <v>500000</v>
      </c>
      <c r="EH17" s="117">
        <v>500000</v>
      </c>
      <c r="EI17" s="117">
        <v>500000</v>
      </c>
      <c r="EJ17" s="117">
        <v>500000</v>
      </c>
      <c r="EK17" s="117">
        <v>500000</v>
      </c>
      <c r="EL17" s="117">
        <v>500000</v>
      </c>
      <c r="EM17" s="117">
        <v>500000</v>
      </c>
      <c r="EN17" s="117">
        <v>500000</v>
      </c>
      <c r="EO17" s="117">
        <v>500000</v>
      </c>
      <c r="EP17" s="117">
        <v>500000</v>
      </c>
      <c r="EQ17" s="117">
        <v>500000</v>
      </c>
      <c r="ER17" s="117">
        <v>500000</v>
      </c>
      <c r="ES17" s="117">
        <v>500000</v>
      </c>
      <c r="ET17" s="117">
        <v>500000</v>
      </c>
      <c r="EU17" s="117">
        <v>500000</v>
      </c>
      <c r="EV17" s="117">
        <v>500000</v>
      </c>
      <c r="EW17" s="117">
        <v>500000</v>
      </c>
      <c r="EX17" s="117">
        <v>500000</v>
      </c>
      <c r="EY17" s="117">
        <v>0</v>
      </c>
      <c r="EZ17" s="117">
        <v>0</v>
      </c>
      <c r="FA17" s="117">
        <v>0</v>
      </c>
      <c r="FB17" s="117">
        <v>0</v>
      </c>
      <c r="FC17" s="117">
        <v>0</v>
      </c>
      <c r="FD17" s="117">
        <v>0</v>
      </c>
      <c r="FE17" s="117">
        <v>0</v>
      </c>
      <c r="FF17" s="117">
        <v>0</v>
      </c>
      <c r="FG17" s="117">
        <v>0</v>
      </c>
      <c r="FH17" s="117">
        <v>0</v>
      </c>
      <c r="FI17" s="117">
        <v>0</v>
      </c>
      <c r="FJ17" s="119">
        <v>0</v>
      </c>
    </row>
  </sheetData>
  <phoneticPr fontId="1" type="noConversion"/>
  <conditionalFormatting sqref="T5:U17 A5:R17">
    <cfRule type="expression" dxfId="0" priority="6">
      <formula>OR($D5="MA",$D5="운영")</formula>
    </cfRule>
  </conditionalFormatting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45059" r:id="rId4" name="OptionButton2">
          <controlPr defaultSize="0" autoFill="0" autoLine="0" r:id="rId5">
            <anchor moveWithCells="1">
              <from>
                <xdr:col>5</xdr:col>
                <xdr:colOff>906780</xdr:colOff>
                <xdr:row>0</xdr:row>
                <xdr:rowOff>0</xdr:rowOff>
              </from>
              <to>
                <xdr:col>6</xdr:col>
                <xdr:colOff>137160</xdr:colOff>
                <xdr:row>0</xdr:row>
                <xdr:rowOff>236220</xdr:rowOff>
              </to>
            </anchor>
          </controlPr>
        </control>
      </mc:Choice>
      <mc:Fallback>
        <control shapeId="45059" r:id="rId4" name="OptionButton2"/>
      </mc:Fallback>
    </mc:AlternateContent>
    <mc:AlternateContent xmlns:mc="http://schemas.openxmlformats.org/markup-compatibility/2006">
      <mc:Choice Requires="x14">
        <control shapeId="45058" r:id="rId6" name="OptionButton1">
          <controlPr defaultSize="0" disabled="1" autoFill="0" autoLine="0" r:id="rId7">
            <anchor moveWithCells="1">
              <from>
                <xdr:col>4</xdr:col>
                <xdr:colOff>106680</xdr:colOff>
                <xdr:row>0</xdr:row>
                <xdr:rowOff>0</xdr:rowOff>
              </from>
              <to>
                <xdr:col>4</xdr:col>
                <xdr:colOff>1165860</xdr:colOff>
                <xdr:row>0</xdr:row>
                <xdr:rowOff>266700</xdr:rowOff>
              </to>
            </anchor>
          </controlPr>
        </control>
      </mc:Choice>
      <mc:Fallback>
        <control shapeId="45058" r:id="rId6" name="OptionButton1"/>
      </mc:Fallback>
    </mc:AlternateContent>
    <mc:AlternateContent xmlns:mc="http://schemas.openxmlformats.org/markup-compatibility/2006">
      <mc:Choice Requires="x14">
        <control shapeId="45057" r:id="rId8" name="cmd_CS수행">
          <controlPr defaultSize="0" autoFill="0" autoLine="0" r:id="rId9">
            <anchor moveWithCells="1">
              <from>
                <xdr:col>2</xdr:col>
                <xdr:colOff>30480</xdr:colOff>
                <xdr:row>0</xdr:row>
                <xdr:rowOff>30480</xdr:rowOff>
              </from>
              <to>
                <xdr:col>3</xdr:col>
                <xdr:colOff>350520</xdr:colOff>
                <xdr:row>0</xdr:row>
                <xdr:rowOff>289560</xdr:rowOff>
              </to>
            </anchor>
          </controlPr>
        </control>
      </mc:Choice>
      <mc:Fallback>
        <control shapeId="45057" r:id="rId8" name="cmd_CS수행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9AD628-70B0-4930-8C77-F9D5813BFEA2}">
  <sheetPr codeName="B3_Sheet"/>
  <dimension ref="A1:AN40"/>
  <sheetViews>
    <sheetView showGridLines="0" zoomScale="70" zoomScaleNormal="70" workbookViewId="0">
      <selection activeCell="J20" sqref="J20"/>
    </sheetView>
  </sheetViews>
  <sheetFormatPr defaultRowHeight="17.399999999999999" x14ac:dyDescent="0.4"/>
  <cols>
    <col min="1" max="1" width="13" customWidth="1"/>
    <col min="5" max="5" width="15" bestFit="1" customWidth="1"/>
    <col min="7" max="7" width="10.3984375" bestFit="1" customWidth="1"/>
  </cols>
  <sheetData>
    <row r="1" spans="1:40" s="215" customFormat="1" ht="30" customHeight="1" x14ac:dyDescent="0.4">
      <c r="A1" s="184" t="s">
        <v>392</v>
      </c>
      <c r="AL1" s="216" t="s">
        <v>2</v>
      </c>
      <c r="AM1" s="216" t="s">
        <v>3</v>
      </c>
      <c r="AN1" s="216" t="s">
        <v>4</v>
      </c>
    </row>
    <row r="2" spans="1:40" ht="19.95" customHeight="1" x14ac:dyDescent="0.4">
      <c r="A2" s="10" t="s">
        <v>204</v>
      </c>
      <c r="B2" s="10" t="s">
        <v>1</v>
      </c>
      <c r="C2" s="10" t="s">
        <v>205</v>
      </c>
      <c r="D2" s="10" t="s">
        <v>206</v>
      </c>
      <c r="E2" s="10" t="s">
        <v>207</v>
      </c>
      <c r="F2" s="10" t="s">
        <v>191</v>
      </c>
      <c r="G2" s="10" t="s">
        <v>213</v>
      </c>
      <c r="H2" s="10" t="s">
        <v>214</v>
      </c>
      <c r="I2" s="10" t="s">
        <v>215</v>
      </c>
      <c r="J2" s="10" t="s">
        <v>216</v>
      </c>
      <c r="K2" s="10" t="s">
        <v>217</v>
      </c>
      <c r="L2" s="10" t="s">
        <v>218</v>
      </c>
      <c r="M2" s="10" t="s">
        <v>219</v>
      </c>
      <c r="N2" s="10" t="s">
        <v>220</v>
      </c>
      <c r="O2" s="10" t="s">
        <v>221</v>
      </c>
      <c r="Q2" s="9" t="s">
        <v>208</v>
      </c>
      <c r="S2" s="7" t="s">
        <v>204</v>
      </c>
      <c r="T2" s="7" t="s">
        <v>1</v>
      </c>
      <c r="U2" s="7" t="s">
        <v>205</v>
      </c>
      <c r="V2" s="7" t="s">
        <v>206</v>
      </c>
      <c r="W2" s="7" t="s">
        <v>207</v>
      </c>
      <c r="X2" s="7" t="s">
        <v>223</v>
      </c>
      <c r="Y2" s="7" t="s">
        <v>224</v>
      </c>
      <c r="Z2" s="7" t="s">
        <v>225</v>
      </c>
      <c r="AA2" s="7" t="s">
        <v>226</v>
      </c>
      <c r="AB2" s="7" t="s">
        <v>227</v>
      </c>
      <c r="AC2" s="7" t="s">
        <v>228</v>
      </c>
      <c r="AD2" s="7" t="s">
        <v>229</v>
      </c>
      <c r="AE2" s="7" t="s">
        <v>230</v>
      </c>
      <c r="AF2" s="7" t="s">
        <v>231</v>
      </c>
      <c r="AG2" s="7" t="s">
        <v>232</v>
      </c>
      <c r="AL2" s="106" t="s">
        <v>369</v>
      </c>
      <c r="AM2" s="106" t="s">
        <v>209</v>
      </c>
      <c r="AN2" s="106" t="s">
        <v>367</v>
      </c>
    </row>
    <row r="3" spans="1:40" ht="19.95" customHeight="1" x14ac:dyDescent="0.4">
      <c r="A3" s="11" t="s">
        <v>235</v>
      </c>
      <c r="B3" s="11" t="s">
        <v>160</v>
      </c>
      <c r="C3" s="12" t="s">
        <v>175</v>
      </c>
      <c r="D3" s="12" t="s">
        <v>161</v>
      </c>
      <c r="E3" s="13" t="s">
        <v>162</v>
      </c>
      <c r="F3" s="14">
        <v>3198644.5476890798</v>
      </c>
      <c r="G3" s="14">
        <f>F3*$Q$3</f>
        <v>3279604.6721609468</v>
      </c>
      <c r="H3" s="14">
        <f t="shared" ref="H3:O3" si="0">G3*$Q$3</f>
        <v>3362613.9589128913</v>
      </c>
      <c r="I3" s="14">
        <f t="shared" si="0"/>
        <v>3447724.2737995852</v>
      </c>
      <c r="J3" s="14">
        <f t="shared" si="0"/>
        <v>3534988.7954399008</v>
      </c>
      <c r="K3" s="14">
        <f t="shared" si="0"/>
        <v>3624462.0484439693</v>
      </c>
      <c r="L3" s="14">
        <f t="shared" si="0"/>
        <v>3716199.9374812432</v>
      </c>
      <c r="M3" s="14">
        <f t="shared" si="0"/>
        <v>3810259.782210846</v>
      </c>
      <c r="N3" s="14">
        <f t="shared" si="0"/>
        <v>3906700.3530960367</v>
      </c>
      <c r="O3" s="14">
        <f t="shared" si="0"/>
        <v>4005581.9081251658</v>
      </c>
      <c r="Q3">
        <v>1.02531076</v>
      </c>
      <c r="S3" s="5" t="s">
        <v>235</v>
      </c>
      <c r="T3" s="5" t="s">
        <v>160</v>
      </c>
      <c r="U3" s="6" t="s">
        <v>175</v>
      </c>
      <c r="V3" s="6" t="s">
        <v>161</v>
      </c>
      <c r="W3" s="8" t="s">
        <v>162</v>
      </c>
      <c r="X3" s="15">
        <v>1</v>
      </c>
      <c r="Y3" s="15">
        <v>1</v>
      </c>
      <c r="Z3" s="15">
        <v>1</v>
      </c>
      <c r="AA3" s="15">
        <v>1</v>
      </c>
      <c r="AB3" s="15">
        <v>1</v>
      </c>
      <c r="AC3" s="15">
        <v>1</v>
      </c>
      <c r="AD3" s="15">
        <v>1</v>
      </c>
      <c r="AE3" s="15">
        <v>1</v>
      </c>
      <c r="AF3" s="15">
        <v>1</v>
      </c>
      <c r="AG3" s="15">
        <v>1</v>
      </c>
      <c r="AL3" s="106" t="s">
        <v>383</v>
      </c>
      <c r="AM3" s="106" t="s">
        <v>396</v>
      </c>
      <c r="AN3" s="106" t="s">
        <v>368</v>
      </c>
    </row>
    <row r="4" spans="1:40" ht="19.95" customHeight="1" x14ac:dyDescent="0.4">
      <c r="A4" s="11" t="s">
        <v>265</v>
      </c>
      <c r="B4" s="11" t="s">
        <v>160</v>
      </c>
      <c r="C4" s="12" t="s">
        <v>175</v>
      </c>
      <c r="D4" s="12" t="s">
        <v>161</v>
      </c>
      <c r="E4" s="13" t="s">
        <v>175</v>
      </c>
      <c r="F4" s="14">
        <v>2416906.6118346802</v>
      </c>
      <c r="G4" s="14">
        <f t="shared" ref="G4:O4" si="1">F4*$Q$3</f>
        <v>2478080.3550292407</v>
      </c>
      <c r="H4" s="14">
        <f t="shared" si="1"/>
        <v>2540802.4521561004</v>
      </c>
      <c r="I4" s="14">
        <f t="shared" si="1"/>
        <v>2605112.0932300352</v>
      </c>
      <c r="J4" s="14">
        <f t="shared" si="1"/>
        <v>2671049.4601948783</v>
      </c>
      <c r="K4" s="14">
        <f t="shared" si="1"/>
        <v>2738655.7520300006</v>
      </c>
      <c r="L4" s="14">
        <f t="shared" si="1"/>
        <v>2807973.2104922514</v>
      </c>
      <c r="M4" s="14">
        <f t="shared" si="1"/>
        <v>2879045.1465094504</v>
      </c>
      <c r="N4" s="14">
        <f t="shared" si="1"/>
        <v>2951915.9672419159</v>
      </c>
      <c r="O4" s="14">
        <f t="shared" si="1"/>
        <v>3026631.2038289439</v>
      </c>
      <c r="S4" s="5" t="s">
        <v>236</v>
      </c>
      <c r="T4" s="5" t="s">
        <v>160</v>
      </c>
      <c r="U4" s="6" t="s">
        <v>175</v>
      </c>
      <c r="V4" s="5" t="s">
        <v>161</v>
      </c>
      <c r="W4" s="5" t="s">
        <v>175</v>
      </c>
      <c r="X4" s="16">
        <v>5</v>
      </c>
      <c r="Y4" s="16">
        <v>5</v>
      </c>
      <c r="Z4" s="16">
        <v>5</v>
      </c>
      <c r="AA4" s="16">
        <v>5</v>
      </c>
      <c r="AB4" s="16">
        <v>5</v>
      </c>
      <c r="AC4" s="16">
        <v>5</v>
      </c>
      <c r="AD4" s="16">
        <v>5</v>
      </c>
      <c r="AE4" s="16">
        <v>5</v>
      </c>
      <c r="AF4" s="16">
        <v>5</v>
      </c>
      <c r="AG4" s="16">
        <v>5</v>
      </c>
      <c r="AL4" s="106"/>
      <c r="AM4" s="106" t="s">
        <v>395</v>
      </c>
      <c r="AN4" s="106"/>
    </row>
    <row r="5" spans="1:40" ht="19.95" customHeight="1" x14ac:dyDescent="0.4">
      <c r="A5" s="11" t="s">
        <v>266</v>
      </c>
      <c r="B5" s="11" t="s">
        <v>160</v>
      </c>
      <c r="C5" s="12" t="s">
        <v>175</v>
      </c>
      <c r="D5" s="12" t="s">
        <v>199</v>
      </c>
      <c r="E5" s="13" t="s">
        <v>175</v>
      </c>
      <c r="F5" s="14">
        <v>2416906.6118346802</v>
      </c>
      <c r="G5" s="14">
        <f t="shared" ref="G5:O5" si="2">F5*$Q$3</f>
        <v>2478080.3550292407</v>
      </c>
      <c r="H5" s="14">
        <f t="shared" si="2"/>
        <v>2540802.4521561004</v>
      </c>
      <c r="I5" s="14">
        <f t="shared" si="2"/>
        <v>2605112.0932300352</v>
      </c>
      <c r="J5" s="14">
        <f t="shared" si="2"/>
        <v>2671049.4601948783</v>
      </c>
      <c r="K5" s="14">
        <f t="shared" si="2"/>
        <v>2738655.7520300006</v>
      </c>
      <c r="L5" s="14">
        <f t="shared" si="2"/>
        <v>2807973.2104922514</v>
      </c>
      <c r="M5" s="14">
        <f t="shared" si="2"/>
        <v>2879045.1465094504</v>
      </c>
      <c r="N5" s="14">
        <f t="shared" si="2"/>
        <v>2951915.9672419159</v>
      </c>
      <c r="O5" s="14">
        <f t="shared" si="2"/>
        <v>3026631.2038289439</v>
      </c>
      <c r="S5" s="5" t="s">
        <v>237</v>
      </c>
      <c r="T5" s="5" t="s">
        <v>160</v>
      </c>
      <c r="U5" s="6" t="s">
        <v>175</v>
      </c>
      <c r="V5" s="5" t="s">
        <v>199</v>
      </c>
      <c r="W5" s="5" t="s">
        <v>175</v>
      </c>
      <c r="X5" s="16">
        <v>5</v>
      </c>
      <c r="Y5" s="16">
        <v>5</v>
      </c>
      <c r="Z5" s="16">
        <v>5</v>
      </c>
      <c r="AA5" s="16">
        <v>5</v>
      </c>
      <c r="AB5" s="16">
        <v>5</v>
      </c>
      <c r="AC5" s="16">
        <v>5</v>
      </c>
      <c r="AD5" s="16">
        <v>5</v>
      </c>
      <c r="AE5" s="16">
        <v>5</v>
      </c>
      <c r="AF5" s="16">
        <v>5</v>
      </c>
      <c r="AG5" s="16">
        <v>5</v>
      </c>
    </row>
    <row r="6" spans="1:40" ht="19.95" customHeight="1" x14ac:dyDescent="0.4">
      <c r="A6" s="11" t="s">
        <v>267</v>
      </c>
      <c r="B6" s="11" t="s">
        <v>160</v>
      </c>
      <c r="C6" s="12" t="s">
        <v>175</v>
      </c>
      <c r="D6" s="12" t="s">
        <v>192</v>
      </c>
      <c r="E6" s="13" t="s">
        <v>175</v>
      </c>
      <c r="F6" s="14">
        <v>2475400.5906926799</v>
      </c>
      <c r="G6" s="14">
        <f t="shared" ref="G6:O6" si="3">F6*$Q$3</f>
        <v>2538054.8609475605</v>
      </c>
      <c r="H6" s="14">
        <f t="shared" si="3"/>
        <v>2602294.9583998374</v>
      </c>
      <c r="I6" s="14">
        <f t="shared" si="3"/>
        <v>2668161.0215411056</v>
      </c>
      <c r="J6" s="14">
        <f t="shared" si="3"/>
        <v>2735694.2047986872</v>
      </c>
      <c r="K6" s="14">
        <f t="shared" si="3"/>
        <v>2804936.7042497378</v>
      </c>
      <c r="L6" s="14">
        <f t="shared" si="3"/>
        <v>2875931.7839861941</v>
      </c>
      <c r="M6" s="14">
        <f t="shared" si="3"/>
        <v>2948723.8031470403</v>
      </c>
      <c r="N6" s="14">
        <f t="shared" si="3"/>
        <v>3023358.2436347823</v>
      </c>
      <c r="O6" s="14">
        <f t="shared" si="3"/>
        <v>3099881.7385334438</v>
      </c>
      <c r="S6" s="5" t="s">
        <v>238</v>
      </c>
      <c r="T6" s="5" t="s">
        <v>160</v>
      </c>
      <c r="U6" s="6" t="s">
        <v>175</v>
      </c>
      <c r="V6" s="6" t="s">
        <v>192</v>
      </c>
      <c r="W6" s="5" t="s">
        <v>175</v>
      </c>
      <c r="X6" s="16">
        <v>25</v>
      </c>
      <c r="Y6" s="16">
        <v>25</v>
      </c>
      <c r="Z6" s="16">
        <v>25</v>
      </c>
      <c r="AA6" s="16">
        <v>25</v>
      </c>
      <c r="AB6" s="16">
        <v>25</v>
      </c>
      <c r="AC6" s="16">
        <v>25</v>
      </c>
      <c r="AD6" s="16">
        <v>25</v>
      </c>
      <c r="AE6" s="16">
        <v>25</v>
      </c>
      <c r="AF6" s="16">
        <v>25</v>
      </c>
      <c r="AG6" s="16">
        <v>25</v>
      </c>
    </row>
    <row r="7" spans="1:40" ht="19.95" customHeight="1" x14ac:dyDescent="0.4">
      <c r="A7" s="11" t="s">
        <v>268</v>
      </c>
      <c r="B7" s="11" t="s">
        <v>160</v>
      </c>
      <c r="C7" s="12" t="s">
        <v>175</v>
      </c>
      <c r="D7" s="12" t="s">
        <v>192</v>
      </c>
      <c r="E7" s="13" t="s">
        <v>201</v>
      </c>
      <c r="F7" s="14">
        <v>2890361.2855476001</v>
      </c>
      <c r="G7" s="14">
        <f t="shared" ref="G7:O7" si="4">F7*$Q$3</f>
        <v>2963518.5263593867</v>
      </c>
      <c r="H7" s="14">
        <f t="shared" si="4"/>
        <v>3038527.4325356227</v>
      </c>
      <c r="I7" s="14">
        <f t="shared" si="4"/>
        <v>3115434.8711339482</v>
      </c>
      <c r="J7" s="14">
        <f t="shared" si="4"/>
        <v>3194288.8954528505</v>
      </c>
      <c r="K7" s="14">
        <f t="shared" si="4"/>
        <v>3275138.7750563226</v>
      </c>
      <c r="L7" s="14">
        <f t="shared" si="4"/>
        <v>3358035.0265584672</v>
      </c>
      <c r="M7" s="14">
        <f t="shared" si="4"/>
        <v>3443029.4451872823</v>
      </c>
      <c r="N7" s="14">
        <f t="shared" si="4"/>
        <v>3530175.1371473507</v>
      </c>
      <c r="O7" s="14">
        <f t="shared" si="4"/>
        <v>3619526.5528016542</v>
      </c>
      <c r="S7" s="5" t="s">
        <v>239</v>
      </c>
      <c r="T7" s="5" t="s">
        <v>160</v>
      </c>
      <c r="U7" s="6" t="s">
        <v>175</v>
      </c>
      <c r="V7" s="5" t="s">
        <v>192</v>
      </c>
      <c r="W7" s="5" t="s">
        <v>201</v>
      </c>
      <c r="X7" s="16">
        <v>1</v>
      </c>
      <c r="Y7" s="16">
        <v>1</v>
      </c>
      <c r="Z7" s="16">
        <v>1</v>
      </c>
      <c r="AA7" s="16">
        <v>1</v>
      </c>
      <c r="AB7" s="16">
        <v>1</v>
      </c>
      <c r="AC7" s="16">
        <v>1</v>
      </c>
      <c r="AD7" s="16">
        <v>1</v>
      </c>
      <c r="AE7" s="16">
        <v>1</v>
      </c>
      <c r="AF7" s="16">
        <v>1</v>
      </c>
      <c r="AG7" s="16">
        <v>1</v>
      </c>
    </row>
    <row r="8" spans="1:40" ht="19.95" customHeight="1" x14ac:dyDescent="0.4">
      <c r="A8" s="11" t="s">
        <v>269</v>
      </c>
      <c r="B8" s="11" t="s">
        <v>160</v>
      </c>
      <c r="C8" s="12" t="s">
        <v>175</v>
      </c>
      <c r="D8" s="12" t="s">
        <v>192</v>
      </c>
      <c r="E8" s="13" t="s">
        <v>202</v>
      </c>
      <c r="F8" s="14">
        <v>2713848.9116598</v>
      </c>
      <c r="G8" s="14">
        <f t="shared" ref="G8:O8" si="5">F8*$Q$3</f>
        <v>2782538.4901390825</v>
      </c>
      <c r="H8" s="14">
        <f t="shared" si="5"/>
        <v>2852966.6540537551</v>
      </c>
      <c r="I8" s="14">
        <f t="shared" si="5"/>
        <v>2925177.4083225126</v>
      </c>
      <c r="J8" s="14">
        <f t="shared" si="5"/>
        <v>2999215.8716619858</v>
      </c>
      <c r="K8" s="14">
        <f t="shared" si="5"/>
        <v>3075128.3047778131</v>
      </c>
      <c r="L8" s="14">
        <f t="shared" si="5"/>
        <v>3152962.1392692514</v>
      </c>
      <c r="M8" s="14">
        <f t="shared" si="5"/>
        <v>3232766.007265382</v>
      </c>
      <c r="N8" s="14">
        <f t="shared" si="5"/>
        <v>3314589.7718114341</v>
      </c>
      <c r="O8" s="14">
        <f t="shared" si="5"/>
        <v>3398484.5580242081</v>
      </c>
      <c r="S8" s="5" t="s">
        <v>240</v>
      </c>
      <c r="T8" s="5" t="s">
        <v>160</v>
      </c>
      <c r="U8" s="6" t="s">
        <v>175</v>
      </c>
      <c r="V8" s="5" t="s">
        <v>192</v>
      </c>
      <c r="W8" s="5" t="s">
        <v>202</v>
      </c>
      <c r="X8" s="16">
        <v>1</v>
      </c>
      <c r="Y8" s="16">
        <v>1</v>
      </c>
      <c r="Z8" s="16">
        <v>1</v>
      </c>
      <c r="AA8" s="16">
        <v>1</v>
      </c>
      <c r="AB8" s="16">
        <v>1</v>
      </c>
      <c r="AC8" s="16">
        <v>1</v>
      </c>
      <c r="AD8" s="16">
        <v>1</v>
      </c>
      <c r="AE8" s="16">
        <v>1</v>
      </c>
      <c r="AF8" s="16">
        <v>1</v>
      </c>
      <c r="AG8" s="16">
        <v>1</v>
      </c>
    </row>
    <row r="9" spans="1:40" ht="19.95" customHeight="1" x14ac:dyDescent="0.4">
      <c r="A9" s="11" t="s">
        <v>270</v>
      </c>
      <c r="B9" s="11" t="s">
        <v>160</v>
      </c>
      <c r="C9" s="12" t="s">
        <v>175</v>
      </c>
      <c r="D9" s="12" t="s">
        <v>200</v>
      </c>
      <c r="E9" s="13" t="s">
        <v>175</v>
      </c>
      <c r="F9" s="14">
        <v>2428512.1043271199</v>
      </c>
      <c r="G9" s="14">
        <f t="shared" ref="G9:O9" si="6">F9*$Q$3</f>
        <v>2489979.5913568386</v>
      </c>
      <c r="H9" s="14">
        <f t="shared" si="6"/>
        <v>2553002.8671985697</v>
      </c>
      <c r="I9" s="14">
        <f t="shared" si="6"/>
        <v>2617621.3100495446</v>
      </c>
      <c r="J9" s="14">
        <f t="shared" si="6"/>
        <v>2683875.2947990941</v>
      </c>
      <c r="K9" s="14">
        <f t="shared" si="6"/>
        <v>2751806.2182556833</v>
      </c>
      <c r="L9" s="14">
        <f t="shared" si="6"/>
        <v>2821456.5250124605</v>
      </c>
      <c r="M9" s="14">
        <f t="shared" si="6"/>
        <v>2892869.7339674849</v>
      </c>
      <c r="N9" s="14">
        <f t="shared" si="6"/>
        <v>2966090.4655151996</v>
      </c>
      <c r="O9" s="14">
        <f t="shared" si="6"/>
        <v>3041164.469426143</v>
      </c>
      <c r="S9" s="5" t="s">
        <v>241</v>
      </c>
      <c r="T9" s="5" t="s">
        <v>160</v>
      </c>
      <c r="U9" s="5" t="s">
        <v>175</v>
      </c>
      <c r="V9" s="5" t="s">
        <v>200</v>
      </c>
      <c r="W9" s="5" t="s">
        <v>175</v>
      </c>
      <c r="X9" s="16">
        <v>10</v>
      </c>
      <c r="Y9" s="16">
        <v>10</v>
      </c>
      <c r="Z9" s="16">
        <v>10</v>
      </c>
      <c r="AA9" s="16">
        <v>10</v>
      </c>
      <c r="AB9" s="16">
        <v>10</v>
      </c>
      <c r="AC9" s="16">
        <v>10</v>
      </c>
      <c r="AD9" s="16">
        <v>10</v>
      </c>
      <c r="AE9" s="16">
        <v>10</v>
      </c>
      <c r="AF9" s="16">
        <v>10</v>
      </c>
      <c r="AG9" s="16">
        <v>10</v>
      </c>
    </row>
    <row r="10" spans="1:40" ht="19.95" customHeight="1" x14ac:dyDescent="0.4">
      <c r="A10" s="11" t="s">
        <v>271</v>
      </c>
      <c r="B10" s="11" t="s">
        <v>160</v>
      </c>
      <c r="C10" s="12" t="s">
        <v>193</v>
      </c>
      <c r="D10" s="12" t="s">
        <v>194</v>
      </c>
      <c r="E10" s="13" t="s">
        <v>195</v>
      </c>
      <c r="F10" s="14">
        <v>3934599.2821772001</v>
      </c>
      <c r="G10" s="14">
        <f t="shared" ref="G10:O10" si="7">F10*$Q$3</f>
        <v>4034186.9803045592</v>
      </c>
      <c r="H10" s="14">
        <f t="shared" si="7"/>
        <v>4136295.3187581724</v>
      </c>
      <c r="I10" s="14">
        <f t="shared" si="7"/>
        <v>4240988.0968603836</v>
      </c>
      <c r="J10" s="14">
        <f t="shared" si="7"/>
        <v>4348330.7287428733</v>
      </c>
      <c r="K10" s="14">
        <f t="shared" si="7"/>
        <v>4458390.284218709</v>
      </c>
      <c r="L10" s="14">
        <f t="shared" si="7"/>
        <v>4571235.5306889005</v>
      </c>
      <c r="M10" s="14">
        <f t="shared" si="7"/>
        <v>4686936.9761096397</v>
      </c>
      <c r="N10" s="14">
        <f t="shared" si="7"/>
        <v>4805566.9130470762</v>
      </c>
      <c r="O10" s="14">
        <f t="shared" si="7"/>
        <v>4927199.463847152</v>
      </c>
      <c r="S10" s="5" t="s">
        <v>242</v>
      </c>
      <c r="T10" s="5" t="s">
        <v>160</v>
      </c>
      <c r="U10" s="5" t="s">
        <v>193</v>
      </c>
      <c r="V10" s="5" t="s">
        <v>194</v>
      </c>
      <c r="W10" s="5" t="s">
        <v>195</v>
      </c>
      <c r="X10" s="16">
        <v>1</v>
      </c>
      <c r="Y10" s="16">
        <v>1</v>
      </c>
      <c r="Z10" s="16">
        <v>1</v>
      </c>
      <c r="AA10" s="16">
        <v>1</v>
      </c>
      <c r="AB10" s="16">
        <v>1</v>
      </c>
      <c r="AC10" s="16">
        <v>1</v>
      </c>
      <c r="AD10" s="16">
        <v>1</v>
      </c>
      <c r="AE10" s="16">
        <v>1</v>
      </c>
      <c r="AF10" s="16">
        <v>1</v>
      </c>
      <c r="AG10" s="16">
        <v>1</v>
      </c>
    </row>
    <row r="11" spans="1:40" ht="19.95" customHeight="1" x14ac:dyDescent="0.4">
      <c r="A11" s="11" t="s">
        <v>272</v>
      </c>
      <c r="B11" s="11" t="s">
        <v>160</v>
      </c>
      <c r="C11" s="12" t="s">
        <v>193</v>
      </c>
      <c r="D11" s="12" t="s">
        <v>194</v>
      </c>
      <c r="E11" s="13" t="s">
        <v>196</v>
      </c>
      <c r="F11" s="14">
        <v>3005310.9254727201</v>
      </c>
      <c r="G11" s="14">
        <f t="shared" ref="G11:O11" si="8">F11*$Q$3</f>
        <v>3081377.629032738</v>
      </c>
      <c r="H11" s="14">
        <f t="shared" si="8"/>
        <v>3159369.6386705549</v>
      </c>
      <c r="I11" s="14">
        <f t="shared" si="8"/>
        <v>3239335.6853462318</v>
      </c>
      <c r="J11" s="14">
        <f t="shared" si="8"/>
        <v>3321325.733437466</v>
      </c>
      <c r="K11" s="14">
        <f t="shared" si="8"/>
        <v>3405391.0119583257</v>
      </c>
      <c r="L11" s="14">
        <f t="shared" si="8"/>
        <v>3491584.0465681599</v>
      </c>
      <c r="M11" s="14">
        <f t="shared" si="8"/>
        <v>3579958.6923906752</v>
      </c>
      <c r="N11" s="14">
        <f t="shared" si="8"/>
        <v>3670570.1676636892</v>
      </c>
      <c r="O11" s="14">
        <f t="shared" si="8"/>
        <v>3763475.0882405844</v>
      </c>
      <c r="S11" s="5" t="s">
        <v>243</v>
      </c>
      <c r="T11" s="5" t="s">
        <v>160</v>
      </c>
      <c r="U11" s="5" t="s">
        <v>193</v>
      </c>
      <c r="V11" s="5" t="s">
        <v>194</v>
      </c>
      <c r="W11" s="5" t="s">
        <v>196</v>
      </c>
      <c r="X11" s="16">
        <v>1</v>
      </c>
      <c r="Y11" s="16">
        <v>1</v>
      </c>
      <c r="Z11" s="16">
        <v>1</v>
      </c>
      <c r="AA11" s="16">
        <v>1</v>
      </c>
      <c r="AB11" s="16">
        <v>1</v>
      </c>
      <c r="AC11" s="16">
        <v>1</v>
      </c>
      <c r="AD11" s="16">
        <v>1</v>
      </c>
      <c r="AE11" s="16">
        <v>1</v>
      </c>
      <c r="AF11" s="16">
        <v>1</v>
      </c>
      <c r="AG11" s="16">
        <v>1</v>
      </c>
    </row>
    <row r="12" spans="1:40" ht="19.95" customHeight="1" x14ac:dyDescent="0.4">
      <c r="A12" s="11" t="s">
        <v>273</v>
      </c>
      <c r="B12" s="11" t="s">
        <v>160</v>
      </c>
      <c r="C12" s="12" t="s">
        <v>193</v>
      </c>
      <c r="D12" s="12" t="s">
        <v>194</v>
      </c>
      <c r="E12" s="13" t="s">
        <v>197</v>
      </c>
      <c r="F12" s="14">
        <v>2822413.9414824001</v>
      </c>
      <c r="G12" s="14">
        <f t="shared" ref="G12:O12" si="9">F12*$Q$3</f>
        <v>2893851.3833759152</v>
      </c>
      <c r="H12" s="14">
        <f t="shared" si="9"/>
        <v>2967096.9612162109</v>
      </c>
      <c r="I12" s="14">
        <f t="shared" si="9"/>
        <v>3042196.4402982835</v>
      </c>
      <c r="J12" s="14">
        <f t="shared" si="9"/>
        <v>3119196.7442715275</v>
      </c>
      <c r="K12" s="14">
        <f t="shared" si="9"/>
        <v>3198145.9844585657</v>
      </c>
      <c r="L12" s="14">
        <f t="shared" si="9"/>
        <v>3279093.4899161602</v>
      </c>
      <c r="M12" s="14">
        <f t="shared" si="9"/>
        <v>3362089.8382569905</v>
      </c>
      <c r="N12" s="14">
        <f t="shared" si="9"/>
        <v>3447186.8872515522</v>
      </c>
      <c r="O12" s="14">
        <f t="shared" si="9"/>
        <v>3534437.8072299231</v>
      </c>
      <c r="S12" s="5" t="s">
        <v>244</v>
      </c>
      <c r="T12" s="5" t="s">
        <v>160</v>
      </c>
      <c r="U12" s="5" t="s">
        <v>193</v>
      </c>
      <c r="V12" s="5" t="s">
        <v>194</v>
      </c>
      <c r="W12" s="5" t="s">
        <v>197</v>
      </c>
      <c r="X12" s="16">
        <v>3</v>
      </c>
      <c r="Y12" s="16">
        <v>3</v>
      </c>
      <c r="Z12" s="16">
        <v>3</v>
      </c>
      <c r="AA12" s="16">
        <v>3</v>
      </c>
      <c r="AB12" s="16">
        <v>3</v>
      </c>
      <c r="AC12" s="16">
        <v>3</v>
      </c>
      <c r="AD12" s="16">
        <v>3</v>
      </c>
      <c r="AE12" s="16">
        <v>3</v>
      </c>
      <c r="AF12" s="16">
        <v>3</v>
      </c>
      <c r="AG12" s="16">
        <v>3</v>
      </c>
    </row>
    <row r="13" spans="1:40" ht="19.95" customHeight="1" x14ac:dyDescent="0.4">
      <c r="A13" s="11" t="s">
        <v>274</v>
      </c>
      <c r="B13" s="11" t="s">
        <v>160</v>
      </c>
      <c r="C13" s="12" t="s">
        <v>193</v>
      </c>
      <c r="D13" s="12" t="s">
        <v>161</v>
      </c>
      <c r="E13" s="13" t="s">
        <v>198</v>
      </c>
      <c r="F13" s="14">
        <v>2822413.9414824001</v>
      </c>
      <c r="G13" s="14">
        <f t="shared" ref="G13:O13" si="10">F13*$Q$3</f>
        <v>2893851.3833759152</v>
      </c>
      <c r="H13" s="14">
        <f t="shared" si="10"/>
        <v>2967096.9612162109</v>
      </c>
      <c r="I13" s="14">
        <f t="shared" si="10"/>
        <v>3042196.4402982835</v>
      </c>
      <c r="J13" s="14">
        <f t="shared" si="10"/>
        <v>3119196.7442715275</v>
      </c>
      <c r="K13" s="14">
        <f t="shared" si="10"/>
        <v>3198145.9844585657</v>
      </c>
      <c r="L13" s="14">
        <f t="shared" si="10"/>
        <v>3279093.4899161602</v>
      </c>
      <c r="M13" s="14">
        <f t="shared" si="10"/>
        <v>3362089.8382569905</v>
      </c>
      <c r="N13" s="14">
        <f t="shared" si="10"/>
        <v>3447186.8872515522</v>
      </c>
      <c r="O13" s="14">
        <f t="shared" si="10"/>
        <v>3534437.8072299231</v>
      </c>
      <c r="S13" s="5" t="s">
        <v>245</v>
      </c>
      <c r="T13" s="5" t="s">
        <v>160</v>
      </c>
      <c r="U13" s="5" t="s">
        <v>193</v>
      </c>
      <c r="V13" s="5" t="s">
        <v>161</v>
      </c>
      <c r="W13" s="5" t="s">
        <v>198</v>
      </c>
      <c r="X13" s="16">
        <v>1</v>
      </c>
      <c r="Y13" s="16">
        <v>1</v>
      </c>
      <c r="Z13" s="16">
        <v>1</v>
      </c>
      <c r="AA13" s="16">
        <v>1</v>
      </c>
      <c r="AB13" s="16">
        <v>1</v>
      </c>
      <c r="AC13" s="16">
        <v>1</v>
      </c>
      <c r="AD13" s="16">
        <v>1</v>
      </c>
      <c r="AE13" s="16">
        <v>1</v>
      </c>
      <c r="AF13" s="16">
        <v>1</v>
      </c>
      <c r="AG13" s="16">
        <v>1</v>
      </c>
    </row>
    <row r="14" spans="1:40" ht="19.95" customHeight="1" x14ac:dyDescent="0.4">
      <c r="A14" s="11" t="s">
        <v>275</v>
      </c>
      <c r="B14" s="11" t="s">
        <v>160</v>
      </c>
      <c r="C14" s="12" t="s">
        <v>193</v>
      </c>
      <c r="D14" s="12" t="s">
        <v>199</v>
      </c>
      <c r="E14" s="13" t="s">
        <v>198</v>
      </c>
      <c r="F14" s="14">
        <v>2822413.9414824001</v>
      </c>
      <c r="G14" s="14">
        <f t="shared" ref="G14:O14" si="11">F14*$Q$3</f>
        <v>2893851.3833759152</v>
      </c>
      <c r="H14" s="14">
        <f t="shared" si="11"/>
        <v>2967096.9612162109</v>
      </c>
      <c r="I14" s="14">
        <f t="shared" si="11"/>
        <v>3042196.4402982835</v>
      </c>
      <c r="J14" s="14">
        <f t="shared" si="11"/>
        <v>3119196.7442715275</v>
      </c>
      <c r="K14" s="14">
        <f t="shared" si="11"/>
        <v>3198145.9844585657</v>
      </c>
      <c r="L14" s="14">
        <f t="shared" si="11"/>
        <v>3279093.4899161602</v>
      </c>
      <c r="M14" s="14">
        <f t="shared" si="11"/>
        <v>3362089.8382569905</v>
      </c>
      <c r="N14" s="14">
        <f t="shared" si="11"/>
        <v>3447186.8872515522</v>
      </c>
      <c r="O14" s="14">
        <f t="shared" si="11"/>
        <v>3534437.8072299231</v>
      </c>
      <c r="S14" s="5" t="s">
        <v>246</v>
      </c>
      <c r="T14" s="5" t="s">
        <v>160</v>
      </c>
      <c r="U14" s="5" t="s">
        <v>193</v>
      </c>
      <c r="V14" s="5" t="s">
        <v>199</v>
      </c>
      <c r="W14" s="5" t="s">
        <v>198</v>
      </c>
      <c r="X14" s="16">
        <v>1</v>
      </c>
      <c r="Y14" s="16">
        <v>1</v>
      </c>
      <c r="Z14" s="16">
        <v>1</v>
      </c>
      <c r="AA14" s="16">
        <v>1</v>
      </c>
      <c r="AB14" s="16">
        <v>1</v>
      </c>
      <c r="AC14" s="16">
        <v>1</v>
      </c>
      <c r="AD14" s="16">
        <v>1</v>
      </c>
      <c r="AE14" s="16">
        <v>1</v>
      </c>
      <c r="AF14" s="16">
        <v>1</v>
      </c>
      <c r="AG14" s="16">
        <v>1</v>
      </c>
    </row>
    <row r="15" spans="1:40" ht="19.95" customHeight="1" x14ac:dyDescent="0.4">
      <c r="A15" s="11" t="s">
        <v>276</v>
      </c>
      <c r="B15" s="11" t="s">
        <v>160</v>
      </c>
      <c r="C15" s="12" t="s">
        <v>193</v>
      </c>
      <c r="D15" s="12" t="s">
        <v>192</v>
      </c>
      <c r="E15" s="13" t="s">
        <v>198</v>
      </c>
      <c r="F15" s="14">
        <v>2822413.9414824001</v>
      </c>
      <c r="G15" s="14">
        <f t="shared" ref="G15:O15" si="12">F15*$Q$3</f>
        <v>2893851.3833759152</v>
      </c>
      <c r="H15" s="14">
        <f t="shared" si="12"/>
        <v>2967096.9612162109</v>
      </c>
      <c r="I15" s="14">
        <f t="shared" si="12"/>
        <v>3042196.4402982835</v>
      </c>
      <c r="J15" s="14">
        <f t="shared" si="12"/>
        <v>3119196.7442715275</v>
      </c>
      <c r="K15" s="14">
        <f t="shared" si="12"/>
        <v>3198145.9844585657</v>
      </c>
      <c r="L15" s="14">
        <f t="shared" si="12"/>
        <v>3279093.4899161602</v>
      </c>
      <c r="M15" s="14">
        <f t="shared" si="12"/>
        <v>3362089.8382569905</v>
      </c>
      <c r="N15" s="14">
        <f t="shared" si="12"/>
        <v>3447186.8872515522</v>
      </c>
      <c r="O15" s="14">
        <f t="shared" si="12"/>
        <v>3534437.8072299231</v>
      </c>
      <c r="S15" s="5" t="s">
        <v>247</v>
      </c>
      <c r="T15" s="5" t="s">
        <v>160</v>
      </c>
      <c r="U15" s="5" t="s">
        <v>193</v>
      </c>
      <c r="V15" s="5" t="s">
        <v>192</v>
      </c>
      <c r="W15" s="5" t="s">
        <v>198</v>
      </c>
      <c r="X15" s="16">
        <v>2</v>
      </c>
      <c r="Y15" s="16">
        <v>2</v>
      </c>
      <c r="Z15" s="16">
        <v>2</v>
      </c>
      <c r="AA15" s="16">
        <v>2</v>
      </c>
      <c r="AB15" s="16">
        <v>2</v>
      </c>
      <c r="AC15" s="16">
        <v>2</v>
      </c>
      <c r="AD15" s="16">
        <v>2</v>
      </c>
      <c r="AE15" s="16">
        <v>2</v>
      </c>
      <c r="AF15" s="16">
        <v>2</v>
      </c>
      <c r="AG15" s="16">
        <v>2</v>
      </c>
    </row>
    <row r="16" spans="1:40" ht="19.95" customHeight="1" x14ac:dyDescent="0.4">
      <c r="A16" s="11" t="s">
        <v>277</v>
      </c>
      <c r="B16" s="11" t="s">
        <v>160</v>
      </c>
      <c r="C16" s="12" t="s">
        <v>193</v>
      </c>
      <c r="D16" s="12" t="s">
        <v>192</v>
      </c>
      <c r="E16" s="13" t="s">
        <v>203</v>
      </c>
      <c r="F16" s="14">
        <v>2577095.0131125199</v>
      </c>
      <c r="G16" s="14">
        <f t="shared" ref="G16:O16" si="13">F16*$Q$3</f>
        <v>2642323.2464866075</v>
      </c>
      <c r="H16" s="14">
        <f t="shared" si="13"/>
        <v>2709202.4560208507</v>
      </c>
      <c r="I16" s="14">
        <f t="shared" si="13"/>
        <v>2777774.4291766048</v>
      </c>
      <c r="J16" s="14">
        <f t="shared" si="13"/>
        <v>2848082.0110876309</v>
      </c>
      <c r="K16" s="14">
        <f t="shared" si="13"/>
        <v>2920169.1313305874</v>
      </c>
      <c r="L16" s="14">
        <f t="shared" si="13"/>
        <v>2994080.8313731044</v>
      </c>
      <c r="M16" s="14">
        <f t="shared" si="13"/>
        <v>3069863.2927165893</v>
      </c>
      <c r="N16" s="14">
        <f t="shared" si="13"/>
        <v>3147563.8657513484</v>
      </c>
      <c r="O16" s="14">
        <f t="shared" si="13"/>
        <v>3227231.0993420528</v>
      </c>
      <c r="S16" s="5" t="s">
        <v>248</v>
      </c>
      <c r="T16" s="5" t="s">
        <v>160</v>
      </c>
      <c r="U16" s="5" t="s">
        <v>193</v>
      </c>
      <c r="V16" s="5" t="s">
        <v>192</v>
      </c>
      <c r="W16" s="5" t="s">
        <v>203</v>
      </c>
      <c r="X16" s="16">
        <v>2</v>
      </c>
      <c r="Y16" s="16">
        <v>2</v>
      </c>
      <c r="Z16" s="16">
        <v>2</v>
      </c>
      <c r="AA16" s="16">
        <v>2</v>
      </c>
      <c r="AB16" s="16">
        <v>2</v>
      </c>
      <c r="AC16" s="16">
        <v>2</v>
      </c>
      <c r="AD16" s="16">
        <v>2</v>
      </c>
      <c r="AE16" s="16">
        <v>2</v>
      </c>
      <c r="AF16" s="16">
        <v>2</v>
      </c>
      <c r="AG16" s="16">
        <v>2</v>
      </c>
    </row>
    <row r="17" spans="1:33" ht="19.95" customHeight="1" x14ac:dyDescent="0.4">
      <c r="A17" s="11" t="s">
        <v>278</v>
      </c>
      <c r="B17" s="11" t="s">
        <v>160</v>
      </c>
      <c r="C17" s="12" t="s">
        <v>193</v>
      </c>
      <c r="D17" s="12" t="s">
        <v>200</v>
      </c>
      <c r="E17" s="13" t="s">
        <v>198</v>
      </c>
      <c r="F17" s="14">
        <v>2822413.9414824001</v>
      </c>
      <c r="G17" s="14">
        <f t="shared" ref="G17" si="14">F17*$Q$3</f>
        <v>2893851.3833759152</v>
      </c>
      <c r="H17" s="14">
        <f t="shared" ref="H17:O17" si="15">G17*$Q$3</f>
        <v>2967096.9612162109</v>
      </c>
      <c r="I17" s="14">
        <f t="shared" si="15"/>
        <v>3042196.4402982835</v>
      </c>
      <c r="J17" s="14">
        <f t="shared" si="15"/>
        <v>3119196.7442715275</v>
      </c>
      <c r="K17" s="14">
        <f t="shared" si="15"/>
        <v>3198145.9844585657</v>
      </c>
      <c r="L17" s="14">
        <f t="shared" si="15"/>
        <v>3279093.4899161602</v>
      </c>
      <c r="M17" s="14">
        <f t="shared" si="15"/>
        <v>3362089.8382569905</v>
      </c>
      <c r="N17" s="14">
        <f t="shared" si="15"/>
        <v>3447186.8872515522</v>
      </c>
      <c r="O17" s="14">
        <f t="shared" si="15"/>
        <v>3534437.8072299231</v>
      </c>
      <c r="S17" s="5" t="s">
        <v>249</v>
      </c>
      <c r="T17" s="5" t="s">
        <v>160</v>
      </c>
      <c r="U17" s="5" t="s">
        <v>193</v>
      </c>
      <c r="V17" s="5" t="s">
        <v>200</v>
      </c>
      <c r="W17" s="5" t="s">
        <v>198</v>
      </c>
      <c r="X17" s="16">
        <v>1</v>
      </c>
      <c r="Y17" s="16">
        <v>1</v>
      </c>
      <c r="Z17" s="16">
        <v>1</v>
      </c>
      <c r="AA17" s="16">
        <v>1</v>
      </c>
      <c r="AB17" s="16">
        <v>1</v>
      </c>
      <c r="AC17" s="16">
        <v>1</v>
      </c>
      <c r="AD17" s="16">
        <v>1</v>
      </c>
      <c r="AE17" s="16">
        <v>1</v>
      </c>
      <c r="AF17" s="16">
        <v>1</v>
      </c>
      <c r="AG17" s="16">
        <v>1</v>
      </c>
    </row>
    <row r="18" spans="1:33" ht="19.95" customHeight="1" x14ac:dyDescent="0.4">
      <c r="A18" s="34" t="s">
        <v>255</v>
      </c>
      <c r="B18" s="34" t="s">
        <v>257</v>
      </c>
      <c r="C18" s="35" t="s">
        <v>193</v>
      </c>
      <c r="D18" s="35" t="s">
        <v>250</v>
      </c>
      <c r="E18" s="34" t="s">
        <v>251</v>
      </c>
      <c r="F18" s="36">
        <v>2822413.9414824001</v>
      </c>
      <c r="G18" s="36">
        <f t="shared" ref="G18:O18" si="16">F18*$Q$3</f>
        <v>2893851.3833759152</v>
      </c>
      <c r="H18" s="36">
        <f t="shared" si="16"/>
        <v>2967096.9612162109</v>
      </c>
      <c r="I18" s="36">
        <f t="shared" si="16"/>
        <v>3042196.4402982835</v>
      </c>
      <c r="J18" s="36">
        <f t="shared" si="16"/>
        <v>3119196.7442715275</v>
      </c>
      <c r="K18" s="36">
        <f t="shared" si="16"/>
        <v>3198145.9844585657</v>
      </c>
      <c r="L18" s="36">
        <f t="shared" si="16"/>
        <v>3279093.4899161602</v>
      </c>
      <c r="M18" s="36">
        <f t="shared" si="16"/>
        <v>3362089.8382569905</v>
      </c>
      <c r="N18" s="36">
        <f t="shared" si="16"/>
        <v>3447186.8872515522</v>
      </c>
      <c r="O18" s="36">
        <f t="shared" si="16"/>
        <v>3534437.8072299231</v>
      </c>
      <c r="S18" s="34" t="s">
        <v>255</v>
      </c>
      <c r="T18" s="34" t="s">
        <v>257</v>
      </c>
      <c r="U18" s="35" t="s">
        <v>193</v>
      </c>
      <c r="V18" s="35" t="s">
        <v>250</v>
      </c>
      <c r="W18" s="34" t="s">
        <v>251</v>
      </c>
      <c r="X18" s="37">
        <v>0</v>
      </c>
      <c r="Y18" s="37">
        <v>0</v>
      </c>
      <c r="Z18" s="37">
        <v>0</v>
      </c>
      <c r="AA18" s="37">
        <v>0</v>
      </c>
      <c r="AB18" s="37">
        <v>0</v>
      </c>
      <c r="AC18" s="37">
        <v>0</v>
      </c>
      <c r="AD18" s="37">
        <v>0</v>
      </c>
      <c r="AE18" s="37">
        <v>0</v>
      </c>
      <c r="AF18" s="37">
        <v>0</v>
      </c>
      <c r="AG18" s="37">
        <v>0</v>
      </c>
    </row>
    <row r="19" spans="1:33" ht="19.95" customHeight="1" x14ac:dyDescent="0.4">
      <c r="A19" s="34" t="s">
        <v>279</v>
      </c>
      <c r="B19" s="34" t="s">
        <v>257</v>
      </c>
      <c r="C19" s="35" t="s">
        <v>175</v>
      </c>
      <c r="D19" s="35" t="s">
        <v>250</v>
      </c>
      <c r="E19" s="34" t="s">
        <v>175</v>
      </c>
      <c r="F19" s="36">
        <v>2475400.5906926799</v>
      </c>
      <c r="G19" s="36">
        <f t="shared" ref="G19:O19" si="17">F19*$Q$3</f>
        <v>2538054.8609475605</v>
      </c>
      <c r="H19" s="36">
        <f t="shared" si="17"/>
        <v>2602294.9583998374</v>
      </c>
      <c r="I19" s="36">
        <f t="shared" si="17"/>
        <v>2668161.0215411056</v>
      </c>
      <c r="J19" s="36">
        <f t="shared" si="17"/>
        <v>2735694.2047986872</v>
      </c>
      <c r="K19" s="36">
        <f t="shared" si="17"/>
        <v>2804936.7042497378</v>
      </c>
      <c r="L19" s="36">
        <f t="shared" si="17"/>
        <v>2875931.7839861941</v>
      </c>
      <c r="M19" s="36">
        <f t="shared" si="17"/>
        <v>2948723.8031470403</v>
      </c>
      <c r="N19" s="36">
        <f t="shared" si="17"/>
        <v>3023358.2436347823</v>
      </c>
      <c r="O19" s="36">
        <f t="shared" si="17"/>
        <v>3099881.7385334438</v>
      </c>
      <c r="S19" s="34" t="s">
        <v>279</v>
      </c>
      <c r="T19" s="34" t="s">
        <v>257</v>
      </c>
      <c r="U19" s="35" t="s">
        <v>175</v>
      </c>
      <c r="V19" s="35" t="s">
        <v>250</v>
      </c>
      <c r="W19" s="34" t="s">
        <v>175</v>
      </c>
      <c r="X19" s="37">
        <v>19.5</v>
      </c>
      <c r="Y19" s="37">
        <v>34</v>
      </c>
      <c r="Z19" s="37">
        <v>34</v>
      </c>
      <c r="AA19" s="37">
        <v>34</v>
      </c>
      <c r="AB19" s="37">
        <v>34</v>
      </c>
      <c r="AC19" s="37">
        <v>34</v>
      </c>
      <c r="AD19" s="37">
        <v>34</v>
      </c>
      <c r="AE19" s="37">
        <v>34</v>
      </c>
      <c r="AF19" s="37">
        <v>34</v>
      </c>
      <c r="AG19" s="37">
        <v>34</v>
      </c>
    </row>
    <row r="20" spans="1:33" ht="19.95" customHeight="1" x14ac:dyDescent="0.4">
      <c r="A20" s="34" t="s">
        <v>280</v>
      </c>
      <c r="B20" s="34" t="s">
        <v>257</v>
      </c>
      <c r="C20" s="35" t="s">
        <v>175</v>
      </c>
      <c r="D20" s="35" t="s">
        <v>252</v>
      </c>
      <c r="E20" s="34" t="s">
        <v>175</v>
      </c>
      <c r="F20" s="36">
        <v>2810805.3730576797</v>
      </c>
      <c r="G20" s="36">
        <f t="shared" ref="G20:O20" si="18">F20*$Q$3</f>
        <v>2881948.9932618532</v>
      </c>
      <c r="H20" s="36">
        <f t="shared" si="18"/>
        <v>2954893.3125625458</v>
      </c>
      <c r="I20" s="36">
        <f t="shared" si="18"/>
        <v>3029683.9080224214</v>
      </c>
      <c r="J20" s="36">
        <f t="shared" si="18"/>
        <v>3106367.510294239</v>
      </c>
      <c r="K20" s="36">
        <f t="shared" si="18"/>
        <v>3184992.0328190941</v>
      </c>
      <c r="L20" s="36">
        <f t="shared" si="18"/>
        <v>3265606.6017636904</v>
      </c>
      <c r="M20" s="36">
        <f t="shared" si="18"/>
        <v>3348261.5867153467</v>
      </c>
      <c r="N20" s="36">
        <f t="shared" si="18"/>
        <v>3433008.632153918</v>
      </c>
      <c r="O20" s="36">
        <f t="shared" si="18"/>
        <v>3519900.689720294</v>
      </c>
      <c r="S20" s="34" t="s">
        <v>280</v>
      </c>
      <c r="T20" s="34" t="s">
        <v>257</v>
      </c>
      <c r="U20" s="35" t="s">
        <v>175</v>
      </c>
      <c r="V20" s="35" t="s">
        <v>252</v>
      </c>
      <c r="W20" s="34" t="s">
        <v>175</v>
      </c>
      <c r="X20" s="37">
        <v>4</v>
      </c>
      <c r="Y20" s="37">
        <v>4</v>
      </c>
      <c r="Z20" s="37">
        <v>4</v>
      </c>
      <c r="AA20" s="37">
        <v>4</v>
      </c>
      <c r="AB20" s="37">
        <v>4</v>
      </c>
      <c r="AC20" s="37">
        <v>4</v>
      </c>
      <c r="AD20" s="37">
        <v>4</v>
      </c>
      <c r="AE20" s="37">
        <v>4</v>
      </c>
      <c r="AF20" s="37">
        <v>4</v>
      </c>
      <c r="AG20" s="37">
        <v>4</v>
      </c>
    </row>
    <row r="21" spans="1:33" ht="19.95" customHeight="1" x14ac:dyDescent="0.4">
      <c r="A21" s="34" t="s">
        <v>281</v>
      </c>
      <c r="B21" s="34" t="s">
        <v>257</v>
      </c>
      <c r="C21" s="35" t="s">
        <v>175</v>
      </c>
      <c r="D21" s="35" t="s">
        <v>252</v>
      </c>
      <c r="E21" s="34" t="s">
        <v>253</v>
      </c>
      <c r="F21" s="36">
        <v>2268632.3215880399</v>
      </c>
      <c r="G21" s="36">
        <f t="shared" ref="G21:O21" si="19">F21*$Q$3</f>
        <v>2326053.1298079975</v>
      </c>
      <c r="H21" s="36">
        <f t="shared" si="19"/>
        <v>2384927.3023238163</v>
      </c>
      <c r="I21" s="36">
        <f t="shared" si="19"/>
        <v>2445291.6248903819</v>
      </c>
      <c r="J21" s="36">
        <f t="shared" si="19"/>
        <v>2507183.8143379926</v>
      </c>
      <c r="K21" s="36">
        <f t="shared" si="19"/>
        <v>2570642.5421385858</v>
      </c>
      <c r="L21" s="36">
        <f t="shared" si="19"/>
        <v>2635707.4585684454</v>
      </c>
      <c r="M21" s="36">
        <f t="shared" si="19"/>
        <v>2702419.2174824812</v>
      </c>
      <c r="N21" s="36">
        <f t="shared" si="19"/>
        <v>2770819.5017155679</v>
      </c>
      <c r="O21" s="36">
        <f t="shared" si="19"/>
        <v>2840951.0491268104</v>
      </c>
      <c r="S21" s="34" t="s">
        <v>281</v>
      </c>
      <c r="T21" s="34" t="s">
        <v>257</v>
      </c>
      <c r="U21" s="35" t="s">
        <v>175</v>
      </c>
      <c r="V21" s="35" t="s">
        <v>252</v>
      </c>
      <c r="W21" s="34" t="s">
        <v>253</v>
      </c>
      <c r="X21" s="37">
        <v>2</v>
      </c>
      <c r="Y21" s="37">
        <v>2</v>
      </c>
      <c r="Z21" s="37">
        <v>2</v>
      </c>
      <c r="AA21" s="37">
        <v>2</v>
      </c>
      <c r="AB21" s="37">
        <v>2</v>
      </c>
      <c r="AC21" s="37">
        <v>2</v>
      </c>
      <c r="AD21" s="37">
        <v>2</v>
      </c>
      <c r="AE21" s="37">
        <v>2</v>
      </c>
      <c r="AF21" s="37">
        <v>2</v>
      </c>
      <c r="AG21" s="37">
        <v>2</v>
      </c>
    </row>
    <row r="22" spans="1:33" ht="19.95" customHeight="1" x14ac:dyDescent="0.4">
      <c r="A22" s="34" t="s">
        <v>282</v>
      </c>
      <c r="B22" s="34" t="s">
        <v>257</v>
      </c>
      <c r="C22" s="35" t="s">
        <v>193</v>
      </c>
      <c r="D22" s="35" t="s">
        <v>194</v>
      </c>
      <c r="E22" s="34" t="s">
        <v>195</v>
      </c>
      <c r="F22" s="36">
        <v>3934599.2821772001</v>
      </c>
      <c r="G22" s="36">
        <f t="shared" ref="G22:O22" si="20">F22*$Q$3</f>
        <v>4034186.9803045592</v>
      </c>
      <c r="H22" s="36">
        <f t="shared" si="20"/>
        <v>4136295.3187581724</v>
      </c>
      <c r="I22" s="36">
        <f t="shared" si="20"/>
        <v>4240988.0968603836</v>
      </c>
      <c r="J22" s="36">
        <f t="shared" si="20"/>
        <v>4348330.7287428733</v>
      </c>
      <c r="K22" s="36">
        <f t="shared" si="20"/>
        <v>4458390.284218709</v>
      </c>
      <c r="L22" s="36">
        <f t="shared" si="20"/>
        <v>4571235.5306889005</v>
      </c>
      <c r="M22" s="36">
        <f t="shared" si="20"/>
        <v>4686936.9761096397</v>
      </c>
      <c r="N22" s="36">
        <f t="shared" si="20"/>
        <v>4805566.9130470762</v>
      </c>
      <c r="O22" s="36">
        <f t="shared" si="20"/>
        <v>4927199.463847152</v>
      </c>
      <c r="S22" s="34" t="s">
        <v>282</v>
      </c>
      <c r="T22" s="34" t="s">
        <v>257</v>
      </c>
      <c r="U22" s="35" t="s">
        <v>193</v>
      </c>
      <c r="V22" s="35" t="s">
        <v>194</v>
      </c>
      <c r="W22" s="34" t="s">
        <v>195</v>
      </c>
      <c r="X22" s="37">
        <v>1</v>
      </c>
      <c r="Y22" s="37">
        <v>1</v>
      </c>
      <c r="Z22" s="37">
        <v>1</v>
      </c>
      <c r="AA22" s="37">
        <v>1</v>
      </c>
      <c r="AB22" s="37">
        <v>1</v>
      </c>
      <c r="AC22" s="37">
        <v>1</v>
      </c>
      <c r="AD22" s="37">
        <v>1</v>
      </c>
      <c r="AE22" s="37">
        <v>1</v>
      </c>
      <c r="AF22" s="37">
        <v>1</v>
      </c>
      <c r="AG22" s="37">
        <v>1</v>
      </c>
    </row>
    <row r="23" spans="1:33" ht="19.95" customHeight="1" x14ac:dyDescent="0.4">
      <c r="A23" s="34" t="s">
        <v>283</v>
      </c>
      <c r="B23" s="34" t="s">
        <v>257</v>
      </c>
      <c r="C23" s="35" t="s">
        <v>193</v>
      </c>
      <c r="D23" s="35" t="s">
        <v>194</v>
      </c>
      <c r="E23" s="34" t="s">
        <v>197</v>
      </c>
      <c r="F23" s="36">
        <v>2822413.9414824001</v>
      </c>
      <c r="G23" s="36">
        <f t="shared" ref="G23:O23" si="21">F23*$Q$3</f>
        <v>2893851.3833759152</v>
      </c>
      <c r="H23" s="36">
        <f t="shared" si="21"/>
        <v>2967096.9612162109</v>
      </c>
      <c r="I23" s="36">
        <f t="shared" si="21"/>
        <v>3042196.4402982835</v>
      </c>
      <c r="J23" s="36">
        <f t="shared" si="21"/>
        <v>3119196.7442715275</v>
      </c>
      <c r="K23" s="36">
        <f t="shared" si="21"/>
        <v>3198145.9844585657</v>
      </c>
      <c r="L23" s="36">
        <f t="shared" si="21"/>
        <v>3279093.4899161602</v>
      </c>
      <c r="M23" s="36">
        <f t="shared" si="21"/>
        <v>3362089.8382569905</v>
      </c>
      <c r="N23" s="36">
        <f t="shared" si="21"/>
        <v>3447186.8872515522</v>
      </c>
      <c r="O23" s="36">
        <f t="shared" si="21"/>
        <v>3534437.8072299231</v>
      </c>
      <c r="S23" s="34" t="s">
        <v>283</v>
      </c>
      <c r="T23" s="34" t="s">
        <v>257</v>
      </c>
      <c r="U23" s="35" t="s">
        <v>193</v>
      </c>
      <c r="V23" s="35" t="s">
        <v>194</v>
      </c>
      <c r="W23" s="34" t="s">
        <v>197</v>
      </c>
      <c r="X23" s="37">
        <v>2.25</v>
      </c>
      <c r="Y23" s="37">
        <v>1</v>
      </c>
      <c r="Z23" s="37">
        <v>1</v>
      </c>
      <c r="AA23" s="37">
        <v>1</v>
      </c>
      <c r="AB23" s="37">
        <v>1</v>
      </c>
      <c r="AC23" s="37">
        <v>1</v>
      </c>
      <c r="AD23" s="37">
        <v>1</v>
      </c>
      <c r="AE23" s="37">
        <v>1</v>
      </c>
      <c r="AF23" s="37">
        <v>1</v>
      </c>
      <c r="AG23" s="37">
        <v>1</v>
      </c>
    </row>
    <row r="24" spans="1:33" ht="19.95" customHeight="1" x14ac:dyDescent="0.4">
      <c r="A24" s="34" t="s">
        <v>284</v>
      </c>
      <c r="B24" s="34" t="s">
        <v>257</v>
      </c>
      <c r="C24" s="35" t="s">
        <v>193</v>
      </c>
      <c r="D24" s="35" t="s">
        <v>250</v>
      </c>
      <c r="E24" s="34" t="s">
        <v>198</v>
      </c>
      <c r="F24" s="36">
        <v>2822413.9414824001</v>
      </c>
      <c r="G24" s="36">
        <f t="shared" ref="G24:O24" si="22">F24*$Q$3</f>
        <v>2893851.3833759152</v>
      </c>
      <c r="H24" s="36">
        <f t="shared" si="22"/>
        <v>2967096.9612162109</v>
      </c>
      <c r="I24" s="36">
        <f t="shared" si="22"/>
        <v>3042196.4402982835</v>
      </c>
      <c r="J24" s="36">
        <f t="shared" si="22"/>
        <v>3119196.7442715275</v>
      </c>
      <c r="K24" s="36">
        <f t="shared" si="22"/>
        <v>3198145.9844585657</v>
      </c>
      <c r="L24" s="36">
        <f t="shared" si="22"/>
        <v>3279093.4899161602</v>
      </c>
      <c r="M24" s="36">
        <f t="shared" si="22"/>
        <v>3362089.8382569905</v>
      </c>
      <c r="N24" s="36">
        <f t="shared" si="22"/>
        <v>3447186.8872515522</v>
      </c>
      <c r="O24" s="36">
        <f t="shared" si="22"/>
        <v>3534437.8072299231</v>
      </c>
      <c r="S24" s="34" t="s">
        <v>284</v>
      </c>
      <c r="T24" s="34" t="s">
        <v>257</v>
      </c>
      <c r="U24" s="35" t="s">
        <v>193</v>
      </c>
      <c r="V24" s="35" t="s">
        <v>250</v>
      </c>
      <c r="W24" s="34" t="s">
        <v>198</v>
      </c>
      <c r="X24" s="37">
        <v>3.5</v>
      </c>
      <c r="Y24" s="37">
        <v>3</v>
      </c>
      <c r="Z24" s="37">
        <v>3</v>
      </c>
      <c r="AA24" s="37">
        <v>3</v>
      </c>
      <c r="AB24" s="37">
        <v>3</v>
      </c>
      <c r="AC24" s="37">
        <v>3</v>
      </c>
      <c r="AD24" s="37">
        <v>3</v>
      </c>
      <c r="AE24" s="37">
        <v>3</v>
      </c>
      <c r="AF24" s="37">
        <v>3</v>
      </c>
      <c r="AG24" s="37">
        <v>3</v>
      </c>
    </row>
    <row r="25" spans="1:33" ht="19.95" customHeight="1" x14ac:dyDescent="0.4">
      <c r="A25" s="34" t="s">
        <v>285</v>
      </c>
      <c r="B25" s="34" t="s">
        <v>257</v>
      </c>
      <c r="C25" s="35" t="s">
        <v>193</v>
      </c>
      <c r="D25" s="35" t="s">
        <v>252</v>
      </c>
      <c r="E25" s="34" t="s">
        <v>198</v>
      </c>
      <c r="F25" s="36">
        <v>2822413.9414824001</v>
      </c>
      <c r="G25" s="36">
        <f t="shared" ref="G25:O25" si="23">F25*$Q$3</f>
        <v>2893851.3833759152</v>
      </c>
      <c r="H25" s="36">
        <f t="shared" si="23"/>
        <v>2967096.9612162109</v>
      </c>
      <c r="I25" s="36">
        <f t="shared" si="23"/>
        <v>3042196.4402982835</v>
      </c>
      <c r="J25" s="36">
        <f t="shared" si="23"/>
        <v>3119196.7442715275</v>
      </c>
      <c r="K25" s="36">
        <f t="shared" si="23"/>
        <v>3198145.9844585657</v>
      </c>
      <c r="L25" s="36">
        <f t="shared" si="23"/>
        <v>3279093.4899161602</v>
      </c>
      <c r="M25" s="36">
        <f t="shared" si="23"/>
        <v>3362089.8382569905</v>
      </c>
      <c r="N25" s="36">
        <f t="shared" si="23"/>
        <v>3447186.8872515522</v>
      </c>
      <c r="O25" s="36">
        <f t="shared" si="23"/>
        <v>3534437.8072299231</v>
      </c>
      <c r="S25" s="34" t="s">
        <v>285</v>
      </c>
      <c r="T25" s="34" t="s">
        <v>257</v>
      </c>
      <c r="U25" s="35" t="s">
        <v>193</v>
      </c>
      <c r="V25" s="35" t="s">
        <v>252</v>
      </c>
      <c r="W25" s="34" t="s">
        <v>198</v>
      </c>
      <c r="X25" s="37">
        <v>2</v>
      </c>
      <c r="Y25" s="37">
        <v>2</v>
      </c>
      <c r="Z25" s="37">
        <v>2</v>
      </c>
      <c r="AA25" s="37">
        <v>2</v>
      </c>
      <c r="AB25" s="37">
        <v>2</v>
      </c>
      <c r="AC25" s="37">
        <v>2</v>
      </c>
      <c r="AD25" s="37">
        <v>2</v>
      </c>
      <c r="AE25" s="37">
        <v>2</v>
      </c>
      <c r="AF25" s="37">
        <v>2</v>
      </c>
      <c r="AG25" s="37">
        <v>2</v>
      </c>
    </row>
    <row r="26" spans="1:33" ht="19.95" customHeight="1" x14ac:dyDescent="0.4">
      <c r="A26" s="30" t="s">
        <v>301</v>
      </c>
      <c r="B26" s="30" t="s">
        <v>317</v>
      </c>
      <c r="C26" s="31" t="s">
        <v>193</v>
      </c>
      <c r="D26" s="31" t="s">
        <v>250</v>
      </c>
      <c r="E26" s="30" t="s">
        <v>251</v>
      </c>
      <c r="F26" s="32">
        <v>2839545.85897124</v>
      </c>
      <c r="G26" s="32">
        <f t="shared" ref="G26:O26" si="24">F26*$Q$3</f>
        <v>2911416.9227166548</v>
      </c>
      <c r="H26" s="32">
        <f t="shared" si="24"/>
        <v>2985107.0977074746</v>
      </c>
      <c r="I26" s="32">
        <f t="shared" si="24"/>
        <v>3060662.4270318449</v>
      </c>
      <c r="J26" s="32">
        <f t="shared" si="24"/>
        <v>3138130.1191634652</v>
      </c>
      <c r="K26" s="32">
        <f t="shared" si="24"/>
        <v>3217558.577458383</v>
      </c>
      <c r="L26" s="32">
        <f t="shared" si="24"/>
        <v>3298997.4303983734</v>
      </c>
      <c r="M26" s="32">
        <f t="shared" si="24"/>
        <v>3382497.5625998033</v>
      </c>
      <c r="N26" s="32">
        <f t="shared" si="24"/>
        <v>3468111.146607352</v>
      </c>
      <c r="O26" s="32">
        <f t="shared" si="24"/>
        <v>3555891.6754924553</v>
      </c>
      <c r="S26" s="30" t="s">
        <v>301</v>
      </c>
      <c r="T26" s="30" t="s">
        <v>317</v>
      </c>
      <c r="U26" s="31" t="s">
        <v>193</v>
      </c>
      <c r="V26" s="31" t="s">
        <v>250</v>
      </c>
      <c r="W26" s="30" t="s">
        <v>251</v>
      </c>
      <c r="X26" s="33">
        <v>0</v>
      </c>
      <c r="Y26" s="33">
        <v>0</v>
      </c>
      <c r="Z26" s="33">
        <v>0</v>
      </c>
      <c r="AA26" s="33">
        <v>0</v>
      </c>
      <c r="AB26" s="33">
        <v>0</v>
      </c>
      <c r="AC26" s="33">
        <v>0</v>
      </c>
      <c r="AD26" s="33">
        <v>0</v>
      </c>
      <c r="AE26" s="33">
        <v>0</v>
      </c>
      <c r="AF26" s="33">
        <v>0</v>
      </c>
      <c r="AG26" s="33">
        <v>0</v>
      </c>
    </row>
    <row r="27" spans="1:33" ht="19.95" customHeight="1" x14ac:dyDescent="0.4">
      <c r="A27" s="30" t="s">
        <v>318</v>
      </c>
      <c r="B27" s="30" t="s">
        <v>317</v>
      </c>
      <c r="C27" s="31" t="s">
        <v>175</v>
      </c>
      <c r="D27" s="31" t="s">
        <v>250</v>
      </c>
      <c r="E27" s="30" t="s">
        <v>286</v>
      </c>
      <c r="F27" s="32">
        <v>2475400.5906926799</v>
      </c>
      <c r="G27" s="32">
        <f t="shared" ref="G27:O27" si="25">F27*$Q$3</f>
        <v>2538054.8609475605</v>
      </c>
      <c r="H27" s="32">
        <f t="shared" si="25"/>
        <v>2602294.9583998374</v>
      </c>
      <c r="I27" s="32">
        <f t="shared" si="25"/>
        <v>2668161.0215411056</v>
      </c>
      <c r="J27" s="32">
        <f t="shared" si="25"/>
        <v>2735694.2047986872</v>
      </c>
      <c r="K27" s="32">
        <f t="shared" si="25"/>
        <v>2804936.7042497378</v>
      </c>
      <c r="L27" s="32">
        <f t="shared" si="25"/>
        <v>2875931.7839861941</v>
      </c>
      <c r="M27" s="32">
        <f t="shared" si="25"/>
        <v>2948723.8031470403</v>
      </c>
      <c r="N27" s="32">
        <f t="shared" si="25"/>
        <v>3023358.2436347823</v>
      </c>
      <c r="O27" s="32">
        <f t="shared" si="25"/>
        <v>3099881.7385334438</v>
      </c>
      <c r="S27" s="30" t="s">
        <v>318</v>
      </c>
      <c r="T27" s="30" t="s">
        <v>317</v>
      </c>
      <c r="U27" s="31" t="s">
        <v>175</v>
      </c>
      <c r="V27" s="31" t="s">
        <v>250</v>
      </c>
      <c r="W27" s="30" t="s">
        <v>286</v>
      </c>
      <c r="X27" s="33">
        <v>11.25</v>
      </c>
      <c r="Y27" s="33">
        <v>15</v>
      </c>
      <c r="Z27" s="33">
        <v>15</v>
      </c>
      <c r="AA27" s="33">
        <v>15</v>
      </c>
      <c r="AB27" s="33">
        <v>15</v>
      </c>
      <c r="AC27" s="33">
        <v>15</v>
      </c>
      <c r="AD27" s="33">
        <v>15</v>
      </c>
      <c r="AE27" s="33">
        <v>15</v>
      </c>
      <c r="AF27" s="33">
        <v>15</v>
      </c>
      <c r="AG27" s="33">
        <v>15</v>
      </c>
    </row>
    <row r="28" spans="1:33" ht="19.95" customHeight="1" x14ac:dyDescent="0.4">
      <c r="A28" s="30" t="s">
        <v>319</v>
      </c>
      <c r="B28" s="30" t="s">
        <v>317</v>
      </c>
      <c r="C28" s="31" t="s">
        <v>175</v>
      </c>
      <c r="D28" s="31" t="s">
        <v>250</v>
      </c>
      <c r="E28" s="30" t="s">
        <v>287</v>
      </c>
      <c r="F28" s="32">
        <v>2475400.5906926799</v>
      </c>
      <c r="G28" s="32">
        <f t="shared" ref="G28:O28" si="26">F28*$Q$3</f>
        <v>2538054.8609475605</v>
      </c>
      <c r="H28" s="32">
        <f t="shared" si="26"/>
        <v>2602294.9583998374</v>
      </c>
      <c r="I28" s="32">
        <f t="shared" si="26"/>
        <v>2668161.0215411056</v>
      </c>
      <c r="J28" s="32">
        <f t="shared" si="26"/>
        <v>2735694.2047986872</v>
      </c>
      <c r="K28" s="32">
        <f t="shared" si="26"/>
        <v>2804936.7042497378</v>
      </c>
      <c r="L28" s="32">
        <f t="shared" si="26"/>
        <v>2875931.7839861941</v>
      </c>
      <c r="M28" s="32">
        <f t="shared" si="26"/>
        <v>2948723.8031470403</v>
      </c>
      <c r="N28" s="32">
        <f t="shared" si="26"/>
        <v>3023358.2436347823</v>
      </c>
      <c r="O28" s="32">
        <f t="shared" si="26"/>
        <v>3099881.7385334438</v>
      </c>
      <c r="S28" s="30" t="s">
        <v>319</v>
      </c>
      <c r="T28" s="30" t="s">
        <v>317</v>
      </c>
      <c r="U28" s="31" t="s">
        <v>175</v>
      </c>
      <c r="V28" s="31" t="s">
        <v>250</v>
      </c>
      <c r="W28" s="30" t="s">
        <v>287</v>
      </c>
      <c r="X28" s="33">
        <v>2.25</v>
      </c>
      <c r="Y28" s="33">
        <v>3</v>
      </c>
      <c r="Z28" s="33">
        <v>3</v>
      </c>
      <c r="AA28" s="33">
        <v>3</v>
      </c>
      <c r="AB28" s="33">
        <v>3</v>
      </c>
      <c r="AC28" s="33">
        <v>3</v>
      </c>
      <c r="AD28" s="33">
        <v>3</v>
      </c>
      <c r="AE28" s="33">
        <v>3</v>
      </c>
      <c r="AF28" s="33">
        <v>3</v>
      </c>
      <c r="AG28" s="33">
        <v>3</v>
      </c>
    </row>
    <row r="29" spans="1:33" ht="19.95" customHeight="1" x14ac:dyDescent="0.4">
      <c r="A29" s="30" t="s">
        <v>320</v>
      </c>
      <c r="B29" s="30" t="s">
        <v>317</v>
      </c>
      <c r="C29" s="31" t="s">
        <v>175</v>
      </c>
      <c r="D29" s="31" t="s">
        <v>250</v>
      </c>
      <c r="E29" s="30" t="s">
        <v>288</v>
      </c>
      <c r="F29" s="32">
        <v>1289775.3161913599</v>
      </c>
      <c r="G29" s="32">
        <f t="shared" ref="G29:O29" si="27">F29*$Q$3</f>
        <v>1322420.5096734036</v>
      </c>
      <c r="H29" s="32">
        <f t="shared" si="27"/>
        <v>1355891.9778128248</v>
      </c>
      <c r="I29" s="32">
        <f t="shared" si="27"/>
        <v>1390210.6342491705</v>
      </c>
      <c r="J29" s="32">
        <f t="shared" si="27"/>
        <v>1425397.9219620991</v>
      </c>
      <c r="K29" s="32">
        <f t="shared" si="27"/>
        <v>1461475.8266693805</v>
      </c>
      <c r="L29" s="32">
        <f t="shared" si="27"/>
        <v>1498466.8905640107</v>
      </c>
      <c r="M29" s="32">
        <f t="shared" si="27"/>
        <v>1536394.2263990226</v>
      </c>
      <c r="N29" s="32">
        <f t="shared" si="27"/>
        <v>1575281.531928794</v>
      </c>
      <c r="O29" s="32">
        <f t="shared" si="27"/>
        <v>1615153.104715876</v>
      </c>
      <c r="S29" s="30" t="s">
        <v>320</v>
      </c>
      <c r="T29" s="30" t="s">
        <v>317</v>
      </c>
      <c r="U29" s="31" t="s">
        <v>175</v>
      </c>
      <c r="V29" s="31" t="s">
        <v>250</v>
      </c>
      <c r="W29" s="30" t="s">
        <v>288</v>
      </c>
      <c r="X29" s="33">
        <v>8.25</v>
      </c>
      <c r="Y29" s="33">
        <v>11</v>
      </c>
      <c r="Z29" s="33">
        <v>11</v>
      </c>
      <c r="AA29" s="33">
        <v>11</v>
      </c>
      <c r="AB29" s="33">
        <v>11</v>
      </c>
      <c r="AC29" s="33">
        <v>11</v>
      </c>
      <c r="AD29" s="33">
        <v>11</v>
      </c>
      <c r="AE29" s="33">
        <v>11</v>
      </c>
      <c r="AF29" s="33">
        <v>11</v>
      </c>
      <c r="AG29" s="33">
        <v>11</v>
      </c>
    </row>
    <row r="30" spans="1:33" ht="19.95" customHeight="1" x14ac:dyDescent="0.4">
      <c r="A30" s="30" t="s">
        <v>321</v>
      </c>
      <c r="B30" s="30" t="s">
        <v>317</v>
      </c>
      <c r="C30" s="31" t="s">
        <v>175</v>
      </c>
      <c r="D30" s="31" t="s">
        <v>252</v>
      </c>
      <c r="E30" s="30" t="s">
        <v>289</v>
      </c>
      <c r="F30" s="32">
        <v>2805282.0239935601</v>
      </c>
      <c r="G30" s="32">
        <f t="shared" ref="G30:O30" si="28">F30*$Q$3</f>
        <v>2876285.8440351752</v>
      </c>
      <c r="H30" s="32">
        <f t="shared" si="28"/>
        <v>2949086.8247249471</v>
      </c>
      <c r="I30" s="32">
        <f t="shared" si="28"/>
        <v>3023730.4535647221</v>
      </c>
      <c r="J30" s="32">
        <f t="shared" si="28"/>
        <v>3100263.3693795898</v>
      </c>
      <c r="K30" s="32">
        <f t="shared" si="28"/>
        <v>3178733.3914587479</v>
      </c>
      <c r="L30" s="32">
        <f t="shared" si="28"/>
        <v>3259189.5494339461</v>
      </c>
      <c r="M30" s="32">
        <f t="shared" si="28"/>
        <v>3341682.1139141768</v>
      </c>
      <c r="N30" s="32">
        <f t="shared" si="28"/>
        <v>3426262.627895751</v>
      </c>
      <c r="O30" s="32">
        <f t="shared" si="28"/>
        <v>3512983.9389673895</v>
      </c>
      <c r="S30" s="30" t="s">
        <v>321</v>
      </c>
      <c r="T30" s="30" t="s">
        <v>317</v>
      </c>
      <c r="U30" s="31" t="s">
        <v>175</v>
      </c>
      <c r="V30" s="31" t="s">
        <v>252</v>
      </c>
      <c r="W30" s="30" t="s">
        <v>289</v>
      </c>
      <c r="X30" s="33">
        <v>18</v>
      </c>
      <c r="Y30" s="33">
        <v>24</v>
      </c>
      <c r="Z30" s="33">
        <v>24</v>
      </c>
      <c r="AA30" s="33">
        <v>24</v>
      </c>
      <c r="AB30" s="33">
        <v>24</v>
      </c>
      <c r="AC30" s="33">
        <v>24</v>
      </c>
      <c r="AD30" s="33">
        <v>24</v>
      </c>
      <c r="AE30" s="33">
        <v>24</v>
      </c>
      <c r="AF30" s="33">
        <v>24</v>
      </c>
      <c r="AG30" s="33">
        <v>24</v>
      </c>
    </row>
    <row r="31" spans="1:33" ht="19.95" customHeight="1" x14ac:dyDescent="0.4">
      <c r="A31" s="30" t="s">
        <v>322</v>
      </c>
      <c r="B31" s="30" t="s">
        <v>317</v>
      </c>
      <c r="C31" s="31" t="s">
        <v>175</v>
      </c>
      <c r="D31" s="31" t="s">
        <v>252</v>
      </c>
      <c r="E31" s="30" t="s">
        <v>290</v>
      </c>
      <c r="F31" s="32">
        <v>2810805.3730576797</v>
      </c>
      <c r="G31" s="32">
        <f t="shared" ref="G31:O31" si="29">F31*$Q$3</f>
        <v>2881948.9932618532</v>
      </c>
      <c r="H31" s="32">
        <f t="shared" si="29"/>
        <v>2954893.3125625458</v>
      </c>
      <c r="I31" s="32">
        <f t="shared" si="29"/>
        <v>3029683.9080224214</v>
      </c>
      <c r="J31" s="32">
        <f t="shared" si="29"/>
        <v>3106367.510294239</v>
      </c>
      <c r="K31" s="32">
        <f t="shared" si="29"/>
        <v>3184992.0328190941</v>
      </c>
      <c r="L31" s="32">
        <f t="shared" si="29"/>
        <v>3265606.6017636904</v>
      </c>
      <c r="M31" s="32">
        <f t="shared" si="29"/>
        <v>3348261.5867153467</v>
      </c>
      <c r="N31" s="32">
        <f t="shared" si="29"/>
        <v>3433008.632153918</v>
      </c>
      <c r="O31" s="32">
        <f t="shared" si="29"/>
        <v>3519900.689720294</v>
      </c>
      <c r="S31" s="30" t="s">
        <v>322</v>
      </c>
      <c r="T31" s="30" t="s">
        <v>317</v>
      </c>
      <c r="U31" s="31" t="s">
        <v>175</v>
      </c>
      <c r="V31" s="31" t="s">
        <v>252</v>
      </c>
      <c r="W31" s="30" t="s">
        <v>290</v>
      </c>
      <c r="X31" s="33">
        <v>0</v>
      </c>
      <c r="Y31" s="33">
        <v>0</v>
      </c>
      <c r="Z31" s="33">
        <v>0</v>
      </c>
      <c r="AA31" s="33">
        <v>0</v>
      </c>
      <c r="AB31" s="33">
        <v>0</v>
      </c>
      <c r="AC31" s="33">
        <v>0</v>
      </c>
      <c r="AD31" s="33">
        <v>0</v>
      </c>
      <c r="AE31" s="33">
        <v>0</v>
      </c>
      <c r="AF31" s="33">
        <v>0</v>
      </c>
      <c r="AG31" s="33">
        <v>0</v>
      </c>
    </row>
    <row r="32" spans="1:33" ht="19.95" customHeight="1" x14ac:dyDescent="0.4">
      <c r="A32" s="30" t="s">
        <v>323</v>
      </c>
      <c r="B32" s="30" t="s">
        <v>317</v>
      </c>
      <c r="C32" s="31" t="s">
        <v>175</v>
      </c>
      <c r="D32" s="31" t="s">
        <v>252</v>
      </c>
      <c r="E32" s="30" t="s">
        <v>291</v>
      </c>
      <c r="F32" s="32">
        <v>2268632.3215880399</v>
      </c>
      <c r="G32" s="32">
        <f t="shared" ref="G32:O32" si="30">F32*$Q$3</f>
        <v>2326053.1298079975</v>
      </c>
      <c r="H32" s="32">
        <f t="shared" si="30"/>
        <v>2384927.3023238163</v>
      </c>
      <c r="I32" s="32">
        <f t="shared" si="30"/>
        <v>2445291.6248903819</v>
      </c>
      <c r="J32" s="32">
        <f t="shared" si="30"/>
        <v>2507183.8143379926</v>
      </c>
      <c r="K32" s="32">
        <f t="shared" si="30"/>
        <v>2570642.5421385858</v>
      </c>
      <c r="L32" s="32">
        <f t="shared" si="30"/>
        <v>2635707.4585684454</v>
      </c>
      <c r="M32" s="32">
        <f t="shared" si="30"/>
        <v>2702419.2174824812</v>
      </c>
      <c r="N32" s="32">
        <f t="shared" si="30"/>
        <v>2770819.5017155679</v>
      </c>
      <c r="O32" s="32">
        <f t="shared" si="30"/>
        <v>2840951.0491268104</v>
      </c>
      <c r="S32" s="30" t="s">
        <v>323</v>
      </c>
      <c r="T32" s="30" t="s">
        <v>317</v>
      </c>
      <c r="U32" s="31" t="s">
        <v>175</v>
      </c>
      <c r="V32" s="31" t="s">
        <v>252</v>
      </c>
      <c r="W32" s="30" t="s">
        <v>291</v>
      </c>
      <c r="X32" s="33">
        <v>0</v>
      </c>
      <c r="Y32" s="33">
        <v>0</v>
      </c>
      <c r="Z32" s="33">
        <v>0</v>
      </c>
      <c r="AA32" s="33">
        <v>0</v>
      </c>
      <c r="AB32" s="33">
        <v>0</v>
      </c>
      <c r="AC32" s="33">
        <v>0</v>
      </c>
      <c r="AD32" s="33">
        <v>0</v>
      </c>
      <c r="AE32" s="33">
        <v>0</v>
      </c>
      <c r="AF32" s="33">
        <v>0</v>
      </c>
      <c r="AG32" s="33">
        <v>0</v>
      </c>
    </row>
    <row r="33" spans="1:33" ht="19.95" customHeight="1" x14ac:dyDescent="0.4">
      <c r="A33" s="30" t="s">
        <v>324</v>
      </c>
      <c r="B33" s="30" t="s">
        <v>317</v>
      </c>
      <c r="C33" s="31" t="s">
        <v>193</v>
      </c>
      <c r="D33" s="31" t="s">
        <v>194</v>
      </c>
      <c r="E33" s="30" t="s">
        <v>292</v>
      </c>
      <c r="F33" s="32">
        <v>2822413.9414824001</v>
      </c>
      <c r="G33" s="32">
        <f t="shared" ref="G33:O33" si="31">F33*$Q$3</f>
        <v>2893851.3833759152</v>
      </c>
      <c r="H33" s="32">
        <f t="shared" si="31"/>
        <v>2967096.9612162109</v>
      </c>
      <c r="I33" s="32">
        <f t="shared" si="31"/>
        <v>3042196.4402982835</v>
      </c>
      <c r="J33" s="32">
        <f t="shared" si="31"/>
        <v>3119196.7442715275</v>
      </c>
      <c r="K33" s="32">
        <f t="shared" si="31"/>
        <v>3198145.9844585657</v>
      </c>
      <c r="L33" s="32">
        <f t="shared" si="31"/>
        <v>3279093.4899161602</v>
      </c>
      <c r="M33" s="32">
        <f t="shared" si="31"/>
        <v>3362089.8382569905</v>
      </c>
      <c r="N33" s="32">
        <f t="shared" si="31"/>
        <v>3447186.8872515522</v>
      </c>
      <c r="O33" s="32">
        <f t="shared" si="31"/>
        <v>3534437.8072299231</v>
      </c>
      <c r="S33" s="30" t="s">
        <v>324</v>
      </c>
      <c r="T33" s="30" t="s">
        <v>317</v>
      </c>
      <c r="U33" s="31" t="s">
        <v>193</v>
      </c>
      <c r="V33" s="31" t="s">
        <v>194</v>
      </c>
      <c r="W33" s="30" t="s">
        <v>292</v>
      </c>
      <c r="X33" s="33">
        <v>0.75</v>
      </c>
      <c r="Y33" s="33">
        <v>1</v>
      </c>
      <c r="Z33" s="33">
        <v>1</v>
      </c>
      <c r="AA33" s="33">
        <v>1</v>
      </c>
      <c r="AB33" s="33">
        <v>1</v>
      </c>
      <c r="AC33" s="33">
        <v>1</v>
      </c>
      <c r="AD33" s="33">
        <v>1</v>
      </c>
      <c r="AE33" s="33">
        <v>1</v>
      </c>
      <c r="AF33" s="33">
        <v>1</v>
      </c>
      <c r="AG33" s="33">
        <v>1</v>
      </c>
    </row>
    <row r="34" spans="1:33" ht="19.95" customHeight="1" x14ac:dyDescent="0.4">
      <c r="A34" s="30" t="s">
        <v>325</v>
      </c>
      <c r="B34" s="30" t="s">
        <v>317</v>
      </c>
      <c r="C34" s="31" t="s">
        <v>193</v>
      </c>
      <c r="D34" s="31" t="s">
        <v>194</v>
      </c>
      <c r="E34" s="30" t="s">
        <v>293</v>
      </c>
      <c r="F34" s="32">
        <v>2822413.9414824001</v>
      </c>
      <c r="G34" s="32">
        <f t="shared" ref="G34:O34" si="32">F34*$Q$3</f>
        <v>2893851.3833759152</v>
      </c>
      <c r="H34" s="32">
        <f t="shared" si="32"/>
        <v>2967096.9612162109</v>
      </c>
      <c r="I34" s="32">
        <f t="shared" si="32"/>
        <v>3042196.4402982835</v>
      </c>
      <c r="J34" s="32">
        <f t="shared" si="32"/>
        <v>3119196.7442715275</v>
      </c>
      <c r="K34" s="32">
        <f t="shared" si="32"/>
        <v>3198145.9844585657</v>
      </c>
      <c r="L34" s="32">
        <f t="shared" si="32"/>
        <v>3279093.4899161602</v>
      </c>
      <c r="M34" s="32">
        <f t="shared" si="32"/>
        <v>3362089.8382569905</v>
      </c>
      <c r="N34" s="32">
        <f t="shared" si="32"/>
        <v>3447186.8872515522</v>
      </c>
      <c r="O34" s="32">
        <f t="shared" si="32"/>
        <v>3534437.8072299231</v>
      </c>
      <c r="S34" s="30" t="s">
        <v>325</v>
      </c>
      <c r="T34" s="30" t="s">
        <v>317</v>
      </c>
      <c r="U34" s="31" t="s">
        <v>193</v>
      </c>
      <c r="V34" s="31" t="s">
        <v>194</v>
      </c>
      <c r="W34" s="30" t="s">
        <v>293</v>
      </c>
      <c r="X34" s="33">
        <v>0.75</v>
      </c>
      <c r="Y34" s="33">
        <v>1</v>
      </c>
      <c r="Z34" s="33">
        <v>1</v>
      </c>
      <c r="AA34" s="33">
        <v>1</v>
      </c>
      <c r="AB34" s="33">
        <v>1</v>
      </c>
      <c r="AC34" s="33">
        <v>1</v>
      </c>
      <c r="AD34" s="33">
        <v>1</v>
      </c>
      <c r="AE34" s="33">
        <v>1</v>
      </c>
      <c r="AF34" s="33">
        <v>1</v>
      </c>
      <c r="AG34" s="33">
        <v>1</v>
      </c>
    </row>
    <row r="35" spans="1:33" ht="19.95" customHeight="1" x14ac:dyDescent="0.4">
      <c r="A35" s="30" t="s">
        <v>326</v>
      </c>
      <c r="B35" s="30" t="s">
        <v>317</v>
      </c>
      <c r="C35" s="31" t="s">
        <v>193</v>
      </c>
      <c r="D35" s="31" t="s">
        <v>250</v>
      </c>
      <c r="E35" s="30" t="s">
        <v>294</v>
      </c>
      <c r="F35" s="32">
        <v>2822413.9414824001</v>
      </c>
      <c r="G35" s="32">
        <f t="shared" ref="G35:O35" si="33">F35*$Q$3</f>
        <v>2893851.3833759152</v>
      </c>
      <c r="H35" s="32">
        <f t="shared" si="33"/>
        <v>2967096.9612162109</v>
      </c>
      <c r="I35" s="32">
        <f t="shared" si="33"/>
        <v>3042196.4402982835</v>
      </c>
      <c r="J35" s="32">
        <f t="shared" si="33"/>
        <v>3119196.7442715275</v>
      </c>
      <c r="K35" s="32">
        <f t="shared" si="33"/>
        <v>3198145.9844585657</v>
      </c>
      <c r="L35" s="32">
        <f t="shared" si="33"/>
        <v>3279093.4899161602</v>
      </c>
      <c r="M35" s="32">
        <f t="shared" si="33"/>
        <v>3362089.8382569905</v>
      </c>
      <c r="N35" s="32">
        <f t="shared" si="33"/>
        <v>3447186.8872515522</v>
      </c>
      <c r="O35" s="32">
        <f t="shared" si="33"/>
        <v>3534437.8072299231</v>
      </c>
      <c r="S35" s="30" t="s">
        <v>326</v>
      </c>
      <c r="T35" s="30" t="s">
        <v>317</v>
      </c>
      <c r="U35" s="31" t="s">
        <v>193</v>
      </c>
      <c r="V35" s="31" t="s">
        <v>250</v>
      </c>
      <c r="W35" s="30" t="s">
        <v>294</v>
      </c>
      <c r="X35" s="33">
        <v>1.5</v>
      </c>
      <c r="Y35" s="33">
        <v>2</v>
      </c>
      <c r="Z35" s="33">
        <v>2</v>
      </c>
      <c r="AA35" s="33">
        <v>2</v>
      </c>
      <c r="AB35" s="33">
        <v>2</v>
      </c>
      <c r="AC35" s="33">
        <v>2</v>
      </c>
      <c r="AD35" s="33">
        <v>2</v>
      </c>
      <c r="AE35" s="33">
        <v>2</v>
      </c>
      <c r="AF35" s="33">
        <v>2</v>
      </c>
      <c r="AG35" s="33">
        <v>2</v>
      </c>
    </row>
    <row r="36" spans="1:33" ht="19.95" customHeight="1" x14ac:dyDescent="0.4">
      <c r="A36" s="30" t="s">
        <v>327</v>
      </c>
      <c r="B36" s="30" t="s">
        <v>317</v>
      </c>
      <c r="C36" s="31" t="s">
        <v>193</v>
      </c>
      <c r="D36" s="31" t="s">
        <v>252</v>
      </c>
      <c r="E36" s="30" t="s">
        <v>295</v>
      </c>
      <c r="F36" s="32">
        <v>2810805.3730576797</v>
      </c>
      <c r="G36" s="32">
        <f t="shared" ref="G36:O36" si="34">F36*$Q$3</f>
        <v>2881948.9932618532</v>
      </c>
      <c r="H36" s="32">
        <f t="shared" si="34"/>
        <v>2954893.3125625458</v>
      </c>
      <c r="I36" s="32">
        <f t="shared" si="34"/>
        <v>3029683.9080224214</v>
      </c>
      <c r="J36" s="32">
        <f t="shared" si="34"/>
        <v>3106367.510294239</v>
      </c>
      <c r="K36" s="32">
        <f t="shared" si="34"/>
        <v>3184992.0328190941</v>
      </c>
      <c r="L36" s="32">
        <f t="shared" si="34"/>
        <v>3265606.6017636904</v>
      </c>
      <c r="M36" s="32">
        <f t="shared" si="34"/>
        <v>3348261.5867153467</v>
      </c>
      <c r="N36" s="32">
        <f t="shared" si="34"/>
        <v>3433008.632153918</v>
      </c>
      <c r="O36" s="32">
        <f t="shared" si="34"/>
        <v>3519900.689720294</v>
      </c>
      <c r="S36" s="30" t="s">
        <v>327</v>
      </c>
      <c r="T36" s="30" t="s">
        <v>317</v>
      </c>
      <c r="U36" s="31" t="s">
        <v>193</v>
      </c>
      <c r="V36" s="31" t="s">
        <v>252</v>
      </c>
      <c r="W36" s="30" t="s">
        <v>295</v>
      </c>
      <c r="X36" s="33">
        <v>2.25</v>
      </c>
      <c r="Y36" s="33">
        <v>3</v>
      </c>
      <c r="Z36" s="33">
        <v>3</v>
      </c>
      <c r="AA36" s="33">
        <v>3</v>
      </c>
      <c r="AB36" s="33">
        <v>3</v>
      </c>
      <c r="AC36" s="33">
        <v>3</v>
      </c>
      <c r="AD36" s="33">
        <v>3</v>
      </c>
      <c r="AE36" s="33">
        <v>3</v>
      </c>
      <c r="AF36" s="33">
        <v>3</v>
      </c>
      <c r="AG36" s="33">
        <v>3</v>
      </c>
    </row>
    <row r="37" spans="1:33" ht="19.95" customHeight="1" x14ac:dyDescent="0.4">
      <c r="A37" s="30" t="s">
        <v>328</v>
      </c>
      <c r="B37" s="30" t="s">
        <v>317</v>
      </c>
      <c r="C37" s="31" t="s">
        <v>193</v>
      </c>
      <c r="D37" s="31" t="s">
        <v>296</v>
      </c>
      <c r="E37" s="30" t="s">
        <v>297</v>
      </c>
      <c r="F37" s="32">
        <v>2839545.85897124</v>
      </c>
      <c r="G37" s="32">
        <f t="shared" ref="G37:O37" si="35">F37*$Q$3</f>
        <v>2911416.9227166548</v>
      </c>
      <c r="H37" s="32">
        <f t="shared" si="35"/>
        <v>2985107.0977074746</v>
      </c>
      <c r="I37" s="32">
        <f t="shared" si="35"/>
        <v>3060662.4270318449</v>
      </c>
      <c r="J37" s="32">
        <f t="shared" si="35"/>
        <v>3138130.1191634652</v>
      </c>
      <c r="K37" s="32">
        <f t="shared" si="35"/>
        <v>3217558.577458383</v>
      </c>
      <c r="L37" s="32">
        <f t="shared" si="35"/>
        <v>3298997.4303983734</v>
      </c>
      <c r="M37" s="32">
        <f t="shared" si="35"/>
        <v>3382497.5625998033</v>
      </c>
      <c r="N37" s="32">
        <f t="shared" si="35"/>
        <v>3468111.146607352</v>
      </c>
      <c r="O37" s="32">
        <f t="shared" si="35"/>
        <v>3555891.6754924553</v>
      </c>
      <c r="S37" s="30" t="s">
        <v>328</v>
      </c>
      <c r="T37" s="30" t="s">
        <v>317</v>
      </c>
      <c r="U37" s="31" t="s">
        <v>193</v>
      </c>
      <c r="V37" s="31" t="s">
        <v>296</v>
      </c>
      <c r="W37" s="30" t="s">
        <v>297</v>
      </c>
      <c r="X37" s="33">
        <v>1.5</v>
      </c>
      <c r="Y37" s="33">
        <v>2</v>
      </c>
      <c r="Z37" s="33">
        <v>2</v>
      </c>
      <c r="AA37" s="33">
        <v>2</v>
      </c>
      <c r="AB37" s="33">
        <v>2</v>
      </c>
      <c r="AC37" s="33">
        <v>2</v>
      </c>
      <c r="AD37" s="33">
        <v>2</v>
      </c>
      <c r="AE37" s="33">
        <v>2</v>
      </c>
      <c r="AF37" s="33">
        <v>2</v>
      </c>
      <c r="AG37" s="33">
        <v>2</v>
      </c>
    </row>
    <row r="38" spans="1:33" ht="19.95" customHeight="1" x14ac:dyDescent="0.4">
      <c r="A38" s="30" t="s">
        <v>329</v>
      </c>
      <c r="B38" s="30" t="s">
        <v>317</v>
      </c>
      <c r="C38" s="31" t="s">
        <v>175</v>
      </c>
      <c r="D38" s="31" t="s">
        <v>296</v>
      </c>
      <c r="E38" s="30" t="s">
        <v>298</v>
      </c>
      <c r="F38" s="32">
        <v>2475400.5906926799</v>
      </c>
      <c r="G38" s="32">
        <f t="shared" ref="G38:O38" si="36">F38*$Q$3</f>
        <v>2538054.8609475605</v>
      </c>
      <c r="H38" s="32">
        <f t="shared" si="36"/>
        <v>2602294.9583998374</v>
      </c>
      <c r="I38" s="32">
        <f t="shared" si="36"/>
        <v>2668161.0215411056</v>
      </c>
      <c r="J38" s="32">
        <f t="shared" si="36"/>
        <v>2735694.2047986872</v>
      </c>
      <c r="K38" s="32">
        <f t="shared" si="36"/>
        <v>2804936.7042497378</v>
      </c>
      <c r="L38" s="32">
        <f t="shared" si="36"/>
        <v>2875931.7839861941</v>
      </c>
      <c r="M38" s="32">
        <f t="shared" si="36"/>
        <v>2948723.8031470403</v>
      </c>
      <c r="N38" s="32">
        <f t="shared" si="36"/>
        <v>3023358.2436347823</v>
      </c>
      <c r="O38" s="32">
        <f t="shared" si="36"/>
        <v>3099881.7385334438</v>
      </c>
      <c r="S38" s="30" t="s">
        <v>329</v>
      </c>
      <c r="T38" s="30" t="s">
        <v>317</v>
      </c>
      <c r="U38" s="31" t="s">
        <v>175</v>
      </c>
      <c r="V38" s="31" t="s">
        <v>296</v>
      </c>
      <c r="W38" s="30" t="s">
        <v>298</v>
      </c>
      <c r="X38" s="33">
        <v>7.5</v>
      </c>
      <c r="Y38" s="33">
        <v>10</v>
      </c>
      <c r="Z38" s="33">
        <v>10</v>
      </c>
      <c r="AA38" s="33">
        <v>10</v>
      </c>
      <c r="AB38" s="33">
        <v>10</v>
      </c>
      <c r="AC38" s="33">
        <v>10</v>
      </c>
      <c r="AD38" s="33">
        <v>10</v>
      </c>
      <c r="AE38" s="33">
        <v>10</v>
      </c>
      <c r="AF38" s="33">
        <v>10</v>
      </c>
      <c r="AG38" s="33">
        <v>10</v>
      </c>
    </row>
    <row r="39" spans="1:33" ht="19.95" customHeight="1" x14ac:dyDescent="0.4">
      <c r="A39" s="30" t="s">
        <v>330</v>
      </c>
      <c r="B39" s="30" t="s">
        <v>317</v>
      </c>
      <c r="C39" s="31" t="s">
        <v>193</v>
      </c>
      <c r="D39" s="31" t="s">
        <v>194</v>
      </c>
      <c r="E39" s="30" t="s">
        <v>152</v>
      </c>
      <c r="F39" s="32">
        <v>2822413.9414824001</v>
      </c>
      <c r="G39" s="32">
        <f t="shared" ref="G39:O39" si="37">F39*$Q$3</f>
        <v>2893851.3833759152</v>
      </c>
      <c r="H39" s="32">
        <f t="shared" si="37"/>
        <v>2967096.9612162109</v>
      </c>
      <c r="I39" s="32">
        <f t="shared" si="37"/>
        <v>3042196.4402982835</v>
      </c>
      <c r="J39" s="32">
        <f t="shared" si="37"/>
        <v>3119196.7442715275</v>
      </c>
      <c r="K39" s="32">
        <f t="shared" si="37"/>
        <v>3198145.9844585657</v>
      </c>
      <c r="L39" s="32">
        <f t="shared" si="37"/>
        <v>3279093.4899161602</v>
      </c>
      <c r="M39" s="32">
        <f t="shared" si="37"/>
        <v>3362089.8382569905</v>
      </c>
      <c r="N39" s="32">
        <f t="shared" si="37"/>
        <v>3447186.8872515522</v>
      </c>
      <c r="O39" s="32">
        <f t="shared" si="37"/>
        <v>3534437.8072299231</v>
      </c>
      <c r="S39" s="30" t="s">
        <v>330</v>
      </c>
      <c r="T39" s="30" t="s">
        <v>317</v>
      </c>
      <c r="U39" s="31" t="s">
        <v>193</v>
      </c>
      <c r="V39" s="31" t="s">
        <v>194</v>
      </c>
      <c r="W39" s="30" t="s">
        <v>152</v>
      </c>
      <c r="X39" s="33">
        <v>0.75</v>
      </c>
      <c r="Y39" s="33">
        <v>1</v>
      </c>
      <c r="Z39" s="33">
        <v>1</v>
      </c>
      <c r="AA39" s="33">
        <v>1</v>
      </c>
      <c r="AB39" s="33">
        <v>1</v>
      </c>
      <c r="AC39" s="33">
        <v>1</v>
      </c>
      <c r="AD39" s="33">
        <v>1</v>
      </c>
      <c r="AE39" s="33">
        <v>1</v>
      </c>
      <c r="AF39" s="33">
        <v>1</v>
      </c>
      <c r="AG39" s="33">
        <v>1</v>
      </c>
    </row>
    <row r="40" spans="1:33" ht="19.95" customHeight="1" x14ac:dyDescent="0.4">
      <c r="A40" s="30" t="s">
        <v>331</v>
      </c>
      <c r="B40" s="30" t="s">
        <v>317</v>
      </c>
      <c r="C40" s="31" t="s">
        <v>193</v>
      </c>
      <c r="D40" s="31" t="s">
        <v>194</v>
      </c>
      <c r="E40" s="30" t="s">
        <v>299</v>
      </c>
      <c r="F40" s="32">
        <v>3934599.2821772001</v>
      </c>
      <c r="G40" s="32">
        <f t="shared" ref="G40:O40" si="38">F40*$Q$3</f>
        <v>4034186.9803045592</v>
      </c>
      <c r="H40" s="32">
        <f t="shared" si="38"/>
        <v>4136295.3187581724</v>
      </c>
      <c r="I40" s="32">
        <f t="shared" si="38"/>
        <v>4240988.0968603836</v>
      </c>
      <c r="J40" s="32">
        <f t="shared" si="38"/>
        <v>4348330.7287428733</v>
      </c>
      <c r="K40" s="32">
        <f t="shared" si="38"/>
        <v>4458390.284218709</v>
      </c>
      <c r="L40" s="32">
        <f t="shared" si="38"/>
        <v>4571235.5306889005</v>
      </c>
      <c r="M40" s="32">
        <f t="shared" si="38"/>
        <v>4686936.9761096397</v>
      </c>
      <c r="N40" s="32">
        <f t="shared" si="38"/>
        <v>4805566.9130470762</v>
      </c>
      <c r="O40" s="32">
        <f t="shared" si="38"/>
        <v>4927199.463847152</v>
      </c>
      <c r="S40" s="30" t="s">
        <v>331</v>
      </c>
      <c r="T40" s="30" t="s">
        <v>317</v>
      </c>
      <c r="U40" s="31" t="s">
        <v>193</v>
      </c>
      <c r="V40" s="31" t="s">
        <v>194</v>
      </c>
      <c r="W40" s="30" t="s">
        <v>299</v>
      </c>
      <c r="X40" s="33">
        <v>0.75</v>
      </c>
      <c r="Y40" s="33">
        <v>1</v>
      </c>
      <c r="Z40" s="33">
        <v>1</v>
      </c>
      <c r="AA40" s="33">
        <v>1</v>
      </c>
      <c r="AB40" s="33">
        <v>1</v>
      </c>
      <c r="AC40" s="33">
        <v>1</v>
      </c>
      <c r="AD40" s="33">
        <v>1</v>
      </c>
      <c r="AE40" s="33">
        <v>1</v>
      </c>
      <c r="AF40" s="33">
        <v>1</v>
      </c>
      <c r="AG40" s="33">
        <v>1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5D1130-4189-4877-A9B8-5C2405050824}">
  <sheetPr codeName="B4_Sheet"/>
  <dimension ref="A1:AG40"/>
  <sheetViews>
    <sheetView showGridLines="0" topLeftCell="E7" zoomScale="70" zoomScaleNormal="70" workbookViewId="0">
      <selection activeCell="I17" sqref="I17"/>
    </sheetView>
  </sheetViews>
  <sheetFormatPr defaultRowHeight="17.399999999999999" x14ac:dyDescent="0.4"/>
  <cols>
    <col min="1" max="1" width="13" customWidth="1"/>
    <col min="5" max="5" width="15" bestFit="1" customWidth="1"/>
    <col min="7" max="7" width="10.3984375" bestFit="1" customWidth="1"/>
  </cols>
  <sheetData>
    <row r="1" spans="1:33" ht="30" customHeight="1" x14ac:dyDescent="0.4">
      <c r="A1" s="105" t="s">
        <v>393</v>
      </c>
    </row>
    <row r="2" spans="1:33" ht="19.95" customHeight="1" x14ac:dyDescent="0.4">
      <c r="A2" s="10" t="s">
        <v>204</v>
      </c>
      <c r="B2" s="10" t="s">
        <v>1</v>
      </c>
      <c r="C2" s="10" t="s">
        <v>205</v>
      </c>
      <c r="D2" s="10" t="s">
        <v>206</v>
      </c>
      <c r="E2" s="10" t="s">
        <v>207</v>
      </c>
      <c r="F2" s="10" t="s">
        <v>191</v>
      </c>
      <c r="G2" s="10" t="s">
        <v>213</v>
      </c>
      <c r="H2" s="10" t="s">
        <v>214</v>
      </c>
      <c r="I2" s="10" t="s">
        <v>215</v>
      </c>
      <c r="J2" s="10" t="s">
        <v>216</v>
      </c>
      <c r="K2" s="10" t="s">
        <v>217</v>
      </c>
      <c r="L2" s="10" t="s">
        <v>218</v>
      </c>
      <c r="M2" s="10" t="s">
        <v>219</v>
      </c>
      <c r="N2" s="10" t="s">
        <v>220</v>
      </c>
      <c r="O2" s="10" t="s">
        <v>221</v>
      </c>
      <c r="Q2" s="9" t="s">
        <v>208</v>
      </c>
      <c r="S2" s="7" t="s">
        <v>204</v>
      </c>
      <c r="T2" s="7" t="s">
        <v>1</v>
      </c>
      <c r="U2" s="7" t="s">
        <v>205</v>
      </c>
      <c r="V2" s="7" t="s">
        <v>206</v>
      </c>
      <c r="W2" s="7" t="s">
        <v>207</v>
      </c>
      <c r="X2" s="7" t="s">
        <v>223</v>
      </c>
      <c r="Y2" s="7" t="s">
        <v>224</v>
      </c>
      <c r="Z2" s="7" t="s">
        <v>225</v>
      </c>
      <c r="AA2" s="7" t="s">
        <v>226</v>
      </c>
      <c r="AB2" s="7" t="s">
        <v>227</v>
      </c>
      <c r="AC2" s="7" t="s">
        <v>228</v>
      </c>
      <c r="AD2" s="7" t="s">
        <v>229</v>
      </c>
      <c r="AE2" s="7" t="s">
        <v>230</v>
      </c>
      <c r="AF2" s="7" t="s">
        <v>231</v>
      </c>
      <c r="AG2" s="7" t="s">
        <v>232</v>
      </c>
    </row>
    <row r="3" spans="1:33" ht="19.95" customHeight="1" x14ac:dyDescent="0.4">
      <c r="A3" s="11" t="s">
        <v>235</v>
      </c>
      <c r="B3" s="11" t="s">
        <v>160</v>
      </c>
      <c r="C3" s="12" t="s">
        <v>175</v>
      </c>
      <c r="D3" s="12" t="s">
        <v>161</v>
      </c>
      <c r="E3" s="13" t="s">
        <v>162</v>
      </c>
      <c r="F3" s="14">
        <v>3198645</v>
      </c>
      <c r="G3" s="14">
        <f>F3*$Q$3</f>
        <v>3279605.1359202</v>
      </c>
      <c r="H3" s="14">
        <f t="shared" ref="H3:O3" si="0">G3*$Q$3</f>
        <v>3362614.4344102438</v>
      </c>
      <c r="I3" s="14">
        <f t="shared" si="0"/>
        <v>3447724.761332137</v>
      </c>
      <c r="J3" s="14">
        <f t="shared" si="0"/>
        <v>3534989.2953122719</v>
      </c>
      <c r="K3" s="14">
        <f t="shared" si="0"/>
        <v>3624462.5609684899</v>
      </c>
      <c r="L3" s="14">
        <f t="shared" si="0"/>
        <v>3716200.4629781488</v>
      </c>
      <c r="M3" s="14">
        <f t="shared" si="0"/>
        <v>3810260.3210084778</v>
      </c>
      <c r="N3" s="14">
        <f t="shared" si="0"/>
        <v>3906700.9055310464</v>
      </c>
      <c r="O3" s="14">
        <f t="shared" si="0"/>
        <v>4005582.4745427254</v>
      </c>
      <c r="Q3">
        <v>1.02531076</v>
      </c>
      <c r="S3" s="5" t="s">
        <v>235</v>
      </c>
      <c r="T3" s="5" t="s">
        <v>160</v>
      </c>
      <c r="U3" s="6" t="s">
        <v>175</v>
      </c>
      <c r="V3" s="6" t="s">
        <v>161</v>
      </c>
      <c r="W3" s="8" t="s">
        <v>162</v>
      </c>
      <c r="X3" s="15">
        <v>1</v>
      </c>
      <c r="Y3" s="15">
        <v>1</v>
      </c>
      <c r="Z3" s="15">
        <v>1</v>
      </c>
      <c r="AA3" s="15">
        <v>1</v>
      </c>
      <c r="AB3" s="15">
        <v>1</v>
      </c>
      <c r="AC3" s="15">
        <v>1</v>
      </c>
      <c r="AD3" s="15">
        <v>1</v>
      </c>
      <c r="AE3" s="15">
        <v>1</v>
      </c>
      <c r="AF3" s="15">
        <v>1</v>
      </c>
      <c r="AG3" s="15">
        <v>1</v>
      </c>
    </row>
    <row r="4" spans="1:33" ht="19.95" customHeight="1" x14ac:dyDescent="0.4">
      <c r="A4" s="11" t="s">
        <v>265</v>
      </c>
      <c r="B4" s="11" t="s">
        <v>160</v>
      </c>
      <c r="C4" s="12" t="s">
        <v>175</v>
      </c>
      <c r="D4" s="12" t="s">
        <v>161</v>
      </c>
      <c r="E4" s="13" t="s">
        <v>175</v>
      </c>
      <c r="F4" s="14">
        <v>2416907</v>
      </c>
      <c r="G4" s="14">
        <f t="shared" ref="G4:O19" si="1">F4*$Q$3</f>
        <v>2478080.7530193198</v>
      </c>
      <c r="H4" s="14">
        <f t="shared" si="1"/>
        <v>2540802.8602196113</v>
      </c>
      <c r="I4" s="14">
        <f t="shared" si="1"/>
        <v>2605112.5116219432</v>
      </c>
      <c r="J4" s="14">
        <f t="shared" si="1"/>
        <v>2671049.8891766034</v>
      </c>
      <c r="K4" s="14">
        <f t="shared" si="1"/>
        <v>2738656.1918695788</v>
      </c>
      <c r="L4" s="14">
        <f t="shared" si="1"/>
        <v>2807973.6614645035</v>
      </c>
      <c r="M4" s="14">
        <f t="shared" si="1"/>
        <v>2879045.6088961526</v>
      </c>
      <c r="N4" s="14">
        <f t="shared" si="1"/>
        <v>2951916.441331977</v>
      </c>
      <c r="O4" s="14">
        <f t="shared" si="1"/>
        <v>3026631.6899185847</v>
      </c>
      <c r="S4" s="5" t="s">
        <v>236</v>
      </c>
      <c r="T4" s="5" t="s">
        <v>160</v>
      </c>
      <c r="U4" s="6" t="s">
        <v>175</v>
      </c>
      <c r="V4" s="5" t="s">
        <v>161</v>
      </c>
      <c r="W4" s="5" t="s">
        <v>175</v>
      </c>
      <c r="X4" s="16">
        <v>5</v>
      </c>
      <c r="Y4" s="16">
        <v>5</v>
      </c>
      <c r="Z4" s="16">
        <v>5</v>
      </c>
      <c r="AA4" s="16">
        <v>5</v>
      </c>
      <c r="AB4" s="16">
        <v>5</v>
      </c>
      <c r="AC4" s="16">
        <v>5</v>
      </c>
      <c r="AD4" s="16">
        <v>5</v>
      </c>
      <c r="AE4" s="16">
        <v>5</v>
      </c>
      <c r="AF4" s="16">
        <v>5</v>
      </c>
      <c r="AG4" s="16">
        <v>5</v>
      </c>
    </row>
    <row r="5" spans="1:33" ht="19.95" customHeight="1" x14ac:dyDescent="0.4">
      <c r="A5" s="11" t="s">
        <v>266</v>
      </c>
      <c r="B5" s="11" t="s">
        <v>160</v>
      </c>
      <c r="C5" s="12" t="s">
        <v>175</v>
      </c>
      <c r="D5" s="12" t="s">
        <v>199</v>
      </c>
      <c r="E5" s="13" t="s">
        <v>175</v>
      </c>
      <c r="F5" s="14">
        <v>2416907</v>
      </c>
      <c r="G5" s="14">
        <f t="shared" si="1"/>
        <v>2478080.7530193198</v>
      </c>
      <c r="H5" s="14">
        <f t="shared" si="1"/>
        <v>2540802.8602196113</v>
      </c>
      <c r="I5" s="14">
        <f t="shared" si="1"/>
        <v>2605112.5116219432</v>
      </c>
      <c r="J5" s="14">
        <f t="shared" si="1"/>
        <v>2671049.8891766034</v>
      </c>
      <c r="K5" s="14">
        <f t="shared" si="1"/>
        <v>2738656.1918695788</v>
      </c>
      <c r="L5" s="14">
        <f t="shared" si="1"/>
        <v>2807973.6614645035</v>
      </c>
      <c r="M5" s="14">
        <f t="shared" si="1"/>
        <v>2879045.6088961526</v>
      </c>
      <c r="N5" s="14">
        <f t="shared" si="1"/>
        <v>2951916.441331977</v>
      </c>
      <c r="O5" s="14">
        <f t="shared" si="1"/>
        <v>3026631.6899185847</v>
      </c>
      <c r="Q5" s="98"/>
      <c r="S5" s="5" t="s">
        <v>237</v>
      </c>
      <c r="T5" s="5" t="s">
        <v>160</v>
      </c>
      <c r="U5" s="6" t="s">
        <v>175</v>
      </c>
      <c r="V5" s="5" t="s">
        <v>199</v>
      </c>
      <c r="W5" s="5" t="s">
        <v>175</v>
      </c>
      <c r="X5" s="16">
        <v>5</v>
      </c>
      <c r="Y5" s="16">
        <v>5</v>
      </c>
      <c r="Z5" s="16">
        <v>5</v>
      </c>
      <c r="AA5" s="16">
        <v>5</v>
      </c>
      <c r="AB5" s="16">
        <v>5</v>
      </c>
      <c r="AC5" s="16">
        <v>5</v>
      </c>
      <c r="AD5" s="16">
        <v>5</v>
      </c>
      <c r="AE5" s="16">
        <v>5</v>
      </c>
      <c r="AF5" s="16">
        <v>5</v>
      </c>
      <c r="AG5" s="16">
        <v>5</v>
      </c>
    </row>
    <row r="6" spans="1:33" ht="19.95" customHeight="1" x14ac:dyDescent="0.4">
      <c r="A6" s="11" t="s">
        <v>267</v>
      </c>
      <c r="B6" s="11" t="s">
        <v>160</v>
      </c>
      <c r="C6" s="12" t="s">
        <v>175</v>
      </c>
      <c r="D6" s="12" t="s">
        <v>192</v>
      </c>
      <c r="E6" s="13" t="s">
        <v>175</v>
      </c>
      <c r="F6" s="14">
        <v>2475401</v>
      </c>
      <c r="G6" s="14">
        <f t="shared" si="1"/>
        <v>2538055.2806147598</v>
      </c>
      <c r="H6" s="14">
        <f t="shared" si="1"/>
        <v>2602295.3886891324</v>
      </c>
      <c r="I6" s="14">
        <f t="shared" si="1"/>
        <v>2668161.4627213497</v>
      </c>
      <c r="J6" s="14">
        <f t="shared" si="1"/>
        <v>2735694.6571455388</v>
      </c>
      <c r="K6" s="14">
        <f t="shared" si="1"/>
        <v>2804937.1680458318</v>
      </c>
      <c r="L6" s="14">
        <f t="shared" si="1"/>
        <v>2875932.2595213195</v>
      </c>
      <c r="M6" s="14">
        <f t="shared" si="1"/>
        <v>2948724.2907183212</v>
      </c>
      <c r="N6" s="14">
        <f t="shared" si="1"/>
        <v>3023358.7435468626</v>
      </c>
      <c r="O6" s="14">
        <f t="shared" si="1"/>
        <v>3099882.2510986789</v>
      </c>
      <c r="Q6" s="98"/>
      <c r="S6" s="5" t="s">
        <v>238</v>
      </c>
      <c r="T6" s="5" t="s">
        <v>160</v>
      </c>
      <c r="U6" s="6" t="s">
        <v>175</v>
      </c>
      <c r="V6" s="6" t="s">
        <v>192</v>
      </c>
      <c r="W6" s="5" t="s">
        <v>175</v>
      </c>
      <c r="X6" s="16">
        <v>25</v>
      </c>
      <c r="Y6" s="16">
        <v>25</v>
      </c>
      <c r="Z6" s="16">
        <v>25</v>
      </c>
      <c r="AA6" s="16">
        <v>25</v>
      </c>
      <c r="AB6" s="16">
        <v>25</v>
      </c>
      <c r="AC6" s="16">
        <v>25</v>
      </c>
      <c r="AD6" s="16">
        <v>25</v>
      </c>
      <c r="AE6" s="16">
        <v>25</v>
      </c>
      <c r="AF6" s="16">
        <v>25</v>
      </c>
      <c r="AG6" s="16">
        <v>25</v>
      </c>
    </row>
    <row r="7" spans="1:33" ht="19.95" customHeight="1" x14ac:dyDescent="0.4">
      <c r="A7" s="11" t="s">
        <v>268</v>
      </c>
      <c r="B7" s="11" t="s">
        <v>160</v>
      </c>
      <c r="C7" s="12" t="s">
        <v>175</v>
      </c>
      <c r="D7" s="12" t="s">
        <v>192</v>
      </c>
      <c r="E7" s="13" t="s">
        <v>201</v>
      </c>
      <c r="F7" s="14">
        <v>2890361</v>
      </c>
      <c r="G7" s="14">
        <f t="shared" si="1"/>
        <v>2963518.2335843598</v>
      </c>
      <c r="H7" s="14">
        <f t="shared" si="1"/>
        <v>3038527.1323502376</v>
      </c>
      <c r="I7" s="14">
        <f t="shared" si="1"/>
        <v>3115434.5633506426</v>
      </c>
      <c r="J7" s="14">
        <f t="shared" si="1"/>
        <v>3194288.5798793156</v>
      </c>
      <c r="K7" s="14">
        <f t="shared" si="1"/>
        <v>3275138.4514953815</v>
      </c>
      <c r="L7" s="14">
        <f t="shared" si="1"/>
        <v>3358034.6948079527</v>
      </c>
      <c r="M7" s="14">
        <f t="shared" si="1"/>
        <v>3443029.1050399099</v>
      </c>
      <c r="N7" s="14">
        <f t="shared" si="1"/>
        <v>3530174.7883905899</v>
      </c>
      <c r="O7" s="14">
        <f t="shared" si="1"/>
        <v>3619526.195217595</v>
      </c>
      <c r="Q7" s="98"/>
      <c r="S7" s="5" t="s">
        <v>239</v>
      </c>
      <c r="T7" s="5" t="s">
        <v>160</v>
      </c>
      <c r="U7" s="6" t="s">
        <v>175</v>
      </c>
      <c r="V7" s="5" t="s">
        <v>192</v>
      </c>
      <c r="W7" s="5" t="s">
        <v>201</v>
      </c>
      <c r="X7" s="16">
        <v>1</v>
      </c>
      <c r="Y7" s="16">
        <v>1</v>
      </c>
      <c r="Z7" s="16">
        <v>1</v>
      </c>
      <c r="AA7" s="16">
        <v>1</v>
      </c>
      <c r="AB7" s="16">
        <v>1</v>
      </c>
      <c r="AC7" s="16">
        <v>1</v>
      </c>
      <c r="AD7" s="16">
        <v>1</v>
      </c>
      <c r="AE7" s="16">
        <v>1</v>
      </c>
      <c r="AF7" s="16">
        <v>1</v>
      </c>
      <c r="AG7" s="16">
        <v>1</v>
      </c>
    </row>
    <row r="8" spans="1:33" ht="19.95" customHeight="1" x14ac:dyDescent="0.4">
      <c r="A8" s="11" t="s">
        <v>269</v>
      </c>
      <c r="B8" s="11" t="s">
        <v>160</v>
      </c>
      <c r="C8" s="12" t="s">
        <v>175</v>
      </c>
      <c r="D8" s="12" t="s">
        <v>192</v>
      </c>
      <c r="E8" s="13" t="s">
        <v>202</v>
      </c>
      <c r="F8" s="14">
        <v>2713849</v>
      </c>
      <c r="G8" s="14">
        <f t="shared" si="1"/>
        <v>2782538.58071524</v>
      </c>
      <c r="H8" s="14">
        <f t="shared" si="1"/>
        <v>2852966.7469224641</v>
      </c>
      <c r="I8" s="14">
        <f t="shared" si="1"/>
        <v>2925177.5035417993</v>
      </c>
      <c r="J8" s="14">
        <f t="shared" si="1"/>
        <v>2999215.9692913448</v>
      </c>
      <c r="K8" s="14">
        <f t="shared" si="1"/>
        <v>3075128.4048782452</v>
      </c>
      <c r="L8" s="14">
        <f t="shared" si="1"/>
        <v>3152962.2419033013</v>
      </c>
      <c r="M8" s="14">
        <f t="shared" si="1"/>
        <v>3232766.1124971779</v>
      </c>
      <c r="N8" s="14">
        <f t="shared" si="1"/>
        <v>3314589.8797067269</v>
      </c>
      <c r="O8" s="14">
        <f t="shared" si="1"/>
        <v>3398484.6686504125</v>
      </c>
      <c r="Q8" s="98"/>
      <c r="S8" s="5" t="s">
        <v>240</v>
      </c>
      <c r="T8" s="5" t="s">
        <v>160</v>
      </c>
      <c r="U8" s="6" t="s">
        <v>175</v>
      </c>
      <c r="V8" s="5" t="s">
        <v>192</v>
      </c>
      <c r="W8" s="5" t="s">
        <v>202</v>
      </c>
      <c r="X8" s="16">
        <v>1</v>
      </c>
      <c r="Y8" s="16">
        <v>1</v>
      </c>
      <c r="Z8" s="16">
        <v>1</v>
      </c>
      <c r="AA8" s="16">
        <v>1</v>
      </c>
      <c r="AB8" s="16">
        <v>1</v>
      </c>
      <c r="AC8" s="16">
        <v>1</v>
      </c>
      <c r="AD8" s="16">
        <v>1</v>
      </c>
      <c r="AE8" s="16">
        <v>1</v>
      </c>
      <c r="AF8" s="16">
        <v>1</v>
      </c>
      <c r="AG8" s="16">
        <v>1</v>
      </c>
    </row>
    <row r="9" spans="1:33" ht="19.95" customHeight="1" x14ac:dyDescent="0.4">
      <c r="A9" s="11" t="s">
        <v>270</v>
      </c>
      <c r="B9" s="11" t="s">
        <v>160</v>
      </c>
      <c r="C9" s="12" t="s">
        <v>175</v>
      </c>
      <c r="D9" s="12" t="s">
        <v>200</v>
      </c>
      <c r="E9" s="13" t="s">
        <v>175</v>
      </c>
      <c r="F9" s="14">
        <v>2428512</v>
      </c>
      <c r="G9" s="14">
        <f t="shared" si="1"/>
        <v>2489979.4843891198</v>
      </c>
      <c r="H9" s="14">
        <f t="shared" si="1"/>
        <v>2553002.7575234165</v>
      </c>
      <c r="I9" s="14">
        <f t="shared" si="1"/>
        <v>2617621.1975984299</v>
      </c>
      <c r="J9" s="14">
        <f t="shared" si="1"/>
        <v>2683875.1795017561</v>
      </c>
      <c r="K9" s="14">
        <f t="shared" si="1"/>
        <v>2751806.1000400819</v>
      </c>
      <c r="L9" s="14">
        <f t="shared" si="1"/>
        <v>2821456.4038047325</v>
      </c>
      <c r="M9" s="14">
        <f t="shared" si="1"/>
        <v>2892869.6096918969</v>
      </c>
      <c r="N9" s="14">
        <f t="shared" si="1"/>
        <v>2966090.3380941022</v>
      </c>
      <c r="O9" s="14">
        <f t="shared" si="1"/>
        <v>3041164.3387799207</v>
      </c>
      <c r="Q9" s="98"/>
      <c r="S9" s="5" t="s">
        <v>241</v>
      </c>
      <c r="T9" s="5" t="s">
        <v>160</v>
      </c>
      <c r="U9" s="5" t="s">
        <v>175</v>
      </c>
      <c r="V9" s="5" t="s">
        <v>200</v>
      </c>
      <c r="W9" s="5" t="s">
        <v>175</v>
      </c>
      <c r="X9" s="16">
        <v>9</v>
      </c>
      <c r="Y9" s="16">
        <v>9</v>
      </c>
      <c r="Z9" s="16">
        <v>9</v>
      </c>
      <c r="AA9" s="16">
        <v>9</v>
      </c>
      <c r="AB9" s="16">
        <v>9</v>
      </c>
      <c r="AC9" s="16">
        <v>9</v>
      </c>
      <c r="AD9" s="16">
        <v>9</v>
      </c>
      <c r="AE9" s="16">
        <v>9</v>
      </c>
      <c r="AF9" s="16">
        <v>9</v>
      </c>
      <c r="AG9" s="16">
        <v>9</v>
      </c>
    </row>
    <row r="10" spans="1:33" ht="19.95" customHeight="1" x14ac:dyDescent="0.4">
      <c r="A10" s="11" t="s">
        <v>271</v>
      </c>
      <c r="B10" s="11" t="s">
        <v>160</v>
      </c>
      <c r="C10" s="12" t="s">
        <v>193</v>
      </c>
      <c r="D10" s="12" t="s">
        <v>194</v>
      </c>
      <c r="E10" s="13" t="s">
        <v>195</v>
      </c>
      <c r="F10" s="14">
        <v>3934599</v>
      </c>
      <c r="G10" s="14">
        <f t="shared" si="1"/>
        <v>4034186.69098524</v>
      </c>
      <c r="H10" s="14">
        <f t="shared" si="1"/>
        <v>4136295.0221159616</v>
      </c>
      <c r="I10" s="14">
        <f t="shared" si="1"/>
        <v>4240987.7927099336</v>
      </c>
      <c r="J10" s="14">
        <f t="shared" si="1"/>
        <v>4348330.4168941444</v>
      </c>
      <c r="K10" s="14">
        <f t="shared" si="1"/>
        <v>4458389.9644768517</v>
      </c>
      <c r="L10" s="14">
        <f t="shared" si="1"/>
        <v>4571235.2028541341</v>
      </c>
      <c r="M10" s="14">
        <f t="shared" si="1"/>
        <v>4686936.6399771264</v>
      </c>
      <c r="N10" s="14">
        <f t="shared" si="1"/>
        <v>4805566.5684067942</v>
      </c>
      <c r="O10" s="14">
        <f t="shared" si="1"/>
        <v>4927199.1104837619</v>
      </c>
      <c r="Q10" s="98"/>
      <c r="S10" s="5" t="s">
        <v>242</v>
      </c>
      <c r="T10" s="5" t="s">
        <v>160</v>
      </c>
      <c r="U10" s="5" t="s">
        <v>193</v>
      </c>
      <c r="V10" s="5" t="s">
        <v>194</v>
      </c>
      <c r="W10" s="5" t="s">
        <v>195</v>
      </c>
      <c r="X10" s="16">
        <v>1</v>
      </c>
      <c r="Y10" s="16">
        <v>1</v>
      </c>
      <c r="Z10" s="16">
        <v>1</v>
      </c>
      <c r="AA10" s="16">
        <v>1</v>
      </c>
      <c r="AB10" s="16">
        <v>1</v>
      </c>
      <c r="AC10" s="16">
        <v>1</v>
      </c>
      <c r="AD10" s="16">
        <v>1</v>
      </c>
      <c r="AE10" s="16">
        <v>1</v>
      </c>
      <c r="AF10" s="16">
        <v>1</v>
      </c>
      <c r="AG10" s="16">
        <v>1</v>
      </c>
    </row>
    <row r="11" spans="1:33" ht="19.95" customHeight="1" x14ac:dyDescent="0.4">
      <c r="A11" s="11" t="s">
        <v>272</v>
      </c>
      <c r="B11" s="11" t="s">
        <v>160</v>
      </c>
      <c r="C11" s="12" t="s">
        <v>193</v>
      </c>
      <c r="D11" s="12" t="s">
        <v>194</v>
      </c>
      <c r="E11" s="13" t="s">
        <v>196</v>
      </c>
      <c r="F11" s="14">
        <v>3005311</v>
      </c>
      <c r="G11" s="14">
        <f t="shared" si="1"/>
        <v>3081377.7054463602</v>
      </c>
      <c r="H11" s="14">
        <f t="shared" si="1"/>
        <v>3159369.7170182634</v>
      </c>
      <c r="I11" s="14">
        <f t="shared" si="1"/>
        <v>3239335.7656769804</v>
      </c>
      <c r="J11" s="14">
        <f t="shared" si="1"/>
        <v>3321325.8158014468</v>
      </c>
      <c r="K11" s="14">
        <f t="shared" si="1"/>
        <v>3405391.0964070014</v>
      </c>
      <c r="L11" s="14">
        <f t="shared" si="1"/>
        <v>3491584.1331542959</v>
      </c>
      <c r="M11" s="14">
        <f t="shared" si="1"/>
        <v>3579958.7811683724</v>
      </c>
      <c r="N11" s="14">
        <f t="shared" si="1"/>
        <v>3670570.2586884177</v>
      </c>
      <c r="O11" s="14">
        <f t="shared" si="1"/>
        <v>3763475.1815692182</v>
      </c>
      <c r="Q11" s="98"/>
      <c r="S11" s="5" t="s">
        <v>243</v>
      </c>
      <c r="T11" s="5" t="s">
        <v>160</v>
      </c>
      <c r="U11" s="5" t="s">
        <v>193</v>
      </c>
      <c r="V11" s="5" t="s">
        <v>194</v>
      </c>
      <c r="W11" s="5" t="s">
        <v>196</v>
      </c>
      <c r="X11" s="16">
        <v>1</v>
      </c>
      <c r="Y11" s="16">
        <v>1</v>
      </c>
      <c r="Z11" s="16">
        <v>1</v>
      </c>
      <c r="AA11" s="16">
        <v>1</v>
      </c>
      <c r="AB11" s="16">
        <v>1</v>
      </c>
      <c r="AC11" s="16">
        <v>1</v>
      </c>
      <c r="AD11" s="16">
        <v>1</v>
      </c>
      <c r="AE11" s="16">
        <v>1</v>
      </c>
      <c r="AF11" s="16">
        <v>1</v>
      </c>
      <c r="AG11" s="16">
        <v>1</v>
      </c>
    </row>
    <row r="12" spans="1:33" ht="19.95" customHeight="1" x14ac:dyDescent="0.4">
      <c r="A12" s="11" t="s">
        <v>273</v>
      </c>
      <c r="B12" s="11" t="s">
        <v>160</v>
      </c>
      <c r="C12" s="12" t="s">
        <v>193</v>
      </c>
      <c r="D12" s="12" t="s">
        <v>194</v>
      </c>
      <c r="E12" s="13" t="s">
        <v>197</v>
      </c>
      <c r="F12" s="14">
        <v>2822414</v>
      </c>
      <c r="G12" s="14">
        <f t="shared" si="1"/>
        <v>2893851.4433746398</v>
      </c>
      <c r="H12" s="14">
        <f t="shared" si="1"/>
        <v>2967097.0227335491</v>
      </c>
      <c r="I12" s="14">
        <f t="shared" si="1"/>
        <v>3042196.5033726725</v>
      </c>
      <c r="J12" s="14">
        <f t="shared" si="1"/>
        <v>3119196.8089423776</v>
      </c>
      <c r="K12" s="14">
        <f t="shared" si="1"/>
        <v>3198146.0507662841</v>
      </c>
      <c r="L12" s="14">
        <f t="shared" si="1"/>
        <v>3279093.5579021773</v>
      </c>
      <c r="M12" s="14">
        <f t="shared" si="1"/>
        <v>3362089.9079637853</v>
      </c>
      <c r="N12" s="14">
        <f t="shared" si="1"/>
        <v>3447186.9587226789</v>
      </c>
      <c r="O12" s="14">
        <f t="shared" si="1"/>
        <v>3534437.8805100387</v>
      </c>
      <c r="Q12" s="98"/>
      <c r="S12" s="5" t="s">
        <v>244</v>
      </c>
      <c r="T12" s="5" t="s">
        <v>160</v>
      </c>
      <c r="U12" s="5" t="s">
        <v>193</v>
      </c>
      <c r="V12" s="5" t="s">
        <v>194</v>
      </c>
      <c r="W12" s="5" t="s">
        <v>197</v>
      </c>
      <c r="X12" s="16">
        <v>3</v>
      </c>
      <c r="Y12" s="16">
        <v>3</v>
      </c>
      <c r="Z12" s="16">
        <v>3</v>
      </c>
      <c r="AA12" s="16">
        <v>3</v>
      </c>
      <c r="AB12" s="16">
        <v>3</v>
      </c>
      <c r="AC12" s="16">
        <v>3</v>
      </c>
      <c r="AD12" s="16">
        <v>3</v>
      </c>
      <c r="AE12" s="16">
        <v>3</v>
      </c>
      <c r="AF12" s="16">
        <v>3</v>
      </c>
      <c r="AG12" s="16">
        <v>3</v>
      </c>
    </row>
    <row r="13" spans="1:33" ht="19.95" customHeight="1" x14ac:dyDescent="0.4">
      <c r="A13" s="11" t="s">
        <v>274</v>
      </c>
      <c r="B13" s="11" t="s">
        <v>160</v>
      </c>
      <c r="C13" s="12" t="s">
        <v>193</v>
      </c>
      <c r="D13" s="12" t="s">
        <v>161</v>
      </c>
      <c r="E13" s="13" t="s">
        <v>198</v>
      </c>
      <c r="F13" s="14">
        <v>2822414</v>
      </c>
      <c r="G13" s="14">
        <f t="shared" si="1"/>
        <v>2893851.4433746398</v>
      </c>
      <c r="H13" s="14">
        <f t="shared" si="1"/>
        <v>2967097.0227335491</v>
      </c>
      <c r="I13" s="14">
        <f t="shared" si="1"/>
        <v>3042196.5033726725</v>
      </c>
      <c r="J13" s="14">
        <f t="shared" si="1"/>
        <v>3119196.8089423776</v>
      </c>
      <c r="K13" s="14">
        <f t="shared" si="1"/>
        <v>3198146.0507662841</v>
      </c>
      <c r="L13" s="14">
        <f t="shared" si="1"/>
        <v>3279093.5579021773</v>
      </c>
      <c r="M13" s="14">
        <f t="shared" si="1"/>
        <v>3362089.9079637853</v>
      </c>
      <c r="N13" s="14">
        <f t="shared" si="1"/>
        <v>3447186.9587226789</v>
      </c>
      <c r="O13" s="14">
        <f t="shared" si="1"/>
        <v>3534437.8805100387</v>
      </c>
      <c r="Q13" s="98"/>
      <c r="S13" s="5" t="s">
        <v>245</v>
      </c>
      <c r="T13" s="5" t="s">
        <v>160</v>
      </c>
      <c r="U13" s="5" t="s">
        <v>193</v>
      </c>
      <c r="V13" s="5" t="s">
        <v>161</v>
      </c>
      <c r="W13" s="5" t="s">
        <v>198</v>
      </c>
      <c r="X13" s="16">
        <v>1</v>
      </c>
      <c r="Y13" s="16">
        <v>1</v>
      </c>
      <c r="Z13" s="16">
        <v>1</v>
      </c>
      <c r="AA13" s="16">
        <v>1</v>
      </c>
      <c r="AB13" s="16">
        <v>1</v>
      </c>
      <c r="AC13" s="16">
        <v>1</v>
      </c>
      <c r="AD13" s="16">
        <v>1</v>
      </c>
      <c r="AE13" s="16">
        <v>1</v>
      </c>
      <c r="AF13" s="16">
        <v>1</v>
      </c>
      <c r="AG13" s="16">
        <v>1</v>
      </c>
    </row>
    <row r="14" spans="1:33" ht="19.95" customHeight="1" x14ac:dyDescent="0.4">
      <c r="A14" s="11" t="s">
        <v>275</v>
      </c>
      <c r="B14" s="11" t="s">
        <v>160</v>
      </c>
      <c r="C14" s="12" t="s">
        <v>193</v>
      </c>
      <c r="D14" s="12" t="s">
        <v>199</v>
      </c>
      <c r="E14" s="13" t="s">
        <v>198</v>
      </c>
      <c r="F14" s="14">
        <v>2822414</v>
      </c>
      <c r="G14" s="14">
        <f t="shared" si="1"/>
        <v>2893851.4433746398</v>
      </c>
      <c r="H14" s="14">
        <f t="shared" si="1"/>
        <v>2967097.0227335491</v>
      </c>
      <c r="I14" s="14">
        <f t="shared" si="1"/>
        <v>3042196.5033726725</v>
      </c>
      <c r="J14" s="14">
        <f t="shared" si="1"/>
        <v>3119196.8089423776</v>
      </c>
      <c r="K14" s="14">
        <f t="shared" si="1"/>
        <v>3198146.0507662841</v>
      </c>
      <c r="L14" s="14">
        <f t="shared" si="1"/>
        <v>3279093.5579021773</v>
      </c>
      <c r="M14" s="14">
        <f t="shared" si="1"/>
        <v>3362089.9079637853</v>
      </c>
      <c r="N14" s="14">
        <f t="shared" si="1"/>
        <v>3447186.9587226789</v>
      </c>
      <c r="O14" s="14">
        <f t="shared" si="1"/>
        <v>3534437.8805100387</v>
      </c>
      <c r="Q14" s="98"/>
      <c r="S14" s="5" t="s">
        <v>246</v>
      </c>
      <c r="T14" s="5" t="s">
        <v>160</v>
      </c>
      <c r="U14" s="5" t="s">
        <v>193</v>
      </c>
      <c r="V14" s="5" t="s">
        <v>199</v>
      </c>
      <c r="W14" s="5" t="s">
        <v>198</v>
      </c>
      <c r="X14" s="16">
        <v>1</v>
      </c>
      <c r="Y14" s="16">
        <v>1</v>
      </c>
      <c r="Z14" s="16">
        <v>1</v>
      </c>
      <c r="AA14" s="16">
        <v>1</v>
      </c>
      <c r="AB14" s="16">
        <v>1</v>
      </c>
      <c r="AC14" s="16">
        <v>1</v>
      </c>
      <c r="AD14" s="16">
        <v>1</v>
      </c>
      <c r="AE14" s="16">
        <v>1</v>
      </c>
      <c r="AF14" s="16">
        <v>1</v>
      </c>
      <c r="AG14" s="16">
        <v>1</v>
      </c>
    </row>
    <row r="15" spans="1:33" ht="19.95" customHeight="1" x14ac:dyDescent="0.4">
      <c r="A15" s="11" t="s">
        <v>276</v>
      </c>
      <c r="B15" s="11" t="s">
        <v>160</v>
      </c>
      <c r="C15" s="12" t="s">
        <v>193</v>
      </c>
      <c r="D15" s="12" t="s">
        <v>192</v>
      </c>
      <c r="E15" s="13" t="s">
        <v>198</v>
      </c>
      <c r="F15" s="14">
        <v>2822414</v>
      </c>
      <c r="G15" s="14">
        <f t="shared" si="1"/>
        <v>2893851.4433746398</v>
      </c>
      <c r="H15" s="14">
        <f t="shared" si="1"/>
        <v>2967097.0227335491</v>
      </c>
      <c r="I15" s="14">
        <f t="shared" si="1"/>
        <v>3042196.5033726725</v>
      </c>
      <c r="J15" s="14">
        <f t="shared" si="1"/>
        <v>3119196.8089423776</v>
      </c>
      <c r="K15" s="14">
        <f t="shared" si="1"/>
        <v>3198146.0507662841</v>
      </c>
      <c r="L15" s="14">
        <f t="shared" si="1"/>
        <v>3279093.5579021773</v>
      </c>
      <c r="M15" s="14">
        <f t="shared" si="1"/>
        <v>3362089.9079637853</v>
      </c>
      <c r="N15" s="14">
        <f t="shared" si="1"/>
        <v>3447186.9587226789</v>
      </c>
      <c r="O15" s="14">
        <f t="shared" si="1"/>
        <v>3534437.8805100387</v>
      </c>
      <c r="Q15" s="98"/>
      <c r="S15" s="5" t="s">
        <v>247</v>
      </c>
      <c r="T15" s="5" t="s">
        <v>160</v>
      </c>
      <c r="U15" s="5" t="s">
        <v>193</v>
      </c>
      <c r="V15" s="5" t="s">
        <v>192</v>
      </c>
      <c r="W15" s="5" t="s">
        <v>198</v>
      </c>
      <c r="X15" s="16">
        <v>1</v>
      </c>
      <c r="Y15" s="16">
        <v>1</v>
      </c>
      <c r="Z15" s="16">
        <v>1</v>
      </c>
      <c r="AA15" s="16">
        <v>1</v>
      </c>
      <c r="AB15" s="16">
        <v>1</v>
      </c>
      <c r="AC15" s="16">
        <v>1</v>
      </c>
      <c r="AD15" s="16">
        <v>1</v>
      </c>
      <c r="AE15" s="16">
        <v>1</v>
      </c>
      <c r="AF15" s="16">
        <v>1</v>
      </c>
      <c r="AG15" s="16">
        <v>1</v>
      </c>
    </row>
    <row r="16" spans="1:33" ht="19.95" customHeight="1" x14ac:dyDescent="0.4">
      <c r="A16" s="11" t="s">
        <v>277</v>
      </c>
      <c r="B16" s="11" t="s">
        <v>160</v>
      </c>
      <c r="C16" s="12" t="s">
        <v>193</v>
      </c>
      <c r="D16" s="12" t="s">
        <v>192</v>
      </c>
      <c r="E16" s="13" t="s">
        <v>203</v>
      </c>
      <c r="F16" s="14">
        <v>2577095</v>
      </c>
      <c r="G16" s="14">
        <f t="shared" si="1"/>
        <v>2642323.2330422001</v>
      </c>
      <c r="H16" s="14">
        <f t="shared" si="1"/>
        <v>2709202.4422361553</v>
      </c>
      <c r="I16" s="14">
        <f t="shared" si="1"/>
        <v>2777774.4150430085</v>
      </c>
      <c r="J16" s="14">
        <f t="shared" si="1"/>
        <v>2848081.9965963024</v>
      </c>
      <c r="K16" s="14">
        <f t="shared" si="1"/>
        <v>2920169.116472472</v>
      </c>
      <c r="L16" s="14">
        <f t="shared" si="1"/>
        <v>2994080.8161389185</v>
      </c>
      <c r="M16" s="14">
        <f t="shared" si="1"/>
        <v>3069863.2770968149</v>
      </c>
      <c r="N16" s="14">
        <f t="shared" si="1"/>
        <v>3147563.8497362258</v>
      </c>
      <c r="O16" s="14">
        <f t="shared" si="1"/>
        <v>3227231.0829215753</v>
      </c>
      <c r="Q16" s="98"/>
      <c r="S16" s="5" t="s">
        <v>248</v>
      </c>
      <c r="T16" s="5" t="s">
        <v>160</v>
      </c>
      <c r="U16" s="5" t="s">
        <v>193</v>
      </c>
      <c r="V16" s="5" t="s">
        <v>192</v>
      </c>
      <c r="W16" s="5" t="s">
        <v>203</v>
      </c>
      <c r="X16" s="16">
        <v>1</v>
      </c>
      <c r="Y16" s="16">
        <v>1</v>
      </c>
      <c r="Z16" s="16">
        <v>1</v>
      </c>
      <c r="AA16" s="16">
        <v>1</v>
      </c>
      <c r="AB16" s="16">
        <v>1</v>
      </c>
      <c r="AC16" s="16">
        <v>1</v>
      </c>
      <c r="AD16" s="16">
        <v>1</v>
      </c>
      <c r="AE16" s="16">
        <v>1</v>
      </c>
      <c r="AF16" s="16">
        <v>1</v>
      </c>
      <c r="AG16" s="16">
        <v>1</v>
      </c>
    </row>
    <row r="17" spans="1:33" ht="19.95" customHeight="1" x14ac:dyDescent="0.4">
      <c r="A17" s="11" t="s">
        <v>278</v>
      </c>
      <c r="B17" s="11" t="s">
        <v>160</v>
      </c>
      <c r="C17" s="12" t="s">
        <v>193</v>
      </c>
      <c r="D17" s="12" t="s">
        <v>200</v>
      </c>
      <c r="E17" s="13" t="s">
        <v>198</v>
      </c>
      <c r="F17" s="14">
        <v>2822414</v>
      </c>
      <c r="G17" s="14">
        <f t="shared" si="1"/>
        <v>2893851.4433746398</v>
      </c>
      <c r="H17" s="14">
        <f t="shared" si="1"/>
        <v>2967097.0227335491</v>
      </c>
      <c r="I17" s="14">
        <f t="shared" si="1"/>
        <v>3042196.5033726725</v>
      </c>
      <c r="J17" s="14">
        <f t="shared" si="1"/>
        <v>3119196.8089423776</v>
      </c>
      <c r="K17" s="14">
        <f t="shared" si="1"/>
        <v>3198146.0507662841</v>
      </c>
      <c r="L17" s="14">
        <f t="shared" si="1"/>
        <v>3279093.5579021773</v>
      </c>
      <c r="M17" s="14">
        <f t="shared" si="1"/>
        <v>3362089.9079637853</v>
      </c>
      <c r="N17" s="14">
        <f t="shared" si="1"/>
        <v>3447186.9587226789</v>
      </c>
      <c r="O17" s="14">
        <f t="shared" si="1"/>
        <v>3534437.8805100387</v>
      </c>
      <c r="Q17" s="98"/>
      <c r="S17" s="5" t="s">
        <v>249</v>
      </c>
      <c r="T17" s="5" t="s">
        <v>160</v>
      </c>
      <c r="U17" s="5" t="s">
        <v>193</v>
      </c>
      <c r="V17" s="5" t="s">
        <v>200</v>
      </c>
      <c r="W17" s="5" t="s">
        <v>198</v>
      </c>
      <c r="X17" s="16">
        <v>1</v>
      </c>
      <c r="Y17" s="16">
        <v>1</v>
      </c>
      <c r="Z17" s="16">
        <v>1</v>
      </c>
      <c r="AA17" s="16">
        <v>1</v>
      </c>
      <c r="AB17" s="16">
        <v>1</v>
      </c>
      <c r="AC17" s="16">
        <v>1</v>
      </c>
      <c r="AD17" s="16">
        <v>1</v>
      </c>
      <c r="AE17" s="16">
        <v>1</v>
      </c>
      <c r="AF17" s="16">
        <v>1</v>
      </c>
      <c r="AG17" s="16">
        <v>1</v>
      </c>
    </row>
    <row r="18" spans="1:33" ht="19.95" customHeight="1" x14ac:dyDescent="0.4">
      <c r="A18" s="34" t="s">
        <v>255</v>
      </c>
      <c r="B18" s="34" t="s">
        <v>257</v>
      </c>
      <c r="C18" s="35" t="s">
        <v>193</v>
      </c>
      <c r="D18" s="35" t="s">
        <v>250</v>
      </c>
      <c r="E18" s="34" t="s">
        <v>251</v>
      </c>
      <c r="F18" s="36">
        <v>2822414</v>
      </c>
      <c r="G18" s="36">
        <f t="shared" si="1"/>
        <v>2893851.4433746398</v>
      </c>
      <c r="H18" s="36">
        <f t="shared" si="1"/>
        <v>2967097.0227335491</v>
      </c>
      <c r="I18" s="36">
        <f t="shared" si="1"/>
        <v>3042196.5033726725</v>
      </c>
      <c r="J18" s="36">
        <f t="shared" si="1"/>
        <v>3119196.8089423776</v>
      </c>
      <c r="K18" s="36">
        <f t="shared" si="1"/>
        <v>3198146.0507662841</v>
      </c>
      <c r="L18" s="36">
        <f t="shared" si="1"/>
        <v>3279093.5579021773</v>
      </c>
      <c r="M18" s="36">
        <f t="shared" si="1"/>
        <v>3362089.9079637853</v>
      </c>
      <c r="N18" s="36">
        <f t="shared" si="1"/>
        <v>3447186.9587226789</v>
      </c>
      <c r="O18" s="36">
        <f t="shared" si="1"/>
        <v>3534437.8805100387</v>
      </c>
      <c r="Q18" s="98"/>
      <c r="S18" s="34" t="s">
        <v>255</v>
      </c>
      <c r="T18" s="34" t="s">
        <v>257</v>
      </c>
      <c r="U18" s="35" t="s">
        <v>193</v>
      </c>
      <c r="V18" s="35" t="s">
        <v>250</v>
      </c>
      <c r="W18" s="34" t="s">
        <v>251</v>
      </c>
      <c r="X18" s="37">
        <v>0</v>
      </c>
      <c r="Y18" s="37">
        <v>0</v>
      </c>
      <c r="Z18" s="37">
        <v>0</v>
      </c>
      <c r="AA18" s="37">
        <v>0</v>
      </c>
      <c r="AB18" s="37">
        <v>0</v>
      </c>
      <c r="AC18" s="37">
        <v>0</v>
      </c>
      <c r="AD18" s="37">
        <v>0</v>
      </c>
      <c r="AE18" s="37">
        <v>0</v>
      </c>
      <c r="AF18" s="37">
        <v>0</v>
      </c>
      <c r="AG18" s="37">
        <v>0</v>
      </c>
    </row>
    <row r="19" spans="1:33" ht="19.95" customHeight="1" x14ac:dyDescent="0.4">
      <c r="A19" s="34" t="s">
        <v>279</v>
      </c>
      <c r="B19" s="34" t="s">
        <v>257</v>
      </c>
      <c r="C19" s="35" t="s">
        <v>175</v>
      </c>
      <c r="D19" s="35" t="s">
        <v>250</v>
      </c>
      <c r="E19" s="34" t="s">
        <v>175</v>
      </c>
      <c r="F19" s="36">
        <v>2475401</v>
      </c>
      <c r="G19" s="36">
        <f t="shared" si="1"/>
        <v>2538055.2806147598</v>
      </c>
      <c r="H19" s="36">
        <f t="shared" si="1"/>
        <v>2602295.3886891324</v>
      </c>
      <c r="I19" s="36">
        <f t="shared" si="1"/>
        <v>2668161.4627213497</v>
      </c>
      <c r="J19" s="36">
        <f t="shared" si="1"/>
        <v>2735694.6571455388</v>
      </c>
      <c r="K19" s="36">
        <f t="shared" si="1"/>
        <v>2804937.1680458318</v>
      </c>
      <c r="L19" s="36">
        <f t="shared" si="1"/>
        <v>2875932.2595213195</v>
      </c>
      <c r="M19" s="36">
        <f t="shared" si="1"/>
        <v>2948724.2907183212</v>
      </c>
      <c r="N19" s="36">
        <f t="shared" si="1"/>
        <v>3023358.7435468626</v>
      </c>
      <c r="O19" s="36">
        <f t="shared" si="1"/>
        <v>3099882.2510986789</v>
      </c>
      <c r="Q19" s="98"/>
      <c r="S19" s="34" t="s">
        <v>279</v>
      </c>
      <c r="T19" s="34" t="s">
        <v>257</v>
      </c>
      <c r="U19" s="35" t="s">
        <v>175</v>
      </c>
      <c r="V19" s="35" t="s">
        <v>250</v>
      </c>
      <c r="W19" s="34" t="s">
        <v>175</v>
      </c>
      <c r="X19" s="37">
        <v>19.5</v>
      </c>
      <c r="Y19" s="37">
        <v>34</v>
      </c>
      <c r="Z19" s="37">
        <v>34</v>
      </c>
      <c r="AA19" s="37">
        <v>34</v>
      </c>
      <c r="AB19" s="37">
        <v>34</v>
      </c>
      <c r="AC19" s="37">
        <v>34</v>
      </c>
      <c r="AD19" s="37">
        <v>34</v>
      </c>
      <c r="AE19" s="37">
        <v>34</v>
      </c>
      <c r="AF19" s="37">
        <v>34</v>
      </c>
      <c r="AG19" s="37">
        <v>34</v>
      </c>
    </row>
    <row r="20" spans="1:33" ht="19.95" customHeight="1" x14ac:dyDescent="0.4">
      <c r="A20" s="34" t="s">
        <v>280</v>
      </c>
      <c r="B20" s="34" t="s">
        <v>257</v>
      </c>
      <c r="C20" s="35" t="s">
        <v>175</v>
      </c>
      <c r="D20" s="35" t="s">
        <v>252</v>
      </c>
      <c r="E20" s="34" t="s">
        <v>175</v>
      </c>
      <c r="F20" s="36">
        <v>2810805</v>
      </c>
      <c r="G20" s="36">
        <f t="shared" ref="G20:O35" si="2">F20*$Q$3</f>
        <v>2881948.6107617998</v>
      </c>
      <c r="H20" s="36">
        <f t="shared" si="2"/>
        <v>2954892.9203811251</v>
      </c>
      <c r="I20" s="36">
        <f t="shared" si="2"/>
        <v>3029683.5059145908</v>
      </c>
      <c r="J20" s="36">
        <f t="shared" si="2"/>
        <v>3106367.0980087537</v>
      </c>
      <c r="K20" s="36">
        <f t="shared" si="2"/>
        <v>3184991.6100983499</v>
      </c>
      <c r="L20" s="36">
        <f t="shared" si="2"/>
        <v>3265606.1683435626</v>
      </c>
      <c r="M20" s="36">
        <f t="shared" si="2"/>
        <v>3348261.142325026</v>
      </c>
      <c r="N20" s="36">
        <f t="shared" si="2"/>
        <v>3433008.1765157403</v>
      </c>
      <c r="O20" s="36">
        <f t="shared" si="2"/>
        <v>3519900.2225495679</v>
      </c>
      <c r="S20" s="34" t="s">
        <v>280</v>
      </c>
      <c r="T20" s="34" t="s">
        <v>257</v>
      </c>
      <c r="U20" s="35" t="s">
        <v>175</v>
      </c>
      <c r="V20" s="35" t="s">
        <v>252</v>
      </c>
      <c r="W20" s="34" t="s">
        <v>175</v>
      </c>
      <c r="X20" s="37">
        <v>4</v>
      </c>
      <c r="Y20" s="37">
        <v>4</v>
      </c>
      <c r="Z20" s="37">
        <v>4</v>
      </c>
      <c r="AA20" s="37">
        <v>4</v>
      </c>
      <c r="AB20" s="37">
        <v>4</v>
      </c>
      <c r="AC20" s="37">
        <v>4</v>
      </c>
      <c r="AD20" s="37">
        <v>4</v>
      </c>
      <c r="AE20" s="37">
        <v>4</v>
      </c>
      <c r="AF20" s="37">
        <v>4</v>
      </c>
      <c r="AG20" s="37">
        <v>4</v>
      </c>
    </row>
    <row r="21" spans="1:33" ht="19.95" customHeight="1" x14ac:dyDescent="0.4">
      <c r="A21" s="34" t="s">
        <v>281</v>
      </c>
      <c r="B21" s="34" t="s">
        <v>257</v>
      </c>
      <c r="C21" s="35" t="s">
        <v>175</v>
      </c>
      <c r="D21" s="35" t="s">
        <v>252</v>
      </c>
      <c r="E21" s="34" t="s">
        <v>253</v>
      </c>
      <c r="F21" s="36">
        <v>2268632</v>
      </c>
      <c r="G21" s="36">
        <f t="shared" si="2"/>
        <v>2326052.8000803199</v>
      </c>
      <c r="H21" s="36">
        <f t="shared" si="2"/>
        <v>2384926.9642504808</v>
      </c>
      <c r="I21" s="36">
        <f t="shared" si="2"/>
        <v>2445291.2782601533</v>
      </c>
      <c r="J21" s="36">
        <f t="shared" si="2"/>
        <v>2507183.4589342894</v>
      </c>
      <c r="K21" s="36">
        <f t="shared" si="2"/>
        <v>2570642.177739345</v>
      </c>
      <c r="L21" s="36">
        <f t="shared" si="2"/>
        <v>2635707.0849459828</v>
      </c>
      <c r="M21" s="36">
        <f t="shared" si="2"/>
        <v>2702418.83440335</v>
      </c>
      <c r="N21" s="36">
        <f t="shared" si="2"/>
        <v>2770819.1089404128</v>
      </c>
      <c r="O21" s="36">
        <f t="shared" si="2"/>
        <v>2840950.6464102175</v>
      </c>
      <c r="S21" s="34" t="s">
        <v>281</v>
      </c>
      <c r="T21" s="34" t="s">
        <v>257</v>
      </c>
      <c r="U21" s="35" t="s">
        <v>175</v>
      </c>
      <c r="V21" s="35" t="s">
        <v>252</v>
      </c>
      <c r="W21" s="34" t="s">
        <v>253</v>
      </c>
      <c r="X21" s="37">
        <v>2</v>
      </c>
      <c r="Y21" s="37">
        <v>2</v>
      </c>
      <c r="Z21" s="37">
        <v>2</v>
      </c>
      <c r="AA21" s="37">
        <v>2</v>
      </c>
      <c r="AB21" s="37">
        <v>2</v>
      </c>
      <c r="AC21" s="37">
        <v>2</v>
      </c>
      <c r="AD21" s="37">
        <v>2</v>
      </c>
      <c r="AE21" s="37">
        <v>2</v>
      </c>
      <c r="AF21" s="37">
        <v>2</v>
      </c>
      <c r="AG21" s="37">
        <v>2</v>
      </c>
    </row>
    <row r="22" spans="1:33" ht="19.95" customHeight="1" x14ac:dyDescent="0.4">
      <c r="A22" s="34" t="s">
        <v>282</v>
      </c>
      <c r="B22" s="34" t="s">
        <v>257</v>
      </c>
      <c r="C22" s="35" t="s">
        <v>193</v>
      </c>
      <c r="D22" s="35" t="s">
        <v>194</v>
      </c>
      <c r="E22" s="34" t="s">
        <v>195</v>
      </c>
      <c r="F22" s="36">
        <v>3934599</v>
      </c>
      <c r="G22" s="36">
        <f t="shared" si="2"/>
        <v>4034186.69098524</v>
      </c>
      <c r="H22" s="36">
        <f t="shared" si="2"/>
        <v>4136295.0221159616</v>
      </c>
      <c r="I22" s="36">
        <f t="shared" si="2"/>
        <v>4240987.7927099336</v>
      </c>
      <c r="J22" s="36">
        <f t="shared" si="2"/>
        <v>4348330.4168941444</v>
      </c>
      <c r="K22" s="36">
        <f t="shared" si="2"/>
        <v>4458389.9644768517</v>
      </c>
      <c r="L22" s="36">
        <f t="shared" si="2"/>
        <v>4571235.2028541341</v>
      </c>
      <c r="M22" s="36">
        <f t="shared" si="2"/>
        <v>4686936.6399771264</v>
      </c>
      <c r="N22" s="36">
        <f t="shared" si="2"/>
        <v>4805566.5684067942</v>
      </c>
      <c r="O22" s="36">
        <f t="shared" si="2"/>
        <v>4927199.1104837619</v>
      </c>
      <c r="S22" s="34" t="s">
        <v>282</v>
      </c>
      <c r="T22" s="34" t="s">
        <v>257</v>
      </c>
      <c r="U22" s="35" t="s">
        <v>193</v>
      </c>
      <c r="V22" s="35" t="s">
        <v>194</v>
      </c>
      <c r="W22" s="34" t="s">
        <v>195</v>
      </c>
      <c r="X22" s="37">
        <v>1</v>
      </c>
      <c r="Y22" s="37">
        <v>1</v>
      </c>
      <c r="Z22" s="37">
        <v>1</v>
      </c>
      <c r="AA22" s="37">
        <v>1</v>
      </c>
      <c r="AB22" s="37">
        <v>1</v>
      </c>
      <c r="AC22" s="37">
        <v>1</v>
      </c>
      <c r="AD22" s="37">
        <v>1</v>
      </c>
      <c r="AE22" s="37">
        <v>1</v>
      </c>
      <c r="AF22" s="37">
        <v>1</v>
      </c>
      <c r="AG22" s="37">
        <v>1</v>
      </c>
    </row>
    <row r="23" spans="1:33" ht="19.95" customHeight="1" x14ac:dyDescent="0.4">
      <c r="A23" s="34" t="s">
        <v>283</v>
      </c>
      <c r="B23" s="34" t="s">
        <v>257</v>
      </c>
      <c r="C23" s="35" t="s">
        <v>193</v>
      </c>
      <c r="D23" s="35" t="s">
        <v>194</v>
      </c>
      <c r="E23" s="34" t="s">
        <v>197</v>
      </c>
      <c r="F23" s="36">
        <v>2822414</v>
      </c>
      <c r="G23" s="36">
        <f t="shared" si="2"/>
        <v>2893851.4433746398</v>
      </c>
      <c r="H23" s="36">
        <f t="shared" si="2"/>
        <v>2967097.0227335491</v>
      </c>
      <c r="I23" s="36">
        <f t="shared" si="2"/>
        <v>3042196.5033726725</v>
      </c>
      <c r="J23" s="36">
        <f t="shared" si="2"/>
        <v>3119196.8089423776</v>
      </c>
      <c r="K23" s="36">
        <f t="shared" si="2"/>
        <v>3198146.0507662841</v>
      </c>
      <c r="L23" s="36">
        <f t="shared" si="2"/>
        <v>3279093.5579021773</v>
      </c>
      <c r="M23" s="36">
        <f t="shared" si="2"/>
        <v>3362089.9079637853</v>
      </c>
      <c r="N23" s="36">
        <f t="shared" si="2"/>
        <v>3447186.9587226789</v>
      </c>
      <c r="O23" s="36">
        <f t="shared" si="2"/>
        <v>3534437.8805100387</v>
      </c>
      <c r="S23" s="34" t="s">
        <v>283</v>
      </c>
      <c r="T23" s="34" t="s">
        <v>257</v>
      </c>
      <c r="U23" s="35" t="s">
        <v>193</v>
      </c>
      <c r="V23" s="35" t="s">
        <v>194</v>
      </c>
      <c r="W23" s="34" t="s">
        <v>197</v>
      </c>
      <c r="X23" s="37">
        <v>2.25</v>
      </c>
      <c r="Y23" s="37">
        <v>1</v>
      </c>
      <c r="Z23" s="37">
        <v>1</v>
      </c>
      <c r="AA23" s="37">
        <v>1</v>
      </c>
      <c r="AB23" s="37">
        <v>1</v>
      </c>
      <c r="AC23" s="37">
        <v>1</v>
      </c>
      <c r="AD23" s="37">
        <v>1</v>
      </c>
      <c r="AE23" s="37">
        <v>1</v>
      </c>
      <c r="AF23" s="37">
        <v>1</v>
      </c>
      <c r="AG23" s="37">
        <v>1</v>
      </c>
    </row>
    <row r="24" spans="1:33" ht="19.95" customHeight="1" x14ac:dyDescent="0.4">
      <c r="A24" s="34" t="s">
        <v>284</v>
      </c>
      <c r="B24" s="34" t="s">
        <v>257</v>
      </c>
      <c r="C24" s="35" t="s">
        <v>193</v>
      </c>
      <c r="D24" s="35" t="s">
        <v>250</v>
      </c>
      <c r="E24" s="34" t="s">
        <v>198</v>
      </c>
      <c r="F24" s="36">
        <v>2822414</v>
      </c>
      <c r="G24" s="36">
        <f t="shared" si="2"/>
        <v>2893851.4433746398</v>
      </c>
      <c r="H24" s="36">
        <f t="shared" si="2"/>
        <v>2967097.0227335491</v>
      </c>
      <c r="I24" s="36">
        <f t="shared" si="2"/>
        <v>3042196.5033726725</v>
      </c>
      <c r="J24" s="36">
        <f t="shared" si="2"/>
        <v>3119196.8089423776</v>
      </c>
      <c r="K24" s="36">
        <f t="shared" si="2"/>
        <v>3198146.0507662841</v>
      </c>
      <c r="L24" s="36">
        <f t="shared" si="2"/>
        <v>3279093.5579021773</v>
      </c>
      <c r="M24" s="36">
        <f t="shared" si="2"/>
        <v>3362089.9079637853</v>
      </c>
      <c r="N24" s="36">
        <f t="shared" si="2"/>
        <v>3447186.9587226789</v>
      </c>
      <c r="O24" s="36">
        <f t="shared" si="2"/>
        <v>3534437.8805100387</v>
      </c>
      <c r="S24" s="34" t="s">
        <v>284</v>
      </c>
      <c r="T24" s="34" t="s">
        <v>257</v>
      </c>
      <c r="U24" s="35" t="s">
        <v>193</v>
      </c>
      <c r="V24" s="35" t="s">
        <v>250</v>
      </c>
      <c r="W24" s="34" t="s">
        <v>198</v>
      </c>
      <c r="X24" s="37">
        <v>3.5</v>
      </c>
      <c r="Y24" s="37">
        <v>3</v>
      </c>
      <c r="Z24" s="37">
        <v>3</v>
      </c>
      <c r="AA24" s="37">
        <v>3</v>
      </c>
      <c r="AB24" s="37">
        <v>3</v>
      </c>
      <c r="AC24" s="37">
        <v>3</v>
      </c>
      <c r="AD24" s="37">
        <v>3</v>
      </c>
      <c r="AE24" s="37">
        <v>3</v>
      </c>
      <c r="AF24" s="37">
        <v>3</v>
      </c>
      <c r="AG24" s="37">
        <v>3</v>
      </c>
    </row>
    <row r="25" spans="1:33" ht="19.95" customHeight="1" x14ac:dyDescent="0.4">
      <c r="A25" s="34" t="s">
        <v>285</v>
      </c>
      <c r="B25" s="34" t="s">
        <v>257</v>
      </c>
      <c r="C25" s="35" t="s">
        <v>193</v>
      </c>
      <c r="D25" s="35" t="s">
        <v>252</v>
      </c>
      <c r="E25" s="34" t="s">
        <v>198</v>
      </c>
      <c r="F25" s="36">
        <v>2822414</v>
      </c>
      <c r="G25" s="36">
        <f t="shared" si="2"/>
        <v>2893851.4433746398</v>
      </c>
      <c r="H25" s="36">
        <f t="shared" si="2"/>
        <v>2967097.0227335491</v>
      </c>
      <c r="I25" s="36">
        <f t="shared" si="2"/>
        <v>3042196.5033726725</v>
      </c>
      <c r="J25" s="36">
        <f t="shared" si="2"/>
        <v>3119196.8089423776</v>
      </c>
      <c r="K25" s="36">
        <f t="shared" si="2"/>
        <v>3198146.0507662841</v>
      </c>
      <c r="L25" s="36">
        <f t="shared" si="2"/>
        <v>3279093.5579021773</v>
      </c>
      <c r="M25" s="36">
        <f t="shared" si="2"/>
        <v>3362089.9079637853</v>
      </c>
      <c r="N25" s="36">
        <f t="shared" si="2"/>
        <v>3447186.9587226789</v>
      </c>
      <c r="O25" s="36">
        <f t="shared" si="2"/>
        <v>3534437.8805100387</v>
      </c>
      <c r="S25" s="34" t="s">
        <v>285</v>
      </c>
      <c r="T25" s="34" t="s">
        <v>257</v>
      </c>
      <c r="U25" s="35" t="s">
        <v>193</v>
      </c>
      <c r="V25" s="35" t="s">
        <v>252</v>
      </c>
      <c r="W25" s="34" t="s">
        <v>198</v>
      </c>
      <c r="X25" s="37">
        <v>2</v>
      </c>
      <c r="Y25" s="37">
        <v>2</v>
      </c>
      <c r="Z25" s="37">
        <v>2</v>
      </c>
      <c r="AA25" s="37">
        <v>2</v>
      </c>
      <c r="AB25" s="37">
        <v>2</v>
      </c>
      <c r="AC25" s="37">
        <v>2</v>
      </c>
      <c r="AD25" s="37">
        <v>2</v>
      </c>
      <c r="AE25" s="37">
        <v>2</v>
      </c>
      <c r="AF25" s="37">
        <v>2</v>
      </c>
      <c r="AG25" s="37">
        <v>2</v>
      </c>
    </row>
    <row r="26" spans="1:33" ht="19.95" customHeight="1" x14ac:dyDescent="0.4">
      <c r="A26" s="30" t="s">
        <v>301</v>
      </c>
      <c r="B26" s="30" t="s">
        <v>317</v>
      </c>
      <c r="C26" s="31" t="s">
        <v>193</v>
      </c>
      <c r="D26" s="31" t="s">
        <v>250</v>
      </c>
      <c r="E26" s="30" t="s">
        <v>251</v>
      </c>
      <c r="F26" s="32">
        <v>2839546</v>
      </c>
      <c r="G26" s="32">
        <f t="shared" si="2"/>
        <v>2911417.0673149601</v>
      </c>
      <c r="H26" s="32">
        <f t="shared" si="2"/>
        <v>2985107.2459656727</v>
      </c>
      <c r="I26" s="32">
        <f t="shared" si="2"/>
        <v>3060662.5790425707</v>
      </c>
      <c r="J26" s="32">
        <f t="shared" si="2"/>
        <v>3138130.2750216983</v>
      </c>
      <c r="K26" s="32">
        <f t="shared" si="2"/>
        <v>3217558.7372615063</v>
      </c>
      <c r="L26" s="32">
        <f t="shared" si="2"/>
        <v>3298997.5942462352</v>
      </c>
      <c r="M26" s="32">
        <f t="shared" si="2"/>
        <v>3382497.7305947789</v>
      </c>
      <c r="N26" s="32">
        <f t="shared" si="2"/>
        <v>3468111.3188544079</v>
      </c>
      <c r="O26" s="32">
        <f t="shared" si="2"/>
        <v>3555891.8520992151</v>
      </c>
      <c r="S26" s="30" t="s">
        <v>301</v>
      </c>
      <c r="T26" s="31" t="s">
        <v>316</v>
      </c>
      <c r="U26" s="31" t="s">
        <v>193</v>
      </c>
      <c r="V26" s="30" t="s">
        <v>250</v>
      </c>
      <c r="W26" s="30" t="s">
        <v>251</v>
      </c>
      <c r="X26" s="33">
        <v>0</v>
      </c>
      <c r="Y26" s="33">
        <v>0</v>
      </c>
      <c r="Z26" s="33">
        <v>0</v>
      </c>
      <c r="AA26" s="33">
        <v>0</v>
      </c>
      <c r="AB26" s="33">
        <v>0</v>
      </c>
      <c r="AC26" s="33">
        <v>0</v>
      </c>
      <c r="AD26" s="33">
        <v>0</v>
      </c>
      <c r="AE26" s="33">
        <v>0</v>
      </c>
      <c r="AF26" s="33">
        <v>0</v>
      </c>
      <c r="AG26" s="33">
        <v>0</v>
      </c>
    </row>
    <row r="27" spans="1:33" ht="19.95" customHeight="1" x14ac:dyDescent="0.4">
      <c r="A27" s="30" t="s">
        <v>318</v>
      </c>
      <c r="B27" s="30" t="s">
        <v>317</v>
      </c>
      <c r="C27" s="31" t="s">
        <v>175</v>
      </c>
      <c r="D27" s="31" t="s">
        <v>250</v>
      </c>
      <c r="E27" s="30" t="s">
        <v>286</v>
      </c>
      <c r="F27" s="32">
        <v>2475401</v>
      </c>
      <c r="G27" s="32">
        <f t="shared" si="2"/>
        <v>2538055.2806147598</v>
      </c>
      <c r="H27" s="32">
        <f t="shared" si="2"/>
        <v>2602295.3886891324</v>
      </c>
      <c r="I27" s="32">
        <f t="shared" si="2"/>
        <v>2668161.4627213497</v>
      </c>
      <c r="J27" s="32">
        <f t="shared" si="2"/>
        <v>2735694.6571455388</v>
      </c>
      <c r="K27" s="32">
        <f t="shared" si="2"/>
        <v>2804937.1680458318</v>
      </c>
      <c r="L27" s="32">
        <f t="shared" si="2"/>
        <v>2875932.2595213195</v>
      </c>
      <c r="M27" s="32">
        <f t="shared" si="2"/>
        <v>2948724.2907183212</v>
      </c>
      <c r="N27" s="32">
        <f t="shared" si="2"/>
        <v>3023358.7435468626</v>
      </c>
      <c r="O27" s="32">
        <f t="shared" si="2"/>
        <v>3099882.2510986789</v>
      </c>
      <c r="S27" s="30" t="s">
        <v>318</v>
      </c>
      <c r="T27" s="31" t="s">
        <v>316</v>
      </c>
      <c r="U27" s="31" t="s">
        <v>175</v>
      </c>
      <c r="V27" s="30" t="s">
        <v>250</v>
      </c>
      <c r="W27" s="30" t="s">
        <v>286</v>
      </c>
      <c r="X27" s="33">
        <v>11.25</v>
      </c>
      <c r="Y27" s="33">
        <v>15</v>
      </c>
      <c r="Z27" s="33">
        <v>15</v>
      </c>
      <c r="AA27" s="33">
        <v>15</v>
      </c>
      <c r="AB27" s="33">
        <v>15</v>
      </c>
      <c r="AC27" s="33">
        <v>15</v>
      </c>
      <c r="AD27" s="33">
        <v>15</v>
      </c>
      <c r="AE27" s="33">
        <v>15</v>
      </c>
      <c r="AF27" s="33">
        <v>15</v>
      </c>
      <c r="AG27" s="33">
        <v>15</v>
      </c>
    </row>
    <row r="28" spans="1:33" ht="19.95" customHeight="1" x14ac:dyDescent="0.4">
      <c r="A28" s="30" t="s">
        <v>319</v>
      </c>
      <c r="B28" s="30" t="s">
        <v>317</v>
      </c>
      <c r="C28" s="31" t="s">
        <v>175</v>
      </c>
      <c r="D28" s="31" t="s">
        <v>250</v>
      </c>
      <c r="E28" s="30" t="s">
        <v>287</v>
      </c>
      <c r="F28" s="32">
        <v>2475401</v>
      </c>
      <c r="G28" s="32">
        <f t="shared" si="2"/>
        <v>2538055.2806147598</v>
      </c>
      <c r="H28" s="32">
        <f t="shared" si="2"/>
        <v>2602295.3886891324</v>
      </c>
      <c r="I28" s="32">
        <f t="shared" si="2"/>
        <v>2668161.4627213497</v>
      </c>
      <c r="J28" s="32">
        <f t="shared" si="2"/>
        <v>2735694.6571455388</v>
      </c>
      <c r="K28" s="32">
        <f t="shared" si="2"/>
        <v>2804937.1680458318</v>
      </c>
      <c r="L28" s="32">
        <f t="shared" si="2"/>
        <v>2875932.2595213195</v>
      </c>
      <c r="M28" s="32">
        <f t="shared" si="2"/>
        <v>2948724.2907183212</v>
      </c>
      <c r="N28" s="32">
        <f t="shared" si="2"/>
        <v>3023358.7435468626</v>
      </c>
      <c r="O28" s="32">
        <f t="shared" si="2"/>
        <v>3099882.2510986789</v>
      </c>
      <c r="S28" s="30" t="s">
        <v>319</v>
      </c>
      <c r="T28" s="31" t="s">
        <v>316</v>
      </c>
      <c r="U28" s="31" t="s">
        <v>175</v>
      </c>
      <c r="V28" s="30" t="s">
        <v>250</v>
      </c>
      <c r="W28" s="30" t="s">
        <v>287</v>
      </c>
      <c r="X28" s="33">
        <v>2.25</v>
      </c>
      <c r="Y28" s="33">
        <v>3</v>
      </c>
      <c r="Z28" s="33">
        <v>3</v>
      </c>
      <c r="AA28" s="33">
        <v>3</v>
      </c>
      <c r="AB28" s="33">
        <v>3</v>
      </c>
      <c r="AC28" s="33">
        <v>3</v>
      </c>
      <c r="AD28" s="33">
        <v>3</v>
      </c>
      <c r="AE28" s="33">
        <v>3</v>
      </c>
      <c r="AF28" s="33">
        <v>3</v>
      </c>
      <c r="AG28" s="33">
        <v>3</v>
      </c>
    </row>
    <row r="29" spans="1:33" ht="19.95" customHeight="1" x14ac:dyDescent="0.4">
      <c r="A29" s="30" t="s">
        <v>320</v>
      </c>
      <c r="B29" s="30" t="s">
        <v>317</v>
      </c>
      <c r="C29" s="31" t="s">
        <v>175</v>
      </c>
      <c r="D29" s="31" t="s">
        <v>250</v>
      </c>
      <c r="E29" s="30" t="s">
        <v>288</v>
      </c>
      <c r="F29" s="32">
        <v>1289775</v>
      </c>
      <c r="G29" s="32">
        <f t="shared" si="2"/>
        <v>1322420.185479</v>
      </c>
      <c r="H29" s="32">
        <f t="shared" si="2"/>
        <v>1355891.6454128143</v>
      </c>
      <c r="I29" s="32">
        <f t="shared" si="2"/>
        <v>1390210.2934358632</v>
      </c>
      <c r="J29" s="32">
        <f t="shared" si="2"/>
        <v>1425397.572522548</v>
      </c>
      <c r="K29" s="32">
        <f t="shared" si="2"/>
        <v>1461475.4683852489</v>
      </c>
      <c r="L29" s="32">
        <f t="shared" si="2"/>
        <v>1498466.5232114354</v>
      </c>
      <c r="M29" s="32">
        <f t="shared" si="2"/>
        <v>1536393.8497484745</v>
      </c>
      <c r="N29" s="32">
        <f t="shared" si="2"/>
        <v>1575281.1457449342</v>
      </c>
      <c r="O29" s="32">
        <f t="shared" si="2"/>
        <v>1615152.7087574094</v>
      </c>
      <c r="S29" s="30" t="s">
        <v>320</v>
      </c>
      <c r="T29" s="31" t="s">
        <v>316</v>
      </c>
      <c r="U29" s="31" t="s">
        <v>175</v>
      </c>
      <c r="V29" s="30" t="s">
        <v>250</v>
      </c>
      <c r="W29" s="30" t="s">
        <v>288</v>
      </c>
      <c r="X29" s="33">
        <v>8.25</v>
      </c>
      <c r="Y29" s="33">
        <v>11</v>
      </c>
      <c r="Z29" s="33">
        <v>11</v>
      </c>
      <c r="AA29" s="33">
        <v>11</v>
      </c>
      <c r="AB29" s="33">
        <v>11</v>
      </c>
      <c r="AC29" s="33">
        <v>11</v>
      </c>
      <c r="AD29" s="33">
        <v>11</v>
      </c>
      <c r="AE29" s="33">
        <v>11</v>
      </c>
      <c r="AF29" s="33">
        <v>11</v>
      </c>
      <c r="AG29" s="33">
        <v>11</v>
      </c>
    </row>
    <row r="30" spans="1:33" ht="19.95" customHeight="1" x14ac:dyDescent="0.4">
      <c r="A30" s="30" t="s">
        <v>321</v>
      </c>
      <c r="B30" s="30" t="s">
        <v>317</v>
      </c>
      <c r="C30" s="31" t="s">
        <v>175</v>
      </c>
      <c r="D30" s="31" t="s">
        <v>252</v>
      </c>
      <c r="E30" s="30" t="s">
        <v>289</v>
      </c>
      <c r="F30" s="32">
        <v>2805282</v>
      </c>
      <c r="G30" s="32">
        <f t="shared" si="2"/>
        <v>2876285.8194343201</v>
      </c>
      <c r="H30" s="32">
        <f t="shared" si="2"/>
        <v>2949086.7995014256</v>
      </c>
      <c r="I30" s="32">
        <f t="shared" si="2"/>
        <v>3023730.4277027743</v>
      </c>
      <c r="J30" s="32">
        <f t="shared" si="2"/>
        <v>3100263.3428630563</v>
      </c>
      <c r="K30" s="32">
        <f t="shared" si="2"/>
        <v>3178733.364271061</v>
      </c>
      <c r="L30" s="32">
        <f t="shared" si="2"/>
        <v>3259189.5215581185</v>
      </c>
      <c r="M30" s="32">
        <f t="shared" si="2"/>
        <v>3341682.0853327909</v>
      </c>
      <c r="N30" s="32">
        <f t="shared" si="2"/>
        <v>3426262.5985909486</v>
      </c>
      <c r="O30" s="32">
        <f t="shared" si="2"/>
        <v>3512983.9089208604</v>
      </c>
      <c r="S30" s="30" t="s">
        <v>321</v>
      </c>
      <c r="T30" s="31" t="s">
        <v>316</v>
      </c>
      <c r="U30" s="31" t="s">
        <v>175</v>
      </c>
      <c r="V30" s="30" t="s">
        <v>252</v>
      </c>
      <c r="W30" s="30" t="s">
        <v>289</v>
      </c>
      <c r="X30" s="33">
        <v>10.5</v>
      </c>
      <c r="Y30" s="33">
        <v>24</v>
      </c>
      <c r="Z30" s="33">
        <v>24</v>
      </c>
      <c r="AA30" s="33">
        <v>24</v>
      </c>
      <c r="AB30" s="33">
        <v>24</v>
      </c>
      <c r="AC30" s="33">
        <v>24</v>
      </c>
      <c r="AD30" s="33">
        <v>24</v>
      </c>
      <c r="AE30" s="33">
        <v>24</v>
      </c>
      <c r="AF30" s="33">
        <v>24</v>
      </c>
      <c r="AG30" s="33">
        <v>24</v>
      </c>
    </row>
    <row r="31" spans="1:33" ht="19.95" customHeight="1" x14ac:dyDescent="0.4">
      <c r="A31" s="30" t="s">
        <v>322</v>
      </c>
      <c r="B31" s="30" t="s">
        <v>317</v>
      </c>
      <c r="C31" s="31" t="s">
        <v>175</v>
      </c>
      <c r="D31" s="31" t="s">
        <v>252</v>
      </c>
      <c r="E31" s="30" t="s">
        <v>290</v>
      </c>
      <c r="F31" s="32">
        <v>2810805</v>
      </c>
      <c r="G31" s="32">
        <f t="shared" si="2"/>
        <v>2881948.6107617998</v>
      </c>
      <c r="H31" s="32">
        <f t="shared" si="2"/>
        <v>2954892.9203811251</v>
      </c>
      <c r="I31" s="32">
        <f t="shared" si="2"/>
        <v>3029683.5059145908</v>
      </c>
      <c r="J31" s="32">
        <f t="shared" si="2"/>
        <v>3106367.0980087537</v>
      </c>
      <c r="K31" s="32">
        <f t="shared" si="2"/>
        <v>3184991.6100983499</v>
      </c>
      <c r="L31" s="32">
        <f t="shared" si="2"/>
        <v>3265606.1683435626</v>
      </c>
      <c r="M31" s="32">
        <f t="shared" si="2"/>
        <v>3348261.142325026</v>
      </c>
      <c r="N31" s="32">
        <f t="shared" si="2"/>
        <v>3433008.1765157403</v>
      </c>
      <c r="O31" s="32">
        <f t="shared" si="2"/>
        <v>3519900.2225495679</v>
      </c>
      <c r="S31" s="30" t="s">
        <v>322</v>
      </c>
      <c r="T31" s="31" t="s">
        <v>316</v>
      </c>
      <c r="U31" s="31" t="s">
        <v>175</v>
      </c>
      <c r="V31" s="30" t="s">
        <v>252</v>
      </c>
      <c r="W31" s="30" t="s">
        <v>290</v>
      </c>
      <c r="X31" s="33">
        <v>3.75</v>
      </c>
      <c r="Y31" s="33">
        <v>0</v>
      </c>
      <c r="Z31" s="33">
        <v>0</v>
      </c>
      <c r="AA31" s="33">
        <v>0</v>
      </c>
      <c r="AB31" s="33">
        <v>0</v>
      </c>
      <c r="AC31" s="33">
        <v>0</v>
      </c>
      <c r="AD31" s="33">
        <v>0</v>
      </c>
      <c r="AE31" s="33">
        <v>0</v>
      </c>
      <c r="AF31" s="33">
        <v>0</v>
      </c>
      <c r="AG31" s="33">
        <v>0</v>
      </c>
    </row>
    <row r="32" spans="1:33" ht="19.95" customHeight="1" x14ac:dyDescent="0.4">
      <c r="A32" s="30" t="s">
        <v>323</v>
      </c>
      <c r="B32" s="30" t="s">
        <v>317</v>
      </c>
      <c r="C32" s="31" t="s">
        <v>175</v>
      </c>
      <c r="D32" s="31" t="s">
        <v>252</v>
      </c>
      <c r="E32" s="30" t="s">
        <v>291</v>
      </c>
      <c r="F32" s="32">
        <v>2268632</v>
      </c>
      <c r="G32" s="32">
        <f t="shared" si="2"/>
        <v>2326052.8000803199</v>
      </c>
      <c r="H32" s="32">
        <f t="shared" si="2"/>
        <v>2384926.9642504808</v>
      </c>
      <c r="I32" s="32">
        <f t="shared" si="2"/>
        <v>2445291.2782601533</v>
      </c>
      <c r="J32" s="32">
        <f t="shared" si="2"/>
        <v>2507183.4589342894</v>
      </c>
      <c r="K32" s="32">
        <f t="shared" si="2"/>
        <v>2570642.177739345</v>
      </c>
      <c r="L32" s="32">
        <f t="shared" si="2"/>
        <v>2635707.0849459828</v>
      </c>
      <c r="M32" s="32">
        <f t="shared" si="2"/>
        <v>2702418.83440335</v>
      </c>
      <c r="N32" s="32">
        <f t="shared" si="2"/>
        <v>2770819.1089404128</v>
      </c>
      <c r="O32" s="32">
        <f t="shared" si="2"/>
        <v>2840950.6464102175</v>
      </c>
      <c r="S32" s="30" t="s">
        <v>323</v>
      </c>
      <c r="T32" s="31" t="s">
        <v>316</v>
      </c>
      <c r="U32" s="31" t="s">
        <v>175</v>
      </c>
      <c r="V32" s="30" t="s">
        <v>252</v>
      </c>
      <c r="W32" s="30" t="s">
        <v>291</v>
      </c>
      <c r="X32" s="33">
        <v>7.5</v>
      </c>
      <c r="Y32" s="33">
        <v>0</v>
      </c>
      <c r="Z32" s="33">
        <v>0</v>
      </c>
      <c r="AA32" s="33">
        <v>0</v>
      </c>
      <c r="AB32" s="33">
        <v>0</v>
      </c>
      <c r="AC32" s="33">
        <v>0</v>
      </c>
      <c r="AD32" s="33">
        <v>0</v>
      </c>
      <c r="AE32" s="33">
        <v>0</v>
      </c>
      <c r="AF32" s="33">
        <v>0</v>
      </c>
      <c r="AG32" s="33">
        <v>0</v>
      </c>
    </row>
    <row r="33" spans="1:33" ht="19.95" customHeight="1" x14ac:dyDescent="0.4">
      <c r="A33" s="30" t="s">
        <v>324</v>
      </c>
      <c r="B33" s="30" t="s">
        <v>317</v>
      </c>
      <c r="C33" s="31" t="s">
        <v>193</v>
      </c>
      <c r="D33" s="31" t="s">
        <v>194</v>
      </c>
      <c r="E33" s="30" t="s">
        <v>292</v>
      </c>
      <c r="F33" s="32">
        <v>2822414</v>
      </c>
      <c r="G33" s="32">
        <f t="shared" si="2"/>
        <v>2893851.4433746398</v>
      </c>
      <c r="H33" s="32">
        <f t="shared" si="2"/>
        <v>2967097.0227335491</v>
      </c>
      <c r="I33" s="32">
        <f t="shared" si="2"/>
        <v>3042196.5033726725</v>
      </c>
      <c r="J33" s="32">
        <f t="shared" si="2"/>
        <v>3119196.8089423776</v>
      </c>
      <c r="K33" s="32">
        <f t="shared" si="2"/>
        <v>3198146.0507662841</v>
      </c>
      <c r="L33" s="32">
        <f t="shared" si="2"/>
        <v>3279093.5579021773</v>
      </c>
      <c r="M33" s="32">
        <f t="shared" si="2"/>
        <v>3362089.9079637853</v>
      </c>
      <c r="N33" s="32">
        <f t="shared" si="2"/>
        <v>3447186.9587226789</v>
      </c>
      <c r="O33" s="32">
        <f t="shared" si="2"/>
        <v>3534437.8805100387</v>
      </c>
      <c r="S33" s="30" t="s">
        <v>324</v>
      </c>
      <c r="T33" s="31" t="s">
        <v>316</v>
      </c>
      <c r="U33" s="31" t="s">
        <v>193</v>
      </c>
      <c r="V33" s="30" t="s">
        <v>194</v>
      </c>
      <c r="W33" s="30" t="s">
        <v>292</v>
      </c>
      <c r="X33" s="33">
        <v>1.5</v>
      </c>
      <c r="Y33" s="33">
        <v>1</v>
      </c>
      <c r="Z33" s="33">
        <v>1</v>
      </c>
      <c r="AA33" s="33">
        <v>1</v>
      </c>
      <c r="AB33" s="33">
        <v>1</v>
      </c>
      <c r="AC33" s="33">
        <v>1</v>
      </c>
      <c r="AD33" s="33">
        <v>1</v>
      </c>
      <c r="AE33" s="33">
        <v>1</v>
      </c>
      <c r="AF33" s="33">
        <v>1</v>
      </c>
      <c r="AG33" s="33">
        <v>1</v>
      </c>
    </row>
    <row r="34" spans="1:33" ht="19.95" customHeight="1" x14ac:dyDescent="0.4">
      <c r="A34" s="30" t="s">
        <v>325</v>
      </c>
      <c r="B34" s="30" t="s">
        <v>317</v>
      </c>
      <c r="C34" s="31" t="s">
        <v>193</v>
      </c>
      <c r="D34" s="31" t="s">
        <v>194</v>
      </c>
      <c r="E34" s="30" t="s">
        <v>293</v>
      </c>
      <c r="F34" s="32">
        <v>2822414</v>
      </c>
      <c r="G34" s="32">
        <f t="shared" si="2"/>
        <v>2893851.4433746398</v>
      </c>
      <c r="H34" s="32">
        <f t="shared" si="2"/>
        <v>2967097.0227335491</v>
      </c>
      <c r="I34" s="32">
        <f t="shared" si="2"/>
        <v>3042196.5033726725</v>
      </c>
      <c r="J34" s="32">
        <f t="shared" si="2"/>
        <v>3119196.8089423776</v>
      </c>
      <c r="K34" s="32">
        <f t="shared" si="2"/>
        <v>3198146.0507662841</v>
      </c>
      <c r="L34" s="32">
        <f t="shared" si="2"/>
        <v>3279093.5579021773</v>
      </c>
      <c r="M34" s="32">
        <f t="shared" si="2"/>
        <v>3362089.9079637853</v>
      </c>
      <c r="N34" s="32">
        <f t="shared" si="2"/>
        <v>3447186.9587226789</v>
      </c>
      <c r="O34" s="32">
        <f t="shared" si="2"/>
        <v>3534437.8805100387</v>
      </c>
      <c r="S34" s="30" t="s">
        <v>325</v>
      </c>
      <c r="T34" s="31" t="s">
        <v>316</v>
      </c>
      <c r="U34" s="31" t="s">
        <v>193</v>
      </c>
      <c r="V34" s="30" t="s">
        <v>194</v>
      </c>
      <c r="W34" s="30" t="s">
        <v>293</v>
      </c>
      <c r="X34" s="33">
        <v>0.75</v>
      </c>
      <c r="Y34" s="33">
        <v>1</v>
      </c>
      <c r="Z34" s="33">
        <v>1</v>
      </c>
      <c r="AA34" s="33">
        <v>1</v>
      </c>
      <c r="AB34" s="33">
        <v>1</v>
      </c>
      <c r="AC34" s="33">
        <v>1</v>
      </c>
      <c r="AD34" s="33">
        <v>1</v>
      </c>
      <c r="AE34" s="33">
        <v>1</v>
      </c>
      <c r="AF34" s="33">
        <v>1</v>
      </c>
      <c r="AG34" s="33">
        <v>1</v>
      </c>
    </row>
    <row r="35" spans="1:33" ht="19.95" customHeight="1" x14ac:dyDescent="0.4">
      <c r="A35" s="30" t="s">
        <v>326</v>
      </c>
      <c r="B35" s="30" t="s">
        <v>317</v>
      </c>
      <c r="C35" s="31" t="s">
        <v>193</v>
      </c>
      <c r="D35" s="31" t="s">
        <v>250</v>
      </c>
      <c r="E35" s="30" t="s">
        <v>294</v>
      </c>
      <c r="F35" s="32">
        <v>2822414</v>
      </c>
      <c r="G35" s="32">
        <f t="shared" si="2"/>
        <v>2893851.4433746398</v>
      </c>
      <c r="H35" s="32">
        <f t="shared" si="2"/>
        <v>2967097.0227335491</v>
      </c>
      <c r="I35" s="32">
        <f t="shared" si="2"/>
        <v>3042196.5033726725</v>
      </c>
      <c r="J35" s="32">
        <f t="shared" si="2"/>
        <v>3119196.8089423776</v>
      </c>
      <c r="K35" s="32">
        <f t="shared" si="2"/>
        <v>3198146.0507662841</v>
      </c>
      <c r="L35" s="32">
        <f t="shared" si="2"/>
        <v>3279093.5579021773</v>
      </c>
      <c r="M35" s="32">
        <f t="shared" si="2"/>
        <v>3362089.9079637853</v>
      </c>
      <c r="N35" s="32">
        <f t="shared" si="2"/>
        <v>3447186.9587226789</v>
      </c>
      <c r="O35" s="32">
        <f t="shared" si="2"/>
        <v>3534437.8805100387</v>
      </c>
      <c r="S35" s="30" t="s">
        <v>326</v>
      </c>
      <c r="T35" s="31" t="s">
        <v>316</v>
      </c>
      <c r="U35" s="31" t="s">
        <v>193</v>
      </c>
      <c r="V35" s="30" t="s">
        <v>250</v>
      </c>
      <c r="W35" s="30" t="s">
        <v>294</v>
      </c>
      <c r="X35" s="33">
        <v>2.25</v>
      </c>
      <c r="Y35" s="33">
        <v>2</v>
      </c>
      <c r="Z35" s="33">
        <v>2</v>
      </c>
      <c r="AA35" s="33">
        <v>2</v>
      </c>
      <c r="AB35" s="33">
        <v>2</v>
      </c>
      <c r="AC35" s="33">
        <v>2</v>
      </c>
      <c r="AD35" s="33">
        <v>2</v>
      </c>
      <c r="AE35" s="33">
        <v>2</v>
      </c>
      <c r="AF35" s="33">
        <v>2</v>
      </c>
      <c r="AG35" s="33">
        <v>2</v>
      </c>
    </row>
    <row r="36" spans="1:33" ht="19.95" customHeight="1" x14ac:dyDescent="0.4">
      <c r="A36" s="30" t="s">
        <v>327</v>
      </c>
      <c r="B36" s="30" t="s">
        <v>317</v>
      </c>
      <c r="C36" s="31" t="s">
        <v>193</v>
      </c>
      <c r="D36" s="31" t="s">
        <v>252</v>
      </c>
      <c r="E36" s="30" t="s">
        <v>295</v>
      </c>
      <c r="F36" s="32">
        <v>2810805</v>
      </c>
      <c r="G36" s="32">
        <f t="shared" ref="G36:O40" si="3">F36*$Q$3</f>
        <v>2881948.6107617998</v>
      </c>
      <c r="H36" s="32">
        <f t="shared" si="3"/>
        <v>2954892.9203811251</v>
      </c>
      <c r="I36" s="32">
        <f t="shared" si="3"/>
        <v>3029683.5059145908</v>
      </c>
      <c r="J36" s="32">
        <f t="shared" si="3"/>
        <v>3106367.0980087537</v>
      </c>
      <c r="K36" s="32">
        <f t="shared" si="3"/>
        <v>3184991.6100983499</v>
      </c>
      <c r="L36" s="32">
        <f t="shared" si="3"/>
        <v>3265606.1683435626</v>
      </c>
      <c r="M36" s="32">
        <f t="shared" si="3"/>
        <v>3348261.142325026</v>
      </c>
      <c r="N36" s="32">
        <f t="shared" si="3"/>
        <v>3433008.1765157403</v>
      </c>
      <c r="O36" s="32">
        <f t="shared" si="3"/>
        <v>3519900.2225495679</v>
      </c>
      <c r="S36" s="30" t="s">
        <v>327</v>
      </c>
      <c r="T36" s="31" t="s">
        <v>316</v>
      </c>
      <c r="U36" s="31" t="s">
        <v>193</v>
      </c>
      <c r="V36" s="30" t="s">
        <v>252</v>
      </c>
      <c r="W36" s="30" t="s">
        <v>295</v>
      </c>
      <c r="X36" s="33">
        <v>2.25</v>
      </c>
      <c r="Y36" s="33">
        <v>3</v>
      </c>
      <c r="Z36" s="33">
        <v>3</v>
      </c>
      <c r="AA36" s="33">
        <v>3</v>
      </c>
      <c r="AB36" s="33">
        <v>3</v>
      </c>
      <c r="AC36" s="33">
        <v>3</v>
      </c>
      <c r="AD36" s="33">
        <v>3</v>
      </c>
      <c r="AE36" s="33">
        <v>3</v>
      </c>
      <c r="AF36" s="33">
        <v>3</v>
      </c>
      <c r="AG36" s="33">
        <v>3</v>
      </c>
    </row>
    <row r="37" spans="1:33" ht="19.95" customHeight="1" x14ac:dyDescent="0.4">
      <c r="A37" s="30" t="s">
        <v>328</v>
      </c>
      <c r="B37" s="30" t="s">
        <v>317</v>
      </c>
      <c r="C37" s="31" t="s">
        <v>193</v>
      </c>
      <c r="D37" s="31" t="s">
        <v>296</v>
      </c>
      <c r="E37" s="30" t="s">
        <v>297</v>
      </c>
      <c r="F37" s="32">
        <v>2839546</v>
      </c>
      <c r="G37" s="32">
        <f t="shared" si="3"/>
        <v>2911417.0673149601</v>
      </c>
      <c r="H37" s="32">
        <f t="shared" si="3"/>
        <v>2985107.2459656727</v>
      </c>
      <c r="I37" s="32">
        <f t="shared" si="3"/>
        <v>3060662.5790425707</v>
      </c>
      <c r="J37" s="32">
        <f t="shared" si="3"/>
        <v>3138130.2750216983</v>
      </c>
      <c r="K37" s="32">
        <f t="shared" si="3"/>
        <v>3217558.7372615063</v>
      </c>
      <c r="L37" s="32">
        <f t="shared" si="3"/>
        <v>3298997.5942462352</v>
      </c>
      <c r="M37" s="32">
        <f t="shared" si="3"/>
        <v>3382497.7305947789</v>
      </c>
      <c r="N37" s="32">
        <f t="shared" si="3"/>
        <v>3468111.3188544079</v>
      </c>
      <c r="O37" s="32">
        <f t="shared" si="3"/>
        <v>3555891.8520992151</v>
      </c>
      <c r="S37" s="30" t="s">
        <v>328</v>
      </c>
      <c r="T37" s="31" t="s">
        <v>316</v>
      </c>
      <c r="U37" s="31" t="s">
        <v>193</v>
      </c>
      <c r="V37" s="30" t="s">
        <v>296</v>
      </c>
      <c r="W37" s="30" t="s">
        <v>297</v>
      </c>
      <c r="X37" s="33">
        <v>0.58333333333333337</v>
      </c>
      <c r="Y37" s="33">
        <v>0.58333333333333337</v>
      </c>
      <c r="Z37" s="33">
        <v>0.58333333333333337</v>
      </c>
      <c r="AA37" s="33">
        <v>0.58333333333333337</v>
      </c>
      <c r="AB37" s="33">
        <v>0.58333333333333337</v>
      </c>
      <c r="AC37" s="33">
        <v>0.58333333333333337</v>
      </c>
      <c r="AD37" s="33">
        <v>0.58333333333333337</v>
      </c>
      <c r="AE37" s="33">
        <v>0.58333333333333337</v>
      </c>
      <c r="AF37" s="33">
        <v>0.58333333333333337</v>
      </c>
      <c r="AG37" s="33">
        <v>0.58333333333333337</v>
      </c>
    </row>
    <row r="38" spans="1:33" ht="19.95" customHeight="1" x14ac:dyDescent="0.4">
      <c r="A38" s="30" t="s">
        <v>329</v>
      </c>
      <c r="B38" s="30" t="s">
        <v>317</v>
      </c>
      <c r="C38" s="31" t="s">
        <v>175</v>
      </c>
      <c r="D38" s="31" t="s">
        <v>296</v>
      </c>
      <c r="E38" s="30" t="s">
        <v>298</v>
      </c>
      <c r="F38" s="32">
        <v>2475401</v>
      </c>
      <c r="G38" s="32">
        <f t="shared" si="3"/>
        <v>2538055.2806147598</v>
      </c>
      <c r="H38" s="32">
        <f t="shared" si="3"/>
        <v>2602295.3886891324</v>
      </c>
      <c r="I38" s="32">
        <f t="shared" si="3"/>
        <v>2668161.4627213497</v>
      </c>
      <c r="J38" s="32">
        <f t="shared" si="3"/>
        <v>2735694.6571455388</v>
      </c>
      <c r="K38" s="32">
        <f t="shared" si="3"/>
        <v>2804937.1680458318</v>
      </c>
      <c r="L38" s="32">
        <f t="shared" si="3"/>
        <v>2875932.2595213195</v>
      </c>
      <c r="M38" s="32">
        <f t="shared" si="3"/>
        <v>2948724.2907183212</v>
      </c>
      <c r="N38" s="32">
        <f t="shared" si="3"/>
        <v>3023358.7435468626</v>
      </c>
      <c r="O38" s="32">
        <f t="shared" si="3"/>
        <v>3099882.2510986789</v>
      </c>
      <c r="S38" s="30" t="s">
        <v>329</v>
      </c>
      <c r="T38" s="31" t="s">
        <v>316</v>
      </c>
      <c r="U38" s="31" t="s">
        <v>175</v>
      </c>
      <c r="V38" s="30" t="s">
        <v>296</v>
      </c>
      <c r="W38" s="30" t="s">
        <v>298</v>
      </c>
      <c r="X38" s="33">
        <v>2.9166666666666665</v>
      </c>
      <c r="Y38" s="33">
        <v>2.9166666666666665</v>
      </c>
      <c r="Z38" s="33">
        <v>2.9166666666666665</v>
      </c>
      <c r="AA38" s="33">
        <v>2.9166666666666665</v>
      </c>
      <c r="AB38" s="33">
        <v>2.9166666666666665</v>
      </c>
      <c r="AC38" s="33">
        <v>2.9166666666666665</v>
      </c>
      <c r="AD38" s="33">
        <v>2.9166666666666665</v>
      </c>
      <c r="AE38" s="33">
        <v>2.9166666666666665</v>
      </c>
      <c r="AF38" s="33">
        <v>2.9166666666666665</v>
      </c>
      <c r="AG38" s="33">
        <v>2.9166666666666665</v>
      </c>
    </row>
    <row r="39" spans="1:33" ht="19.95" customHeight="1" x14ac:dyDescent="0.4">
      <c r="A39" s="30" t="s">
        <v>330</v>
      </c>
      <c r="B39" s="30" t="s">
        <v>317</v>
      </c>
      <c r="C39" s="31" t="s">
        <v>193</v>
      </c>
      <c r="D39" s="31" t="s">
        <v>194</v>
      </c>
      <c r="E39" s="30" t="s">
        <v>152</v>
      </c>
      <c r="F39" s="32">
        <v>2822414</v>
      </c>
      <c r="G39" s="32">
        <f t="shared" si="3"/>
        <v>2893851.4433746398</v>
      </c>
      <c r="H39" s="32">
        <f t="shared" si="3"/>
        <v>2967097.0227335491</v>
      </c>
      <c r="I39" s="32">
        <f t="shared" si="3"/>
        <v>3042196.5033726725</v>
      </c>
      <c r="J39" s="32">
        <f t="shared" si="3"/>
        <v>3119196.8089423776</v>
      </c>
      <c r="K39" s="32">
        <f t="shared" si="3"/>
        <v>3198146.0507662841</v>
      </c>
      <c r="L39" s="32">
        <f t="shared" si="3"/>
        <v>3279093.5579021773</v>
      </c>
      <c r="M39" s="32">
        <f t="shared" si="3"/>
        <v>3362089.9079637853</v>
      </c>
      <c r="N39" s="32">
        <f t="shared" si="3"/>
        <v>3447186.9587226789</v>
      </c>
      <c r="O39" s="32">
        <f t="shared" si="3"/>
        <v>3534437.8805100387</v>
      </c>
      <c r="S39" s="30" t="s">
        <v>330</v>
      </c>
      <c r="T39" s="31" t="s">
        <v>316</v>
      </c>
      <c r="U39" s="31" t="s">
        <v>193</v>
      </c>
      <c r="V39" s="30" t="s">
        <v>194</v>
      </c>
      <c r="W39" s="30" t="s">
        <v>152</v>
      </c>
      <c r="X39" s="33">
        <v>0.75</v>
      </c>
      <c r="Y39" s="33">
        <v>1</v>
      </c>
      <c r="Z39" s="33">
        <v>1</v>
      </c>
      <c r="AA39" s="33">
        <v>1</v>
      </c>
      <c r="AB39" s="33">
        <v>1</v>
      </c>
      <c r="AC39" s="33">
        <v>1</v>
      </c>
      <c r="AD39" s="33">
        <v>1</v>
      </c>
      <c r="AE39" s="33">
        <v>1</v>
      </c>
      <c r="AF39" s="33">
        <v>1</v>
      </c>
      <c r="AG39" s="33">
        <v>1</v>
      </c>
    </row>
    <row r="40" spans="1:33" ht="19.95" customHeight="1" x14ac:dyDescent="0.4">
      <c r="A40" s="30" t="s">
        <v>331</v>
      </c>
      <c r="B40" s="30" t="s">
        <v>317</v>
      </c>
      <c r="C40" s="31" t="s">
        <v>193</v>
      </c>
      <c r="D40" s="31" t="s">
        <v>194</v>
      </c>
      <c r="E40" s="30" t="s">
        <v>299</v>
      </c>
      <c r="F40" s="32">
        <v>3934599</v>
      </c>
      <c r="G40" s="32">
        <f t="shared" si="3"/>
        <v>4034186.69098524</v>
      </c>
      <c r="H40" s="32">
        <f t="shared" si="3"/>
        <v>4136295.0221159616</v>
      </c>
      <c r="I40" s="32">
        <f t="shared" si="3"/>
        <v>4240987.7927099336</v>
      </c>
      <c r="J40" s="32">
        <f t="shared" si="3"/>
        <v>4348330.4168941444</v>
      </c>
      <c r="K40" s="32">
        <f t="shared" si="3"/>
        <v>4458389.9644768517</v>
      </c>
      <c r="L40" s="32">
        <f t="shared" si="3"/>
        <v>4571235.2028541341</v>
      </c>
      <c r="M40" s="32">
        <f t="shared" si="3"/>
        <v>4686936.6399771264</v>
      </c>
      <c r="N40" s="32">
        <f t="shared" si="3"/>
        <v>4805566.5684067942</v>
      </c>
      <c r="O40" s="32">
        <f t="shared" si="3"/>
        <v>4927199.1104837619</v>
      </c>
      <c r="S40" s="30" t="s">
        <v>331</v>
      </c>
      <c r="T40" s="31" t="s">
        <v>316</v>
      </c>
      <c r="U40" s="31" t="s">
        <v>193</v>
      </c>
      <c r="V40" s="30" t="s">
        <v>194</v>
      </c>
      <c r="W40" s="30" t="s">
        <v>299</v>
      </c>
      <c r="X40" s="33">
        <v>0.75</v>
      </c>
      <c r="Y40" s="33">
        <v>1</v>
      </c>
      <c r="Z40" s="33">
        <v>1</v>
      </c>
      <c r="AA40" s="33">
        <v>1</v>
      </c>
      <c r="AB40" s="33">
        <v>1</v>
      </c>
      <c r="AC40" s="33">
        <v>1</v>
      </c>
      <c r="AD40" s="33">
        <v>1</v>
      </c>
      <c r="AE40" s="33">
        <v>1</v>
      </c>
      <c r="AF40" s="33">
        <v>1</v>
      </c>
      <c r="AG40" s="33">
        <v>1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B6A74-5C34-43D5-83C3-1B44E151A1F6}">
  <sheetPr codeName="B5_Sheet"/>
  <dimension ref="A1:R40"/>
  <sheetViews>
    <sheetView showGridLines="0" workbookViewId="0">
      <selection activeCell="I16" sqref="I16"/>
    </sheetView>
  </sheetViews>
  <sheetFormatPr defaultColWidth="14.8984375" defaultRowHeight="13.2" x14ac:dyDescent="0.4"/>
  <cols>
    <col min="1" max="1" width="4.5" style="2" customWidth="1"/>
    <col min="2" max="2" width="8.796875" style="186" customWidth="1"/>
    <col min="3" max="13" width="8.796875" style="2" customWidth="1"/>
    <col min="14" max="16384" width="14.8984375" style="2"/>
  </cols>
  <sheetData>
    <row r="1" spans="2:13" ht="30" customHeight="1" x14ac:dyDescent="0.4">
      <c r="B1" s="186" t="s">
        <v>542</v>
      </c>
    </row>
    <row r="2" spans="2:13" x14ac:dyDescent="0.4">
      <c r="B2" s="187" t="s">
        <v>333</v>
      </c>
      <c r="C2" s="60" t="s">
        <v>41</v>
      </c>
      <c r="D2" s="60" t="s">
        <v>371</v>
      </c>
      <c r="E2" s="60" t="s">
        <v>372</v>
      </c>
      <c r="F2" s="60" t="s">
        <v>373</v>
      </c>
      <c r="G2" s="60" t="s">
        <v>374</v>
      </c>
      <c r="H2" s="60" t="s">
        <v>375</v>
      </c>
      <c r="I2" s="60" t="s">
        <v>376</v>
      </c>
      <c r="J2" s="60" t="s">
        <v>377</v>
      </c>
      <c r="K2" s="60" t="s">
        <v>378</v>
      </c>
      <c r="L2" s="60" t="s">
        <v>379</v>
      </c>
      <c r="M2" s="60" t="s">
        <v>188</v>
      </c>
    </row>
    <row r="3" spans="2:13" x14ac:dyDescent="0.4">
      <c r="B3" s="188" t="s">
        <v>359</v>
      </c>
      <c r="C3" s="101">
        <v>0</v>
      </c>
      <c r="D3" s="101">
        <v>3.3299999999999996E-2</v>
      </c>
      <c r="E3" s="101">
        <v>3.3299999999999996E-2</v>
      </c>
      <c r="F3" s="101">
        <v>3.3299999999999996E-2</v>
      </c>
      <c r="G3" s="101">
        <v>3.3299999999999996E-2</v>
      </c>
      <c r="H3" s="101">
        <v>3.3300000000000003E-2</v>
      </c>
      <c r="I3" s="101">
        <v>3.3300000000000003E-2</v>
      </c>
      <c r="J3" s="101">
        <v>3.3300000000000003E-2</v>
      </c>
      <c r="K3" s="101">
        <v>3.3300000000000003E-2</v>
      </c>
      <c r="L3" s="101">
        <v>3.3300000000000003E-2</v>
      </c>
      <c r="M3" s="101">
        <v>3.3300000000000003E-2</v>
      </c>
    </row>
    <row r="4" spans="2:13" x14ac:dyDescent="0.4">
      <c r="B4" s="188" t="s">
        <v>382</v>
      </c>
      <c r="C4" s="101">
        <v>0</v>
      </c>
      <c r="D4" s="101">
        <v>3.5000000000000003E-2</v>
      </c>
      <c r="E4" s="101">
        <v>3.5000000000000003E-2</v>
      </c>
      <c r="F4" s="101">
        <v>3.5000000000000003E-2</v>
      </c>
      <c r="G4" s="101">
        <v>3.5000000000000003E-2</v>
      </c>
      <c r="H4" s="101">
        <v>3.5000000000000003E-2</v>
      </c>
      <c r="I4" s="101">
        <v>3.5000000000000003E-2</v>
      </c>
      <c r="J4" s="101">
        <v>3.5000000000000003E-2</v>
      </c>
      <c r="K4" s="101">
        <v>3.5000000000000003E-2</v>
      </c>
      <c r="L4" s="101">
        <v>3.5000000000000003E-2</v>
      </c>
      <c r="M4" s="101">
        <v>3.5000000000000003E-2</v>
      </c>
    </row>
    <row r="5" spans="2:13" x14ac:dyDescent="0.4">
      <c r="B5" s="188" t="s">
        <v>387</v>
      </c>
      <c r="C5" s="101">
        <v>0</v>
      </c>
      <c r="D5" s="101">
        <v>0</v>
      </c>
      <c r="E5" s="101">
        <v>0</v>
      </c>
      <c r="F5" s="101">
        <v>8.5000000000000006E-2</v>
      </c>
      <c r="G5" s="101">
        <v>8.5000000000000006E-2</v>
      </c>
      <c r="H5" s="101">
        <v>8.5000000000000006E-2</v>
      </c>
      <c r="I5" s="101">
        <v>8.5000000000000006E-2</v>
      </c>
      <c r="J5" s="101">
        <v>8.5000000000000006E-2</v>
      </c>
      <c r="K5" s="101">
        <v>8.5000000000000006E-2</v>
      </c>
      <c r="L5" s="101">
        <v>8.5000000000000006E-2</v>
      </c>
      <c r="M5" s="101">
        <v>8.5000000000000006E-2</v>
      </c>
    </row>
    <row r="6" spans="2:13" x14ac:dyDescent="0.4">
      <c r="B6" s="188"/>
      <c r="C6" s="102">
        <f>SUM(C3:C5)</f>
        <v>0</v>
      </c>
      <c r="D6" s="102">
        <f t="shared" ref="D6:M6" si="0">SUM(D3:D5)</f>
        <v>6.83E-2</v>
      </c>
      <c r="E6" s="102">
        <f t="shared" si="0"/>
        <v>6.83E-2</v>
      </c>
      <c r="F6" s="102">
        <f t="shared" si="0"/>
        <v>0.15329999999999999</v>
      </c>
      <c r="G6" s="102">
        <f t="shared" si="0"/>
        <v>0.15329999999999999</v>
      </c>
      <c r="H6" s="102">
        <f t="shared" si="0"/>
        <v>0.15329999999999999</v>
      </c>
      <c r="I6" s="102">
        <f t="shared" si="0"/>
        <v>0.15329999999999999</v>
      </c>
      <c r="J6" s="102">
        <f t="shared" si="0"/>
        <v>0.15329999999999999</v>
      </c>
      <c r="K6" s="102">
        <f t="shared" si="0"/>
        <v>0.15329999999999999</v>
      </c>
      <c r="L6" s="102">
        <f t="shared" si="0"/>
        <v>0.15329999999999999</v>
      </c>
      <c r="M6" s="102">
        <f t="shared" si="0"/>
        <v>0.15329999999999999</v>
      </c>
    </row>
    <row r="8" spans="2:13" ht="30" customHeight="1" x14ac:dyDescent="0.4">
      <c r="B8" s="186" t="s">
        <v>543</v>
      </c>
    </row>
    <row r="9" spans="2:13" x14ac:dyDescent="0.4">
      <c r="B9" s="187" t="s">
        <v>1</v>
      </c>
      <c r="C9" s="60" t="s">
        <v>41</v>
      </c>
      <c r="D9" s="60" t="s">
        <v>371</v>
      </c>
      <c r="E9" s="60" t="s">
        <v>372</v>
      </c>
      <c r="F9" s="60" t="s">
        <v>373</v>
      </c>
      <c r="G9" s="60" t="s">
        <v>374</v>
      </c>
      <c r="H9" s="60" t="s">
        <v>375</v>
      </c>
      <c r="I9" s="60" t="s">
        <v>376</v>
      </c>
      <c r="J9" s="60" t="s">
        <v>377</v>
      </c>
      <c r="K9" s="60" t="s">
        <v>378</v>
      </c>
      <c r="L9" s="60" t="s">
        <v>379</v>
      </c>
      <c r="M9" s="60" t="s">
        <v>188</v>
      </c>
    </row>
    <row r="10" spans="2:13" x14ac:dyDescent="0.4">
      <c r="B10" s="188" t="s">
        <v>160</v>
      </c>
      <c r="C10" s="17">
        <v>80704</v>
      </c>
      <c r="D10" s="17">
        <v>80704</v>
      </c>
      <c r="E10" s="17">
        <v>80704</v>
      </c>
      <c r="F10" s="17">
        <v>80704</v>
      </c>
      <c r="G10" s="17">
        <v>80704</v>
      </c>
      <c r="H10" s="17">
        <v>80704</v>
      </c>
      <c r="I10" s="17">
        <v>80704</v>
      </c>
      <c r="J10" s="17">
        <v>80704</v>
      </c>
      <c r="K10" s="17">
        <v>80704</v>
      </c>
      <c r="L10" s="17">
        <v>80704</v>
      </c>
      <c r="M10" s="17">
        <v>80704</v>
      </c>
    </row>
    <row r="11" spans="2:13" x14ac:dyDescent="0.4">
      <c r="B11" s="188" t="s">
        <v>257</v>
      </c>
      <c r="C11" s="17">
        <v>53569.166666666664</v>
      </c>
      <c r="D11" s="17">
        <v>53569.166666666664</v>
      </c>
      <c r="E11" s="17">
        <v>53569.166666666664</v>
      </c>
      <c r="F11" s="17">
        <v>53569.166666666664</v>
      </c>
      <c r="G11" s="17">
        <v>53569.166666666664</v>
      </c>
      <c r="H11" s="17">
        <v>53569.166666666664</v>
      </c>
      <c r="I11" s="17">
        <v>53569.166666666664</v>
      </c>
      <c r="J11" s="17">
        <v>53569.166666666664</v>
      </c>
      <c r="K11" s="17">
        <v>53569.166666666664</v>
      </c>
      <c r="L11" s="17">
        <v>53569.166666666664</v>
      </c>
      <c r="M11" s="17">
        <v>53569.166666666664</v>
      </c>
    </row>
    <row r="12" spans="2:13" x14ac:dyDescent="0.4">
      <c r="B12" s="188" t="s">
        <v>317</v>
      </c>
      <c r="C12" s="17">
        <v>67187.833333333328</v>
      </c>
      <c r="D12" s="17">
        <v>67187.833333333328</v>
      </c>
      <c r="E12" s="17">
        <v>67187.833333333328</v>
      </c>
      <c r="F12" s="17">
        <v>67187.833333333328</v>
      </c>
      <c r="G12" s="17">
        <v>67187.833333333328</v>
      </c>
      <c r="H12" s="17">
        <v>67187.833333333328</v>
      </c>
      <c r="I12" s="17">
        <v>67187.833333333328</v>
      </c>
      <c r="J12" s="17">
        <v>67187.833333333328</v>
      </c>
      <c r="K12" s="17">
        <v>67187.833333333328</v>
      </c>
      <c r="L12" s="17">
        <v>67187.833333333328</v>
      </c>
      <c r="M12" s="17">
        <v>67187.833333333328</v>
      </c>
    </row>
    <row r="14" spans="2:13" ht="30" customHeight="1" x14ac:dyDescent="0.4">
      <c r="B14" s="186" t="s">
        <v>544</v>
      </c>
    </row>
    <row r="15" spans="2:13" x14ac:dyDescent="0.4">
      <c r="B15" s="187" t="s">
        <v>1</v>
      </c>
      <c r="C15" s="60" t="s">
        <v>41</v>
      </c>
      <c r="D15" s="60" t="s">
        <v>371</v>
      </c>
      <c r="E15" s="60" t="s">
        <v>372</v>
      </c>
      <c r="F15" s="60" t="s">
        <v>373</v>
      </c>
      <c r="G15" s="60" t="s">
        <v>374</v>
      </c>
      <c r="H15" s="60" t="s">
        <v>375</v>
      </c>
      <c r="I15" s="60" t="s">
        <v>376</v>
      </c>
      <c r="J15" s="60" t="s">
        <v>377</v>
      </c>
      <c r="K15" s="60" t="s">
        <v>378</v>
      </c>
      <c r="L15" s="60" t="s">
        <v>379</v>
      </c>
      <c r="M15" s="60" t="s">
        <v>188</v>
      </c>
    </row>
    <row r="16" spans="2:13" x14ac:dyDescent="0.4">
      <c r="B16" s="188" t="s">
        <v>160</v>
      </c>
      <c r="C16" s="17">
        <v>83.761286974571874</v>
      </c>
      <c r="D16" s="17">
        <v>83.761286974571874</v>
      </c>
      <c r="E16" s="17">
        <v>83.761286974571874</v>
      </c>
      <c r="F16" s="17">
        <v>83.761286974571874</v>
      </c>
      <c r="G16" s="17">
        <v>83.761286974571874</v>
      </c>
      <c r="H16" s="17">
        <v>83.761286974571874</v>
      </c>
      <c r="I16" s="17">
        <v>83.761286974571874</v>
      </c>
      <c r="J16" s="17">
        <v>83.761286974571874</v>
      </c>
      <c r="K16" s="17">
        <v>83.761286974571874</v>
      </c>
      <c r="L16" s="17">
        <v>83.761286974571874</v>
      </c>
      <c r="M16" s="17">
        <v>83.761286974571874</v>
      </c>
    </row>
    <row r="17" spans="1:18" x14ac:dyDescent="0.4">
      <c r="B17" s="188" t="s">
        <v>257</v>
      </c>
      <c r="C17" s="17">
        <v>102.47568946277698</v>
      </c>
      <c r="D17" s="17">
        <v>65.328252032520311</v>
      </c>
      <c r="E17" s="17">
        <v>65.328252032520311</v>
      </c>
      <c r="F17" s="17">
        <v>65.328252032520311</v>
      </c>
      <c r="G17" s="17">
        <v>65.328252032520311</v>
      </c>
      <c r="H17" s="17">
        <v>65.328252032520311</v>
      </c>
      <c r="I17" s="17">
        <v>65.328252032520311</v>
      </c>
      <c r="J17" s="17">
        <v>65.328252032520311</v>
      </c>
      <c r="K17" s="17">
        <v>65.328252032520311</v>
      </c>
      <c r="L17" s="17">
        <v>65.328252032520311</v>
      </c>
      <c r="M17" s="17">
        <v>65.328252032520311</v>
      </c>
    </row>
    <row r="18" spans="1:18" x14ac:dyDescent="0.4">
      <c r="B18" s="188" t="s">
        <v>317</v>
      </c>
      <c r="C18" s="17">
        <v>52.02309975480707</v>
      </c>
      <c r="D18" s="17">
        <v>52.02309975480707</v>
      </c>
      <c r="E18" s="17">
        <v>52.02309975480707</v>
      </c>
      <c r="F18" s="17">
        <v>52.02309975480707</v>
      </c>
      <c r="G18" s="17">
        <v>52.02309975480707</v>
      </c>
      <c r="H18" s="17">
        <v>52.02309975480707</v>
      </c>
      <c r="I18" s="17">
        <v>52.02309975480707</v>
      </c>
      <c r="J18" s="17">
        <v>52.02309975480707</v>
      </c>
      <c r="K18" s="17">
        <v>52.02309975480707</v>
      </c>
      <c r="L18" s="17">
        <v>52.02309975480707</v>
      </c>
      <c r="M18" s="17">
        <v>52.02309975480707</v>
      </c>
    </row>
    <row r="22" spans="1:18" s="3" customFormat="1" x14ac:dyDescent="0.4">
      <c r="B22" s="186"/>
      <c r="E22" s="3" t="s">
        <v>342</v>
      </c>
      <c r="F22" s="3" t="s">
        <v>343</v>
      </c>
      <c r="I22" s="3" t="s">
        <v>344</v>
      </c>
      <c r="K22" s="3" t="s">
        <v>352</v>
      </c>
      <c r="N22" s="3" t="s">
        <v>353</v>
      </c>
      <c r="O22" s="3" t="s">
        <v>354</v>
      </c>
      <c r="P22" s="3" t="s">
        <v>356</v>
      </c>
      <c r="Q22" s="22" t="s">
        <v>357</v>
      </c>
      <c r="R22" s="3" t="s">
        <v>358</v>
      </c>
    </row>
    <row r="24" spans="1:18" s="3" customFormat="1" x14ac:dyDescent="0.4">
      <c r="A24" s="3" t="s">
        <v>1</v>
      </c>
      <c r="B24" s="189" t="s">
        <v>333</v>
      </c>
      <c r="C24" s="21" t="s">
        <v>334</v>
      </c>
      <c r="D24" s="21" t="s">
        <v>335</v>
      </c>
      <c r="E24" s="21" t="s">
        <v>336</v>
      </c>
      <c r="F24" s="21" t="s">
        <v>337</v>
      </c>
      <c r="G24" s="21" t="s">
        <v>338</v>
      </c>
      <c r="H24" s="21" t="s">
        <v>339</v>
      </c>
      <c r="I24" s="21" t="s">
        <v>340</v>
      </c>
      <c r="J24" s="21" t="s">
        <v>341</v>
      </c>
      <c r="K24" s="21" t="s">
        <v>345</v>
      </c>
      <c r="L24" s="21" t="s">
        <v>346</v>
      </c>
      <c r="M24" s="21" t="s">
        <v>347</v>
      </c>
      <c r="N24" s="21" t="s">
        <v>348</v>
      </c>
      <c r="O24" s="21" t="s">
        <v>355</v>
      </c>
      <c r="P24" s="21" t="s">
        <v>349</v>
      </c>
      <c r="Q24" s="21" t="s">
        <v>350</v>
      </c>
      <c r="R24" s="21" t="s">
        <v>351</v>
      </c>
    </row>
    <row r="25" spans="1:18" x14ac:dyDescent="0.4">
      <c r="A25" s="3" t="s">
        <v>160</v>
      </c>
      <c r="B25" s="188" t="s">
        <v>332</v>
      </c>
      <c r="C25" s="17">
        <v>938846</v>
      </c>
      <c r="D25" s="18">
        <v>0.9</v>
      </c>
      <c r="E25" s="17">
        <f>C25*G25</f>
        <v>224384194</v>
      </c>
      <c r="F25" s="17">
        <f>E25/12/21</f>
        <v>890413.46825396817</v>
      </c>
      <c r="G25" s="17">
        <v>239</v>
      </c>
      <c r="H25" s="17">
        <v>31</v>
      </c>
      <c r="I25" s="17">
        <f>J25*0.8/50</f>
        <v>30460864</v>
      </c>
      <c r="J25" s="17">
        <v>1903804000</v>
      </c>
      <c r="K25" s="19">
        <f>F25*L25*M25</f>
        <v>26712.404047619046</v>
      </c>
      <c r="L25" s="38">
        <v>0.06</v>
      </c>
      <c r="M25" s="38">
        <v>0.5</v>
      </c>
      <c r="N25" s="20">
        <f>K25/G25</f>
        <v>111.76738095238095</v>
      </c>
      <c r="O25" s="19">
        <f>N25/H25</f>
        <v>3.6053993855606756</v>
      </c>
      <c r="P25" s="17">
        <f>O25*I25</f>
        <v>109823580.34924731</v>
      </c>
      <c r="Q25" s="23">
        <f>P25/J25</f>
        <v>5.7686390168970814E-2</v>
      </c>
      <c r="R25" s="17">
        <f>P25*10</f>
        <v>1098235803.4924731</v>
      </c>
    </row>
    <row r="26" spans="1:18" x14ac:dyDescent="0.4">
      <c r="A26" s="3" t="s">
        <v>257</v>
      </c>
      <c r="B26" s="188" t="s">
        <v>332</v>
      </c>
      <c r="C26" s="17">
        <v>680036</v>
      </c>
      <c r="D26" s="18"/>
      <c r="E26" s="17">
        <f>C26*G26</f>
        <v>144847668</v>
      </c>
      <c r="F26" s="17">
        <f>E26/12/30</f>
        <v>402354.63333333336</v>
      </c>
      <c r="G26" s="17">
        <v>213</v>
      </c>
      <c r="H26" s="17">
        <v>33</v>
      </c>
      <c r="I26" s="17">
        <f>J26*0.77/(0.77*54)</f>
        <v>44303398.833333336</v>
      </c>
      <c r="J26" s="17">
        <v>2392383537</v>
      </c>
      <c r="K26" s="19">
        <f>F26*L26*M26</f>
        <v>12070.639000000001</v>
      </c>
      <c r="L26" s="38">
        <v>0.06</v>
      </c>
      <c r="M26" s="38">
        <v>0.5</v>
      </c>
      <c r="N26" s="20">
        <f>K26/G26</f>
        <v>56.669666666666672</v>
      </c>
      <c r="O26" s="19">
        <f>N26/H26</f>
        <v>1.7172626262626265</v>
      </c>
      <c r="P26" s="17">
        <f>O26*I26</f>
        <v>76080571.032890588</v>
      </c>
      <c r="Q26" s="23">
        <f>P26/J26</f>
        <v>3.1801159745604199E-2</v>
      </c>
      <c r="R26" s="17">
        <f>P26*10</f>
        <v>760805710.32890582</v>
      </c>
    </row>
    <row r="27" spans="1:18" x14ac:dyDescent="0.4">
      <c r="A27" s="3"/>
      <c r="B27" s="190"/>
      <c r="C27" s="25"/>
      <c r="D27" s="26"/>
      <c r="E27" s="25"/>
      <c r="F27" s="3" t="s">
        <v>366</v>
      </c>
      <c r="G27" s="25"/>
      <c r="H27" s="25"/>
      <c r="I27" s="25"/>
      <c r="J27" s="25"/>
      <c r="K27" s="27"/>
      <c r="L27" s="28"/>
      <c r="M27" s="28"/>
      <c r="N27" s="29"/>
      <c r="O27" s="27"/>
      <c r="P27" s="25"/>
      <c r="Q27" s="28"/>
      <c r="R27" s="25"/>
    </row>
    <row r="28" spans="1:18" x14ac:dyDescent="0.4">
      <c r="A28" s="3"/>
      <c r="B28" s="190"/>
      <c r="C28" s="25"/>
      <c r="D28" s="26"/>
      <c r="E28" s="25"/>
      <c r="F28" s="25"/>
      <c r="G28" s="25"/>
      <c r="H28" s="25"/>
      <c r="I28" s="25"/>
      <c r="J28" s="25"/>
      <c r="K28" s="27"/>
      <c r="L28" s="28"/>
      <c r="M28" s="28"/>
      <c r="N28" s="29"/>
      <c r="O28" s="27"/>
      <c r="P28" s="25"/>
      <c r="Q28" s="28"/>
      <c r="R28" s="25"/>
    </row>
    <row r="29" spans="1:18" x14ac:dyDescent="0.4">
      <c r="K29" s="2" t="s">
        <v>360</v>
      </c>
      <c r="O29" s="2" t="s">
        <v>364</v>
      </c>
      <c r="P29" s="2" t="s">
        <v>356</v>
      </c>
      <c r="Q29" s="22" t="s">
        <v>357</v>
      </c>
      <c r="R29" s="3" t="s">
        <v>358</v>
      </c>
    </row>
    <row r="30" spans="1:18" s="3" customFormat="1" x14ac:dyDescent="0.4">
      <c r="A30" s="3" t="s">
        <v>1</v>
      </c>
      <c r="B30" s="189" t="s">
        <v>333</v>
      </c>
      <c r="C30" s="21" t="s">
        <v>334</v>
      </c>
      <c r="D30" s="21" t="s">
        <v>335</v>
      </c>
      <c r="E30" s="21" t="s">
        <v>336</v>
      </c>
      <c r="F30" s="21" t="s">
        <v>337</v>
      </c>
      <c r="G30" s="21" t="s">
        <v>338</v>
      </c>
      <c r="H30" s="21" t="s">
        <v>339</v>
      </c>
      <c r="I30" s="21" t="s">
        <v>340</v>
      </c>
      <c r="J30" s="21" t="s">
        <v>341</v>
      </c>
      <c r="K30" s="21" t="s">
        <v>361</v>
      </c>
      <c r="L30" s="21" t="s">
        <v>363</v>
      </c>
      <c r="M30" s="21" t="s">
        <v>362</v>
      </c>
      <c r="N30" s="21" t="s">
        <v>348</v>
      </c>
      <c r="O30" s="21" t="s">
        <v>355</v>
      </c>
      <c r="P30" s="21" t="s">
        <v>349</v>
      </c>
      <c r="Q30" s="21" t="s">
        <v>350</v>
      </c>
      <c r="R30" s="21" t="s">
        <v>351</v>
      </c>
    </row>
    <row r="31" spans="1:18" x14ac:dyDescent="0.4">
      <c r="A31" s="3" t="s">
        <v>160</v>
      </c>
      <c r="B31" s="188" t="s">
        <v>359</v>
      </c>
      <c r="C31" s="17">
        <v>794409</v>
      </c>
      <c r="D31" s="18"/>
      <c r="E31" s="17"/>
      <c r="F31" s="17"/>
      <c r="G31" s="17"/>
      <c r="H31" s="17">
        <f>H25</f>
        <v>31</v>
      </c>
      <c r="I31" s="17">
        <f>I25</f>
        <v>30460864</v>
      </c>
      <c r="J31" s="17">
        <f>J25</f>
        <v>1903804000</v>
      </c>
      <c r="K31" s="19">
        <f>(C31/12/21)*L31*M31</f>
        <v>104.97547499999999</v>
      </c>
      <c r="L31" s="38">
        <v>0.15</v>
      </c>
      <c r="M31" s="39">
        <v>0.222</v>
      </c>
      <c r="N31" s="20"/>
      <c r="O31" s="19">
        <f>K31/H31</f>
        <v>3.3863056451612898</v>
      </c>
      <c r="P31" s="17">
        <f>O31*I31</f>
        <v>103149795.71969031</v>
      </c>
      <c r="Q31" s="23">
        <f>P31/J31</f>
        <v>5.4180890322580638E-2</v>
      </c>
      <c r="R31" s="24">
        <f>P31*10</f>
        <v>1031497957.1969031</v>
      </c>
    </row>
    <row r="32" spans="1:18" x14ac:dyDescent="0.4">
      <c r="A32" s="3" t="s">
        <v>257</v>
      </c>
      <c r="B32" s="188" t="s">
        <v>359</v>
      </c>
      <c r="C32" s="17">
        <v>533901</v>
      </c>
      <c r="D32" s="20"/>
      <c r="E32" s="20"/>
      <c r="F32" s="20"/>
      <c r="G32" s="20"/>
      <c r="H32" s="17">
        <v>31</v>
      </c>
      <c r="I32" s="17">
        <f>I26</f>
        <v>44303398.833333336</v>
      </c>
      <c r="J32" s="17">
        <f>J26</f>
        <v>2392383537</v>
      </c>
      <c r="K32" s="19">
        <f>(C32/12/30)*L32*M32</f>
        <v>49.385842500000003</v>
      </c>
      <c r="L32" s="38">
        <v>0.15</v>
      </c>
      <c r="M32" s="39">
        <v>0.222</v>
      </c>
      <c r="N32" s="20"/>
      <c r="O32" s="19">
        <f>K32/H32</f>
        <v>1.5930916935483872</v>
      </c>
      <c r="P32" s="17">
        <f>O32*I32</f>
        <v>70579376.67734465</v>
      </c>
      <c r="Q32" s="23">
        <f>P32/J32</f>
        <v>2.9501698028673841E-2</v>
      </c>
      <c r="R32" s="24">
        <f>P32*10</f>
        <v>705793766.77344656</v>
      </c>
    </row>
    <row r="33" spans="1:18" x14ac:dyDescent="0.4">
      <c r="K33" s="2" t="s">
        <v>365</v>
      </c>
    </row>
    <row r="34" spans="1:18" s="3" customFormat="1" x14ac:dyDescent="0.4">
      <c r="A34" s="3" t="s">
        <v>1</v>
      </c>
      <c r="B34" s="189" t="s">
        <v>333</v>
      </c>
      <c r="C34" s="21" t="s">
        <v>334</v>
      </c>
      <c r="D34" s="21" t="s">
        <v>335</v>
      </c>
      <c r="E34" s="21" t="s">
        <v>336</v>
      </c>
      <c r="F34" s="21" t="s">
        <v>337</v>
      </c>
      <c r="G34" s="21" t="s">
        <v>338</v>
      </c>
      <c r="H34" s="21" t="s">
        <v>339</v>
      </c>
      <c r="I34" s="21" t="s">
        <v>340</v>
      </c>
      <c r="J34" s="21" t="s">
        <v>341</v>
      </c>
      <c r="K34" s="21" t="s">
        <v>345</v>
      </c>
      <c r="L34" s="21" t="s">
        <v>363</v>
      </c>
      <c r="M34" s="21" t="s">
        <v>362</v>
      </c>
      <c r="N34" s="21" t="s">
        <v>348</v>
      </c>
      <c r="O34" s="21" t="s">
        <v>355</v>
      </c>
      <c r="P34" s="21" t="s">
        <v>349</v>
      </c>
      <c r="Q34" s="21" t="s">
        <v>350</v>
      </c>
      <c r="R34" s="21" t="s">
        <v>351</v>
      </c>
    </row>
    <row r="35" spans="1:18" x14ac:dyDescent="0.4">
      <c r="A35" s="3" t="s">
        <v>317</v>
      </c>
      <c r="B35" s="188" t="s">
        <v>359</v>
      </c>
      <c r="C35" s="17">
        <v>808037</v>
      </c>
      <c r="D35" s="18"/>
      <c r="E35" s="17">
        <f>C35*G35</f>
        <v>143022549</v>
      </c>
      <c r="F35" s="17">
        <f>E35/12/30</f>
        <v>397284.85833333334</v>
      </c>
      <c r="G35" s="17">
        <v>177</v>
      </c>
      <c r="H35" s="17">
        <v>32</v>
      </c>
      <c r="I35" s="17">
        <f>J35*0.81/(68*0.81)</f>
        <v>26666359.338235293</v>
      </c>
      <c r="J35" s="17">
        <v>1813312435</v>
      </c>
      <c r="K35" s="19">
        <f>F35*L35*M35</f>
        <v>11918.545749999999</v>
      </c>
      <c r="L35" s="38">
        <v>0.06</v>
      </c>
      <c r="M35" s="38">
        <v>0.5</v>
      </c>
      <c r="N35" s="17">
        <f>K35/G35</f>
        <v>67.336416666666665</v>
      </c>
      <c r="O35" s="19">
        <f>N35/H35</f>
        <v>2.1042630208333333</v>
      </c>
      <c r="P35" s="17">
        <f>O35*I35</f>
        <v>56113033.855702162</v>
      </c>
      <c r="Q35" s="23">
        <f>K35/F35</f>
        <v>0.03</v>
      </c>
      <c r="R35" s="24">
        <f>P35*10</f>
        <v>561130338.55702162</v>
      </c>
    </row>
    <row r="39" spans="1:18" x14ac:dyDescent="0.4">
      <c r="B39" s="186" t="s">
        <v>359</v>
      </c>
      <c r="C39" s="41">
        <f>L31*M31</f>
        <v>3.3299999999999996E-2</v>
      </c>
    </row>
    <row r="40" spans="1:18" x14ac:dyDescent="0.4">
      <c r="B40" s="186" t="s">
        <v>382</v>
      </c>
      <c r="C40" s="41">
        <v>3.5000000000000003E-2</v>
      </c>
    </row>
  </sheetData>
  <phoneticPr fontId="1" type="noConversion"/>
  <pageMargins left="0.7" right="0.7" top="0.75" bottom="0.75" header="0.3" footer="0.3"/>
  <ignoredErrors>
    <ignoredError sqref="P25" formula="1"/>
  </ignoredError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3FC426-E8C6-484F-8634-310DE9431DE8}">
  <sheetPr codeName="Sheet8"/>
  <dimension ref="A2:A4"/>
  <sheetViews>
    <sheetView workbookViewId="0">
      <selection activeCell="D21" sqref="D21"/>
    </sheetView>
  </sheetViews>
  <sheetFormatPr defaultRowHeight="17.399999999999999" x14ac:dyDescent="0.4"/>
  <cols>
    <col min="1" max="1" width="13.296875" bestFit="1" customWidth="1"/>
  </cols>
  <sheetData>
    <row r="2" spans="1:1" x14ac:dyDescent="0.4">
      <c r="A2" s="107" t="s">
        <v>209</v>
      </c>
    </row>
    <row r="3" spans="1:1" x14ac:dyDescent="0.4">
      <c r="A3" t="s">
        <v>367</v>
      </c>
    </row>
    <row r="4" spans="1:1" x14ac:dyDescent="0.4">
      <c r="A4" t="s">
        <v>368</v>
      </c>
    </row>
  </sheetData>
  <phoneticPr fontId="1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698AAAA-E8EA-4723-AFDC-DAE5B005C2F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13</vt:i4>
      </vt:variant>
      <vt:variant>
        <vt:lpstr>이름 지정된 범위</vt:lpstr>
      </vt:variant>
      <vt:variant>
        <vt:i4>1</vt:i4>
      </vt:variant>
    </vt:vector>
  </HeadingPairs>
  <TitlesOfParts>
    <vt:vector size="14" baseType="lpstr">
      <vt:lpstr>HOME</vt:lpstr>
      <vt:lpstr>0. 통합시트</vt:lpstr>
      <vt:lpstr>1.인건비_요약</vt:lpstr>
      <vt:lpstr>2.구축비_요약</vt:lpstr>
      <vt:lpstr>3.수행비_요약</vt:lpstr>
      <vt:lpstr>BL_인건비</vt:lpstr>
      <vt:lpstr>CS_인건비</vt:lpstr>
      <vt:lpstr>CS_구축</vt:lpstr>
      <vt:lpstr>CS_수행</vt:lpstr>
      <vt:lpstr>(참조)BL_인건비</vt:lpstr>
      <vt:lpstr>(참조)CS_인건비</vt:lpstr>
      <vt:lpstr>(참조)솔루션효과</vt:lpstr>
      <vt:lpstr>(참조)분류체계</vt:lpstr>
      <vt:lpstr>인건비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강민수</dc:creator>
  <cp:lastModifiedBy>kms</cp:lastModifiedBy>
  <dcterms:created xsi:type="dcterms:W3CDTF">2020-12-26T06:12:05Z</dcterms:created>
  <dcterms:modified xsi:type="dcterms:W3CDTF">2021-01-10T12:29:34Z</dcterms:modified>
</cp:coreProperties>
</file>